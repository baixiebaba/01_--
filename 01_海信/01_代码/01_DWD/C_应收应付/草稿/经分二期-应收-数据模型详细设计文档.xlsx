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drawings/drawing1.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需求概述" sheetId="2" r:id="rId5"/>
    <sheet name="需求总览" sheetId="3" r:id="rId6"/>
    <sheet name="0.0 ODS目录" sheetId="4" r:id="rId7"/>
    <sheet name="ods表详情" sheetId="5" r:id="rId8"/>
    <sheet name="1. DWD逻辑处理--》》" sheetId="6" r:id="rId9"/>
    <sheet name="1. 0 DWD层目录" sheetId="7" r:id="rId10"/>
    <sheet name="dwd_fi_mr_ar_cterm_md" sheetId="8" r:id="rId11"/>
    <sheet name="dwd_fi_mr_arap_detail_mi" sheetId="9" r:id="rId12"/>
    <sheet name="dwd_fi_mr_ar_overdue_mi" sheetId="10" r:id="rId13"/>
    <sheet name="dwd_fi_mr_ar_ureb_mi" sheetId="11" r:id="rId14" state="hidden"/>
    <sheet name="dwd_fi_mr_ar_imocc_mi" sheetId="12" r:id="rId15"/>
    <sheet name="dwd_fi_mr_ar_writeoff_mi" sheetId="13" r:id="rId16" state="hidden"/>
    <sheet name="dwd_fi_mr_arap_sum_mi" sheetId="14" r:id="rId17"/>
    <sheet name="2. DWM逻辑处理--》》" sheetId="15" r:id="rId18"/>
    <sheet name="2. 0 DWM层目录" sheetId="16" r:id="rId19"/>
    <sheet name="ARPM01账龄计算底稿-STEP1数据聚合" sheetId="17" r:id="rId20"/>
    <sheet name="ARPM01账龄计算底稿-STEP2数据范围限制" sheetId="18" r:id="rId21"/>
    <sheet name="ARPM01账龄计算底稿-STEP3重分类处理" sheetId="19" r:id="rId22"/>
    <sheet name="ARPM02-账龄结果表" sheetId="20" r:id="rId23"/>
    <sheet name="ARPM02-坏账计算表-STEP1坏账计提基数" sheetId="21" r:id="rId24"/>
    <sheet name="ARPM02-坏账计算表-STEP2坏账计算" sheetId="22" r:id="rId25"/>
    <sheet name="ARPM02-坏账计算表-STEP3坏账分摊" sheetId="23" r:id="rId26"/>
    <sheet name="ARPM04-周转计算-占用明细表" sheetId="24" r:id="rId27"/>
    <sheet name="ARPM05-周转计算-收入明细表" sheetId="25" r:id="rId28"/>
    <sheet name="ARPINS-投保信息计算表" sheetId="26" r:id="rId29"/>
    <sheet name="3. DWS逻辑处理--》》" sheetId="27" r:id="rId30"/>
    <sheet name="3. 0 DWS层目录" sheetId="28" r:id="rId31"/>
    <sheet name="DWS-ARPS01-周转计算汇总表" sheetId="29" r:id="rId32"/>
    <sheet name="DWS-CPRS01-核心利润" sheetId="30" r:id="rId33"/>
    <sheet name="4. ADS逻辑处理--》》" sheetId="31" r:id="rId34"/>
    <sheet name="4. 0 ADS层目录" sheetId="32" r:id="rId35"/>
    <sheet name="ADS-ARPS01-账龄展示表" sheetId="33" r:id="rId36"/>
    <sheet name="ADS-ARPS02-周转展示表" sheetId="34" r:id="rId37"/>
    <sheet name="规则库" sheetId="35" r:id="rId38"/>
    <sheet name="D表样设计" sheetId="36" r:id="rId39"/>
    <sheet name="手工录入表" sheetId="37" r:id="rId40"/>
    <sheet name="M表样设计" sheetId="38" r:id="rId41"/>
    <sheet name="S表样设计" sheetId="39" r:id="rId42"/>
    <sheet name="字段信息" sheetId="40" r:id="rId43"/>
    <sheet name="调整场景" sheetId="41" r:id="rId44"/>
    <sheet name="对数" sheetId="42" r:id="rId4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<sst xmlns="http://schemas.openxmlformats.org/spreadsheetml/2006/main" count="6979" uniqueCount="6979">
  <si>
    <t xml:space="preserve">  </t>
  </si>
  <si>
    <t xml:space="preserve">序号</t>
  </si>
  <si>
    <t xml:space="preserve">需求模块</t>
  </si>
  <si>
    <t xml:space="preserve">模块处理逻辑说明</t>
  </si>
  <si>
    <t xml:space="preserve">备注</t>
  </si>
  <si>
    <t xml:space="preserve">往来账龄模块</t>
  </si>
  <si>
    <t xml:space="preserve">坏账计算逻辑</t>
  </si>
  <si>
    <t xml:space="preserve">周转分析模块</t>
  </si>
  <si>
    <t xml:space="preserve">序号</t>
  </si>
  <si>
    <t xml:space="preserve">需求分类</t>
  </si>
  <si>
    <t xml:space="preserve">需求小类</t>
  </si>
  <si>
    <t xml:space="preserve">需求点</t>
  </si>
  <si>
    <t xml:space="preserve">需求响应（满足/不满足）</t>
  </si>
  <si>
    <t xml:space="preserve">PRD文档位置（sheet页）</t>
  </si>
  <si>
    <t xml:space="preserve">PRD关键逻辑描述</t>
  </si>
  <si>
    <t xml:space="preserve">备注</t>
  </si>
  <si>
    <t xml:space="preserve">0908：后续沟通确认一个统一的梳理的模版</t>
  </si>
  <si>
    <t xml:space="preserve">维度映射</t>
  </si>
  <si>
    <t xml:space="preserve">一/二/三级公司分类</t>
  </si>
  <si>
    <t xml:space="preserve">往来账龄明细表、应收账款周转分析明细表新增【一/二/三级公司分类】字段，按客户主数据取值；营销客户主数据未上线公司（日立、商冷、激光、古洛尼、雅士高、显示基地、冰冷洗基地、空气基地、其他公司）字段置空</t>
  </si>
  <si>
    <t xml:space="preserve">满足</t>
  </si>
  <si>
    <t/>
    <r>
      <rPr>
        <u val="single"/>
        <color theme="10"/>
      </rPr>
      <t>dwd_fi_mr_arap_detail_mi</t>
    </r>
  </si>
  <si>
    <t xml:space="preserve">DWD层进行维度映射处理</t>
  </si>
  <si>
    <t xml:space="preserve">利润中心映射</t>
  </si>
  <si>
    <t xml:space="preserve">维护"老利润中心→新利润中心"映射关系；范围限于应收账款清账口径利润中心（《应收维度统计表-利润中心对应关系表（新）》）；涉及电商本次不清洗客户清单</t>
  </si>
  <si>
    <t xml:space="preserve">渠道分组映射</t>
  </si>
  <si>
    <t xml:space="preserve">维护"一级/三级公司分类→渠道分组"映射（含下沉/零售/零售-传统零售/零售-新零售/转口贸易/外售）；按优先级：天猫优品/京东专卖/苏宁零售云映射下沉；一级=电商映射零售；一级≠电商映射零售-传统零售</t>
  </si>
  <si>
    <t xml:space="preserve">维度新增</t>
  </si>
  <si>
    <t xml:space="preserve">业务范围</t>
  </si>
  <si>
    <t xml:space="preserve">坏账计提凭证入账、传输损益表新增【业务范围】字段；通用规则按《业务范围配置表》；特殊规则：6210 按三级性质映射、1180/12**按客户主数据二级公司分类、商用显示按国家-业务范围映射、日立按国家-大区映射</t>
  </si>
  <si>
    <t xml:space="preserve">业务管理单元</t>
  </si>
  <si>
    <t xml:space="preserve">空气事业部管报新增【业务管理单元】字段：SAP600 通过利润中心映射、SAP700 默认 ZZZZ、SAP900 通过三级性质映射（煤改电/OEM/网络能源/其他）</t>
  </si>
  <si>
    <t xml:space="preserve">周转分析渠道</t>
  </si>
  <si>
    <t xml:space="preserve">应收账款周转分析明细表新增【一/二/三级渠道】字段；上线公司按"渠道分组"+二/三级公司分类映射，未上线公司（除日立、商冷特殊规则）默认缺省值 ZZZZ</t>
  </si>
  <si>
    <t xml:space="preserve">MDG 商冷客户群映射</t>
  </si>
  <si>
    <t xml:space="preserve">6380、6797商冷三级渠道 → MDG【商冷客户群】映射</t>
  </si>
  <si>
    <t xml:space="preserve">待维度定标</t>
  </si>
  <si>
    <t xml:space="preserve">D 表数据源新增</t>
  </si>
  <si>
    <t xml:space="preserve">应收账面数据源</t>
  </si>
  <si>
    <t xml:space="preserve">D 表新增"①SAP 应收货款账面余额"字段：来源 SAP600/700/800/900/810（应收账款、合同资产、合同负债、其他应收款、长期应收款-信汇）；</t>
  </si>
  <si>
    <t xml:space="preserve">DWD层复刻SAPZZT003的逻辑取底表数据计算账龄天数</t>
  </si>
  <si>
    <t xml:space="preserve">调整项数据源</t>
  </si>
  <si>
    <t xml:space="preserve">"②期末出库未开（不含税）"：来源管报 2.0 收入出库未开底稿，仅涉及冰冷洗营销、空气营销；新增"③期末退货未办退税（不含税）"：来源管报 2.0 收入退货未办底稿，涉及冰冷洗营销、空气营销；账龄均放置在 1 个月以内</t>
  </si>
  <si>
    <t/>
    <r>
      <rPr>
        <u val="single"/>
        <color theme="10"/>
      </rPr>
      <t>ARP001_STEP_1</t>
    </r>
  </si>
  <si>
    <t xml:space="preserve">在M层直接取收入M01表中的出库和退货的数据</t>
  </si>
  <si>
    <t xml:space="preserve">超期款数据源</t>
  </si>
  <si>
    <t xml:space="preserve">D 表新增【超期金额】字段：来源财务中台-问题资金系统，按账套取客户+利润中心/客户超期款金额；显示/激光/冰冷/空气/古洛尼/厨卫事业部需分别确认范围与字段口径（含商显2080、冰冷商冷 6380/6797、空气日立1730-1761、维保、模具等明细）</t>
  </si>
  <si>
    <t/>
    <r>
      <rPr>
        <u val="single"/>
        <color theme="10"/>
      </rPr>
      <t>dwd_fi_mr_ar_overdue_mi</t>
    </r>
  </si>
  <si>
    <t xml:space="preserve">取财务中台-问题资金系统中超期款及开票样机的金额，以及超期款调整口的数据</t>
  </si>
  <si>
    <t xml:space="preserve">返利数据源</t>
  </si>
  <si>
    <t xml:space="preserve">D 表新增【已确认未兑现返利余额】：来源政策系统（显示/冰箱/空气营销）、SMS（日立）、FBL5N（SAP600 未清明细）；日立口径以 SMS经销商返利余额为准</t>
  </si>
  <si>
    <t/>
    <r>
      <rPr>
        <u val="single"/>
        <color theme="10"/>
      </rPr>
      <t>dwd_fi_mr_ar_ureb_mi</t>
    </r>
  </si>
  <si>
    <t xml:space="preserve">取SMS系统、政策系统、SAP系统的欠付返利明细</t>
  </si>
  <si>
    <t xml:space="preserve">欠付费用数据源</t>
  </si>
  <si>
    <t xml:space="preserve">D 表新增【已账扣未报账欠付费用】：来源 SAP600，主要覆盖显示/冰冷/空气营销公司，账龄放置在 1 个月以内</t>
  </si>
  <si>
    <t xml:space="preserve">将往来账龄及周转影响因素需要的数据聚合到计算底稿中，包括SAP的账龄明细、信汇明细、出库未开、退货未办、超期款数据、提前回款、电商零售节奏、欠付费用、欠付返利，通过数据分类字段区分开</t>
  </si>
  <si>
    <t xml:space="preserve">提前回款数据源</t>
  </si>
  <si>
    <t xml:space="preserve">新增提前回款的取数逻辑，作为周转分析的影响因素</t>
  </si>
  <si>
    <t xml:space="preserve">电商零售数据源</t>
  </si>
  <si>
    <t xml:space="preserve">新增电商销售零售的取数逻辑，作为周转分析的影响因素</t>
  </si>
  <si>
    <t xml:space="preserve">核销金额数据源</t>
  </si>
  <si>
    <t xml:space="preserve">D表新增财务中台核销金额数据源取数</t>
  </si>
  <si>
    <t/>
    <r>
      <rPr>
        <u val="single"/>
        <color theme="10"/>
      </rPr>
      <t>dwd_fi_mr_ar_writeoff_mi</t>
    </r>
  </si>
  <si>
    <t xml:space="preserve">取财务中台中坏账核销单中的核销金额数据</t>
  </si>
  <si>
    <t xml:space="preserve">国际营销占用数据源</t>
  </si>
  <si>
    <t xml:space="preserve">D表新增国际营销占用取数</t>
  </si>
  <si>
    <t/>
    <r>
      <rPr>
        <u val="single"/>
        <color theme="10"/>
      </rPr>
      <t>dwd_fi_mr_ar_imocc_mi</t>
    </r>
  </si>
  <si>
    <t xml:space="preserve">取信数系统中国际营销对外的的应收占用数据</t>
  </si>
  <si>
    <t xml:space="preserve">账期数据源</t>
  </si>
  <si>
    <t xml:space="preserve">D 表新增【账期】字段：取 SAP-KNB1 付款条件编码，通过 SAP-T052 解释</t>
  </si>
  <si>
    <t/>
    <r>
      <rPr>
        <u val="single"/>
        <color theme="10"/>
      </rPr>
      <t>dwd_fi_mr_ar_cterm_md</t>
    </r>
  </si>
  <si>
    <t xml:space="preserve">根据SAP的客户主数据相关表单，匹配处理成每个客户的付款条件明细信息</t>
  </si>
  <si>
    <t xml:space="preserve">D/M/S 表逻辑处理</t>
  </si>
  <si>
    <t xml:space="preserve">账龄进数范围限制</t>
  </si>
  <si>
    <t/>
    <r>
      <rPr>
        <u val="single"/>
        <color theme="10"/>
      </rPr>
      <t>ARP001_STEP_2</t>
    </r>
  </si>
  <si>
    <t xml:space="preserve">往来账龄需要对部分客商或科目等进行剔除，此步骤用于将步骤1取到的数据根据进数范围进行限制</t>
  </si>
  <si>
    <t xml:space="preserve">重分类</t>
  </si>
  <si>
    <t xml:space="preserve">法人口径重分类、管理口径重分类、分公司管理口径重分类三个口径的重分类判断规则</t>
  </si>
  <si>
    <t/>
    <r>
      <rPr>
        <u val="single"/>
        <color theme="10"/>
      </rPr>
      <t>ARP001_STEP_3</t>
    </r>
  </si>
  <si>
    <t xml:space="preserve">此步骤将往来账龄的数据根据重分类的规则进行重分类的判断，法人口径、管理口径、管理分公司口径三个口径的重分类处理，以及集团归属范围的判断</t>
  </si>
  <si>
    <t xml:space="preserve">合同负债税额剔除</t>
  </si>
  <si>
    <t/>
    <r>
      <rPr>
        <u val="single"/>
        <color theme="10"/>
      </rPr>
      <t>ARP002_STEP_1</t>
    </r>
  </si>
  <si>
    <t xml:space="preserve">此表将往来账龄计算底稿不同数据分类的数据平铺到列上展示，并且针对应收重分类到合同负债的数据，把对应的税额剔除</t>
  </si>
  <si>
    <t xml:space="preserve">坏账计提基数表</t>
  </si>
  <si>
    <t xml:space="preserve">指标=调整后应收账款，公式=①SAP 应收+②出库未开-③退货未办-④直销垫资-⑤保证金-⑥海外投保</t>
  </si>
  <si>
    <t/>
    <r>
      <rPr>
        <u val="single"/>
        <color theme="10"/>
      </rPr>
      <t>ARP003_STEP_1</t>
    </r>
  </si>
  <si>
    <t xml:space="preserve">将往来账龄表中涉及到需要计算坏账的数据取到坏账计算表中，根据管理分类和分公司分类不同生成两个口径的数据，并且匹配出坏账的调整项，如果有直销垫资的金额，用垫资的金额冲减坏账计提基数，优先从长账龄冲销，如果同一个客户存在负数的账龄金额，拆分到长账龄的区间中</t>
  </si>
  <si>
    <t xml:space="preserve">坏账计提基数调整优先级</t>
  </si>
  <si>
    <t xml:space="preserve">基数计算按"个别认定表（优先级1）&gt; 投保信息录入表免赔额（优先级2）&gt; 账龄表-手工调整项（优先级3）"</t>
  </si>
  <si>
    <t/>
    <r>
      <rPr>
        <u val="single"/>
        <color theme="10"/>
      </rPr>
      <t>ARP003_STEP_2</t>
    </r>
  </si>
  <si>
    <t xml:space="preserve">根据不同的坏账计提规则计算坏账金额，如果有个别认定和煤改电，优先取对应的金额计提坏账，再按照优先级匹配坏账计提比例，根据坏账计提比例*坏账计提基数计算坏账金额，如果保障天数&gt;0，需要再根据保障天数判断坏账计提区间，根据坏账计提比例*坏账计提基数*未覆盖比例计算坏账</t>
  </si>
  <si>
    <t xml:space="preserve">管理口径坏账计提</t>
  </si>
  <si>
    <t xml:space="preserve">调整后应收账款中预收余额利润中心使用先进先出法分配至账龄段，按账套+客户+利润中心计算坏账；预收利润中心坏账按"应收利润中心坏账金额/Σ同客户应收利润中心坏账金额"分摊至应收利润中心；</t>
  </si>
  <si>
    <t/>
    <r>
      <rPr>
        <u val="single"/>
        <color theme="10"/>
      </rPr>
      <t>ARP003_STEP_3</t>
    </r>
  </si>
  <si>
    <t xml:space="preserve">针对坏账计算出来为负数的行项目，按照同一个公司+客户+科目计算正数行的比例，把负数的坏账金额分摊到正数行上</t>
  </si>
  <si>
    <t xml:space="preserve">应收占用指标重构</t>
  </si>
  <si>
    <t xml:space="preserve">应收占用=应收账款账面余额+期末出库未开-期末退货未办退税-集团内应收货款占用-虚拟售料外协厂应收余额-应收信汇占用-垫资款+管理口径跨事业部应收占用；剔除项含电视/空调对中国区挂外部户的70012338、虚拟售料外协厂、信汇（1122000095/1131000095）等</t>
  </si>
  <si>
    <t/>
    <r>
      <rPr>
        <u val="single"/>
        <color theme="10"/>
      </rPr>
      <t>ARP004_STEP_1</t>
    </r>
  </si>
  <si>
    <t xml:space="preserve">把往来账龄结果表的数据筛选出需要计算周转的应收占用数据，根据取数配置表中的限制进行数据的取数及剔除，以及将手工调整的影响因素也匹配到同一行数据中</t>
  </si>
  <si>
    <t xml:space="preserve">周转影响因素拆解</t>
  </si>
  <si>
    <t xml:space="preserve">周转分析表拆解 8 类影响因素：①超期款金额、②提前回款金额、③电商零售销售节奏、④已确认未兑现返利、⑤已账扣未报账欠付费用、⑥开票样机额度、⑦国补未回款影响、⑧手工导入因素</t>
  </si>
  <si>
    <t xml:space="preserve">主营业务收入指标重构</t>
  </si>
  <si>
    <t xml:space="preserve">收入=开票收入+期末出库未开-期末退货未办退税-当月计提返利-集团内客户收入+管理口径跨事业部应收占用；剔除项含业绩调拨调入/调出、小 B 国补业务数据冲销/还原</t>
  </si>
  <si>
    <t/>
    <r>
      <rPr>
        <u val="single"/>
        <color theme="10"/>
      </rPr>
      <t>ARP005_STEP_1</t>
    </r>
  </si>
  <si>
    <t xml:space="preserve">把单体销售明细表的数据筛选出需要计算周转的收入数据，根据取数配置表中的限制进行数据的取数及剔除</t>
  </si>
  <si>
    <t xml:space="preserve">利润中心跨事业部拆分</t>
  </si>
  <si>
    <t xml:space="preserve">同一账套同一客户跨事业部时，只取拆分事业部后&gt;0 的金额（如冰冷/洗护、显示/激光）</t>
  </si>
  <si>
    <t/>
    <r>
      <rPr>
        <u val="single"/>
        <color theme="10"/>
      </rPr>
      <t>ARP001_STEP_1</t>
    </r>
  </si>
  <si>
    <t xml:space="preserve">将周转计算的占用和收入的M表匹配成一个表单，匹配出对应的事业部维度，将不符合条件的数据进行排除</t>
  </si>
  <si>
    <t xml:space="preserve">周转表-指标表维度映射</t>
  </si>
  <si>
    <t xml:space="preserve">周转表与指标表维度对应关系，作为指标表推送规则说明</t>
  </si>
  <si>
    <t/>
    <r>
      <rPr>
        <u val="single"/>
        <color theme="10"/>
      </rPr>
      <t>ARP002_STEP_1</t>
    </r>
  </si>
  <si>
    <t xml:space="preserve">根据配置表维护的周转口径的对应关系将指标表需要展示的周转口径的数据计算后同步到核心利润S表中</t>
  </si>
  <si>
    <t xml:space="preserve">展示报表需求</t>
  </si>
  <si>
    <t xml:space="preserve">期末汇率余额</t>
  </si>
  <si>
    <t xml:space="preserve">D 表新增【期末汇率余额】【记账汇率余额】【汇率评估方式】【理论汇兑评估】字段，逻辑同管报 1.0</t>
  </si>
  <si>
    <t xml:space="preserve">调整后返利/退货</t>
  </si>
  <si>
    <t xml:space="preserve">D 表新增【调整后返利】（冰箱专用，67**）与【调整后退货】（显示专用，26**/23**/1632）字段，由公式按应收账面余额与返利/退货余额比较后计算</t>
  </si>
  <si>
    <t xml:space="preserve">一级/二级/三级性质</t>
  </si>
  <si>
    <t xml:space="preserve">往来账龄明细表新增【一级/二级/三级性质】字段；一级/二级来源管报 1.0 配置表（B20_0101_02），三级手工填写并联动一级</t>
  </si>
  <si>
    <t xml:space="preserve">利润中心校验</t>
  </si>
  <si>
    <t xml:space="preserve">账龄表增加利润中心系统校验：原则上仅允许出现应收账款清账口径利润中心；出现新增利润中心时需提示，报表人调账处理</t>
  </si>
  <si>
    <t xml:space="preserve">账龄段颜色提示</t>
  </si>
  <si>
    <t xml:space="preserve">科目余额为正且出现负数账龄时，将负数账龄单元格标记特殊颜色</t>
  </si>
  <si>
    <t xml:space="preserve">余额三项校验</t>
  </si>
  <si>
    <t xml:space="preserve">管报 2.0 账龄表新增校验表，校验：①管报 1.0 账龄表、②管报 2.0 账龄表明细表、③管报 1.0 资产负债表科目余额</t>
  </si>
  <si>
    <t xml:space="preserve">客户/供应商冲突标记</t>
  </si>
  <si>
    <t xml:space="preserve">同一账套下既为客户又为供应商（名称相同）且本期余额不为 0 时，对应单元格标记颜色</t>
  </si>
  <si>
    <t xml:space="preserve">是否存续字段联动</t>
  </si>
  <si>
    <t xml:space="preserve">同一账套下【是否存续】字段填写后，结果附用至同客商（客户与供应商名称相同）</t>
  </si>
  <si>
    <t xml:space="preserve">应收账款周转分析表-事业部</t>
  </si>
  <si>
    <t xml:space="preserve">4.5.1：中国区、显示、激光、冰冷、洗护、空气、厨电、古洛尼、雅士高事业部层级周转指标（按账套+客户维度重分类）</t>
  </si>
  <si>
    <t xml:space="preserve">应收账款周转分析表-单体法人</t>
  </si>
  <si>
    <t xml:space="preserve">4.5.1：按账套维度出具应收账款周转指标（按账套+客户维度重分类）</t>
  </si>
  <si>
    <t xml:space="preserve">应收账款周转分析表-分公司</t>
  </si>
  <si>
    <t xml:space="preserve">4.5.1+4.5.3：电冰空等分公司层级周转指标（按账套+客户+利润中心加严口径），另含 S 表"应收账款周转分析展示表-分公司"</t>
  </si>
  <si>
    <t xml:space="preserve">入湖及数据更新情况列的统计时间是20260907
问题1：很多sap的表分了好几套，ODSS600/ODS_S600/ODSSLT_S600/ODS_SLT_S600，需要确定使用哪些表，需要每个表都确定
问题2：有些是空表，以及更新时间不是最新的
问题3：没有表的需要进行入湖</t>
  </si>
  <si>
    <t xml:space="preserve">高频抽数（月结）：
主数据类：1-6号，6点开始，每6小时一次
明细项类：1-6号，每小时一次
低频抽数：
其他日期，每日0点抽一次</t>
  </si>
  <si>
    <t xml:space="preserve">黄底为入湖中的表</t>
  </si>
  <si>
    <t xml:space="preserve">统计日期为20260907</t>
  </si>
  <si>
    <t xml:space="preserve">抽数频率后续要统一查下，尤其SAP的账期明细变动相关表</t>
  </si>
  <si>
    <t xml:space="preserve">分层</t>
  </si>
  <si>
    <t xml:space="preserve">编码</t>
  </si>
  <si>
    <t xml:space="preserve">数据库表名</t>
  </si>
  <si>
    <t xml:space="preserve">名称</t>
  </si>
  <si>
    <t xml:space="preserve">用途</t>
  </si>
  <si>
    <t xml:space="preserve">来源</t>
  </si>
  <si>
    <t xml:space="preserve">备注</t>
  </si>
  <si>
    <t xml:space="preserve">入湖及数据更新情况（load_dt为入湖规范中的数据入湖时间）</t>
  </si>
  <si>
    <t xml:space="preserve">最终贴源表</t>
  </si>
  <si>
    <t xml:space="preserve">抽数调度任务</t>
  </si>
  <si>
    <t xml:space="preserve">入湖进度</t>
  </si>
  <si>
    <t xml:space="preserve">ods</t>
  </si>
  <si>
    <t xml:space="preserve">odss600_knb1</t>
  </si>
  <si>
    <t xml:space="preserve">公司客户主数据</t>
  </si>
  <si>
    <t xml:space="preserve">取客户对应的账期</t>
  </si>
  <si>
    <t xml:space="preserve">SAP</t>
  </si>
  <si>
    <t xml:space="preserve">最新load_dt为20260907</t>
  </si>
  <si>
    <t xml:space="preserve">无</t>
  </si>
  <si>
    <t xml:space="preserve">odss700_knb1</t>
  </si>
  <si>
    <t xml:space="preserve">odss800_knb1</t>
  </si>
  <si>
    <t xml:space="preserve">odss900_knb1</t>
  </si>
  <si>
    <t xml:space="preserve">odss610_knb1</t>
  </si>
  <si>
    <t xml:space="preserve">odss810_knb1</t>
  </si>
  <si>
    <t xml:space="preserve">odss600_t052u</t>
  </si>
  <si>
    <t xml:space="preserve">付款条件主数据</t>
  </si>
  <si>
    <t xml:space="preserve">需要统一提一下入湖工单，让大数据团队进行数据入湖</t>
  </si>
  <si>
    <t xml:space="preserve">空表</t>
  </si>
  <si>
    <t xml:space="preserve">离线任务名：ds1182_ODSS600_T052U 自动调度名：DS_S600@D_1-31_0抽数来源：EDW_STG--STG.S600_T052U</t>
  </si>
  <si>
    <t xml:space="preserve">抽数调度已配，DORIS已查询到当日数据</t>
  </si>
  <si>
    <t xml:space="preserve">odss700_t052u</t>
  </si>
  <si>
    <t xml:space="preserve">离线任务名：ds5765_ODSS700_T052U 自动调度名：DS_S700@D_1-31_0抽数来源：EDW_STG--STG.S700_T052U</t>
  </si>
  <si>
    <t xml:space="preserve">odss800_t052u</t>
  </si>
  <si>
    <t xml:space="preserve">离线任务名：ds4873_ODSS800_T052U 自动调度名：DS_S800@D_1-31_0抽数来源：EDW_STG--STG.S800_T052U</t>
  </si>
  <si>
    <t xml:space="preserve">抽数调度已配，最新数为当日8点抽取</t>
  </si>
  <si>
    <t xml:space="preserve">odss900_t052u</t>
  </si>
  <si>
    <t xml:space="preserve">离线任务名：ds6769_ODSS900_T052U 自动调度名：DS_S900@D_1-31_0抽数来源：EDW_STG--STG.S900_T052U</t>
  </si>
  <si>
    <t xml:space="preserve">入湖流程中</t>
  </si>
  <si>
    <t xml:space="preserve">odss610_t052u</t>
  </si>
  <si>
    <t xml:space="preserve">没有表</t>
  </si>
  <si>
    <t xml:space="preserve">odss810_t052u</t>
  </si>
  <si>
    <t xml:space="preserve">最新load_dt为20260730</t>
  </si>
  <si>
    <t xml:space="preserve">odsslt_s600_bsid</t>
  </si>
  <si>
    <t/>
    <r>
      <rPr/>
      <t>客户</t>
    </r>
    <r>
      <rPr>
        <b val="false"/>
        <i val="false"/>
        <strike val="false"/>
        <sz val="11"/>
        <color rgb="FF000000"/>
        <rFont val="Times New Roman"/>
      </rPr>
      <t>‌</t>
    </r>
    <r>
      <rPr/>
      <t>未清</t>
    </r>
    <r>
      <rPr>
        <b val="false"/>
        <i val="false"/>
        <strike val="false"/>
        <sz val="11"/>
        <color rgb="FF000000"/>
        <rFont val="Times New Roman"/>
      </rPr>
      <t>‌</t>
    </r>
    <r>
      <rPr/>
      <t>项表</t>
    </r>
  </si>
  <si>
    <t xml:space="preserve">计算客户对应的应收账龄明细</t>
  </si>
  <si>
    <t xml:space="preserve">odsslt_s600_bsad</t>
  </si>
  <si>
    <t xml:space="preserve">客户‌已清‌项表</t>
  </si>
  <si>
    <t xml:space="preserve">odsslt_s600_bsik</t>
  </si>
  <si>
    <t/>
    <r>
      <rPr/>
      <t>供应商</t>
    </r>
    <r>
      <rPr>
        <b val="false"/>
        <i val="false"/>
        <strike val="false"/>
        <sz val="11"/>
        <color rgb="FF000000"/>
        <rFont val="Times New Roman"/>
      </rPr>
      <t>‌</t>
    </r>
    <r>
      <rPr/>
      <t>未清</t>
    </r>
    <r>
      <rPr>
        <b val="false"/>
        <i val="false"/>
        <strike val="false"/>
        <sz val="11"/>
        <color rgb="FF000000"/>
        <rFont val="Times New Roman"/>
      </rPr>
      <t>‌</t>
    </r>
    <r>
      <rPr/>
      <t>项表</t>
    </r>
  </si>
  <si>
    <t xml:space="preserve">计算供应商对应的应收账龄明细</t>
  </si>
  <si>
    <t xml:space="preserve">odsslt_s600_bsak</t>
  </si>
  <si>
    <t/>
    <r>
      <rPr/>
      <t>供应商</t>
    </r>
    <r>
      <rPr>
        <b val="false"/>
        <i val="false"/>
        <strike val="false"/>
        <sz val="11"/>
        <color rgb="FF000000"/>
        <rFont val="Times New Roman"/>
      </rPr>
      <t>‌</t>
    </r>
    <r>
      <rPr/>
      <t>已清</t>
    </r>
    <r>
      <rPr>
        <b val="false"/>
        <i val="false"/>
        <strike val="false"/>
        <sz val="11"/>
        <color rgb="FF000000"/>
        <rFont val="Times New Roman"/>
      </rPr>
      <t>‌</t>
    </r>
    <r>
      <rPr/>
      <t>项表</t>
    </r>
  </si>
  <si>
    <t xml:space="preserve">odss600_lfa1</t>
  </si>
  <si>
    <t xml:space="preserve">供应商主数据</t>
  </si>
  <si>
    <t xml:space="preserve"/>
  </si>
  <si>
    <t xml:space="preserve">ods_slt_s600_kna1</t>
  </si>
  <si>
    <t xml:space="preserve">客户主数据</t>
  </si>
  <si>
    <t xml:space="preserve">odsslt_s610_bsid</t>
  </si>
  <si>
    <t xml:space="preserve">如果要用610系统的SLT表，直接从810的SLT表取值即可，mandt='610'</t>
  </si>
  <si>
    <t xml:space="preserve">没有表，只有ods.odss600_bsid且为空表</t>
  </si>
  <si>
    <t xml:space="preserve">odsslt_s610_bsad</t>
  </si>
  <si>
    <t xml:space="preserve">没有表，只有ods.odss600_bsad且为空表</t>
  </si>
  <si>
    <t xml:space="preserve">odsslt_s610_bsik</t>
  </si>
  <si>
    <t xml:space="preserve">没有表，只有ods.odss600_bsik且为空表</t>
  </si>
  <si>
    <t xml:space="preserve">odsslt_s610_bsak</t>
  </si>
  <si>
    <t xml:space="preserve">没有表，只有ods.odss600_bsak且为空表</t>
  </si>
  <si>
    <t xml:space="preserve">odss610_lfa1</t>
  </si>
  <si>
    <t xml:space="preserve">最新load_dt为20260906</t>
  </si>
  <si>
    <t xml:space="preserve">离线任务名：ds251_ODSS610_LFA1 自动调度名：PUB_S610@D_1-31_22抽数来源：EDW_STG--stg.S610_LFA1</t>
  </si>
  <si>
    <t xml:space="preserve">ods_slt_s610_kna1</t>
  </si>
  <si>
    <t xml:space="preserve">没有表，只有odss610_kna1且最新load_dt为20260907</t>
  </si>
  <si>
    <t xml:space="preserve">odsslt_s700_bsid</t>
  </si>
  <si>
    <t xml:space="preserve">odsslt_s700_bsad</t>
  </si>
  <si>
    <t xml:space="preserve">odsslt_s700_bsik</t>
  </si>
  <si>
    <t xml:space="preserve">odsslt_s700_bsak</t>
  </si>
  <si>
    <t xml:space="preserve">odss700_lfa1</t>
  </si>
  <si>
    <t xml:space="preserve">ods_slt_s700_kna1</t>
  </si>
  <si>
    <t xml:space="preserve">odsslt_s800_bsid</t>
  </si>
  <si>
    <t xml:space="preserve">odsslt_s800_bsad</t>
  </si>
  <si>
    <t xml:space="preserve">odsslt_s800_bsik</t>
  </si>
  <si>
    <t/>
    <r>
      <rPr>
        <b val="false"/>
        <i val="false"/>
        <strike val="false"/>
        <sz val="11"/>
        <color rgb="FF000000"/>
        <rFont val="微软雅黑"/>
      </rPr>
      <t>供应商</t>
    </r>
    <r>
      <rPr>
        <b val="false"/>
        <i val="false"/>
        <strike val="false"/>
        <sz val="11"/>
        <color rgb="FF000000"/>
        <rFont val="Times New Roman"/>
      </rPr>
      <t>‌</t>
    </r>
    <r>
      <rPr>
        <b val="false"/>
        <i val="false"/>
        <strike val="false"/>
        <sz val="11"/>
        <color rgb="FF000000"/>
        <rFont val="微软雅黑"/>
      </rPr>
      <t>未清</t>
    </r>
    <r>
      <rPr>
        <b val="false"/>
        <i val="false"/>
        <strike val="false"/>
        <sz val="11"/>
        <color rgb="FF000000"/>
        <rFont val="Times New Roman"/>
      </rPr>
      <t>‌</t>
    </r>
    <r>
      <rPr>
        <b val="false"/>
        <i val="false"/>
        <strike val="false"/>
        <sz val="11"/>
        <color rgb="FF000000"/>
        <rFont val="微软雅黑"/>
      </rPr>
      <t>项表</t>
    </r>
  </si>
  <si>
    <t xml:space="preserve">没有表，只有odss800_bsik且最新load_dt为20260907</t>
  </si>
  <si>
    <t xml:space="preserve">odss800_bsik</t>
  </si>
  <si>
    <t xml:space="preserve">离线任务名：ds1414_ODSS800_BSIK 自动调度名：PUB_S800@D_1-31_22、DS_S800@D_1-31_0抽数来源：EDW_STG--STG.S800_BSIK</t>
  </si>
  <si>
    <t xml:space="preserve">调度已配置，最新数为21日0点抽取</t>
  </si>
  <si>
    <t xml:space="preserve">odsslt_s800_bsak</t>
  </si>
  <si>
    <t xml:space="preserve">odss800_lfa1</t>
  </si>
  <si>
    <t xml:space="preserve">ods_slt_s800_kna1</t>
  </si>
  <si>
    <t xml:space="preserve">没有表，只有odss800_kna1且最新load_dt为20260907</t>
  </si>
  <si>
    <t xml:space="preserve">odss800_kna1</t>
  </si>
  <si>
    <t xml:space="preserve">离线任务名：py_ODSS800_KNA1_2ds 自动调度名：DS_S800@D_1-31_0、S800@H2_L1-6_2抽数来源：EDW_STG--STG.S800_KNA1</t>
  </si>
  <si>
    <t xml:space="preserve">入湖流程中，ods_slt_s800b_kna1已有当日数据，但比odss800_kna1少记录数</t>
  </si>
  <si>
    <t xml:space="preserve">odsslt_s810_bsid</t>
  </si>
  <si>
    <t xml:space="preserve">odsslt_s810_bsad</t>
  </si>
  <si>
    <t xml:space="preserve">odsslt_s810_bsik</t>
  </si>
  <si>
    <t xml:space="preserve">odsslt_s810_bsak</t>
  </si>
  <si>
    <t/>
    <r>
      <rPr>
        <b val="false"/>
        <i val="false"/>
        <strike val="false"/>
        <sz val="11"/>
        <color rgb="FF000000"/>
        <rFont val="微软雅黑"/>
      </rPr>
      <t>供应商</t>
    </r>
    <r>
      <rPr>
        <b val="false"/>
        <i val="false"/>
        <strike val="false"/>
        <sz val="11"/>
        <color rgb="FF000000"/>
        <rFont val="Times New Roman"/>
      </rPr>
      <t>‌</t>
    </r>
    <r>
      <rPr>
        <b val="false"/>
        <i val="false"/>
        <strike val="false"/>
        <sz val="11"/>
        <color rgb="FF000000"/>
        <rFont val="微软雅黑"/>
      </rPr>
      <t>已清</t>
    </r>
    <r>
      <rPr>
        <b val="false"/>
        <i val="false"/>
        <strike val="false"/>
        <sz val="11"/>
        <color rgb="FF000000"/>
        <rFont val="Times New Roman"/>
      </rPr>
      <t>‌</t>
    </r>
    <r>
      <rPr>
        <b val="false"/>
        <i val="false"/>
        <strike val="false"/>
        <sz val="11"/>
        <color rgb="FF000000"/>
        <rFont val="微软雅黑"/>
      </rPr>
      <t>项表</t>
    </r>
  </si>
  <si>
    <t xml:space="preserve">没有表，只有ods.odss810_bsak且为空表</t>
  </si>
  <si>
    <t xml:space="preserve">odss810_lfa1</t>
  </si>
  <si>
    <t xml:space="preserve">最新load_dt为20260906（当前数据更新在15点多）</t>
  </si>
  <si>
    <t xml:space="preserve">odsS810_LFA1</t>
  </si>
  <si>
    <t xml:space="preserve">离线任务名：ds281_ODSS810_LFA1 自动调度名：PUB_S810@D_1-31_22抽数来源：EDW_STG--stg.S810_LFA1</t>
  </si>
  <si>
    <t xml:space="preserve">抽数调度已配置，22日验证</t>
  </si>
  <si>
    <t xml:space="preserve">ods_slt_s810_kna1</t>
  </si>
  <si>
    <t xml:space="preserve">odsslt_s900_bsid</t>
  </si>
  <si>
    <t xml:space="preserve">odsslt_s900_bsad</t>
  </si>
  <si>
    <t xml:space="preserve">odsslt_s900_bsik</t>
  </si>
  <si>
    <t xml:space="preserve">使用ods.odss900_bsik表，需要统一提一下入湖工单，让大数据团队进行数据入湖</t>
  </si>
  <si>
    <t xml:space="preserve">没有表，只有ods.odss900_bsik且为空表</t>
  </si>
  <si>
    <t xml:space="preserve">odss900_bsik</t>
  </si>
  <si>
    <t xml:space="preserve">离线任务名：py_ODSS900_BSIK_2ds 自动调度名：DS_S900@D_1-31_0抽数来源：EDW_STG--STG.S900_BSIK</t>
  </si>
  <si>
    <t xml:space="preserve">odsslt_s900_bsak</t>
  </si>
  <si>
    <t xml:space="preserve">odss900_lfa1</t>
  </si>
  <si>
    <t xml:space="preserve">ods_slt_s900_kna1</t>
  </si>
  <si>
    <t xml:space="preserve">odss600_ztzt_003</t>
  </si>
  <si>
    <t xml:space="preserve">zzt003配置表</t>
  </si>
  <si>
    <t xml:space="preserve">odss610_ztzt_003</t>
  </si>
  <si>
    <t xml:space="preserve">odss700_ztzt_003</t>
  </si>
  <si>
    <t xml:space="preserve">odss800_ztzt_003</t>
  </si>
  <si>
    <t xml:space="preserve">odss810_ztzt_003</t>
  </si>
  <si>
    <t xml:space="preserve">odss900_ztzt_003</t>
  </si>
  <si>
    <t xml:space="preserve">odss600_t001</t>
  </si>
  <si>
    <t xml:space="preserve">公司编码</t>
  </si>
  <si>
    <t xml:space="preserve">odss610_t001</t>
  </si>
  <si>
    <t xml:space="preserve">odss700_t001</t>
  </si>
  <si>
    <t xml:space="preserve">odss800_t001</t>
  </si>
  <si>
    <t xml:space="preserve">odss810_t001</t>
  </si>
  <si>
    <t xml:space="preserve">odss900_t001</t>
  </si>
  <si>
    <t xml:space="preserve">odss600_skb1</t>
  </si>
  <si>
    <t xml:space="preserve">总账科目主记录（公司代码）</t>
  </si>
  <si>
    <t xml:space="preserve">odss610_skb1</t>
  </si>
  <si>
    <t xml:space="preserve">odss700_skb1</t>
  </si>
  <si>
    <t xml:space="preserve">odss800_skb1</t>
  </si>
  <si>
    <t xml:space="preserve">odss810_skb1</t>
  </si>
  <si>
    <t xml:space="preserve">odss900_skb1</t>
  </si>
  <si>
    <t xml:space="preserve">odss600_cepct</t>
  </si>
  <si>
    <t xml:space="preserve">利润中心主数据文本</t>
  </si>
  <si>
    <t xml:space="preserve">odss610_cepct</t>
  </si>
  <si>
    <t xml:space="preserve">odss700_cepct</t>
  </si>
  <si>
    <t xml:space="preserve">odss800_cepct</t>
  </si>
  <si>
    <t xml:space="preserve">odss810_cepct</t>
  </si>
  <si>
    <t xml:space="preserve">最新load_dt为20260813</t>
  </si>
  <si>
    <t xml:space="preserve">离线任务名：py_ODSS810_CEPCT_2ds 自动调度名：S810@D_1-31_2、S810@D_1-31_15抽数来源：EDW_STG--STG.S810_CEPCT</t>
  </si>
  <si>
    <t xml:space="preserve">抽数调度已配，DORIS已查询到当日数据，但mandt字段为空</t>
  </si>
  <si>
    <t xml:space="preserve">odss900_cepct</t>
  </si>
  <si>
    <t xml:space="preserve">ods_slt_s600_faglflext</t>
  </si>
  <si>
    <t xml:space="preserve">科目余额表</t>
  </si>
  <si>
    <t xml:space="preserve">ods_slt_s700_faglflext</t>
  </si>
  <si>
    <t xml:space="preserve">ods_slt_s800_glfunct</t>
  </si>
  <si>
    <t xml:space="preserve">ods_slt_s810_faglflext</t>
  </si>
  <si>
    <t xml:space="preserve">最新load_dt为20260413</t>
  </si>
  <si>
    <t xml:space="preserve">ods_slt_s900_glfunct</t>
  </si>
  <si>
    <t xml:space="preserve">dw</t>
  </si>
  <si>
    <t xml:space="preserve">dim_customer_base_info_dd</t>
  </si>
  <si>
    <t xml:space="preserve">MDG客户主数据</t>
  </si>
  <si>
    <t xml:space="preserve">MDG</t>
  </si>
  <si>
    <t xml:space="preserve">dim</t>
  </si>
  <si>
    <t xml:space="preserve">dim_rule_fi_mr_acct_mapping</t>
  </si>
  <si>
    <t xml:space="preserve">科目映射表</t>
  </si>
  <si>
    <t xml:space="preserve">规则库</t>
  </si>
  <si>
    <t xml:space="preserve">规则库只要发布实时更新数据</t>
  </si>
  <si>
    <t xml:space="preserve">dim_rule_fi_mr_cust2ctp_mapping</t>
  </si>
  <si>
    <t xml:space="preserve">对方公司映射</t>
  </si>
  <si>
    <t xml:space="preserve">dim_rule_fi_mr_ar_onoffline_map</t>
  </si>
  <si>
    <t xml:space="preserve">经分项目应收模块-渠道分组映射表</t>
  </si>
  <si>
    <t xml:space="preserve">dim.dim_rule_fi_mr_nf_mapping</t>
  </si>
  <si>
    <t xml:space="preserve">经分项目收入模块规则映射表</t>
  </si>
  <si>
    <t xml:space="preserve">dim_rule_fi_mr_ar_prctr_map</t>
  </si>
  <si>
    <t xml:space="preserve">经分项目应收模块-利润中心映射表</t>
  </si>
  <si>
    <t xml:space="preserve">odsfima_azienda</t>
  </si>
  <si>
    <t xml:space="preserve">经分公司主数据</t>
  </si>
  <si>
    <t xml:space="preserve">经分1.0</t>
  </si>
  <si>
    <t xml:space="preserve">select * from </t>
  </si>
  <si>
    <t xml:space="preserve">odsmt_fin_bill_view_data</t>
  </si>
  <si>
    <t xml:space="preserve">信汇明细表</t>
  </si>
  <si>
    <t xml:space="preserve">信汇系统</t>
  </si>
  <si>
    <t xml:space="preserve">时点数，每月抽取一次</t>
  </si>
  <si>
    <t xml:space="preserve">最新load_dt为20260901</t>
  </si>
  <si>
    <t xml:space="preserve">月末时点？</t>
  </si>
  <si>
    <t xml:space="preserve">odsmr_ztab_9000_acct_maping</t>
  </si>
  <si>
    <t xml:space="preserve">内部公司账号</t>
  </si>
  <si>
    <t xml:space="preserve">管报</t>
  </si>
  <si>
    <t xml:space="preserve">oracle跨用户访问实时数据</t>
  </si>
  <si>
    <t xml:space="preserve">dws</t>
  </si>
  <si>
    <t xml:space="preserve">dws_fi_mr_ar_overdue_mi</t>
  </si>
  <si>
    <t xml:space="preserve">超期款明细表</t>
  </si>
  <si>
    <t xml:space="preserve">问题资金系统</t>
  </si>
  <si>
    <t xml:space="preserve">odsfipf_tk_hfi_jtb_bjtwtzjtz</t>
  </si>
  <si>
    <t xml:space="preserve">问题资金手工调整项</t>
  </si>
  <si>
    <t xml:space="preserve">没有load_dt字段</t>
  </si>
  <si>
    <t xml:space="preserve">问题资金已换接口表</t>
  </si>
  <si>
    <t xml:space="preserve">dwd_ltc_cem_reportpay_balance_summary_dd</t>
  </si>
  <si>
    <t xml:space="preserve">经销商返利余额汇总管理表</t>
  </si>
  <si>
    <t xml:space="preserve">计算欠付返利金额</t>
  </si>
  <si>
    <t xml:space="preserve">SMS</t>
  </si>
  <si>
    <t xml:space="preserve">1号0点抽1次，转存为上月末；上线前历史月份用户录入</t>
  </si>
  <si>
    <t xml:space="preserve">如果需要增加load_dt字段，是管报加，还是需要原系统加？</t>
  </si>
  <si>
    <t xml:space="preserve">dwd</t>
  </si>
  <si>
    <t xml:space="preserve">dwd_mrs_mc_report_reward_account_detail_new_hi</t>
  </si>
  <si>
    <t xml:space="preserve">政策系统欠付返利余额</t>
  </si>
  <si>
    <t xml:space="preserve">政策</t>
  </si>
  <si>
    <t xml:space="preserve">ads</t>
  </si>
  <si>
    <t xml:space="preserve">ads_fi_mr_accounts_rec_di</t>
  </si>
  <si>
    <t xml:space="preserve">国际营销占用明细表</t>
  </si>
  <si>
    <t xml:space="preserve">信数系统</t>
  </si>
  <si>
    <t xml:space="preserve">dwsd_im_td_bdr_area_group</t>
  </si>
  <si>
    <t xml:space="preserve">区组主数据</t>
  </si>
  <si>
    <t xml:space="preserve">dwfi_im_td_product_category</t>
  </si>
  <si>
    <t xml:space="preserve">产品线主数据</t>
  </si>
  <si>
    <t xml:space="preserve">odsmf_cm_tab1065</t>
  </si>
  <si>
    <t xml:space="preserve">客户账期主数据</t>
  </si>
  <si>
    <t xml:space="preserve">数据更新的起始时间问题</t>
  </si>
  <si>
    <t xml:space="preserve">odsfmfi_t_bd_period</t>
  </si>
  <si>
    <t xml:space="preserve">期间主数据</t>
  </si>
  <si>
    <t xml:space="preserve">财务中台</t>
  </si>
  <si>
    <t xml:space="preserve">odsfmtss_t_org_org</t>
  </si>
  <si>
    <t xml:space="preserve">公司主数据</t>
  </si>
  <si>
    <t xml:space="preserve">odsfmfi_t_bd_account</t>
  </si>
  <si>
    <t xml:space="preserve">科目主数据</t>
  </si>
  <si>
    <t xml:space="preserve">odsfmtss_t_bd_customer</t>
  </si>
  <si>
    <t xml:space="preserve">odsfmfi_tk_hifi_cas_profitcenter</t>
  </si>
  <si>
    <t xml:space="preserve">利润中心主数据</t>
  </si>
  <si>
    <t xml:space="preserve">odsfmfi_tk_hifi_cas_profitcenter_l</t>
  </si>
  <si>
    <t xml:space="preserve">odsfmfi_tk_hifi_cas_bizrange</t>
  </si>
  <si>
    <t xml:space="preserve">业务范围主数据</t>
  </si>
  <si>
    <t xml:space="preserve">odsfmfi_tk_hifi_cas_bizrange_l</t>
  </si>
  <si>
    <t xml:space="preserve">业务范围主数据文本</t>
  </si>
  <si>
    <t xml:space="preserve">odsfmfi_tk_hifi_baddebtverify</t>
  </si>
  <si>
    <t xml:space="preserve">财务中台坏账核销单主表</t>
  </si>
  <si>
    <t xml:space="preserve">主键更新，调度每日执行</t>
  </si>
  <si>
    <t xml:space="preserve">最新load_dt为20260720</t>
  </si>
  <si>
    <t xml:space="preserve">主键更新DORIS_CWZT-FI-INC-2@D_1-31-4:15</t>
  </si>
  <si>
    <t xml:space="preserve">odsfmfi_tk_hifi_baddebtverifysub</t>
  </si>
  <si>
    <t xml:space="preserve">财务中台坏账核销单子表</t>
  </si>
  <si>
    <t xml:space="preserve">odsfmsecd_tk_hifi_orgs_ref</t>
  </si>
  <si>
    <t xml:space="preserve">SAP版本号信息</t>
  </si>
  <si>
    <t xml:space="preserve">dim_rule_fi_mr_ar_agingdate</t>
  </si>
  <si>
    <t xml:space="preserve">账龄日期计算配置</t>
  </si>
  <si>
    <t xml:space="preserve">新增</t>
  </si>
  <si>
    <t xml:space="preserve">dim_rule_fi_mr_ar_aging_seg</t>
  </si>
  <si>
    <t xml:space="preserve">账龄段配置表</t>
  </si>
  <si>
    <t xml:space="preserve">dim_rule_fi_mr_ar_nf_mapping</t>
  </si>
  <si>
    <t xml:space="preserve">渠道分组映射表</t>
  </si>
  <si>
    <t xml:space="preserve">dim_rule_fi_mr_ar_profit_mapping</t>
  </si>
  <si>
    <t xml:space="preserve">利润中心映射表</t>
  </si>
  <si>
    <t xml:space="preserve">dim_rule_fi_mr_ar_busrange_mapping</t>
  </si>
  <si>
    <t xml:space="preserve">业务范围映射表</t>
  </si>
  <si>
    <t xml:space="preserve">dim_rule_fi_mr_ar_country_busrange_mapping</t>
  </si>
  <si>
    <t xml:space="preserve">国家业务范围映射表</t>
  </si>
  <si>
    <t xml:space="preserve">dim_rule_fi_mr_ar_busdept_mapping</t>
  </si>
  <si>
    <t xml:space="preserve">业务管理单元映射表</t>
  </si>
  <si>
    <t xml:space="preserve">dim_rule_fi_mr_ar_cust_type</t>
  </si>
  <si>
    <t xml:space="preserve">欠付返利客户取值范围</t>
  </si>
  <si>
    <t xml:space="preserve">dim_rule_fi_mr_ar_ex_rate_eval_range</t>
  </si>
  <si>
    <t xml:space="preserve">不汇率评估范围维护</t>
  </si>
  <si>
    <t xml:space="preserve">dim_rule_fi_mr_ar_aging_range</t>
  </si>
  <si>
    <t xml:space="preserve">账龄表进数范围维护</t>
  </si>
  <si>
    <t xml:space="preserve">dim_rule_fi_mr_ar_reclass</t>
  </si>
  <si>
    <t xml:space="preserve">重分类规则配置</t>
  </si>
  <si>
    <t xml:space="preserve">dim_rule_fi_mr_ar_tax_rate</t>
  </si>
  <si>
    <t xml:space="preserve">税率维护表</t>
  </si>
  <si>
    <t xml:space="preserve">dim_rule_fi_mr_ar_nature</t>
  </si>
  <si>
    <t xml:space="preserve">性质维护表</t>
  </si>
  <si>
    <t xml:space="preserve">表名</t>
  </si>
  <si>
    <t xml:space="preserve">表字段名</t>
  </si>
  <si>
    <t xml:space="preserve">字段描述</t>
  </si>
  <si>
    <t xml:space="preserve">odss600_kna1</t>
  </si>
  <si>
    <t xml:space="preserve">mandt</t>
  </si>
  <si>
    <t xml:space="preserve">客户端</t>
  </si>
  <si>
    <t xml:space="preserve">kunnr</t>
  </si>
  <si>
    <t xml:space="preserve">客户编号</t>
  </si>
  <si>
    <t xml:space="preserve">land1</t>
  </si>
  <si>
    <t xml:space="preserve">国家代码</t>
  </si>
  <si>
    <t xml:space="preserve">name1</t>
  </si>
  <si>
    <t xml:space="preserve">名称11</t>
  </si>
  <si>
    <t xml:space="preserve">name2</t>
  </si>
  <si>
    <t xml:space="preserve">名称21</t>
  </si>
  <si>
    <t xml:space="preserve">ort01</t>
  </si>
  <si>
    <t xml:space="preserve">城市</t>
  </si>
  <si>
    <t xml:space="preserve">pstlz</t>
  </si>
  <si>
    <t xml:space="preserve">邮政编码</t>
  </si>
  <si>
    <t xml:space="preserve">regio</t>
  </si>
  <si>
    <t xml:space="preserve">地区（省/自治区/直辖市、市、县）</t>
  </si>
  <si>
    <t xml:space="preserve">sortl</t>
  </si>
  <si>
    <t xml:space="preserve">排序字段</t>
  </si>
  <si>
    <t xml:space="preserve">stras</t>
  </si>
  <si>
    <t xml:space="preserve">住宅号及街道</t>
  </si>
  <si>
    <t xml:space="preserve">telf1</t>
  </si>
  <si>
    <t xml:space="preserve">第一个电话号</t>
  </si>
  <si>
    <t xml:space="preserve">telfx</t>
  </si>
  <si>
    <t xml:space="preserve">传真号</t>
  </si>
  <si>
    <t xml:space="preserve">xcpdk</t>
  </si>
  <si>
    <t xml:space="preserve">指示符:科目是一次性科目吗?</t>
  </si>
  <si>
    <t xml:space="preserve">adrnr</t>
  </si>
  <si>
    <t xml:space="preserve">地址</t>
  </si>
  <si>
    <t xml:space="preserve">mcod1</t>
  </si>
  <si>
    <t xml:space="preserve">检索词对于匹配码搜索1</t>
  </si>
  <si>
    <t xml:space="preserve">mcod2</t>
  </si>
  <si>
    <t xml:space="preserve">匹配码搜索的搜索条件</t>
  </si>
  <si>
    <t xml:space="preserve">mcod3</t>
  </si>
  <si>
    <t xml:space="preserve">anred</t>
  </si>
  <si>
    <t xml:space="preserve">标题1</t>
  </si>
  <si>
    <t xml:space="preserve">aufsd</t>
  </si>
  <si>
    <t xml:space="preserve">客户主要订单块</t>
  </si>
  <si>
    <t xml:space="preserve">bahne</t>
  </si>
  <si>
    <t xml:space="preserve">高速列车站</t>
  </si>
  <si>
    <t xml:space="preserve">bahns</t>
  </si>
  <si>
    <t xml:space="preserve">列车站</t>
  </si>
  <si>
    <t xml:space="preserve">bbbnr</t>
  </si>
  <si>
    <t xml:space="preserve">标准公司号</t>
  </si>
  <si>
    <t xml:space="preserve">bbsnr</t>
  </si>
  <si>
    <t xml:space="preserve">国际区位号（部分2）</t>
  </si>
  <si>
    <t xml:space="preserve">begru</t>
  </si>
  <si>
    <t xml:space="preserve">权限组</t>
  </si>
  <si>
    <t xml:space="preserve">brsch</t>
  </si>
  <si>
    <t xml:space="preserve">行业代码</t>
  </si>
  <si>
    <t xml:space="preserve">bubkz</t>
  </si>
  <si>
    <t xml:space="preserve">国际区位码的校验位</t>
  </si>
  <si>
    <t xml:space="preserve">datlt</t>
  </si>
  <si>
    <t xml:space="preserve">数据通讯线路号码</t>
  </si>
  <si>
    <t xml:space="preserve">erdat</t>
  </si>
  <si>
    <t xml:space="preserve">记录创建日期</t>
  </si>
  <si>
    <t xml:space="preserve">ernam</t>
  </si>
  <si>
    <t xml:space="preserve">创建对象的人员名称</t>
  </si>
  <si>
    <t xml:space="preserve">exabl</t>
  </si>
  <si>
    <t xml:space="preserve">指示符：卸货点存在</t>
  </si>
  <si>
    <t xml:space="preserve">faksd</t>
  </si>
  <si>
    <t xml:space="preserve">客户集中出具发票块</t>
  </si>
  <si>
    <t xml:space="preserve">fiskn</t>
  </si>
  <si>
    <t xml:space="preserve">带有财务地址的主记录帐号</t>
  </si>
  <si>
    <t xml:space="preserve">knazk</t>
  </si>
  <si>
    <t xml:space="preserve">工作时间日历</t>
  </si>
  <si>
    <t xml:space="preserve">knrza</t>
  </si>
  <si>
    <t xml:space="preserve">一个备选付款人的帐号</t>
  </si>
  <si>
    <t xml:space="preserve">konzs</t>
  </si>
  <si>
    <t xml:space="preserve">组代码</t>
  </si>
  <si>
    <t xml:space="preserve">ktokd</t>
  </si>
  <si>
    <t xml:space="preserve">客户帐户组</t>
  </si>
  <si>
    <t xml:space="preserve">kukla</t>
  </si>
  <si>
    <t xml:space="preserve">客户分类</t>
  </si>
  <si>
    <t xml:space="preserve">lifnr</t>
  </si>
  <si>
    <t xml:space="preserve">供应商或债权人的帐号</t>
  </si>
  <si>
    <t xml:space="preserve">lifsd</t>
  </si>
  <si>
    <t xml:space="preserve">客户主要交货块</t>
  </si>
  <si>
    <t xml:space="preserve">locco</t>
  </si>
  <si>
    <t xml:space="preserve">城市协调</t>
  </si>
  <si>
    <t xml:space="preserve">loevm</t>
  </si>
  <si>
    <t xml:space="preserve">主记录的集中删除标志</t>
  </si>
  <si>
    <t xml:space="preserve">name3</t>
  </si>
  <si>
    <t xml:space="preserve">名称31</t>
  </si>
  <si>
    <t xml:space="preserve">name4</t>
  </si>
  <si>
    <t xml:space="preserve">名称4</t>
  </si>
  <si>
    <t xml:space="preserve">niels</t>
  </si>
  <si>
    <t xml:space="preserve">Nielsen标识</t>
  </si>
  <si>
    <t xml:space="preserve">ort02</t>
  </si>
  <si>
    <t xml:space="preserve">地区</t>
  </si>
  <si>
    <t xml:space="preserve">pfach</t>
  </si>
  <si>
    <t xml:space="preserve">邮政信箱</t>
  </si>
  <si>
    <t xml:space="preserve">pstl2</t>
  </si>
  <si>
    <t xml:space="preserve">邮政信箱邮政编码</t>
  </si>
  <si>
    <t xml:space="preserve">counc</t>
  </si>
  <si>
    <t xml:space="preserve">县代码</t>
  </si>
  <si>
    <t xml:space="preserve">cityc</t>
  </si>
  <si>
    <t xml:space="preserve">城市代码</t>
  </si>
  <si>
    <t xml:space="preserve">rpmkr</t>
  </si>
  <si>
    <t xml:space="preserve">地区市场</t>
  </si>
  <si>
    <t xml:space="preserve">sperr</t>
  </si>
  <si>
    <t xml:space="preserve">中心记帐冻结</t>
  </si>
  <si>
    <t xml:space="preserve">spras</t>
  </si>
  <si>
    <t xml:space="preserve">语言代码</t>
  </si>
  <si>
    <t xml:space="preserve">stcd1</t>
  </si>
  <si>
    <t xml:space="preserve">税号1</t>
  </si>
  <si>
    <t xml:space="preserve">stcd2</t>
  </si>
  <si>
    <t xml:space="preserve">税号2</t>
  </si>
  <si>
    <t xml:space="preserve">stkza</t>
  </si>
  <si>
    <t xml:space="preserve">标识:业务合作伙伴属于平衡税?</t>
  </si>
  <si>
    <t xml:space="preserve">stkzu</t>
  </si>
  <si>
    <t xml:space="preserve">增值税义务</t>
  </si>
  <si>
    <t xml:space="preserve">telbx</t>
  </si>
  <si>
    <t xml:space="preserve">电子信箱号</t>
  </si>
  <si>
    <t xml:space="preserve">telf2</t>
  </si>
  <si>
    <t xml:space="preserve">第二个电话号</t>
  </si>
  <si>
    <t xml:space="preserve">teltx</t>
  </si>
  <si>
    <t xml:space="preserve">电传号</t>
  </si>
  <si>
    <t xml:space="preserve">telx1</t>
  </si>
  <si>
    <t xml:space="preserve">电传号码</t>
  </si>
  <si>
    <t xml:space="preserve">lzone</t>
  </si>
  <si>
    <t xml:space="preserve">发送货物的目的地运输区域</t>
  </si>
  <si>
    <t xml:space="preserve">xzemp</t>
  </si>
  <si>
    <t xml:space="preserve">标识：凭证中允许可选付款人吗？</t>
  </si>
  <si>
    <t xml:space="preserve">vbund</t>
  </si>
  <si>
    <t xml:space="preserve">贸易伙伴的公司标识</t>
  </si>
  <si>
    <t xml:space="preserve">stceg</t>
  </si>
  <si>
    <t xml:space="preserve">增值税登记号</t>
  </si>
  <si>
    <t xml:space="preserve">dear1</t>
  </si>
  <si>
    <t xml:space="preserve">指示符:竞争者</t>
  </si>
  <si>
    <t xml:space="preserve">dear2</t>
  </si>
  <si>
    <t xml:space="preserve">指示符:销售伙伴</t>
  </si>
  <si>
    <t xml:space="preserve">dear3</t>
  </si>
  <si>
    <t xml:space="preserve">指示符：销售前景</t>
  </si>
  <si>
    <t xml:space="preserve">dear4</t>
  </si>
  <si>
    <t xml:space="preserve">客户类型4的标识</t>
  </si>
  <si>
    <t xml:space="preserve">dear5</t>
  </si>
  <si>
    <t xml:space="preserve">缺省售达方ID</t>
  </si>
  <si>
    <t xml:space="preserve">gform</t>
  </si>
  <si>
    <t xml:space="preserve">合法状态</t>
  </si>
  <si>
    <t xml:space="preserve">bran1</t>
  </si>
  <si>
    <t xml:space="preserve">行业代码1</t>
  </si>
  <si>
    <t xml:space="preserve">bran2</t>
  </si>
  <si>
    <t xml:space="preserve">行业代码2</t>
  </si>
  <si>
    <t xml:space="preserve">bran3</t>
  </si>
  <si>
    <t xml:space="preserve">行业代码3</t>
  </si>
  <si>
    <t xml:space="preserve">bran4</t>
  </si>
  <si>
    <t xml:space="preserve">行业代码4</t>
  </si>
  <si>
    <t xml:space="preserve">bran5</t>
  </si>
  <si>
    <t xml:space="preserve">行业代码5</t>
  </si>
  <si>
    <t xml:space="preserve">ekont</t>
  </si>
  <si>
    <t xml:space="preserve">初始联系</t>
  </si>
  <si>
    <t xml:space="preserve">umsat</t>
  </si>
  <si>
    <t xml:space="preserve">年销售额1</t>
  </si>
  <si>
    <t xml:space="preserve">umjah</t>
  </si>
  <si>
    <t xml:space="preserve">给出销售的年度</t>
  </si>
  <si>
    <t xml:space="preserve">uwaer</t>
  </si>
  <si>
    <t xml:space="preserve">销售额货币</t>
  </si>
  <si>
    <t xml:space="preserve">jmzah</t>
  </si>
  <si>
    <t xml:space="preserve">雇员的年度数量</t>
  </si>
  <si>
    <t xml:space="preserve">jmjah</t>
  </si>
  <si>
    <t xml:space="preserve">已给出的员工数已知的年度</t>
  </si>
  <si>
    <t xml:space="preserve">katr1</t>
  </si>
  <si>
    <t xml:space="preserve">属性1</t>
  </si>
  <si>
    <t xml:space="preserve">katr2</t>
  </si>
  <si>
    <t xml:space="preserve">属性2</t>
  </si>
  <si>
    <t xml:space="preserve">katr3</t>
  </si>
  <si>
    <t xml:space="preserve">属性3</t>
  </si>
  <si>
    <t xml:space="preserve">katr4</t>
  </si>
  <si>
    <t xml:space="preserve">属性4</t>
  </si>
  <si>
    <t xml:space="preserve">katr5</t>
  </si>
  <si>
    <t xml:space="preserve">属性5</t>
  </si>
  <si>
    <t xml:space="preserve">katr6</t>
  </si>
  <si>
    <t xml:space="preserve">属性6</t>
  </si>
  <si>
    <t xml:space="preserve">katr7</t>
  </si>
  <si>
    <t xml:space="preserve">属性7</t>
  </si>
  <si>
    <t xml:space="preserve">katr8</t>
  </si>
  <si>
    <t xml:space="preserve">属性8</t>
  </si>
  <si>
    <t xml:space="preserve">katr9</t>
  </si>
  <si>
    <t xml:space="preserve">属性9</t>
  </si>
  <si>
    <t xml:space="preserve">katr10</t>
  </si>
  <si>
    <t xml:space="preserve">属性10</t>
  </si>
  <si>
    <t xml:space="preserve">stkzn</t>
  </si>
  <si>
    <t xml:space="preserve">自然人</t>
  </si>
  <si>
    <t xml:space="preserve">umsa1</t>
  </si>
  <si>
    <t xml:space="preserve">txjcd</t>
  </si>
  <si>
    <t xml:space="preserve">地区税务代码</t>
  </si>
  <si>
    <t xml:space="preserve">periv</t>
  </si>
  <si>
    <t xml:space="preserve">财年变式</t>
  </si>
  <si>
    <t xml:space="preserve">abrvw</t>
  </si>
  <si>
    <t xml:space="preserve">使用标识</t>
  </si>
  <si>
    <t xml:space="preserve">inspbydebi</t>
  </si>
  <si>
    <t xml:space="preserve">由用户执行的检验(无检验批)</t>
  </si>
  <si>
    <t xml:space="preserve">inspatdebi</t>
  </si>
  <si>
    <t xml:space="preserve">外向交货后交货单的检验</t>
  </si>
  <si>
    <t xml:space="preserve">ktocd</t>
  </si>
  <si>
    <t xml:space="preserve">一次性帐户(客户)的参考科目组</t>
  </si>
  <si>
    <t xml:space="preserve">pfort</t>
  </si>
  <si>
    <t xml:space="preserve">邮政信箱城市</t>
  </si>
  <si>
    <t xml:space="preserve">werks</t>
  </si>
  <si>
    <t xml:space="preserve">工厂</t>
  </si>
  <si>
    <t xml:space="preserve">dtams</t>
  </si>
  <si>
    <t xml:space="preserve">数据媒介交换标识</t>
  </si>
  <si>
    <t xml:space="preserve">dtaws</t>
  </si>
  <si>
    <t xml:space="preserve">数据媒介交换指令码</t>
  </si>
  <si>
    <t xml:space="preserve">duefl</t>
  </si>
  <si>
    <t xml:space="preserve">数据传输到后续版本的状态</t>
  </si>
  <si>
    <t xml:space="preserve">hzuor</t>
  </si>
  <si>
    <t xml:space="preserve">分配给层次</t>
  </si>
  <si>
    <t xml:space="preserve">sperz</t>
  </si>
  <si>
    <t xml:space="preserve">付款冻结</t>
  </si>
  <si>
    <t xml:space="preserve">etikg</t>
  </si>
  <si>
    <t xml:space="preserve">IS-R标记:客户/工厂组</t>
  </si>
  <si>
    <t xml:space="preserve">civve</t>
  </si>
  <si>
    <t xml:space="preserve">主要为非军用的ID</t>
  </si>
  <si>
    <t xml:space="preserve">milve</t>
  </si>
  <si>
    <t xml:space="preserve">主要为军用的ID</t>
  </si>
  <si>
    <t xml:space="preserve">kdkg1</t>
  </si>
  <si>
    <t xml:space="preserve">客户条件组1</t>
  </si>
  <si>
    <t xml:space="preserve">kdkg2</t>
  </si>
  <si>
    <t xml:space="preserve">客户条件组2</t>
  </si>
  <si>
    <t xml:space="preserve">kdkg3</t>
  </si>
  <si>
    <t xml:space="preserve">客户条件组3</t>
  </si>
  <si>
    <t xml:space="preserve">kdkg4</t>
  </si>
  <si>
    <t xml:space="preserve">客户条件组4</t>
  </si>
  <si>
    <t xml:space="preserve">kdkg5</t>
  </si>
  <si>
    <t xml:space="preserve">客户条件组5</t>
  </si>
  <si>
    <t xml:space="preserve">xknza</t>
  </si>
  <si>
    <t xml:space="preserve">标识：替换付款人使用的科目号</t>
  </si>
  <si>
    <t xml:space="preserve">fityp</t>
  </si>
  <si>
    <t xml:space="preserve">税类型</t>
  </si>
  <si>
    <t xml:space="preserve">stcdt</t>
  </si>
  <si>
    <t xml:space="preserve">税号类型</t>
  </si>
  <si>
    <t xml:space="preserve">stcd3</t>
  </si>
  <si>
    <t xml:space="preserve">税号3</t>
  </si>
  <si>
    <t xml:space="preserve">stcd4</t>
  </si>
  <si>
    <t xml:space="preserve">税号4</t>
  </si>
  <si>
    <t xml:space="preserve">stcd5</t>
  </si>
  <si>
    <t xml:space="preserve">税号5</t>
  </si>
  <si>
    <t xml:space="preserve">xicms</t>
  </si>
  <si>
    <t xml:space="preserve">该顾客是免ICMS的</t>
  </si>
  <si>
    <t xml:space="preserve">xxipi</t>
  </si>
  <si>
    <t xml:space="preserve">该顾客是免IPI的</t>
  </si>
  <si>
    <t xml:space="preserve">xsubt</t>
  </si>
  <si>
    <t xml:space="preserve">sub.trib.税组</t>
  </si>
  <si>
    <t xml:space="preserve">cfopc</t>
  </si>
  <si>
    <t xml:space="preserve">顾客的CFOP类别</t>
  </si>
  <si>
    <t xml:space="preserve">txlw1</t>
  </si>
  <si>
    <t xml:space="preserve">税法:ICMS</t>
  </si>
  <si>
    <t xml:space="preserve">txlw2</t>
  </si>
  <si>
    <t xml:space="preserve">税法:IPI</t>
  </si>
  <si>
    <t xml:space="preserve">ccc01</t>
  </si>
  <si>
    <t xml:space="preserve">生化武器法律控制指示符</t>
  </si>
  <si>
    <t xml:space="preserve">ccc02</t>
  </si>
  <si>
    <t xml:space="preserve">核武器不扩散法律控制指示符</t>
  </si>
  <si>
    <t xml:space="preserve">ccc03</t>
  </si>
  <si>
    <t xml:space="preserve">国家安全法律控制指示符</t>
  </si>
  <si>
    <t xml:space="preserve">ccc04</t>
  </si>
  <si>
    <t xml:space="preserve">导弹技术法律控制指示符</t>
  </si>
  <si>
    <t xml:space="preserve">cassd</t>
  </si>
  <si>
    <t xml:space="preserve">客户的中央销售冻结</t>
  </si>
  <si>
    <t xml:space="preserve">knurl</t>
  </si>
  <si>
    <t xml:space="preserve">不变资源标注</t>
  </si>
  <si>
    <t xml:space="preserve">j_1kfrepre</t>
  </si>
  <si>
    <t xml:space="preserve">代表名称</t>
  </si>
  <si>
    <t xml:space="preserve">j_1kftbus</t>
  </si>
  <si>
    <t xml:space="preserve">业务类型</t>
  </si>
  <si>
    <t xml:space="preserve">j_1kftind</t>
  </si>
  <si>
    <t xml:space="preserve">工业类型</t>
  </si>
  <si>
    <t xml:space="preserve">confs</t>
  </si>
  <si>
    <t xml:space="preserve">更改权限的状态(中央)</t>
  </si>
  <si>
    <t xml:space="preserve">updat</t>
  </si>
  <si>
    <t xml:space="preserve">更改被确认的日期</t>
  </si>
  <si>
    <t xml:space="preserve">uptim</t>
  </si>
  <si>
    <t xml:space="preserve">最后更改确认的时间</t>
  </si>
  <si>
    <t xml:space="preserve">nodel</t>
  </si>
  <si>
    <t xml:space="preserve">主记录的中心删除冻结</t>
  </si>
  <si>
    <t xml:space="preserve">dear6</t>
  </si>
  <si>
    <t xml:space="preserve">标识：消费者</t>
  </si>
  <si>
    <t xml:space="preserve">/vso/r_palhgt</t>
  </si>
  <si>
    <t xml:space="preserve">包装物料的最大叠放高度(VSO)</t>
  </si>
  <si>
    <t xml:space="preserve">/vso/r_pal_ul</t>
  </si>
  <si>
    <t xml:space="preserve">包装物料的长度单位(VSO)</t>
  </si>
  <si>
    <t xml:space="preserve">/vso/r_pk_mat</t>
  </si>
  <si>
    <t xml:space="preserve">每种包装物料的客户相关的挑选(VSO)</t>
  </si>
  <si>
    <t xml:space="preserve">/vso/r_matpal</t>
  </si>
  <si>
    <t xml:space="preserve">VSO中客户的包装物料</t>
  </si>
  <si>
    <t xml:space="preserve">/vso/r_i_no_lyr</t>
  </si>
  <si>
    <t xml:space="preserve">内部货盘下的编号层(VSO)</t>
  </si>
  <si>
    <t xml:space="preserve">/vso/r_one_mat</t>
  </si>
  <si>
    <t xml:space="preserve">每种包装物料的特定包装物料</t>
  </si>
  <si>
    <t xml:space="preserve">/vso/r_one_sort</t>
  </si>
  <si>
    <t xml:space="preserve">对每种PKM仅挑选一个包装类型(VSO)</t>
  </si>
  <si>
    <t xml:space="preserve">/vso/r_uld_side</t>
  </si>
  <si>
    <t xml:space="preserve">装载/未装载的副首选项(VSO)</t>
  </si>
  <si>
    <t xml:space="preserve">/vso/r_load_pref</t>
  </si>
  <si>
    <t xml:space="preserve">装载/未装载的前/后首选项(VSO)</t>
  </si>
  <si>
    <t xml:space="preserve">/vso/r_dpoint</t>
  </si>
  <si>
    <t xml:space="preserve">VSO的集合未装载点</t>
  </si>
  <si>
    <t xml:space="preserve">alc</t>
  </si>
  <si>
    <t xml:space="preserve">AgencyLocationCode</t>
  </si>
  <si>
    <t xml:space="preserve">pmt_office</t>
  </si>
  <si>
    <t xml:space="preserve">PaymentOffice</t>
  </si>
  <si>
    <t xml:space="preserve">fee_schedule</t>
  </si>
  <si>
    <t xml:space="preserve">Feeschedule</t>
  </si>
  <si>
    <t xml:space="preserve">duns</t>
  </si>
  <si>
    <t xml:space="preserve">DUNSNumber</t>
  </si>
  <si>
    <t xml:space="preserve">duns4</t>
  </si>
  <si>
    <t xml:space="preserve">DUNS+4</t>
  </si>
  <si>
    <t xml:space="preserve">psofg</t>
  </si>
  <si>
    <t xml:space="preserve">处理器组</t>
  </si>
  <si>
    <t xml:space="preserve">psois</t>
  </si>
  <si>
    <t xml:space="preserve">子分类帐预处理程序</t>
  </si>
  <si>
    <t xml:space="preserve">pson1</t>
  </si>
  <si>
    <t xml:space="preserve">pson2</t>
  </si>
  <si>
    <t xml:space="preserve">pson3</t>
  </si>
  <si>
    <t xml:space="preserve">psovn</t>
  </si>
  <si>
    <t xml:space="preserve">名</t>
  </si>
  <si>
    <t xml:space="preserve">psotl</t>
  </si>
  <si>
    <t xml:space="preserve">psohs</t>
  </si>
  <si>
    <t xml:space="preserve">住房编号:不再用于版本4.6B</t>
  </si>
  <si>
    <t xml:space="preserve">psost</t>
  </si>
  <si>
    <t xml:space="preserve">街道:不再用于版本4.6B</t>
  </si>
  <si>
    <t xml:space="preserve">psoo1</t>
  </si>
  <si>
    <t xml:space="preserve">描述1</t>
  </si>
  <si>
    <t xml:space="preserve">psoo2</t>
  </si>
  <si>
    <t xml:space="preserve">psoo3</t>
  </si>
  <si>
    <t xml:space="preserve">psoo4</t>
  </si>
  <si>
    <t xml:space="preserve">psoo5</t>
  </si>
  <si>
    <t xml:space="preserve">load_dt</t>
  </si>
  <si>
    <t xml:space="preserve">zkunnr_mdg</t>
  </si>
  <si>
    <t xml:space="preserve">MDG客户编码</t>
  </si>
  <si>
    <t xml:space="preserve">zname1_mdg</t>
  </si>
  <si>
    <t xml:space="preserve">MDG客户名称</t>
  </si>
  <si>
    <t xml:space="preserve">zname3_mdg</t>
  </si>
  <si>
    <t xml:space="preserve">MDG英文名称</t>
  </si>
  <si>
    <t xml:space="preserve">zzcvco</t>
  </si>
  <si>
    <t xml:space="preserve">odss600_knb1</t>
  </si>
  <si>
    <t xml:space="preserve">bukrs</t>
  </si>
  <si>
    <t xml:space="preserve">公司代码</t>
  </si>
  <si>
    <t xml:space="preserve">pernr</t>
  </si>
  <si>
    <t xml:space="preserve">人员编号</t>
  </si>
  <si>
    <t xml:space="preserve">对公司代码过帐冻结</t>
  </si>
  <si>
    <t xml:space="preserve">主记录删除标记(公司代码级)</t>
  </si>
  <si>
    <t xml:space="preserve">zuawa</t>
  </si>
  <si>
    <t xml:space="preserve">根据分配号排序代码</t>
  </si>
  <si>
    <t xml:space="preserve">busab</t>
  </si>
  <si>
    <t xml:space="preserve">会计职员</t>
  </si>
  <si>
    <t xml:space="preserve">akont</t>
  </si>
  <si>
    <t xml:space="preserve">总帐中的统驭科目</t>
  </si>
  <si>
    <t xml:space="preserve">knrze</t>
  </si>
  <si>
    <t xml:space="preserve">总部科目(在分支机构的科目中)</t>
  </si>
  <si>
    <t xml:space="preserve">knrzb</t>
  </si>
  <si>
    <t xml:space="preserve">zamim</t>
  </si>
  <si>
    <t xml:space="preserve">标志:发往客户的支付通知(带有已清项目)?</t>
  </si>
  <si>
    <t xml:space="preserve">zamiv</t>
  </si>
  <si>
    <t xml:space="preserve">指示符:付款通知是下达给销售部门的吗?</t>
  </si>
  <si>
    <t xml:space="preserve">zamir</t>
  </si>
  <si>
    <t xml:space="preserve">指示符:付款通知是下达给法律事务部门的吗?</t>
  </si>
  <si>
    <t xml:space="preserve">zamib</t>
  </si>
  <si>
    <t xml:space="preserve">标志:发往会计部门的支付通知?</t>
  </si>
  <si>
    <t xml:space="preserve">zamio</t>
  </si>
  <si>
    <t xml:space="preserve">指示符:客户的付款通知(不含已清项目)?</t>
  </si>
  <si>
    <t xml:space="preserve">zwels</t>
  </si>
  <si>
    <t xml:space="preserve">将要考虑的支付方法的清单</t>
  </si>
  <si>
    <t xml:space="preserve">xverr</t>
  </si>
  <si>
    <t xml:space="preserve">标志:在客户和供应商之间清算?</t>
  </si>
  <si>
    <t xml:space="preserve">zahls</t>
  </si>
  <si>
    <t xml:space="preserve">付款冻结代码</t>
  </si>
  <si>
    <t xml:space="preserve">zterm</t>
  </si>
  <si>
    <t xml:space="preserve">付款条件代码</t>
  </si>
  <si>
    <t xml:space="preserve">wakon</t>
  </si>
  <si>
    <t xml:space="preserve">用于汇票费用的收付代码的条件</t>
  </si>
  <si>
    <t xml:space="preserve">vzskz</t>
  </si>
  <si>
    <t xml:space="preserve">利息计算标志</t>
  </si>
  <si>
    <t xml:space="preserve">zindt</t>
  </si>
  <si>
    <t xml:space="preserve">上次利息计算日期</t>
  </si>
  <si>
    <t xml:space="preserve">zinrt</t>
  </si>
  <si>
    <t xml:space="preserve">月度利息计算频率</t>
  </si>
  <si>
    <t xml:space="preserve">eikto</t>
  </si>
  <si>
    <t xml:space="preserve">客户处我方帐户</t>
  </si>
  <si>
    <t xml:space="preserve">zsabe</t>
  </si>
  <si>
    <t xml:space="preserve">对方联系人</t>
  </si>
  <si>
    <t xml:space="preserve">kverm</t>
  </si>
  <si>
    <t xml:space="preserve">备注</t>
  </si>
  <si>
    <t xml:space="preserve">fdgrv</t>
  </si>
  <si>
    <t xml:space="preserve">计划组</t>
  </si>
  <si>
    <t xml:space="preserve">vrbkz</t>
  </si>
  <si>
    <t xml:space="preserve">出口信贷保险制度号</t>
  </si>
  <si>
    <t xml:space="preserve">vlibb</t>
  </si>
  <si>
    <t xml:space="preserve">保险金额</t>
  </si>
  <si>
    <t xml:space="preserve">vrszl</t>
  </si>
  <si>
    <t xml:space="preserve">保险期限</t>
  </si>
  <si>
    <t xml:space="preserve">vrspr</t>
  </si>
  <si>
    <t xml:space="preserve">可减免的百分比</t>
  </si>
  <si>
    <t xml:space="preserve">vrsnr</t>
  </si>
  <si>
    <t xml:space="preserve">保险单编号</t>
  </si>
  <si>
    <t xml:space="preserve">verdt</t>
  </si>
  <si>
    <t xml:space="preserve">保险有效日期</t>
  </si>
  <si>
    <t xml:space="preserve">perkz</t>
  </si>
  <si>
    <t xml:space="preserve">集中发票的变式</t>
  </si>
  <si>
    <t xml:space="preserve">xdezv</t>
  </si>
  <si>
    <t xml:space="preserve">标识:是否本地处理?</t>
  </si>
  <si>
    <t xml:space="preserve">xausz</t>
  </si>
  <si>
    <t xml:space="preserve">定期帐面清单的标志</t>
  </si>
  <si>
    <t xml:space="preserve">webtr</t>
  </si>
  <si>
    <t xml:space="preserve">汇票限额(用本币计算)</t>
  </si>
  <si>
    <t xml:space="preserve">remit</t>
  </si>
  <si>
    <t xml:space="preserve">下个受款人</t>
  </si>
  <si>
    <t xml:space="preserve">datlz</t>
  </si>
  <si>
    <t xml:space="preserve">上次利息计算的运行日期</t>
  </si>
  <si>
    <t xml:space="preserve">xzver</t>
  </si>
  <si>
    <t xml:space="preserve">标识:记录收付行为?</t>
  </si>
  <si>
    <t xml:space="preserve">togru</t>
  </si>
  <si>
    <t xml:space="preserve">业务合作伙伴/总帐科目的容差组</t>
  </si>
  <si>
    <t xml:space="preserve">kultg</t>
  </si>
  <si>
    <t xml:space="preserve">支票兑现可能需要的时间</t>
  </si>
  <si>
    <t xml:space="preserve">hbkid</t>
  </si>
  <si>
    <t xml:space="preserve">开户银行的简要键</t>
  </si>
  <si>
    <t xml:space="preserve">xpore</t>
  </si>
  <si>
    <t xml:space="preserve">指示符:分开收付所有项目?</t>
  </si>
  <si>
    <t xml:space="preserve">blnkz</t>
  </si>
  <si>
    <t xml:space="preserve">关于决定裁减比率的补贴指标</t>
  </si>
  <si>
    <t xml:space="preserve">altkn</t>
  </si>
  <si>
    <t xml:space="preserve">先前主记录号码</t>
  </si>
  <si>
    <t xml:space="preserve">zgrup</t>
  </si>
  <si>
    <t xml:space="preserve">收付分组的代码</t>
  </si>
  <si>
    <t xml:space="preserve">urlid</t>
  </si>
  <si>
    <t xml:space="preserve">已知/协商委托的短关键字</t>
  </si>
  <si>
    <t xml:space="preserve">mgrup</t>
  </si>
  <si>
    <t xml:space="preserve">催款通知分组代码</t>
  </si>
  <si>
    <t xml:space="preserve">lockb</t>
  </si>
  <si>
    <t xml:space="preserve">付款客户的锁箱码</t>
  </si>
  <si>
    <t xml:space="preserve">uzawe</t>
  </si>
  <si>
    <t xml:space="preserve">付款方式补充</t>
  </si>
  <si>
    <t xml:space="preserve">ekvbd</t>
  </si>
  <si>
    <t xml:space="preserve">购买组的帐户号码</t>
  </si>
  <si>
    <t xml:space="preserve">sregl</t>
  </si>
  <si>
    <t xml:space="preserve">付款通知的选择规则</t>
  </si>
  <si>
    <t xml:space="preserve">xedip</t>
  </si>
  <si>
    <t xml:space="preserve">标识:通过EDI发送付款通知</t>
  </si>
  <si>
    <t xml:space="preserve">frgrp</t>
  </si>
  <si>
    <t xml:space="preserve">下达批准组</t>
  </si>
  <si>
    <t xml:space="preserve">vrsdg</t>
  </si>
  <si>
    <t xml:space="preserve">原因代码转换版本</t>
  </si>
  <si>
    <t xml:space="preserve">tlfxs</t>
  </si>
  <si>
    <t xml:space="preserve">客户/供应商处的会计员传真号</t>
  </si>
  <si>
    <t xml:space="preserve">intad</t>
  </si>
  <si>
    <t xml:space="preserve">交易伙伴公司员工的互联网地址</t>
  </si>
  <si>
    <t xml:space="preserve">xknzb</t>
  </si>
  <si>
    <t xml:space="preserve">guzte</t>
  </si>
  <si>
    <t xml:space="preserve">信用记录的付款条件码</t>
  </si>
  <si>
    <t xml:space="preserve">gricd</t>
  </si>
  <si>
    <t xml:space="preserve">总进项税的作业代码</t>
  </si>
  <si>
    <t xml:space="preserve">gridt</t>
  </si>
  <si>
    <t xml:space="preserve">雇佣税的分配类型</t>
  </si>
  <si>
    <t xml:space="preserve">wbrsl</t>
  </si>
  <si>
    <t xml:space="preserve">值调整代码</t>
  </si>
  <si>
    <t xml:space="preserve">更改权限的状态(公司代码级别)</t>
  </si>
  <si>
    <t xml:space="preserve">主记录的删除冻结（公司代码级）</t>
  </si>
  <si>
    <t xml:space="preserve">tlfns</t>
  </si>
  <si>
    <t xml:space="preserve">业务伙伴会记人员的电话号码</t>
  </si>
  <si>
    <t xml:space="preserve">cession_kz</t>
  </si>
  <si>
    <t xml:space="preserve">科目应收抵押标识符</t>
  </si>
  <si>
    <t xml:space="preserve">avsnd</t>
  </si>
  <si>
    <t xml:space="preserve">标识：XML发送付款通知</t>
  </si>
  <si>
    <t xml:space="preserve">ad_hash</t>
  </si>
  <si>
    <t xml:space="preserve">Avis的电子邮件地址：混合值</t>
  </si>
  <si>
    <t xml:space="preserve">qland</t>
  </si>
  <si>
    <t xml:space="preserve">预扣税国家代码</t>
  </si>
  <si>
    <t xml:space="preserve">gmvkzd</t>
  </si>
  <si>
    <t xml:space="preserve">正在执行客户</t>
  </si>
  <si>
    <t xml:space="preserve">odss600_t052u</t>
  </si>
  <si>
    <t xml:space="preserve">ztagg</t>
  </si>
  <si>
    <t xml:space="preserve">天数限制</t>
  </si>
  <si>
    <t xml:space="preserve">text1</t>
  </si>
  <si>
    <t xml:space="preserve">收付条款的自解释</t>
  </si>
  <si>
    <t xml:space="preserve">odss600_bsid</t>
  </si>
  <si>
    <t xml:space="preserve">umsks</t>
  </si>
  <si>
    <t xml:space="preserve">特殊总分类帐事务类型</t>
  </si>
  <si>
    <t xml:space="preserve">umskz</t>
  </si>
  <si>
    <t xml:space="preserve">特殊总帐标识</t>
  </si>
  <si>
    <t xml:space="preserve">augdt</t>
  </si>
  <si>
    <t xml:space="preserve">清帐日期</t>
  </si>
  <si>
    <t xml:space="preserve">augbl</t>
  </si>
  <si>
    <t xml:space="preserve">清算单据的单据号码</t>
  </si>
  <si>
    <t xml:space="preserve">zuonr</t>
  </si>
  <si>
    <t xml:space="preserve">分配编号</t>
  </si>
  <si>
    <t xml:space="preserve">gjahr</t>
  </si>
  <si>
    <t xml:space="preserve">财年</t>
  </si>
  <si>
    <t xml:space="preserve">belnr</t>
  </si>
  <si>
    <t xml:space="preserve">会计凭证编号</t>
  </si>
  <si>
    <t xml:space="preserve">buzei</t>
  </si>
  <si>
    <t xml:space="preserve">会计凭证中的行项目数</t>
  </si>
  <si>
    <t xml:space="preserve">budat</t>
  </si>
  <si>
    <t xml:space="preserve">凭证中的过账日期</t>
  </si>
  <si>
    <t xml:space="preserve">bldat</t>
  </si>
  <si>
    <t xml:space="preserve">凭证中的凭证日期</t>
  </si>
  <si>
    <t xml:space="preserve">cpudt</t>
  </si>
  <si>
    <t xml:space="preserve">会计凭证输入日期</t>
  </si>
  <si>
    <t xml:space="preserve">waers</t>
  </si>
  <si>
    <t xml:space="preserve">货币码</t>
  </si>
  <si>
    <t xml:space="preserve">xblnr</t>
  </si>
  <si>
    <t xml:space="preserve">参考凭证号</t>
  </si>
  <si>
    <t xml:space="preserve">blart</t>
  </si>
  <si>
    <t xml:space="preserve">凭证类型</t>
  </si>
  <si>
    <t xml:space="preserve">monat</t>
  </si>
  <si>
    <t xml:space="preserve">会计期间</t>
  </si>
  <si>
    <t xml:space="preserve">bschl</t>
  </si>
  <si>
    <t xml:space="preserve">记帐代码</t>
  </si>
  <si>
    <t xml:space="preserve">zumsk</t>
  </si>
  <si>
    <t xml:space="preserve">目标特别总帐标志</t>
  </si>
  <si>
    <t xml:space="preserve">shkzg</t>
  </si>
  <si>
    <t xml:space="preserve">借方/贷方标识</t>
  </si>
  <si>
    <t xml:space="preserve">gsber</t>
  </si>
  <si>
    <t xml:space="preserve">业务范围</t>
  </si>
  <si>
    <t xml:space="preserve">mwskz</t>
  </si>
  <si>
    <t xml:space="preserve">销售/购买税代码</t>
  </si>
  <si>
    <t xml:space="preserve">dmbtr</t>
  </si>
  <si>
    <t xml:space="preserve">按本位币计的金额</t>
  </si>
  <si>
    <t xml:space="preserve">wrbtr</t>
  </si>
  <si>
    <t xml:space="preserve">凭证货币金额</t>
  </si>
  <si>
    <t xml:space="preserve">mwsts</t>
  </si>
  <si>
    <t xml:space="preserve">用本币表示的税收金额</t>
  </si>
  <si>
    <t xml:space="preserve">wmwst</t>
  </si>
  <si>
    <t xml:space="preserve">用凭证货币表示的税收金额</t>
  </si>
  <si>
    <t xml:space="preserve">bdiff</t>
  </si>
  <si>
    <t xml:space="preserve">估价差额</t>
  </si>
  <si>
    <t xml:space="preserve">bdif2</t>
  </si>
  <si>
    <t xml:space="preserve">第二本币的评估差额</t>
  </si>
  <si>
    <t xml:space="preserve">sgtxt</t>
  </si>
  <si>
    <t xml:space="preserve">项目文本</t>
  </si>
  <si>
    <t xml:space="preserve">projn</t>
  </si>
  <si>
    <t xml:space="preserve">原有:项目编号:不在使用--&gt;PS_POSNR</t>
  </si>
  <si>
    <t xml:space="preserve">aufnr</t>
  </si>
  <si>
    <t xml:space="preserve">订单号</t>
  </si>
  <si>
    <t xml:space="preserve">anln1</t>
  </si>
  <si>
    <t xml:space="preserve">主资产号</t>
  </si>
  <si>
    <t xml:space="preserve">anln2</t>
  </si>
  <si>
    <t xml:space="preserve">资产次级编号</t>
  </si>
  <si>
    <t xml:space="preserve">saknr</t>
  </si>
  <si>
    <t xml:space="preserve">总账科目编号</t>
  </si>
  <si>
    <t xml:space="preserve">hkont</t>
  </si>
  <si>
    <t xml:space="preserve">总账科目</t>
  </si>
  <si>
    <t xml:space="preserve">fkont</t>
  </si>
  <si>
    <t xml:space="preserve">财务预算项目</t>
  </si>
  <si>
    <t xml:space="preserve">filkd</t>
  </si>
  <si>
    <t xml:space="preserve">分支帐号</t>
  </si>
  <si>
    <t xml:space="preserve">zfbdt</t>
  </si>
  <si>
    <t xml:space="preserve">用于到期日计算的基准日期</t>
  </si>
  <si>
    <t xml:space="preserve">zbd1t</t>
  </si>
  <si>
    <t xml:space="preserve">现金折扣天数1</t>
  </si>
  <si>
    <t xml:space="preserve">zbd2t</t>
  </si>
  <si>
    <t xml:space="preserve">现金折扣天数2</t>
  </si>
  <si>
    <t xml:space="preserve">zbd3t</t>
  </si>
  <si>
    <t xml:space="preserve">净支付条件期段</t>
  </si>
  <si>
    <t xml:space="preserve">zbd1p</t>
  </si>
  <si>
    <t xml:space="preserve">现金折扣百分率1</t>
  </si>
  <si>
    <t xml:space="preserve">zbd2p</t>
  </si>
  <si>
    <t xml:space="preserve">现金折扣百分比2</t>
  </si>
  <si>
    <t xml:space="preserve">skfbt</t>
  </si>
  <si>
    <t xml:space="preserve">可使用的凭证货币的现金折扣金额</t>
  </si>
  <si>
    <t xml:space="preserve">sknto</t>
  </si>
  <si>
    <t xml:space="preserve">本币的现金折扣金额</t>
  </si>
  <si>
    <t xml:space="preserve">wskto</t>
  </si>
  <si>
    <t xml:space="preserve">以凭证货币表示的现金折扣金额</t>
  </si>
  <si>
    <t xml:space="preserve">zlsch</t>
  </si>
  <si>
    <t xml:space="preserve">付款方式</t>
  </si>
  <si>
    <t xml:space="preserve">zlspr</t>
  </si>
  <si>
    <t xml:space="preserve">收付冻结码</t>
  </si>
  <si>
    <t xml:space="preserve">zbfix</t>
  </si>
  <si>
    <t xml:space="preserve">固定付款条件</t>
  </si>
  <si>
    <t xml:space="preserve">bvtyp</t>
  </si>
  <si>
    <t xml:space="preserve">合作银行类型</t>
  </si>
  <si>
    <t xml:space="preserve">rebzg</t>
  </si>
  <si>
    <t xml:space="preserve">业务所属的发票号码</t>
  </si>
  <si>
    <t xml:space="preserve">rebzj</t>
  </si>
  <si>
    <t xml:space="preserve">有关发票的财政年度(贷项凭单)</t>
  </si>
  <si>
    <t xml:space="preserve">rebzz</t>
  </si>
  <si>
    <t xml:space="preserve">相关发票中的行项目</t>
  </si>
  <si>
    <t xml:space="preserve">samnr</t>
  </si>
  <si>
    <t xml:space="preserve">发票清单号</t>
  </si>
  <si>
    <t xml:space="preserve">anfbn</t>
  </si>
  <si>
    <t xml:space="preserve">汇票收付请求的凭证号码</t>
  </si>
  <si>
    <t xml:space="preserve">anfbj</t>
  </si>
  <si>
    <t xml:space="preserve">汇票收付请求凭证的会计年度</t>
  </si>
  <si>
    <t xml:space="preserve">anfbu</t>
  </si>
  <si>
    <t xml:space="preserve">记帐的汇票收付请求的公司代码</t>
  </si>
  <si>
    <t xml:space="preserve">anfae</t>
  </si>
  <si>
    <t xml:space="preserve">汇票支付请求到期日</t>
  </si>
  <si>
    <t xml:space="preserve">mansp</t>
  </si>
  <si>
    <t xml:space="preserve">催款冻结</t>
  </si>
  <si>
    <t xml:space="preserve">mschl</t>
  </si>
  <si>
    <t xml:space="preserve">催款代码</t>
  </si>
  <si>
    <t xml:space="preserve">madat</t>
  </si>
  <si>
    <t xml:space="preserve">上次催款通知日期</t>
  </si>
  <si>
    <t xml:space="preserve">manst</t>
  </si>
  <si>
    <t xml:space="preserve">催款层次</t>
  </si>
  <si>
    <t xml:space="preserve">maber</t>
  </si>
  <si>
    <t xml:space="preserve">催款范围</t>
  </si>
  <si>
    <t xml:space="preserve">xnetb</t>
  </si>
  <si>
    <t xml:space="preserve">标志:凭证记净值?</t>
  </si>
  <si>
    <t xml:space="preserve">xanet</t>
  </si>
  <si>
    <t xml:space="preserve">指示符:净值程序中的定金?</t>
  </si>
  <si>
    <t xml:space="preserve">xcpdd</t>
  </si>
  <si>
    <t xml:space="preserve">标识:分别设置地址和银行数据</t>
  </si>
  <si>
    <t xml:space="preserve">xinve</t>
  </si>
  <si>
    <t xml:space="preserve">标识:资产货物影响?</t>
  </si>
  <si>
    <t xml:space="preserve">xzahl</t>
  </si>
  <si>
    <t xml:space="preserve">标识符:在支付交易中是否使用过帐码?</t>
  </si>
  <si>
    <t xml:space="preserve">mwsk1</t>
  </si>
  <si>
    <t xml:space="preserve">分配的税码</t>
  </si>
  <si>
    <t xml:space="preserve">dmbt1</t>
  </si>
  <si>
    <t xml:space="preserve">税款分配的本币金额</t>
  </si>
  <si>
    <t xml:space="preserve">wrbt1</t>
  </si>
  <si>
    <t xml:space="preserve">用于细分税款的外币金额</t>
  </si>
  <si>
    <t xml:space="preserve">mwsk2</t>
  </si>
  <si>
    <t xml:space="preserve">dmbt2</t>
  </si>
  <si>
    <t xml:space="preserve">wrbt2</t>
  </si>
  <si>
    <t xml:space="preserve">mwsk3</t>
  </si>
  <si>
    <t xml:space="preserve">dmbt3</t>
  </si>
  <si>
    <t xml:space="preserve">wrbt3</t>
  </si>
  <si>
    <t xml:space="preserve">bstat</t>
  </si>
  <si>
    <t xml:space="preserve">凭证状态</t>
  </si>
  <si>
    <t xml:space="preserve">vbeln</t>
  </si>
  <si>
    <t xml:space="preserve">开票凭证</t>
  </si>
  <si>
    <t xml:space="preserve">rebzt</t>
  </si>
  <si>
    <t xml:space="preserve">下列凭证类型</t>
  </si>
  <si>
    <t xml:space="preserve">infae</t>
  </si>
  <si>
    <t xml:space="preserve">确定到期日的反向日期</t>
  </si>
  <si>
    <t xml:space="preserve">egbld</t>
  </si>
  <si>
    <t xml:space="preserve">货物提交的目的地国家</t>
  </si>
  <si>
    <t xml:space="preserve">eglld</t>
  </si>
  <si>
    <t xml:space="preserve">货物运送的供货国家</t>
  </si>
  <si>
    <t xml:space="preserve">rstgr</t>
  </si>
  <si>
    <t xml:space="preserve">付款原因代码</t>
  </si>
  <si>
    <t xml:space="preserve">xnoza</t>
  </si>
  <si>
    <t xml:space="preserve">指示符:帐户未清算</t>
  </si>
  <si>
    <t xml:space="preserve">vertt</t>
  </si>
  <si>
    <t xml:space="preserve">合同类型</t>
  </si>
  <si>
    <t xml:space="preserve">vertn</t>
  </si>
  <si>
    <t xml:space="preserve">合同号</t>
  </si>
  <si>
    <t xml:space="preserve">vbewa</t>
  </si>
  <si>
    <t xml:space="preserve">流动类型</t>
  </si>
  <si>
    <t xml:space="preserve">wverw</t>
  </si>
  <si>
    <t xml:space="preserve">汇票使用类型</t>
  </si>
  <si>
    <t xml:space="preserve">projk</t>
  </si>
  <si>
    <t xml:space="preserve">工作分解结构元素(WBS元素)</t>
  </si>
  <si>
    <t xml:space="preserve">fipos</t>
  </si>
  <si>
    <t xml:space="preserve">承诺项目</t>
  </si>
  <si>
    <t xml:space="preserve">nplnr</t>
  </si>
  <si>
    <t xml:space="preserve">科目分配的网络号</t>
  </si>
  <si>
    <t xml:space="preserve">aufpl</t>
  </si>
  <si>
    <t xml:space="preserve">订单中工序的工艺路线号</t>
  </si>
  <si>
    <t xml:space="preserve">aplzl</t>
  </si>
  <si>
    <t xml:space="preserve">内部计数器</t>
  </si>
  <si>
    <t xml:space="preserve">xegdr</t>
  </si>
  <si>
    <t xml:space="preserve">标志:欧共体的三方交易?</t>
  </si>
  <si>
    <t xml:space="preserve">dmbe2</t>
  </si>
  <si>
    <t xml:space="preserve">以第二本币计的金额</t>
  </si>
  <si>
    <t xml:space="preserve">dmbe3</t>
  </si>
  <si>
    <t xml:space="preserve">以第三本币计的金额</t>
  </si>
  <si>
    <t xml:space="preserve">dmb21</t>
  </si>
  <si>
    <t xml:space="preserve">以对税明细化的第二本币计的金额</t>
  </si>
  <si>
    <t xml:space="preserve">dmb22</t>
  </si>
  <si>
    <t xml:space="preserve">dmb23</t>
  </si>
  <si>
    <t xml:space="preserve">dmb31</t>
  </si>
  <si>
    <t xml:space="preserve">以对税明细化的第三本币计的金额</t>
  </si>
  <si>
    <t xml:space="preserve">dmb32</t>
  </si>
  <si>
    <t xml:space="preserve">dmb33</t>
  </si>
  <si>
    <t xml:space="preserve">bdif3</t>
  </si>
  <si>
    <t xml:space="preserve">第三本币的评估差额</t>
  </si>
  <si>
    <t xml:space="preserve">xragl</t>
  </si>
  <si>
    <t xml:space="preserve">标识:清帐已冲销</t>
  </si>
  <si>
    <t xml:space="preserve">xstov</t>
  </si>
  <si>
    <t xml:space="preserve">标记：凭证标记为冲销</t>
  </si>
  <si>
    <t xml:space="preserve">mwst2</t>
  </si>
  <si>
    <t xml:space="preserve">以第二本币计的税额</t>
  </si>
  <si>
    <t xml:space="preserve">mwst3</t>
  </si>
  <si>
    <t xml:space="preserve">以第三本币计的税额</t>
  </si>
  <si>
    <t xml:space="preserve">sknt2</t>
  </si>
  <si>
    <t xml:space="preserve">以第二本币计的现金折扣金额</t>
  </si>
  <si>
    <t xml:space="preserve">sknt3</t>
  </si>
  <si>
    <t xml:space="preserve">以第三本币计的现金折扣金额</t>
  </si>
  <si>
    <t xml:space="preserve">xref1</t>
  </si>
  <si>
    <t xml:space="preserve">业务伙伴参考码</t>
  </si>
  <si>
    <t xml:space="preserve">xref2</t>
  </si>
  <si>
    <t xml:space="preserve">xarch</t>
  </si>
  <si>
    <t xml:space="preserve">标志:凭证已归档?</t>
  </si>
  <si>
    <t xml:space="preserve">pswsl</t>
  </si>
  <si>
    <t xml:space="preserve">更新总分类帐交易数字货币</t>
  </si>
  <si>
    <t xml:space="preserve">pswbt</t>
  </si>
  <si>
    <t xml:space="preserve">总帐中更新的金额</t>
  </si>
  <si>
    <t xml:space="preserve">lzbkz</t>
  </si>
  <si>
    <t xml:space="preserve">州中央银行标识</t>
  </si>
  <si>
    <t xml:space="preserve">landl</t>
  </si>
  <si>
    <t xml:space="preserve">供货国家</t>
  </si>
  <si>
    <t xml:space="preserve">imkey</t>
  </si>
  <si>
    <t xml:space="preserve">房地产对象的内码</t>
  </si>
  <si>
    <t xml:space="preserve">vbel2</t>
  </si>
  <si>
    <t xml:space="preserve">销售凭证</t>
  </si>
  <si>
    <t xml:space="preserve">vpos2</t>
  </si>
  <si>
    <t xml:space="preserve">数字的字段:长度6</t>
  </si>
  <si>
    <t xml:space="preserve">posn2</t>
  </si>
  <si>
    <t xml:space="preserve">销售凭证项目</t>
  </si>
  <si>
    <t xml:space="preserve">eten2</t>
  </si>
  <si>
    <t xml:space="preserve">交货计划行号</t>
  </si>
  <si>
    <t xml:space="preserve">fistl</t>
  </si>
  <si>
    <t xml:space="preserve">基金中心</t>
  </si>
  <si>
    <t xml:space="preserve">geber</t>
  </si>
  <si>
    <t xml:space="preserve">基金</t>
  </si>
  <si>
    <t xml:space="preserve">dabrz</t>
  </si>
  <si>
    <t xml:space="preserve">结算的参考日期</t>
  </si>
  <si>
    <t xml:space="preserve">xnegp</t>
  </si>
  <si>
    <t xml:space="preserve">标识:反记帐</t>
  </si>
  <si>
    <t xml:space="preserve">kostl</t>
  </si>
  <si>
    <t xml:space="preserve">成本中心</t>
  </si>
  <si>
    <t xml:space="preserve">rfzei</t>
  </si>
  <si>
    <t xml:space="preserve">支付卡项目</t>
  </si>
  <si>
    <t xml:space="preserve">kkber</t>
  </si>
  <si>
    <t xml:space="preserve">贷方控制范围</t>
  </si>
  <si>
    <t xml:space="preserve">empfb</t>
  </si>
  <si>
    <t xml:space="preserve">收款人/支付人</t>
  </si>
  <si>
    <t xml:space="preserve">prctr</t>
  </si>
  <si>
    <t xml:space="preserve">利润中心</t>
  </si>
  <si>
    <t xml:space="preserve">xref3</t>
  </si>
  <si>
    <t xml:space="preserve">行项目的参考码</t>
  </si>
  <si>
    <t xml:space="preserve">qsskz</t>
  </si>
  <si>
    <t xml:space="preserve">预提税代码</t>
  </si>
  <si>
    <t xml:space="preserve">zinkz</t>
  </si>
  <si>
    <t xml:space="preserve">从利息计算中免除</t>
  </si>
  <si>
    <t xml:space="preserve">dtws1</t>
  </si>
  <si>
    <t xml:space="preserve">指令码1</t>
  </si>
  <si>
    <t xml:space="preserve">dtws2</t>
  </si>
  <si>
    <t xml:space="preserve">指令码2</t>
  </si>
  <si>
    <t xml:space="preserve">dtws3</t>
  </si>
  <si>
    <t xml:space="preserve">指令码3</t>
  </si>
  <si>
    <t xml:space="preserve">dtws4</t>
  </si>
  <si>
    <t xml:space="preserve">指令码4</t>
  </si>
  <si>
    <t xml:space="preserve">xpypr</t>
  </si>
  <si>
    <t xml:space="preserve">标识：已冻结来自付款程序的项目</t>
  </si>
  <si>
    <t xml:space="preserve">kidno</t>
  </si>
  <si>
    <t xml:space="preserve">付款参考</t>
  </si>
  <si>
    <t xml:space="preserve">absbt</t>
  </si>
  <si>
    <t xml:space="preserve">信用管理：海琴金额</t>
  </si>
  <si>
    <t xml:space="preserve">ccbtc</t>
  </si>
  <si>
    <t xml:space="preserve">支付卡：结算运行</t>
  </si>
  <si>
    <t xml:space="preserve">pycur</t>
  </si>
  <si>
    <t xml:space="preserve">自动支付的货币</t>
  </si>
  <si>
    <t xml:space="preserve">pyamt</t>
  </si>
  <si>
    <t xml:space="preserve">以支付货币计的金额</t>
  </si>
  <si>
    <t xml:space="preserve">bupla</t>
  </si>
  <si>
    <t xml:space="preserve">业务地点</t>
  </si>
  <si>
    <t xml:space="preserve">secco</t>
  </si>
  <si>
    <t xml:space="preserve">部分代码</t>
  </si>
  <si>
    <t xml:space="preserve">ppdiff</t>
  </si>
  <si>
    <t xml:space="preserve">已实现汇率收益/损失第一本币(部分支付)</t>
  </si>
  <si>
    <t xml:space="preserve">ppdif2</t>
  </si>
  <si>
    <t xml:space="preserve">已实现汇率收益/损失第二本币(部分支付)</t>
  </si>
  <si>
    <t xml:space="preserve">ppdif3</t>
  </si>
  <si>
    <t xml:space="preserve">已实现汇率收益/损失第三本币(部分支付)</t>
  </si>
  <si>
    <t xml:space="preserve">kblnr</t>
  </si>
  <si>
    <t xml:space="preserve">指定用途基金的凭证编号</t>
  </si>
  <si>
    <t xml:space="preserve">kblpos</t>
  </si>
  <si>
    <t xml:space="preserve">资金储备：凭证项</t>
  </si>
  <si>
    <t xml:space="preserve">grant_nbr</t>
  </si>
  <si>
    <t xml:space="preserve">同意</t>
  </si>
  <si>
    <t xml:space="preserve">gmvkz</t>
  </si>
  <si>
    <t xml:space="preserve">项目正在执行中</t>
  </si>
  <si>
    <t xml:space="preserve">srtype</t>
  </si>
  <si>
    <t xml:space="preserve">附加的可接受类型</t>
  </si>
  <si>
    <t xml:space="preserve">lotkz</t>
  </si>
  <si>
    <t xml:space="preserve">请求的批号</t>
  </si>
  <si>
    <t xml:space="preserve">fkber</t>
  </si>
  <si>
    <t xml:space="preserve">功能范围</t>
  </si>
  <si>
    <t xml:space="preserve">intreno</t>
  </si>
  <si>
    <t xml:space="preserve">内部不动产主数据代码</t>
  </si>
  <si>
    <t xml:space="preserve">pprct</t>
  </si>
  <si>
    <t xml:space="preserve">伙伴利润中心</t>
  </si>
  <si>
    <t xml:space="preserve">buzid</t>
  </si>
  <si>
    <t xml:space="preserve">行项目标识</t>
  </si>
  <si>
    <t xml:space="preserve">auggj</t>
  </si>
  <si>
    <t xml:space="preserve">清算凭证的会计年度</t>
  </si>
  <si>
    <t xml:space="preserve">hktid</t>
  </si>
  <si>
    <t xml:space="preserve">帐户细目的代码</t>
  </si>
  <si>
    <t xml:space="preserve">budget_pd</t>
  </si>
  <si>
    <t xml:space="preserve">FM：预算期间</t>
  </si>
  <si>
    <t xml:space="preserve">pays_prov</t>
  </si>
  <si>
    <t xml:space="preserve">支付服务提供商</t>
  </si>
  <si>
    <t xml:space="preserve">pays_tran</t>
  </si>
  <si>
    <t xml:space="preserve">付款服务商的付款编号</t>
  </si>
  <si>
    <t xml:space="preserve">mndid</t>
  </si>
  <si>
    <t xml:space="preserve">托管的唯一参考（按收款人）</t>
  </si>
  <si>
    <t xml:space="preserve">kontt</t>
  </si>
  <si>
    <t xml:space="preserve">工业方案的帐户分配类别</t>
  </si>
  <si>
    <t xml:space="preserve">kontl</t>
  </si>
  <si>
    <t xml:space="preserve">指定工业科目分配的科目分配字符串</t>
  </si>
  <si>
    <t xml:space="preserve">uebgdat</t>
  </si>
  <si>
    <t xml:space="preserve">一个项目的转移日期到法定催款行动</t>
  </si>
  <si>
    <t xml:space="preserve">vname</t>
  </si>
  <si>
    <t xml:space="preserve">合资</t>
  </si>
  <si>
    <t xml:space="preserve">egrup</t>
  </si>
  <si>
    <t xml:space="preserve">权益组</t>
  </si>
  <si>
    <t xml:space="preserve">btype</t>
  </si>
  <si>
    <t xml:space="preserve">开票标志</t>
  </si>
  <si>
    <t xml:space="preserve">propmano</t>
  </si>
  <si>
    <t xml:space="preserve">托管，托管启动合同</t>
  </si>
  <si>
    <t xml:space="preserve">odss610_bsid</t>
  </si>
  <si>
    <t xml:space="preserve">odss700_bsid</t>
  </si>
  <si>
    <t xml:space="preserve">客户编号1</t>
  </si>
  <si>
    <t xml:space="preserve">特殊G/L标识</t>
  </si>
  <si>
    <t xml:space="preserve">会计年度</t>
  </si>
  <si>
    <t xml:space="preserve">凭证中的过帐日期</t>
  </si>
  <si>
    <t xml:space="preserve">销售税代码</t>
  </si>
  <si>
    <t xml:space="preserve">原有:项目编号:不在使用</t>
  </si>
  <si>
    <t xml:space="preserve">总帐科目编号</t>
  </si>
  <si>
    <t xml:space="preserve">总分类帐帐目</t>
  </si>
  <si>
    <t xml:space="preserve">标识:此项付款通知存在</t>
  </si>
  <si>
    <t xml:space="preserve">Mandat,mandatser?ffnenderVertrag</t>
  </si>
  <si>
    <t xml:space="preserve">odss800_bsid</t>
  </si>
  <si>
    <t xml:space="preserve">集团</t>
  </si>
  <si>
    <t xml:space="preserve">特定总帐事务类型</t>
  </si>
  <si>
    <t xml:space="preserve">特别总帐标识</t>
  </si>
  <si>
    <t xml:space="preserve">会计凭证号码</t>
  </si>
  <si>
    <t xml:space="preserve">凭证中的记帐日期</t>
  </si>
  <si>
    <t xml:space="preserve">货币代码</t>
  </si>
  <si>
    <t xml:space="preserve">订单编码</t>
  </si>
  <si>
    <t xml:space="preserve">总帐科目号</t>
  </si>
  <si>
    <t xml:space="preserve">收付条件代码</t>
  </si>
  <si>
    <t xml:space="preserve">现金折扣百分比1</t>
  </si>
  <si>
    <t xml:space="preserve">现金折扣百分率2</t>
  </si>
  <si>
    <t xml:space="preserve">收付方式</t>
  </si>
  <si>
    <t xml:space="preserve">对方开户行类型</t>
  </si>
  <si>
    <t xml:space="preserve">催款码</t>
  </si>
  <si>
    <t xml:space="preserve">业务伙伴的公司ID</t>
  </si>
  <si>
    <t xml:space="preserve">流类型</t>
  </si>
  <si>
    <t xml:space="preserve">州中央银行指标</t>
  </si>
  <si>
    <t xml:space="preserve">计划行</t>
  </si>
  <si>
    <t xml:space="preserve">决算的参考日期</t>
  </si>
  <si>
    <t xml:space="preserve">信贷控制范围</t>
  </si>
  <si>
    <t xml:space="preserve">专项基金凭证编号</t>
  </si>
  <si>
    <t xml:space="preserve">一个项目正在执行时标识符</t>
  </si>
  <si>
    <t xml:space="preserve">odss800b_bsid</t>
  </si>
  <si>
    <t xml:space="preserve">odss810_bsid</t>
  </si>
  <si>
    <t xml:space="preserve">odss880_bsid</t>
  </si>
  <si>
    <t xml:space="preserve">tax_country</t>
  </si>
  <si>
    <t xml:space="preserve">txdat_from</t>
  </si>
  <si>
    <t xml:space="preserve">fcsl</t>
  </si>
  <si>
    <t xml:space="preserve">rfccur</t>
  </si>
  <si>
    <t xml:space="preserve">lwsts</t>
  </si>
  <si>
    <t xml:space="preserve">txdat_from1</t>
  </si>
  <si>
    <t xml:space="preserve">tax_country1</t>
  </si>
  <si>
    <t xml:space="preserve">hist_tax_factor1</t>
  </si>
  <si>
    <t xml:space="preserve">txdat_from2</t>
  </si>
  <si>
    <t xml:space="preserve">tax_country2</t>
  </si>
  <si>
    <t xml:space="preserve">hist_tax_factor2</t>
  </si>
  <si>
    <t xml:space="preserve">txdat_from3</t>
  </si>
  <si>
    <t xml:space="preserve">tax_country3</t>
  </si>
  <si>
    <t xml:space="preserve">hist_tax_factor3</t>
  </si>
  <si>
    <t xml:space="preserve">hist_tax_factor</t>
  </si>
  <si>
    <t xml:space="preserve">bdgt_account</t>
  </si>
  <si>
    <t xml:space="preserve">re_account</t>
  </si>
  <si>
    <t xml:space="preserve">payt_rsn</t>
  </si>
  <si>
    <t xml:space="preserve">dataaging</t>
  </si>
  <si>
    <t xml:space="preserve">gkont</t>
  </si>
  <si>
    <t xml:space="preserve">gkart</t>
  </si>
  <si>
    <t xml:space="preserve">ghkon</t>
  </si>
  <si>
    <t xml:space="preserve">awtyp</t>
  </si>
  <si>
    <t xml:space="preserve">logsystem_sender</t>
  </si>
  <si>
    <t xml:space="preserve">bukrs_sender</t>
  </si>
  <si>
    <t xml:space="preserve">belnr_sender</t>
  </si>
  <si>
    <t xml:space="preserve">gjahr_sender</t>
  </si>
  <si>
    <t xml:space="preserve">buzei_sender</t>
  </si>
  <si>
    <t xml:space="preserve">odss900_bsid</t>
  </si>
  <si>
    <t xml:space="preserve">odsslt_s600_bsid</t>
  </si>
  <si>
    <t xml:space="preserve">源系统无注释</t>
  </si>
  <si>
    <t xml:space="preserve">loaddt</t>
  </si>
  <si>
    <t xml:space="preserve">数据抽取时间</t>
  </si>
  <si>
    <t xml:space="preserve">odsslt_s600_bsid_wtzj</t>
  </si>
  <si>
    <t xml:space="preserve">odsslt_s700_bsid</t>
  </si>
  <si>
    <t xml:space="preserve">odsslt_s800_bsid</t>
  </si>
  <si>
    <t xml:space="preserve">odsslt_s800b_bsid</t>
  </si>
  <si>
    <t xml:space="preserve">odsslt_s810_bsid</t>
  </si>
  <si>
    <t xml:space="preserve">odsslt_s900_bsid</t>
  </si>
  <si>
    <t xml:space="preserve">odss600_bsad</t>
  </si>
  <si>
    <t xml:space="preserve">odss610_bsad</t>
  </si>
  <si>
    <t xml:space="preserve">odss700_bsad</t>
  </si>
  <si>
    <t xml:space="preserve">odss800_bsad</t>
  </si>
  <si>
    <t xml:space="preserve">odss800b_bsad</t>
  </si>
  <si>
    <t xml:space="preserve">odss810_bsad</t>
  </si>
  <si>
    <t xml:space="preserve">odss880_bsad</t>
  </si>
  <si>
    <t xml:space="preserve">odss900_bsad</t>
  </si>
  <si>
    <t xml:space="preserve">odsslt_s600_bsad</t>
  </si>
  <si>
    <t xml:space="preserve">odsslt_s700_bsad</t>
  </si>
  <si>
    <t xml:space="preserve">odsslt_s800_bsad</t>
  </si>
  <si>
    <t xml:space="preserve">odsslt_s800b_bsad</t>
  </si>
  <si>
    <t xml:space="preserve">odsslt_s810_bsad</t>
  </si>
  <si>
    <t xml:space="preserve">odsslt_s900_bsad</t>
  </si>
  <si>
    <t xml:space="preserve">odss600_bsik</t>
  </si>
  <si>
    <t xml:space="preserve">ebeln</t>
  </si>
  <si>
    <t xml:space="preserve">采购凭证号</t>
  </si>
  <si>
    <t xml:space="preserve">ebelp</t>
  </si>
  <si>
    <t xml:space="preserve">采购凭证的项目编号</t>
  </si>
  <si>
    <t xml:space="preserve">zollt</t>
  </si>
  <si>
    <t xml:space="preserve">关税税号</t>
  </si>
  <si>
    <t xml:space="preserve">zolld</t>
  </si>
  <si>
    <t xml:space="preserve">关税日期</t>
  </si>
  <si>
    <t xml:space="preserve">diekz</t>
  </si>
  <si>
    <t xml:space="preserve">服务标识（外币付款）</t>
  </si>
  <si>
    <t xml:space="preserve">xesrd</t>
  </si>
  <si>
    <t xml:space="preserve">标志:凭证中是否有ISR数据集?</t>
  </si>
  <si>
    <t xml:space="preserve">qsshb</t>
  </si>
  <si>
    <t xml:space="preserve">扣交税款基础金额</t>
  </si>
  <si>
    <t xml:space="preserve">qbshb</t>
  </si>
  <si>
    <t xml:space="preserve">预扣税额(凭证货币)</t>
  </si>
  <si>
    <t xml:space="preserve">qsznr</t>
  </si>
  <si>
    <t xml:space="preserve">免交预扣税的证书号</t>
  </si>
  <si>
    <t xml:space="preserve">qsfbt</t>
  </si>
  <si>
    <t xml:space="preserve">免除预提税金额(凭证货币)</t>
  </si>
  <si>
    <t xml:space="preserve">lnran</t>
  </si>
  <si>
    <t xml:space="preserve">会计年资产行项目的序号</t>
  </si>
  <si>
    <t xml:space="preserve">kzbtr</t>
  </si>
  <si>
    <t xml:space="preserve">以本币计算的原始削减金额</t>
  </si>
  <si>
    <t xml:space="preserve">zekkn</t>
  </si>
  <si>
    <t xml:space="preserve">帐户分配的顺序编号</t>
  </si>
  <si>
    <t xml:space="preserve">penlc1</t>
  </si>
  <si>
    <t xml:space="preserve">罚金（第一本币）</t>
  </si>
  <si>
    <t xml:space="preserve">penlc2</t>
  </si>
  <si>
    <t xml:space="preserve">罚金（第二本币）</t>
  </si>
  <si>
    <t xml:space="preserve">penlc3</t>
  </si>
  <si>
    <t xml:space="preserve">罚金（第三本币）</t>
  </si>
  <si>
    <t xml:space="preserve">penfc</t>
  </si>
  <si>
    <t xml:space="preserve">罚金（凭证货币）</t>
  </si>
  <si>
    <t xml:space="preserve">pendays</t>
  </si>
  <si>
    <t xml:space="preserve">罚金计算天数</t>
  </si>
  <si>
    <t xml:space="preserve">penrc</t>
  </si>
  <si>
    <t xml:space="preserve">延迟付款的原因</t>
  </si>
  <si>
    <t xml:space="preserve">odss610_bsik</t>
  </si>
  <si>
    <t xml:space="preserve">odss700_bsik</t>
  </si>
  <si>
    <t xml:space="preserve">按第一本币计罚款费用金额</t>
  </si>
  <si>
    <t xml:space="preserve">以第二本币计的罚款费</t>
  </si>
  <si>
    <t xml:space="preserve">PenaltyChargeAmountinThirdLocalCurrency</t>
  </si>
  <si>
    <t xml:space="preserve">凭证货币的罚款费用金额</t>
  </si>
  <si>
    <t xml:space="preserve">罚款费用计算的天数</t>
  </si>
  <si>
    <t xml:space="preserve">odss800_bsik</t>
  </si>
  <si>
    <t xml:space="preserve">服务标志(国际收付)</t>
  </si>
  <si>
    <t xml:space="preserve">标志:凭证中是否有POR数据集?</t>
  </si>
  <si>
    <t xml:space="preserve">帐户分配的序列号</t>
  </si>
  <si>
    <t xml:space="preserve">odss800b_bsik</t>
  </si>
  <si>
    <t xml:space="preserve">odss810_bsik</t>
  </si>
  <si>
    <t xml:space="preserve">odss900_bsik</t>
  </si>
  <si>
    <t xml:space="preserve">odsslt_s600_bsik</t>
  </si>
  <si>
    <t xml:space="preserve">odsslt_s700_bsik</t>
  </si>
  <si>
    <t xml:space="preserve">odsslt_s800b_bsik</t>
  </si>
  <si>
    <t xml:space="preserve">odsslt_s810_bsik</t>
  </si>
  <si>
    <t xml:space="preserve">特殊 G/L 标识</t>
  </si>
  <si>
    <t xml:space="preserve">原有:项目编号:不在使用 --&gt; PS_POSNR</t>
  </si>
  <si>
    <t xml:space="preserve">现金折扣天数 1</t>
  </si>
  <si>
    <t xml:space="preserve">现金折扣天数 2</t>
  </si>
  <si>
    <t xml:space="preserve">有关发票的财政年度 (贷项凭单)</t>
  </si>
  <si>
    <t xml:space="preserve">标志: 凭证记净值 ?</t>
  </si>
  <si>
    <t xml:space="preserve">指示符: 净值程序中的定金 ?</t>
  </si>
  <si>
    <t xml:space="preserve">标识: 分别设置地址和银行数据</t>
  </si>
  <si>
    <t xml:space="preserve">标志: 凭证中是否有 ISR 数据集 ?</t>
  </si>
  <si>
    <t xml:space="preserve">标识符: 在支付交易中是否使用过帐码?</t>
  </si>
  <si>
    <t xml:space="preserve">预扣税额 (凭证货币)</t>
  </si>
  <si>
    <t xml:space="preserve">免除预提税金额 (凭证货币)</t>
  </si>
  <si>
    <t xml:space="preserve">标识: 资产货物影响?</t>
  </si>
  <si>
    <t xml:space="preserve">工作分解结构元素 (WBS 元素)</t>
  </si>
  <si>
    <t xml:space="preserve">标志: 欧共体的三方交易 ?</t>
  </si>
  <si>
    <t xml:space="preserve">标识: 清帐已冲销</t>
  </si>
  <si>
    <t xml:space="preserve">标志: 凭证已归档 ?</t>
  </si>
  <si>
    <t xml:space="preserve">标识: 反记帐</t>
  </si>
  <si>
    <t xml:space="preserve">指令码 1</t>
  </si>
  <si>
    <t xml:space="preserve">指令码 2</t>
  </si>
  <si>
    <t xml:space="preserve">指令码 3</t>
  </si>
  <si>
    <t xml:space="preserve">指令码 4</t>
  </si>
  <si>
    <t xml:space="preserve">标识: 此项付款通知存在</t>
  </si>
  <si>
    <t xml:space="preserve">已实现汇率收益/损失第一本币 (部分支付)</t>
  </si>
  <si>
    <t xml:space="preserve">已实现汇率收益/损失第二本币 (部分支付)</t>
  </si>
  <si>
    <t xml:space="preserve">已实现汇率收益/损失第三本币 (部分支付)</t>
  </si>
  <si>
    <t xml:space="preserve">Penalty Charge Amount in Third Local Currency</t>
  </si>
  <si>
    <t xml:space="preserve">发票已被客户接收</t>
  </si>
  <si>
    <t xml:space="preserve">odss600_bsak</t>
  </si>
  <si>
    <t xml:space="preserve">odss610_bsak</t>
  </si>
  <si>
    <t xml:space="preserve">odss700_bsak</t>
  </si>
  <si>
    <t xml:space="preserve">odss800_bsak</t>
  </si>
  <si>
    <t xml:space="preserve">odss800b_bsak</t>
  </si>
  <si>
    <t xml:space="preserve">odss810_bsak</t>
  </si>
  <si>
    <t xml:space="preserve">odss900_bsak</t>
  </si>
  <si>
    <t xml:space="preserve">odsslt_s600_bsak</t>
  </si>
  <si>
    <t xml:space="preserve">odsslt_s700_bsak</t>
  </si>
  <si>
    <t xml:space="preserve">odsslt_s800_bsak</t>
  </si>
  <si>
    <t xml:space="preserve">odsslt_s800b_bsak</t>
  </si>
  <si>
    <t xml:space="preserve">odsslt_s900_bsak</t>
  </si>
  <si>
    <t xml:space="preserve">DWD层</t>
  </si>
  <si>
    <t xml:space="preserve">编码</t>
  </si>
  <si>
    <t xml:space="preserve">名称</t>
  </si>
  <si>
    <t xml:space="preserve">处理逻辑</t>
  </si>
  <si>
    <t xml:space="preserve">MRD需求</t>
  </si>
  <si>
    <t xml:space="preserve">表单所属层级</t>
  </si>
  <si>
    <t xml:space="preserve">来源</t>
  </si>
  <si>
    <t/>
    <r>
      <rPr>
        <u val="single"/>
        <color theme="10"/>
      </rPr>
      <t>dwd_fi_mr_ar_cterm_md</t>
    </r>
  </si>
  <si>
    <t xml:space="preserve">客户账期明细表</t>
  </si>
  <si>
    <t xml:space="preserve">根据SAP的客户主数据相关表单，匹配处理成每个客户的付款条件明细信息</t>
  </si>
  <si>
    <t xml:space="preserve">账期取数</t>
  </si>
  <si>
    <t xml:space="preserve">DWD-标准层</t>
  </si>
  <si>
    <t xml:space="preserve">S600,700,800,900,610,810</t>
  </si>
  <si>
    <t xml:space="preserve">0908：目前数据是实时的，如果重新出表会按最新的主数据来匹配</t>
  </si>
  <si>
    <t/>
    <r>
      <rPr>
        <u val="single"/>
        <color theme="10"/>
      </rPr>
      <t>dwd_fi_mr_arap_detail_mi</t>
    </r>
  </si>
  <si>
    <t xml:space="preserve">往来账龄明细表</t>
  </si>
  <si>
    <t xml:space="preserve">根据SAP的底表处理到凭证编码的行项目明细，计算每行数据的账龄天数，并对维度进行映射处理</t>
  </si>
  <si>
    <t xml:space="preserve">往来账龄取数</t>
  </si>
  <si>
    <t/>
    <r>
      <rPr>
        <u val="single"/>
        <color theme="10"/>
      </rPr>
      <t>dwd_fi_mr_arap_sum_mi</t>
    </r>
  </si>
  <si>
    <t xml:space="preserve">往来账龄汇总表</t>
  </si>
  <si>
    <t xml:space="preserve">根据detail的明细表单将数据进行聚合，不到凭证行项目，减少数据量，并且将信汇系统、超期款、欠付返利的数据聚合到一个表单中</t>
  </si>
  <si>
    <t xml:space="preserve">DWD-汇总层</t>
  </si>
  <si>
    <t/>
    <r>
      <rPr>
        <u val="single"/>
        <color theme="10"/>
      </rPr>
      <t>dwd_fi_mr_ar_overdue_mi</t>
    </r>
  </si>
  <si>
    <t xml:space="preserve">超期款明细表</t>
  </si>
  <si>
    <t xml:space="preserve">取财务中台-问题资金系统中超期款及开票样机的金额，以及超期款调整口的数据</t>
  </si>
  <si>
    <t xml:space="preserve">超期金额取数</t>
  </si>
  <si>
    <t xml:space="preserve">财务中台-问题资金系统</t>
  </si>
  <si>
    <t/>
    <r>
      <rPr>
        <u val="single"/>
        <color theme="10"/>
      </rPr>
      <t>dwd_fi_mr_ar_ureb_mi</t>
    </r>
  </si>
  <si>
    <t xml:space="preserve">欠付返利明细表</t>
  </si>
  <si>
    <t xml:space="preserve">取SMS系统、政策系统、SAP系统的欠付返利明细</t>
  </si>
  <si>
    <t xml:space="preserve">返利余额取数</t>
  </si>
  <si>
    <t xml:space="preserve">SMS系统、政策系统</t>
  </si>
  <si>
    <t/>
    <r>
      <rPr>
        <u val="single"/>
        <color theme="10"/>
      </rPr>
      <t>dwd_fi_mr_ar_imocc_mi</t>
    </r>
  </si>
  <si>
    <t xml:space="preserve">国际营销应收占用明细表</t>
  </si>
  <si>
    <t xml:space="preserve">取信数系统中国际营销对外的的应收占用数据</t>
  </si>
  <si>
    <t xml:space="preserve">应收占用-国际营销取数</t>
  </si>
  <si>
    <t xml:space="preserve">信数系统</t>
  </si>
  <si>
    <t/>
    <r>
      <rPr>
        <u val="single"/>
        <color theme="10"/>
      </rPr>
      <t>dwd_fi_mr_ar_writeoff_mi</t>
    </r>
  </si>
  <si>
    <t xml:space="preserve">核销金额明细表</t>
  </si>
  <si>
    <t xml:space="preserve">取财务中台中坏账核销单中的核销金额数据</t>
  </si>
  <si>
    <t xml:space="preserve">核销金额取数</t>
  </si>
  <si>
    <t xml:space="preserve">财务中台</t>
  </si>
  <si>
    <t/>
    <r>
      <rPr>
        <u val="single"/>
        <color theme="10"/>
      </rPr>
      <t>返回</t>
    </r>
  </si>
  <si>
    <t xml:space="preserve">dwd_fi_mr_ar_cterm_md逻辑处理</t>
  </si>
  <si>
    <t/>
    <r>
      <rPr>
        <u val="single"/>
        <color theme="10"/>
      </rPr>
      <t>规则库</t>
    </r>
  </si>
  <si>
    <t xml:space="preserve">表名称</t>
  </si>
  <si>
    <t xml:space="preserve">dwd.dwd_fi_mr_ar_cterm_md</t>
  </si>
  <si>
    <t xml:space="preserve">表描述</t>
  </si>
  <si>
    <t xml:space="preserve">客户账期明细表</t>
  </si>
  <si>
    <t xml:space="preserve">表类型</t>
  </si>
  <si>
    <t xml:space="preserve">事实表</t>
  </si>
  <si>
    <t xml:space="preserve">数仓分层</t>
  </si>
  <si>
    <t xml:space="preserve">DWD</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</si>
  <si>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</si>
  <si>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</si>
  <si>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</si>
  <si>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</si>
  <si>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</si>
  <si>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</si>
  <si>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</si>
  <si>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全量更新</t>
  </si>
  <si>
    <t xml:space="preserve">设计人员</t>
  </si>
  <si>
    <t xml:space="preserve">时间</t>
  </si>
  <si>
    <t xml:space="preserve">使用场景</t>
  </si>
  <si>
    <t xml:space="preserve">根据SAP的客户主数据相关表单，匹配处理成每个客户的付款条件明细信息</t>
  </si>
  <si>
    <t xml:space="preserve">目标表</t>
  </si>
  <si>
    <t xml:space="preserve">客户主数据相关表单</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</si>
  <si>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</si>
  <si>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</si>
  <si>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</si>
  <si>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</si>
  <si>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</si>
  <si>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</si>
  <si>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</si>
  <si>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</si>
  <si>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</si>
  <si>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</si>
  <si>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</si>
  <si>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</si>
  <si>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</si>
  <si>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</si>
  <si>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</si>
  <si>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</si>
  <si>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</si>
  <si>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</si>
  <si>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</si>
  <si>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company_code</t>
  </si>
  <si>
    <t xml:space="preserve">√</t>
  </si>
  <si>
    <t xml:space="preserve">普通级</t>
  </si>
  <si>
    <t xml:space="preserve">直接对应</t>
  </si>
  <si>
    <t xml:space="preserve">Doris</t>
  </si>
  <si>
    <t xml:space="preserve">odss600_knb1
odss700_knb1
odss800_knb1
odss900_knb1
odss610_knb1
odss810_knb1
ods.odsfima_aw_rul_revaaz_000001-SAP700公司映射表</t>
  </si>
  <si>
    <t xml:space="preserve">bukrs</t>
  </si>
  <si>
    <t xml:space="preserve">ods.odsfima_aw_rul_revaaz_000001 </t>
  </si>
  <si>
    <t xml:space="preserve">客户编码</t>
  </si>
  <si>
    <t xml:space="preserve">cust_code</t>
  </si>
  <si>
    <t xml:space="preserve">odss600_knb1
odss700_knb1
odss800_knb1
odss900_knb1
odss610_knb1
odss810_knb1</t>
  </si>
  <si>
    <t xml:space="preserve">kunnr</t>
  </si>
  <si>
    <t xml:space="preserve">pay_term_code</t>
  </si>
  <si>
    <t xml:space="preserve">如果对应多行的话拼成一行展示，用逗号分隔开</t>
  </si>
  <si>
    <t xml:space="preserve">zterm</t>
  </si>
  <si>
    <t xml:space="preserve">pay_term_desc</t>
  </si>
  <si>
    <t xml:space="preserve">odss600_t052u
odss700_t052u
odss800_t052u
odss900_t052u
odss610_t052u
odss810_t052u</t>
  </si>
  <si>
    <t xml:space="preserve">text1</t>
  </si>
  <si>
    <t xml:space="preserve">zterm = zterm</t>
  </si>
  <si>
    <t xml:space="preserve">限制语言SPRAS = '1'</t>
  </si>
  <si>
    <t xml:space="preserve">system_src</t>
  </si>
  <si>
    <t xml:space="preserve">'S'||mandt</t>
  </si>
  <si>
    <t xml:space="preserve">load_dt</t>
  </si>
  <si>
    <t xml:space="preserve">数据更新时间</t>
  </si>
  <si>
    <t/>
    <r>
      <rPr>
        <u val="single"/>
        <color theme="10"/>
      </rPr>
      <t>返回</t>
    </r>
  </si>
  <si>
    <t xml:space="preserve">dwd_fi_mr_arap_detail_mi逻辑处理</t>
  </si>
  <si>
    <t/>
    <r>
      <rPr>
        <u val="single"/>
        <color theme="10"/>
      </rPr>
      <t>规则库</t>
    </r>
  </si>
  <si>
    <t xml:space="preserve">表名称</t>
  </si>
  <si>
    <t xml:space="preserve">dwd.dwd_fi_mr_arap_detail_mi</t>
  </si>
  <si>
    <t xml:space="preserve">表描述</t>
  </si>
  <si>
    <t xml:space="preserve">往来账龄明细表</t>
  </si>
  <si>
    <t xml:space="preserve">表类型</t>
  </si>
  <si>
    <t xml:space="preserve">事实表</t>
  </si>
  <si>
    <t xml:space="preserve">数仓分层</t>
  </si>
  <si>
    <t xml:space="preserve">DWD</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</si>
  <si>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</si>
  <si>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</si>
  <si>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</si>
  <si>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</si>
  <si>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</si>
  <si>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</si>
  <si>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</si>
  <si>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</si>
  <si>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</si>
  <si>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</si>
  <si>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</si>
  <si>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根据SAP的底表处理到凭证编码的行项目明细，计算每行数据的账龄天数</t>
  </si>
  <si>
    <t xml:space="preserve">目标表</t>
  </si>
  <si>
    <t xml:space="preserve">客户、供应商行项目【BSID/BSAD/BSIK/BSAK】</t>
  </si>
  <si>
    <t xml:space="preserve">科目余额表【faglflext/glfunct】</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</si>
  <si>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</si>
  <si>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</si>
  <si>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</si>
  <si>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</si>
  <si>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</si>
  <si>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</si>
  <si>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</si>
  <si>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</si>
  <si>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</si>
  <si>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</si>
  <si>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</si>
  <si>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</si>
  <si>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</si>
  <si>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</si>
  <si>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</si>
  <si>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</si>
  <si>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</si>
  <si>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</si>
  <si>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</si>
  <si>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dt_month</t>
  </si>
  <si>
    <t xml:space="preserve">参数年月</t>
  </si>
  <si>
    <t xml:space="preserve">year</t>
  </si>
  <si>
    <t xml:space="preserve">√</t>
  </si>
  <si>
    <t xml:space="preserve">普通级</t>
  </si>
  <si>
    <t/>
    <r>
      <rPr>
        <b val="true"/>
        <i val="false"/>
        <strike val="false"/>
        <sz val="11"/>
        <color rgb="FF373C43"/>
      </rPr>
      <t xml:space="preserve">限制条件：
</t>
    </r>
    <r>
      <rPr>
        <b val="false"/>
        <i val="false"/>
        <strike val="false"/>
        <sz val="11"/>
        <color rgb="FF373C43"/>
      </rPr>
      <t xml:space="preserve">1、凭证状态bstat 不为A,S
2、日期限制：
bsid/bsik：budat小于等于参数的月末
bsad/bsak：budat小于等于参数的月末且augdt大于参数的月末
3、科目限制：
限制科目为统驭科目，科目范围ztzt_003表匹配公司账目t001表，获得公司和科目的范围，在通过公司总账科目skb1表获得是否是统驭科目，mitkz为D、K则为统驭科目
应收：bsid/bsad：科目类型为D
应付：bsik/bsak：科目类型为K
</t>
    </r>
    <r>
      <rPr>
        <b val="true"/>
        <i val="false"/>
        <strike val="false"/>
        <sz val="11"/>
        <color rgb="FF373C43"/>
      </rPr>
      <t xml:space="preserve">单独取BSAD中本月已清项目：
</t>
    </r>
    <r>
      <rPr>
        <b val="false"/>
        <i val="false"/>
        <strike val="false"/>
        <sz val="11"/>
        <color rgb="FF373C43"/>
      </rPr>
      <t xml:space="preserve">augdt介于参数本月的日期中&amp;rstgr = ‘400’</t>
    </r>
  </si>
  <si>
    <t xml:space="preserve">参数年</t>
  </si>
  <si>
    <t/>
    <r>
      <rPr>
        <b val="true"/>
        <i val="false"/>
        <strike val="false"/>
        <sz val="11"/>
        <color rgb="FF373C43"/>
      </rPr>
      <t xml:space="preserve">限制条件：
</t>
    </r>
    <r>
      <rPr>
        <b val="false"/>
        <i val="false"/>
        <strike val="false"/>
        <sz val="11"/>
        <color rgb="FF373C43"/>
      </rPr>
      <t xml:space="preserve">1、科目限制：
限制科目为非统驭科目，科目范围ztzt_003表匹配公司账目t001表，获得公司和科目的范围，在通过公司总账科目skb1表获得是否是统驭科目，mitkz为空则为非统驭科目</t>
    </r>
  </si>
  <si>
    <t xml:space="preserve">month</t>
  </si>
  <si>
    <t xml:space="preserve">直接对应</t>
  </si>
  <si>
    <t xml:space="preserve">参数月</t>
  </si>
  <si>
    <t xml:space="preserve">0908：审计调整的科目余额怎么取
和用户确认</t>
  </si>
  <si>
    <t xml:space="preserve">通过金额字段转换获得月份
1月等于：hslvt+hsl01
2月等于：hslvt+hsl01+hsl02
...
12月等于：hslvt+hsl01+hsl02....+hsl12</t>
  </si>
  <si>
    <t xml:space="preserve">company_code</t>
  </si>
  <si>
    <t xml:space="preserve">Doris</t>
  </si>
  <si>
    <t xml:space="preserve">odsslt_s600_bsid
odsslt_s600_bsad
odsslt_s600_bsik
odsslt_s600_bsak</t>
  </si>
  <si>
    <t xml:space="preserve">bukrs</t>
  </si>
  <si>
    <t xml:space="preserve">ods.ods_slt_s600_faglflext
ods.ods_slt_s700_faglflext
ods.ods_slt_s800_glfunct
ods.ods_slt_s810_faglflext（S610一起）
ods.ods_slt_s900_glfunct</t>
  </si>
  <si>
    <t xml:space="preserve">rbukrs</t>
  </si>
  <si>
    <t xml:space="preserve">acct_cert_type</t>
  </si>
  <si>
    <t xml:space="preserve">blart</t>
  </si>
  <si>
    <t xml:space="preserve">凭证状态</t>
  </si>
  <si>
    <t xml:space="preserve">acct_cert_status</t>
  </si>
  <si>
    <t xml:space="preserve">bstat</t>
  </si>
  <si>
    <t xml:space="preserve">acct_cert_id</t>
  </si>
  <si>
    <t xml:space="preserve">belnr</t>
  </si>
  <si>
    <t xml:space="preserve">acct_cert_item</t>
  </si>
  <si>
    <t xml:space="preserve">buzei</t>
  </si>
  <si>
    <t xml:space="preserve">voucher_dt</t>
  </si>
  <si>
    <t xml:space="preserve">bldat</t>
  </si>
  <si>
    <t xml:space="preserve">posting_dt</t>
  </si>
  <si>
    <t xml:space="preserve">budat</t>
  </si>
  <si>
    <t xml:space="preserve">baseline_dt</t>
  </si>
  <si>
    <t/>
    <r>
      <rPr>
        <b val="false"/>
        <i val="false"/>
        <strike val="true"/>
        <sz val="11"/>
        <color rgb="FF373C43"/>
      </rPr>
      <t xml:space="preserve">AB取ZFBDT，其他取BLDAT
</t>
    </r>
    <r>
      <rPr>
        <b val="false"/>
        <i val="false"/>
        <strike val="false"/>
        <sz val="11"/>
        <color rgb="FF373C43"/>
      </rPr>
      <t>ZFBDT</t>
    </r>
  </si>
  <si>
    <t xml:space="preserve">netrcp_dt</t>
  </si>
  <si>
    <t xml:space="preserve">如果shkzg为S，根据基准日期+天数计算
如果为H，直接取基准日期</t>
  </si>
  <si>
    <t xml:space="preserve">ZFBDT + ZBD1T</t>
  </si>
  <si>
    <t xml:space="preserve">clearing_dt</t>
  </si>
  <si>
    <t xml:space="preserve">augdt</t>
  </si>
  <si>
    <t xml:space="preserve">cust_code</t>
  </si>
  <si>
    <t xml:space="preserve">优先取分户编码，没有则取主户</t>
  </si>
  <si>
    <t xml:space="preserve">cust_name</t>
  </si>
  <si>
    <t xml:space="preserve">odsslt_s600_bsid、odsslt_s600_bsad:
匹配客户主数据ods.odss600_kna1
odsslt_s600_bsik、odsslt_s600_bsak:
匹配供应商主数据ods.odss600_lfa1</t>
  </si>
  <si>
    <t xml:space="preserve">ods.odss600_kna1
ods.odss600_lfa1</t>
  </si>
  <si>
    <t xml:space="preserve">优先取分户名称，没有则取名称</t>
  </si>
  <si>
    <t xml:space="preserve">cust_head_code</t>
  </si>
  <si>
    <t xml:space="preserve">kunnr
lifnr</t>
  </si>
  <si>
    <t xml:space="preserve">cust_head_name</t>
  </si>
  <si>
    <t xml:space="preserve">name1</t>
  </si>
  <si>
    <t xml:space="preserve">主户编码匹配客商主数据</t>
  </si>
  <si>
    <t xml:space="preserve">cust_branch_code</t>
  </si>
  <si>
    <t xml:space="preserve">filkd</t>
  </si>
  <si>
    <t xml:space="preserve">cust_branch_name</t>
  </si>
  <si>
    <t xml:space="preserve">odsslt_s600_bsid、odsslt_s600_bsad:
匹配客户主数据ods.odss600_kna1
odsslt_s600_bsik、odsslt_s600_bsak:
匹配供应商主数据ods.odss600_lfa1
</t>
  </si>
  <si>
    <t xml:space="preserve">分户编码匹配客商主数据</t>
  </si>
  <si>
    <t xml:space="preserve">cp_company_code</t>
  </si>
  <si>
    <t xml:space="preserve">匹配客商映射对方公司dim.dim_rule_fi_mr_cust2ctp_mapping</t>
  </si>
  <si>
    <t xml:space="preserve">dim.dim_rule_fi_mr_cust2ctp_mapping</t>
  </si>
  <si>
    <t xml:space="preserve">优先取cp_company_code_mr，为空则取cp_company_code</t>
  </si>
  <si>
    <t xml:space="preserve">主户编码匹配客商映射对方公司映射表</t>
  </si>
  <si>
    <t xml:space="preserve">country_code</t>
  </si>
  <si>
    <t xml:space="preserve">1、先匹配SAP客户主数据得到zkunnr_mdg
2、再匹配mdg客户主数据得到对应字段</t>
  </si>
  <si>
    <t xml:space="preserve">1、ods.ods_slt_s600_kna1-客户主数据
2、dw.dim_customer_base_info_dd-客户主数据基本信息</t>
  </si>
  <si>
    <t xml:space="preserve">1、zkunnr_mdg
2、country_code</t>
  </si>
  <si>
    <t xml:space="preserve">1、kunnr = kunnr
2、zkunnr_mdg = cust_code</t>
  </si>
  <si>
    <t xml:space="preserve">country_name</t>
  </si>
  <si>
    <t xml:space="preserve">1、zkunnr_mdg
2、country_name</t>
  </si>
  <si>
    <t xml:space="preserve">acct_type_code</t>
  </si>
  <si>
    <t xml:space="preserve">koart</t>
  </si>
  <si>
    <t xml:space="preserve">ods.odss600_ztzt_003</t>
  </si>
  <si>
    <t xml:space="preserve">acct_src_code</t>
  </si>
  <si>
    <t xml:space="preserve">hkont</t>
  </si>
  <si>
    <t xml:space="preserve">racct</t>
  </si>
  <si>
    <t xml:space="preserve">acct_map_code</t>
  </si>
  <si>
    <t xml:space="preserve">匹配科目映射表dim.dim_rule_fi_mr_acct_mapping</t>
  </si>
  <si>
    <t xml:space="preserve">dim.dim_rule_fi_mr_acct_mapping</t>
  </si>
  <si>
    <t xml:space="preserve">科目编码匹配科目映射表</t>
  </si>
  <si>
    <t xml:space="preserve">0908：客户主数据匹配可以统一一个客户大表，通用逻辑匹配</t>
  </si>
  <si>
    <t xml:space="preserve">channel_l1_code</t>
  </si>
  <si>
    <t xml:space="preserve">1、zkunnr_mdg
2、com_1st_code</t>
  </si>
  <si>
    <t xml:space="preserve">channel_l1_name</t>
  </si>
  <si>
    <t xml:space="preserve">1、zkunnr_mdg
2、com_1st_name</t>
  </si>
  <si>
    <t xml:space="preserve">channel_l2_code</t>
  </si>
  <si>
    <t xml:space="preserve">1、zkunnr_mdg
2、com_2nd_code</t>
  </si>
  <si>
    <t xml:space="preserve">channel_l2_name</t>
  </si>
  <si>
    <t xml:space="preserve">1、zkunnr_mdg
2、com_2nd_name</t>
  </si>
  <si>
    <t xml:space="preserve">channel_l3_code</t>
  </si>
  <si>
    <t xml:space="preserve">1、zkunnr_mdg
2、com_3rd_code</t>
  </si>
  <si>
    <t xml:space="preserve">channel_l3_name</t>
  </si>
  <si>
    <t xml:space="preserve">1、zkunnr_mdg
2、com_3rd_name</t>
  </si>
  <si>
    <t xml:space="preserve">0908：等后续拉通后统一处理</t>
  </si>
  <si>
    <t xml:space="preserve">tov_channel_code</t>
  </si>
  <si>
    <t xml:space="preserve">待拉通后处理</t>
  </si>
  <si>
    <t xml:space="preserve">tov_channel_name</t>
  </si>
  <si>
    <t xml:space="preserve">cust_unity_code</t>
  </si>
  <si>
    <t xml:space="preserve">1、zkunnr_mdg
2、cust_unity_code</t>
  </si>
  <si>
    <t xml:space="preserve">cust_unity_name</t>
  </si>
  <si>
    <t xml:space="preserve">1、zkunnr_mdg
2、cust_unity_name</t>
  </si>
  <si>
    <t xml:space="preserve">0908：非标准的单独讨论</t>
  </si>
  <si>
    <t xml:space="preserve">cc_cust_group_code</t>
  </si>
  <si>
    <t xml:space="preserve">待维度定标</t>
  </si>
  <si>
    <t xml:space="preserve">cc_cust_group_name</t>
  </si>
  <si>
    <t xml:space="preserve">onoffline_code</t>
  </si>
  <si>
    <t xml:space="preserve">1、匹配《应收模块-渠道分组映射表》，根据优先级按顺序映射
2、其余公司：
匹配《收入模块-线上线下映射表》，按照收入模块的处理映射
如果上述所有规则均不涉及，则默认020_OFF_002（零售-传统零售）</t>
  </si>
  <si>
    <t xml:space="preserve">dim.dim_rule_fi_mr_ar_nf_mapping-渠道分组映射表
dim.dim_rule_fi_mr_nf_mapping-经分项目收入模块规则映射表</t>
  </si>
  <si>
    <t xml:space="preserve">onoffline_name</t>
  </si>
  <si>
    <t xml:space="preserve">src_profitcenter_code</t>
  </si>
  <si>
    <t xml:space="preserve">prctr</t>
  </si>
  <si>
    <t xml:space="preserve">faglflext:prctr
glfunct:null</t>
  </si>
  <si>
    <t xml:space="preserve">src_profitcenter_name</t>
  </si>
  <si>
    <t xml:space="preserve">匹配利润中心主数据ods.odss600_cepct</t>
  </si>
  <si>
    <t xml:space="preserve">ods.odss600_cepct</t>
  </si>
  <si>
    <t xml:space="preserve">ktext</t>
  </si>
  <si>
    <t xml:space="preserve">profitcenter_code</t>
  </si>
  <si>
    <t xml:space="preserve">如果客户范围在《电商零售客户》内
匹配《应收模块-利润中心映射表》，筛选映射类型为“新旧利润中心映射”，将旧利润中心映射成新利润中心</t>
  </si>
  <si>
    <t xml:space="preserve">dim.dim_rule_fi_mr_ar_profit_mapping-利润中心映射表</t>
  </si>
  <si>
    <t xml:space="preserve">profitcenter_name</t>
  </si>
  <si>
    <t xml:space="preserve">bus_range_code</t>
  </si>
  <si>
    <t xml:space="preserve">1、商显公司（公司10架构中，节点代码01020）：
根据客户主数据匹配出国家，如果是CN的为2000-中国区公共，其余放3000-海外公共
2、日立公司（公司10架构中，节点代码050）：
根据客户主数据匹配出国家，如果是CN的放2200-日立国内营销分公司公共，其余的根据《国家业务范围映射表》，匹配出对应的业务范围
3、其余：
匹配《业务范围映射表》，根据优先级判断映射出业务范围</t>
  </si>
  <si>
    <t xml:space="preserve">dim_rule_fi_mr_ar_busrange_mapping-业务范围映射表
dim_rule_fi_mr_ar_country_busrange_mapping-国家业务范围映射表</t>
  </si>
  <si>
    <t xml:space="preserve">rbusa</t>
  </si>
  <si>
    <t xml:space="preserve">bus_range_name</t>
  </si>
  <si>
    <t xml:space="preserve">marketing_dept_code</t>
  </si>
  <si>
    <t xml:space="preserve">匹配《业务管理单元映射表》，根据不同的系统映射业务管理单元</t>
  </si>
  <si>
    <t xml:space="preserve">dim_rule_fi_mr_ar_busdept_mapping-业务管理单元映射表</t>
  </si>
  <si>
    <t xml:space="preserve">marketing_dept_name</t>
  </si>
  <si>
    <t xml:space="preserve">nature_l1_name</t>
  </si>
  <si>
    <t xml:space="preserve">varchar(2000)</t>
  </si>
  <si>
    <t xml:space="preserve">匹配《性质维护表》，按照顺序优先级处理
1、匹配规则batch_id为1，按照公司company_code+科目acct_src_code+主户cust_code匹配
2、匹配规则batch_id为2，按照公司company_code+主户cust_code匹配
3、匹配规则batch_id为3，按照公司company_code+科目acct_src_code+利润中心profitcenter_code匹配
4、匹配规则batch_id为4，按照公司company_code+科目acct_src_code匹配
5、匹配规则batch_id为5，按照科目company_code+主户cust_code匹配
6、以上未匹配到的，按照公司+客商性质+客商编码匹配sap主数据客户和供应商主数据取KVERM</t>
  </si>
  <si>
    <t xml:space="preserve">dim_rule_fi_mr_ar_nature</t>
  </si>
  <si>
    <t xml:space="preserve">nature_l2_name</t>
  </si>
  <si>
    <t xml:space="preserve">同一级性质</t>
  </si>
  <si>
    <t xml:space="preserve">nature_l3_name</t>
  </si>
  <si>
    <t xml:space="preserve">pay_method</t>
  </si>
  <si>
    <t xml:space="preserve">zlsch</t>
  </si>
  <si>
    <t xml:space="preserve">pay_reason_code</t>
  </si>
  <si>
    <t xml:space="preserve">rstgr</t>
  </si>
  <si>
    <t xml:space="preserve">bcy_code</t>
  </si>
  <si>
    <t xml:space="preserve">匹配公司映射币种ods.odss600_t001</t>
  </si>
  <si>
    <t xml:space="preserve">odsslt_s600_bsid
odsslt_s600_bsad
odsslt_s600_bsik
odsslt_s600_bsak
ods.odss600_t001</t>
  </si>
  <si>
    <t xml:space="preserve">waers</t>
  </si>
  <si>
    <t xml:space="preserve">公司匹配t001的bukrs，取t001的waers</t>
  </si>
  <si>
    <t xml:space="preserve">ods.ods_slt_s600_faglflext
ods.ods_slt_s700_faglflext
ods.ods_slt_s800_glfunct
ods.ods_slt_s810_faglflext（S610一起）
ods.ods_slt_s900_glfunct
ods.odss600_t001</t>
  </si>
  <si>
    <t xml:space="preserve">qcy_code</t>
  </si>
  <si>
    <t xml:space="preserve">rtcur</t>
  </si>
  <si>
    <t xml:space="preserve">bcy_amt</t>
  </si>
  <si>
    <t xml:space="preserve">CASE WHEN a.shkzg = 'H' THEN -a.dmbtr ELSE a.dmbtr END</t>
  </si>
  <si>
    <t xml:space="preserve">1月等于：hslvt+hsl01
2月等于：hslvt+hsl01+hsl02
...
12月等于：hslvt+hsl01+hsl02....+hsl12</t>
  </si>
  <si>
    <t xml:space="preserve">qcy_amt</t>
  </si>
  <si>
    <t xml:space="preserve">CASE WHEN a.shkzg = 'H' THEN -a.wrbtr ELSE a.wrbtr END</t>
  </si>
  <si>
    <t xml:space="preserve">1月等于：tslvt+tsl01
2月等于：tslvt+tsl01+tsl02
...
12月等于：tslvt+tsl01+tsl02....+tsl12</t>
  </si>
  <si>
    <t xml:space="preserve">0908：需要增加账龄段的判断</t>
  </si>
  <si>
    <t xml:space="preserve">aging_days</t>
  </si>
  <si>
    <t xml:space="preserve">1、如果凭证类型为AB时起算日期用基准日期zfbdt，
2、根据《账龄日期计算配置-dim_rule_fi_mr_ar_agingdate》判断，用系统号+公司匹配对应，基准日期zfbdt
3、其余用凭证日期bldat计算
公式：aging_days = 月末最后一天 - 起算日期 + 1</t>
  </si>
  <si>
    <t xml:space="preserve">月末最后一天 - 起算日期 + 1</t>
  </si>
  <si>
    <t xml:space="preserve">固定值：1</t>
  </si>
  <si>
    <t xml:space="preserve">aging_seg_code</t>
  </si>
  <si>
    <t xml:space="preserve">根据计算的账龄天数匹配【账龄段配置表dim.dim_rule_fi_mr_ar_aging_seg】</t>
  </si>
  <si>
    <t xml:space="preserve">dim.dim_rule_fi_mr_ar_aging_seg-账龄段配置表</t>
  </si>
  <si>
    <t xml:space="preserve">账龄段编码</t>
  </si>
  <si>
    <t xml:space="preserve">aging_seg_name</t>
  </si>
  <si>
    <t xml:space="preserve">账龄段名称</t>
  </si>
  <si>
    <t xml:space="preserve">pays_tran</t>
  </si>
  <si>
    <t xml:space="preserve">note</t>
  </si>
  <si>
    <t xml:space="preserve">sgtxt</t>
  </si>
  <si>
    <t xml:space="preserve">system_src</t>
  </si>
  <si>
    <t xml:space="preserve">根据取数表判断取数值S600</t>
  </si>
  <si>
    <t xml:space="preserve">ods_src</t>
  </si>
  <si>
    <t xml:space="preserve">odsslt_s600_bsid:BSID
odsslt_s600_bsad:BSAD
odsslt_s600_bsik:BSIK
odsslt_s600_bsak:BSAK
单独取BSAD中本月已清项目：bsad_epay</t>
  </si>
  <si>
    <t xml:space="preserve">固定值：
FAGLFLEXT
GLFUNCT</t>
  </si>
  <si>
    <t xml:space="preserve">0908：补充摘要等信息字段</t>
  </si>
  <si>
    <t xml:space="preserve">load_dt</t>
  </si>
  <si>
    <t xml:space="preserve">NOW()</t>
  </si>
  <si>
    <t/>
    <r>
      <rPr>
        <u val="single"/>
        <color theme="10"/>
      </rPr>
      <t>返回</t>
    </r>
  </si>
  <si>
    <t xml:space="preserve">dwd_fi_mr_ar_odue_mi逻辑处理</t>
  </si>
  <si>
    <t/>
    <r>
      <rPr>
        <u val="single"/>
        <color theme="10"/>
      </rPr>
      <t>规则库</t>
    </r>
  </si>
  <si>
    <t xml:space="preserve">表名称</t>
  </si>
  <si>
    <t xml:space="preserve">dwd.dwd_fi_mr_ar_overdue_mi</t>
  </si>
  <si>
    <t xml:space="preserve">表描述</t>
  </si>
  <si>
    <t xml:space="preserve">超期款明细表</t>
  </si>
  <si>
    <t xml:space="preserve">表类型</t>
  </si>
  <si>
    <t xml:space="preserve">事实表</t>
  </si>
  <si>
    <t xml:space="preserve">数仓分层</t>
  </si>
  <si>
    <t xml:space="preserve">DWD</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</si>
  <si>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</si>
  <si>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</si>
  <si>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</si>
  <si>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</si>
  <si>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</si>
  <si>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</si>
  <si>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</si>
  <si>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</si>
  <si>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</si>
  <si>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</si>
  <si>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</si>
  <si>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取财务中台-问题资金系统中超期款及开票样机的金额</t>
  </si>
  <si>
    <t xml:space="preserve">待跟进事项：
1、问题资金系统需要新增公司+客商+利润中心字段--用户在提需求</t>
  </si>
  <si>
    <t xml:space="preserve">0908：超期款宽表应该包含调整数据，待文霞沟通</t>
  </si>
  <si>
    <t xml:space="preserve">待跟进事项：
1、问题资金系统需要新增公司+客商+利润中心字段--用户在提需求
2、问题资金给的后台表各字段筛选条件及匹配逻辑--待和问题资金的顾问沟通确认</t>
  </si>
  <si>
    <t xml:space="preserve">目标表</t>
  </si>
  <si>
    <t xml:space="preserve">超期款dws.dws_fi_mr_wtzjcqkmx_mi</t>
  </si>
  <si>
    <t xml:space="preserve">问题资金手工调整项【ods.odsfipf_tk_hfi_jtb_bjwtzjtz】</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</si>
  <si>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</si>
  <si>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</si>
  <si>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</si>
  <si>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</si>
  <si>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</si>
  <si>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</si>
  <si>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</si>
  <si>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</si>
  <si>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</si>
  <si>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</si>
  <si>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</si>
  <si>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</si>
  <si>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</si>
  <si>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</si>
  <si>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</si>
  <si>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</si>
  <si>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</si>
  <si>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</si>
  <si>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</si>
  <si>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dt_month</t>
  </si>
  <si>
    <t xml:space="preserve">直接对应</t>
  </si>
  <si>
    <t xml:space="preserve">参数年月</t>
  </si>
  <si>
    <t xml:space="preserve">dws.dws_fi_mr_wtzjcqkmx_mi</t>
  </si>
  <si>
    <t xml:space="preserve">start_dt</t>
  </si>
  <si>
    <t xml:space="preserve">截取字段对应年月
限制条件：
fstatus = 'E'
and fk_hifi_mk = '4'</t>
  </si>
  <si>
    <t xml:space="preserve">ods.odsfipf_tk_hfi_jtb_bjtwtzjtz</t>
  </si>
  <si>
    <t xml:space="preserve">fk_hifi_tzyf</t>
  </si>
  <si>
    <t xml:space="preserve">year</t>
  </si>
  <si>
    <t xml:space="preserve">√</t>
  </si>
  <si>
    <t xml:space="preserve">参数年</t>
  </si>
  <si>
    <t xml:space="preserve">start_dt截取年份</t>
  </si>
  <si>
    <t xml:space="preserve">截取字段对应年份</t>
  </si>
  <si>
    <t xml:space="preserve">month</t>
  </si>
  <si>
    <t xml:space="preserve">普通级</t>
  </si>
  <si>
    <t xml:space="preserve">参数月</t>
  </si>
  <si>
    <t xml:space="preserve">start_dt截取月份</t>
  </si>
  <si>
    <t xml:space="preserve">截取字段对应月份</t>
  </si>
  <si>
    <t xml:space="preserve">company_code</t>
  </si>
  <si>
    <t xml:space="preserve">Doris</t>
  </si>
  <si>
    <t xml:space="preserve">ledge_code</t>
  </si>
  <si>
    <t xml:space="preserve">根据公司名称判断
平板电视：
冰箱公司（冰冷）：
空调公司：
海信日立：
营销服中心——内销：</t>
  </si>
  <si>
    <t xml:space="preserve">fk_hifi_gs</t>
  </si>
  <si>
    <t xml:space="preserve">acct_src_code</t>
  </si>
  <si>
    <t xml:space="preserve">gl_account</t>
  </si>
  <si>
    <t xml:space="preserve">cust_code</t>
  </si>
  <si>
    <t xml:space="preserve">cust_name</t>
  </si>
  <si>
    <t xml:space="preserve">cp_company_code</t>
  </si>
  <si>
    <t xml:space="preserve">匹配客商映射对方公司dim.dim_rule_fi_mr_cust2ctp_mapping</t>
  </si>
  <si>
    <t xml:space="preserve">dim.dim_rule_fi_mr_cust2ctp_mapping</t>
  </si>
  <si>
    <t xml:space="preserve">优先取cp_company_code_mr，为空则取cp_company_code</t>
  </si>
  <si>
    <t xml:space="preserve">客商编码匹配客商映射对方公司映射表</t>
  </si>
  <si>
    <t xml:space="preserve">country_code</t>
  </si>
  <si>
    <t xml:space="preserve">country_name</t>
  </si>
  <si>
    <t xml:space="preserve">channel_l1_code</t>
  </si>
  <si>
    <t xml:space="preserve">comp_cls_l1</t>
  </si>
  <si>
    <t xml:space="preserve">channel_l1_name</t>
  </si>
  <si>
    <t xml:space="preserve">channel_l2_code</t>
  </si>
  <si>
    <t xml:space="preserve">comp_cls_l2</t>
  </si>
  <si>
    <t xml:space="preserve">channel_l2_name</t>
  </si>
  <si>
    <t xml:space="preserve">channel_l3_code</t>
  </si>
  <si>
    <t xml:space="preserve">comp_cls_l3</t>
  </si>
  <si>
    <t xml:space="preserve">channel_l3_name</t>
  </si>
  <si>
    <t xml:space="preserve">onoffline_code</t>
  </si>
  <si>
    <t xml:space="preserve">channel_group</t>
  </si>
  <si>
    <t xml:space="preserve">onoffline_name</t>
  </si>
  <si>
    <t xml:space="preserve">src_profitcenter_code</t>
  </si>
  <si>
    <t xml:space="preserve">profit_center_code</t>
  </si>
  <si>
    <t xml:space="preserve">src_profitcenter_name</t>
  </si>
  <si>
    <t xml:space="preserve">profit_center_name</t>
  </si>
  <si>
    <t xml:space="preserve">profitcenter_code</t>
  </si>
  <si>
    <t xml:space="preserve">profitcenter_name</t>
  </si>
  <si>
    <t xml:space="preserve">bus_range_code</t>
  </si>
  <si>
    <t xml:space="preserve">bus_scope_code</t>
  </si>
  <si>
    <t xml:space="preserve">bus_range_name</t>
  </si>
  <si>
    <t xml:space="preserve">bus_scope_desc</t>
  </si>
  <si>
    <t xml:space="preserve">marketing_dept_code</t>
  </si>
  <si>
    <t xml:space="preserve">biz_mgmt_unit</t>
  </si>
  <si>
    <t xml:space="preserve">marketing_dept_name</t>
  </si>
  <si>
    <t xml:space="preserve">bcy_code</t>
  </si>
  <si>
    <t xml:space="preserve">CNY</t>
  </si>
  <si>
    <t xml:space="preserve">qcy_code</t>
  </si>
  <si>
    <t xml:space="preserve">overdue_1_amt</t>
  </si>
  <si>
    <t xml:space="preserve">overdue_2_amt</t>
  </si>
  <si>
    <t xml:space="preserve">overdue_3_amt</t>
  </si>
  <si>
    <t xml:space="preserve">overdue_4_amt</t>
  </si>
  <si>
    <t xml:space="preserve">overdue_5_amt</t>
  </si>
  <si>
    <t xml:space="preserve">overdue_6_amt</t>
  </si>
  <si>
    <t xml:space="preserve">overdue_7_amt</t>
  </si>
  <si>
    <t xml:space="preserve">overdue_8_amt</t>
  </si>
  <si>
    <t xml:space="preserve">overdue_9_amt</t>
  </si>
  <si>
    <t xml:space="preserve">overdue_0_amt</t>
  </si>
  <si>
    <t xml:space="preserve">超期款金额-超期款调整金额</t>
  </si>
  <si>
    <t xml:space="preserve">overdue_amt - overdue_adj_amt</t>
  </si>
  <si>
    <t xml:space="preserve">fk_hifi_tzje</t>
  </si>
  <si>
    <t xml:space="preserve">inv_sample_amt</t>
  </si>
  <si>
    <t xml:space="preserve">ods_src</t>
  </si>
  <si>
    <t xml:space="preserve">固定值</t>
  </si>
  <si>
    <t xml:space="preserve">load_dt</t>
  </si>
  <si>
    <t xml:space="preserve">NOW()</t>
  </si>
  <si>
    <t/>
    <r>
      <rPr>
        <u val="single"/>
        <color theme="10"/>
      </rPr>
      <t>返回</t>
    </r>
  </si>
  <si>
    <t xml:space="preserve">dwd_fi_mr_ar_ureb_mi逻辑处理</t>
  </si>
  <si>
    <t/>
    <r>
      <rPr>
        <u val="single"/>
        <color theme="10"/>
      </rPr>
      <t>规则库</t>
    </r>
  </si>
  <si>
    <t xml:space="preserve">表名称</t>
  </si>
  <si>
    <t xml:space="preserve">dwd.dwd_fi_mr_ar_ureb_mi</t>
  </si>
  <si>
    <t xml:space="preserve">表描述</t>
  </si>
  <si>
    <t xml:space="preserve">欠付返利明细表</t>
  </si>
  <si>
    <t xml:space="preserve">表类型</t>
  </si>
  <si>
    <t xml:space="preserve">事实表</t>
  </si>
  <si>
    <t xml:space="preserve">数仓分层</t>
  </si>
  <si>
    <t xml:space="preserve">DWD</t>
  </si>
  <si>
    <t xml:space="preserve">L1数仓目录</t>
  </si>
  <si>
    <t xml:space="preserve">管理财经</t>
  </si>
  <si>
    <t xml:space="preserve">L2数仓目录</t>
  </si>
  <si>
    <t xml:space="preserve">财报管理</t>
  </si>
  <si>
    <t xml:space="preserve">L3数仓目录</t>
  </si>
  <si>
    <t xml:space="preserve">收入</t>
  </si>
  <si>
    <t xml:space="preserve">更新方式</t>
  </si>
  <si>
    <t xml:space="preserve">增量更新</t>
  </si>
  <si>
    <t xml:space="preserve">设计人员</t>
  </si>
  <si>
    <t xml:space="preserve">时间</t>
  </si>
  <si>
    <t xml:space="preserve">待确认：1、数据更新机制；2、不到利润中心怎么匹配--日立的往来数据不到利润中心</t>
  </si>
  <si>
    <t xml:space="preserve">使用场景</t>
  </si>
  <si>
    <t xml:space="preserve">取SMS系统、政策系统、SAP系统的欠付返利明细</t>
  </si>
  <si>
    <t xml:space="preserve">0908：前面要再加一个静态存数的表，和用户沟通风险点，最好是前端系统存静态数据</t>
  </si>
  <si>
    <t xml:space="preserve">目标表</t>
  </si>
  <si>
    <t xml:space="preserve">SMS经销商返利余额汇总管理表</t>
  </si>
  <si>
    <t xml:space="preserve">已确认未兑现政策余额数据</t>
  </si>
  <si>
    <t xml:space="preserve">SAP客户行项目明细</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</si>
  <si>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</si>
  <si>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</si>
  <si>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</si>
  <si>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</si>
  <si>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</si>
  <si>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</si>
  <si>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</si>
  <si>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</si>
  <si>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</si>
  <si>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</si>
  <si>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</si>
  <si>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</si>
  <si>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</si>
  <si>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</si>
  <si>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</si>
  <si>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</si>
  <si>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</si>
  <si>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</si>
  <si>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</si>
  <si>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dt_month</t>
  </si>
  <si>
    <t xml:space="preserve">参数年月</t>
  </si>
  <si>
    <t xml:space="preserve">Doris</t>
  </si>
  <si>
    <t xml:space="preserve">ods.ods_plc_v_hpms_account_gb</t>
  </si>
  <si>
    <t xml:space="preserve">period</t>
  </si>
  <si>
    <t xml:space="preserve">dwd_fi_mr_arap_detail_mi</t>
  </si>
  <si>
    <t xml:space="preserve">year</t>
  </si>
  <si>
    <t xml:space="preserve">√</t>
  </si>
  <si>
    <t xml:space="preserve">普通级</t>
  </si>
  <si>
    <t xml:space="preserve">参数年</t>
  </si>
  <si>
    <t xml:space="preserve">LEFT(period,4)</t>
  </si>
  <si>
    <t xml:space="preserve">month</t>
  </si>
  <si>
    <t xml:space="preserve">参数月</t>
  </si>
  <si>
    <t xml:space="preserve">RIGHT(period,2)</t>
  </si>
  <si>
    <t xml:space="preserve">company_code</t>
  </si>
  <si>
    <t xml:space="preserve">直接对应</t>
  </si>
  <si>
    <t xml:space="preserve">dwd_ltc_cem_reportpay_balance_summary_dd</t>
  </si>
  <si>
    <t xml:space="preserve">sales_group</t>
  </si>
  <si>
    <t xml:space="preserve">客商编码</t>
  </si>
  <si>
    <t xml:space="preserve">cust_code</t>
  </si>
  <si>
    <t xml:space="preserve">sales_code</t>
  </si>
  <si>
    <t xml:space="preserve">customer_code</t>
  </si>
  <si>
    <t xml:space="preserve">客商名称</t>
  </si>
  <si>
    <t xml:space="preserve">cust_name</t>
  </si>
  <si>
    <t xml:space="preserve">sname</t>
  </si>
  <si>
    <t xml:space="preserve">customer_name</t>
  </si>
  <si>
    <t xml:space="preserve">cp_company_code</t>
  </si>
  <si>
    <t xml:space="preserve">匹配客商映射对方公司dim.dim_rule_fi_mr_cust2ctp_mapping</t>
  </si>
  <si>
    <t xml:space="preserve">dim.dim_rule_fi_mr_cust2ctp_mapping</t>
  </si>
  <si>
    <t xml:space="preserve">优先取cp_company_code_mr，为空则取cp_company_code</t>
  </si>
  <si>
    <t xml:space="preserve">客商编码匹配客商映射对方公司映射表</t>
  </si>
  <si>
    <t xml:space="preserve">country_code</t>
  </si>
  <si>
    <t xml:space="preserve">匹配mdg客户主数据得到对应字段</t>
  </si>
  <si>
    <t xml:space="preserve">dw.dim_customer_base_info_dd-客户主数据基本信息</t>
  </si>
  <si>
    <t xml:space="preserve">kunnr_mdg = cust_code</t>
  </si>
  <si>
    <t xml:space="preserve">country_name</t>
  </si>
  <si>
    <t xml:space="preserve">src_profitcenter_code</t>
  </si>
  <si>
    <t xml:space="preserve">/</t>
  </si>
  <si>
    <t xml:space="preserve">profit_center</t>
  </si>
  <si>
    <t xml:space="preserve">src_profitcenter_name</t>
  </si>
  <si>
    <t xml:space="preserve">profitcenter_code</t>
  </si>
  <si>
    <t xml:space="preserve">匹配《应收模块-利润中心映射表》，筛选映射类型为“收入利润中心映射往来利润中心”，将收入利润中心映射成应收利润中心</t>
  </si>
  <si>
    <t xml:space="preserve">dim_rule_fi_mr_ar_prctr_map经分项目应收模块-利润中心映射表</t>
  </si>
  <si>
    <t xml:space="preserve">profitcenter_name</t>
  </si>
  <si>
    <t xml:space="preserve">reb_type</t>
  </si>
  <si>
    <t xml:space="preserve">leibie</t>
  </si>
  <si>
    <t xml:space="preserve">ledger_status</t>
  </si>
  <si>
    <t xml:space="preserve">policystatename</t>
  </si>
  <si>
    <t xml:space="preserve">已确认未兑现：兑现过程中、确认完成
已计提未兑现：待确认</t>
  </si>
  <si>
    <t xml:space="preserve">acct_cert_type</t>
  </si>
  <si>
    <t xml:space="preserve">zz</t>
  </si>
  <si>
    <t xml:space="preserve">pay_reason_code</t>
  </si>
  <si>
    <t xml:space="preserve">0908：从凭证明细表中取，根据打的标签来判断</t>
  </si>
  <si>
    <t xml:space="preserve">bcy_code</t>
  </si>
  <si>
    <t xml:space="preserve">固定CNY</t>
  </si>
  <si>
    <t xml:space="preserve">CNY</t>
  </si>
  <si>
    <t xml:space="preserve">筛选ods_src为bsid且acct_map_code为1122%</t>
  </si>
  <si>
    <t xml:space="preserve">qcy_code</t>
  </si>
  <si>
    <t xml:space="preserve">bcy_amt</t>
  </si>
  <si>
    <t xml:space="preserve">yue</t>
  </si>
  <si>
    <t xml:space="preserve">arrears_amount</t>
  </si>
  <si>
    <t xml:space="preserve">qcy_amt</t>
  </si>
  <si>
    <t xml:space="preserve">ods_src</t>
  </si>
  <si>
    <t xml:space="preserve">固定值</t>
  </si>
  <si>
    <t xml:space="preserve">SMS</t>
  </si>
  <si>
    <t xml:space="preserve">policy</t>
  </si>
  <si>
    <t xml:space="preserve">SAP</t>
  </si>
  <si>
    <t xml:space="preserve">load_dt</t>
  </si>
  <si>
    <t xml:space="preserve">数据更新时间</t>
  </si>
  <si>
    <t/>
    <r>
      <rPr>
        <u val="single"/>
        <color theme="10"/>
      </rPr>
      <t>返回</t>
    </r>
  </si>
  <si>
    <t xml:space="preserve">dwd_fi_mr_ar_imocc_mi逻辑处理</t>
  </si>
  <si>
    <t/>
    <r>
      <rPr>
        <u val="single"/>
        <color theme="10"/>
      </rPr>
      <t>规则库</t>
    </r>
  </si>
  <si>
    <t xml:space="preserve">表名称</t>
  </si>
  <si>
    <t xml:space="preserve">dwd.dwd_fi_mr_ar_imocc_mi</t>
  </si>
  <si>
    <t xml:space="preserve">表描述</t>
  </si>
  <si>
    <t xml:space="preserve">国际营销应收占用明细表</t>
  </si>
  <si>
    <t xml:space="preserve">表类型</t>
  </si>
  <si>
    <t xml:space="preserve">事实表</t>
  </si>
  <si>
    <t xml:space="preserve">数仓分层</t>
  </si>
  <si>
    <t xml:space="preserve">DWD</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</si>
  <si>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</si>
  <si>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</si>
  <si>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</si>
  <si>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</si>
  <si>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</si>
  <si>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</si>
  <si>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</si>
  <si>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</si>
  <si>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</si>
  <si>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</si>
  <si>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</si>
  <si>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取信数系统中国际营销对外的的应收占用数据</t>
  </si>
  <si>
    <t xml:space="preserve">目标表</t>
  </si>
  <si>
    <t xml:space="preserve">国际营销占用ads.ads_fi_mr_accounts_rec_di</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</si>
  <si>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</si>
  <si>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</si>
  <si>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</si>
  <si>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</si>
  <si>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</si>
  <si>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</si>
  <si>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</si>
  <si>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</si>
  <si>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</si>
  <si>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</si>
  <si>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</si>
  <si>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</si>
  <si>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</si>
  <si>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</si>
  <si>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</si>
  <si>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</si>
  <si>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</si>
  <si>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</si>
  <si>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</si>
  <si>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dt_month</t>
  </si>
  <si>
    <t xml:space="preserve">直接对应</t>
  </si>
  <si>
    <t xml:space="preserve">参数年月</t>
  </si>
  <si>
    <t xml:space="preserve">ads.ads_fi_mr_accounts_rec_di</t>
  </si>
  <si>
    <t xml:space="preserve">month_dt</t>
  </si>
  <si>
    <t xml:space="preserve">year</t>
  </si>
  <si>
    <t xml:space="preserve">√</t>
  </si>
  <si>
    <t xml:space="preserve">参数年</t>
  </si>
  <si>
    <t xml:space="preserve">month_dt截取年份</t>
  </si>
  <si>
    <t xml:space="preserve">month</t>
  </si>
  <si>
    <t xml:space="preserve">普通级</t>
  </si>
  <si>
    <t xml:space="preserve">参数月</t>
  </si>
  <si>
    <t xml:space="preserve">month_dt截取月份</t>
  </si>
  <si>
    <t xml:space="preserve">company_src_code</t>
  </si>
  <si>
    <t xml:space="preserve">Doris</t>
  </si>
  <si>
    <t xml:space="preserve">bukrs</t>
  </si>
  <si>
    <t xml:space="preserve">company_code</t>
  </si>
  <si>
    <t xml:space="preserve">根据条件判断
1、商显公司2080：
取product_line_code=01A0 OR 
region_flag为‘B2B业务拓展部’的数据
2、日立公司1740：
region_flag为‘产品线大区’ AND product_line_code=0207
其余默认放8010</t>
  </si>
  <si>
    <t xml:space="preserve">region_code</t>
  </si>
  <si>
    <t xml:space="preserve">rgn</t>
  </si>
  <si>
    <t xml:space="preserve">region_name</t>
  </si>
  <si>
    <t xml:space="preserve">匹配区组主数据</t>
  </si>
  <si>
    <t/>
    <r>
      <rPr>
        <b val="false"/>
        <i val="false"/>
        <strike val="false"/>
        <sz val="11"/>
        <color rgb="FF373C43"/>
      </rPr>
      <t>ads.ads_fi_mr_accounts_rec_di</t>
    </r>
    <r>
      <rPr>
        <b val="false"/>
        <i val="false"/>
        <strike val="false"/>
        <sz val="11"/>
        <color rgb="FF373C43"/>
      </rPr>
      <t xml:space="preserve">dw.dwsd_im_td_bdr_area_group a2--区组主数据</t>
    </r>
  </si>
  <si>
    <t xml:space="preserve">rgn_zh</t>
  </si>
  <si>
    <t xml:space="preserve">region_flag</t>
  </si>
  <si>
    <t xml:space="preserve">匹配区组主数据和产品线主数据进行判断</t>
  </si>
  <si>
    <t xml:space="preserve">ads.ads_fi_mr_accounts_rec_di
dw.dwsd_im_td_bdr_area_group a2--区组主数据
dw.dwfi_im_td_product_category a3--产品线主数据</t>
  </si>
  <si>
    <t xml:space="preserve">case when A1.month_dt&gt;='202504' AND (A3.prdln  in ('0207','0403','0401','0402') OR (A3.prdln='01A0' AND A2.grp&lt;&gt;'D0090')) 
         then '产品线大区'
      when A1.month_dt&lt;'202504' AND A3.prdln  in ('0207','01A0','0403','0401','0402') 
         then '产品线大区'
      when (A2.rgn_zh is null and A3.prdln not in ('0207','01A0','0403','0401','0402')) or A1.type ='8002'
         then '欧洲区'
      else A2.rgn_zh
 end</t>
  </si>
  <si>
    <t xml:space="preserve">a1.grp=a2.grp
a1.prdln=a3.prdln </t>
  </si>
  <si>
    <t xml:space="preserve">产品线主数据需要现在enable_flag='T' </t>
  </si>
  <si>
    <t xml:space="preserve">area_group_code</t>
  </si>
  <si>
    <t xml:space="preserve">grp</t>
  </si>
  <si>
    <t xml:space="preserve">area_group_name</t>
  </si>
  <si>
    <t xml:space="preserve">ads.ads_fi_mr_accounts_rec_di
dw.dwsd_im_td_bdr_area_group a2--区组主数据</t>
  </si>
  <si>
    <t xml:space="preserve">grp_zh </t>
  </si>
  <si>
    <t xml:space="preserve">area_group_flag</t>
  </si>
  <si>
    <t xml:space="preserve">case when A1.type ='8002' then '欧洲海外' 
      else A2.grp_zh 
 end</t>
  </si>
  <si>
    <t xml:space="preserve">a1.grp=a2.grp</t>
  </si>
  <si>
    <t xml:space="preserve">bus_model_code</t>
  </si>
  <si>
    <t xml:space="preserve">bus_model</t>
  </si>
  <si>
    <t xml:space="preserve">product_big_class_code</t>
  </si>
  <si>
    <t xml:space="preserve">prdctgy</t>
  </si>
  <si>
    <t xml:space="preserve">product_big_class_name</t>
  </si>
  <si>
    <t xml:space="preserve">匹配产品线主数据进行判断</t>
  </si>
  <si>
    <t xml:space="preserve">ads.ads_fi_mr_accounts_rec_di
dw.dwfi_im_td_product_category a3--产品线主数据</t>
  </si>
  <si>
    <t xml:space="preserve">prdctgy_zh</t>
  </si>
  <si>
    <t xml:space="preserve">a1.prdln=a3.prdln </t>
  </si>
  <si>
    <t xml:space="preserve">product_line_code</t>
  </si>
  <si>
    <t xml:space="preserve">prdln</t>
  </si>
  <si>
    <t xml:space="preserve">product_line_name</t>
  </si>
  <si>
    <t xml:space="preserve">prdln_zh</t>
  </si>
  <si>
    <t xml:space="preserve">cust_pay_term</t>
  </si>
  <si>
    <t xml:space="preserve">ads.ads_fi_mr_accounts_rec_di
ods.odsmf_cm_tab1065 a5</t>
  </si>
  <si>
    <t xml:space="preserve">case when a5.zterm_c is null then '其他' else a5.zterm_c end </t>
  </si>
  <si>
    <t xml:space="preserve">a1.zterm=a5.zterm</t>
  </si>
  <si>
    <t xml:space="preserve">data_scope_code</t>
  </si>
  <si>
    <t xml:space="preserve">extent</t>
  </si>
  <si>
    <t xml:space="preserve">cust_code</t>
  </si>
  <si>
    <t xml:space="preserve">kunnr</t>
  </si>
  <si>
    <t xml:space="preserve">cust_name</t>
  </si>
  <si>
    <t xml:space="preserve">如果客户主数据匹配不到则取科目主数据</t>
  </si>
  <si>
    <t xml:space="preserve">ads.ads_fi_mr_accounts_rec_di
1、ods.ods_slt_s810_kna1-客户主数据
2、ods.odsslt_s810_skat-科目主数据
mandt = '810' and spras = '1'</t>
  </si>
  <si>
    <t xml:space="preserve">cust_name
txt_20</t>
  </si>
  <si>
    <t xml:space="preserve">cust_branch_code</t>
  </si>
  <si>
    <t xml:space="preserve">custfundcode</t>
  </si>
  <si>
    <t xml:space="preserve">cust_branch_name</t>
  </si>
  <si>
    <t xml:space="preserve">custfundname</t>
  </si>
  <si>
    <t xml:space="preserve">cp_company_code</t>
  </si>
  <si>
    <t xml:space="preserve">匹配客商映射对方公司dim.dim_rule_fi_mr_cust2ctp_mapping</t>
  </si>
  <si>
    <t xml:space="preserve">dim.dim_rule_fi_mr_cust2ctp_mapping</t>
  </si>
  <si>
    <t xml:space="preserve">优先取cp_company_code_mr，为空则取cp_company_code</t>
  </si>
  <si>
    <t xml:space="preserve">客商编码匹配客商映射对方公司映射表</t>
  </si>
  <si>
    <t xml:space="preserve">country_code</t>
  </si>
  <si>
    <t xml:space="preserve">1、先匹配SAP客户主数据得到zkunnr_mdg
2、再匹配mdg客户主数据得到对应字段</t>
  </si>
  <si>
    <t xml:space="preserve">1、ods.ods_slt_s810_kna1-客户主数据
2、dw.dim_customer_base_info_dd-客户主数据基本信息</t>
  </si>
  <si>
    <t xml:space="preserve">1、zkunnr_mdg
2、country_code</t>
  </si>
  <si>
    <t xml:space="preserve">1、kunnr = kunnr
2、zkunnr_mdg = cust_code</t>
  </si>
  <si>
    <t xml:space="preserve">country_name</t>
  </si>
  <si>
    <t xml:space="preserve">1、zkunnr_mdg
2、country_name</t>
  </si>
  <si>
    <t xml:space="preserve">channel_l1_code</t>
  </si>
  <si>
    <t xml:space="preserve">1、zkunnr_mdg
2、com_1st_code</t>
  </si>
  <si>
    <t xml:space="preserve">channel_l1_name</t>
  </si>
  <si>
    <t xml:space="preserve">1、zkunnr_mdg
2、com_1st_name</t>
  </si>
  <si>
    <t xml:space="preserve">channel_l2_code</t>
  </si>
  <si>
    <t xml:space="preserve">1、zkunnr_mdg
2、com_2nd_code</t>
  </si>
  <si>
    <t xml:space="preserve">channel_l2_name</t>
  </si>
  <si>
    <t xml:space="preserve">1、zkunnr_mdg
2、com_2nd_name</t>
  </si>
  <si>
    <t xml:space="preserve">channel_l3_code</t>
  </si>
  <si>
    <t xml:space="preserve">1、zkunnr_mdg
2、com_3rd_code</t>
  </si>
  <si>
    <t xml:space="preserve">channel_l3_name</t>
  </si>
  <si>
    <t xml:space="preserve">1、zkunnr_mdg
2、com_3rd_name</t>
  </si>
  <si>
    <t xml:space="preserve">bus_range_code</t>
  </si>
  <si>
    <t xml:space="preserve">bus_range_name</t>
  </si>
  <si>
    <t xml:space="preserve">profitcenter_code</t>
  </si>
  <si>
    <t xml:space="preserve">公司为2080：
客户名称如果包含“119项目”，则输出X00000002，其他输出101008002
公司为1740：ZZZZ</t>
  </si>
  <si>
    <t xml:space="preserve">profitcenter_name</t>
  </si>
  <si>
    <t xml:space="preserve">公司为2080：
客户名称如果包含“119项目”，则输出商显大项目，其他输出海信商用显示-触控平板-会议
公司为1740：缺省</t>
  </si>
  <si>
    <t xml:space="preserve">bcy_code</t>
  </si>
  <si>
    <t xml:space="preserve">sm</t>
  </si>
  <si>
    <t xml:space="preserve">qcy_code</t>
  </si>
  <si>
    <t xml:space="preserve">固定值 CNY</t>
  </si>
  <si>
    <t xml:space="preserve">imocc_cny_amt</t>
  </si>
  <si>
    <t xml:space="preserve">end_amt_cny_m</t>
  </si>
  <si>
    <t xml:space="preserve">imocc_con_amt</t>
  </si>
  <si>
    <t xml:space="preserve">end_amt_usd_m</t>
  </si>
  <si>
    <t xml:space="preserve">imocc_usd_amt</t>
  </si>
  <si>
    <t xml:space="preserve">end_amt_cod_m</t>
  </si>
  <si>
    <t xml:space="preserve">ods_src</t>
  </si>
  <si>
    <t xml:space="preserve">IMOCC</t>
  </si>
  <si>
    <t xml:space="preserve">load_dt</t>
  </si>
  <si>
    <t xml:space="preserve">NOW()</t>
  </si>
  <si>
    <t/>
    <r>
      <rPr>
        <u val="single"/>
        <color theme="10"/>
      </rPr>
      <t>返回</t>
    </r>
  </si>
  <si>
    <t xml:space="preserve">dwd_fi_mr_ar_writeoff_mi逻辑处理</t>
  </si>
  <si>
    <t/>
    <r>
      <rPr>
        <u val="single"/>
        <color theme="10"/>
      </rPr>
      <t>规则库</t>
    </r>
  </si>
  <si>
    <t xml:space="preserve">表名称</t>
  </si>
  <si>
    <t xml:space="preserve">dwd.dwd_fi_mr_ar_writeoff_mi</t>
  </si>
  <si>
    <t xml:space="preserve">表描述</t>
  </si>
  <si>
    <t xml:space="preserve">核销金额明细表</t>
  </si>
  <si>
    <t xml:space="preserve">表类型</t>
  </si>
  <si>
    <t xml:space="preserve">事实表</t>
  </si>
  <si>
    <t xml:space="preserve">数仓分层</t>
  </si>
  <si>
    <t xml:space="preserve">DWD</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</si>
  <si>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</si>
  <si>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</si>
  <si>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</si>
  <si>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</si>
  <si>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</si>
  <si>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</si>
  <si>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</si>
  <si>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</si>
  <si>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</si>
  <si>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</si>
  <si>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</si>
  <si>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取财务中台中坏账核销单中的核销金额数据</t>
  </si>
  <si>
    <t xml:space="preserve">目标表</t>
  </si>
  <si>
    <t xml:space="preserve">财务中台坏账核销单</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</si>
  <si>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</si>
  <si>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</si>
  <si>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</si>
  <si>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</si>
  <si>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</si>
  <si>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</si>
  <si>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</si>
  <si>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</si>
  <si>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</si>
  <si>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</si>
  <si>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</si>
  <si>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</si>
  <si>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</si>
  <si>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</si>
  <si>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</si>
  <si>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</si>
  <si>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</si>
  <si>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</si>
  <si>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</si>
  <si>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dt_month</t>
  </si>
  <si>
    <t/>
    <r>
      <rPr>
        <b val="true"/>
        <i val="false"/>
        <strike val="false"/>
        <sz val="11"/>
        <color rgb="FF373C43"/>
      </rPr>
      <t xml:space="preserve">限制条件：
</t>
    </r>
    <r>
      <rPr>
        <b val="false"/>
        <i val="false"/>
        <strike val="false"/>
        <sz val="11"/>
        <color rgb="FF373C43"/>
      </rPr>
      <t xml:space="preserve">1、限制科目为应收、其他应收、长期应收、合同资产
2、单据状态fbillstatus = 'C'
3、SAP凭证号fk_hifi_sapvouchernum 不为空</t>
    </r>
  </si>
  <si>
    <t xml:space="preserve">参数年月</t>
  </si>
  <si>
    <t xml:space="preserve">ods.odsfmfi_tk_hifi_baddebtverify
ods.odsfmfi_t_bd_period</t>
  </si>
  <si>
    <t xml:space="preserve">参数截取年月</t>
  </si>
  <si>
    <t xml:space="preserve">fk_hifi_accountdate = fid</t>
  </si>
  <si>
    <t xml:space="preserve">fnumber=参数年月
ods.ODSFMFI_TK_HIFI_BADDEBTVERIFY.fbillstatus = 'C'
ods.ODSFMFI_TK_HIFI_BADDEBTVERIFY.fk_hifi_sapvouchernum IS NOT NULL
(
             (r.fk_hifi_sap_version = 'SAP600' AND (a.fnumber LIKE '1122%' OR a.fnumber LIKE '1221%' OR a.fnumber LIKE '1531%' OR a.fnumber = '1460000000'))
          OR (r.fk_hifi_sap_version = 'SAP700' AND (a.fnumber LIKE '1122%' OR a.fnumber LIKE '1221%' OR a.fnumber = '1460000000'))
          OR (r.fk_hifi_sap_version = 'SAP900' AND (a.fnumber LIKE '1131%' OR a.fnumber LIKE '1133%' OR a.fnumber = '1460000000'))
          OR (r.fk_hifi_sap_version = 'SAP800B'AND (a.fnumber LIKE '1122%' OR a.fnumber LIKE '1221%' OR a.fnumber = '1460000000'))
          OR (r.fk_hifi_sap_version = 'SAP800' AND (a.fnumber LIKE '1131%' OR a.fnumber LIKE '1133%' OR a.fnumber = '1460000000'))
          OR (r.fk_hifi_sap_version = 'SAP810' AND (a.fnumber LIKE '1122%' OR a.fnumber LIKE '1221%'))
        )</t>
  </si>
  <si>
    <t xml:space="preserve">r:ods.ODSFMSECD_TK_HIFI_ORGS_REF匹配sap版本号fk_hifi_org_id=fid
a:匹配科目主数据ods.ODSFMFI_T_BD_ACCOUNT
fk_hifi_accountorg = fid</t>
  </si>
  <si>
    <t xml:space="preserve">year</t>
  </si>
  <si>
    <t xml:space="preserve">√</t>
  </si>
  <si>
    <t xml:space="preserve">直接对应</t>
  </si>
  <si>
    <t xml:space="preserve">参数年</t>
  </si>
  <si>
    <t xml:space="preserve"/>
  </si>
  <si>
    <t xml:space="preserve">参数截取年份</t>
  </si>
  <si>
    <t xml:space="preserve">month</t>
  </si>
  <si>
    <t xml:space="preserve">普通级</t>
  </si>
  <si>
    <t xml:space="preserve">参数月</t>
  </si>
  <si>
    <t xml:space="preserve">参数截取月份</t>
  </si>
  <si>
    <t xml:space="preserve">company_code</t>
  </si>
  <si>
    <t xml:space="preserve">匹配公司主数据</t>
  </si>
  <si>
    <t xml:space="preserve">Doris</t>
  </si>
  <si>
    <t xml:space="preserve">ods.odsfmfi_tk_hifi_baddebtverify
ods.odsfmtss_t_org_org</t>
  </si>
  <si>
    <t xml:space="preserve">ods.odsfmtss_t_org_org.fnumber</t>
  </si>
  <si>
    <t xml:space="preserve">fk_hifi_accountorg = fid</t>
  </si>
  <si>
    <t xml:space="preserve">acct_src_code</t>
  </si>
  <si>
    <t xml:space="preserve">ods.odsfmfi_tk_hifi_baddebtverifysub
ods.odsfmfi_t_bd_account</t>
  </si>
  <si>
    <t xml:space="preserve">fnumber</t>
  </si>
  <si>
    <t xml:space="preserve">fk_hifi_subjects = fid</t>
  </si>
  <si>
    <t xml:space="preserve">0908：科目分类的处理后续统一处理，D层放原始科目</t>
  </si>
  <si>
    <t xml:space="preserve">acct_map_code</t>
  </si>
  <si>
    <t xml:space="preserve">匹配科目映射表dim.dim_rule_fi_mr_acct_mapping</t>
  </si>
  <si>
    <t xml:space="preserve">dim.dim_rule_fi_mr_acct_mapping</t>
  </si>
  <si>
    <t xml:space="preserve">取映射后科目</t>
  </si>
  <si>
    <t xml:space="preserve">科目编码匹配科目映射表</t>
  </si>
  <si>
    <t xml:space="preserve">case when a.fnumber LIKE '1122%' OR a.fnumber LIKE '1131%' then '1122000000'
         when a.fnumber LIKE '1221%' OR a.fnumber LIKE '1133%' then '122101F'
         when a.fnumber = '1460000000' then '1460000000'
         when a.fnumber LIKE '1531%' then '1531000000' END</t>
  </si>
  <si>
    <t xml:space="preserve">cust_code</t>
  </si>
  <si>
    <t xml:space="preserve">匹配客户主数据</t>
  </si>
  <si>
    <t xml:space="preserve">ods.odsfmfi_tk_hifi_baddebtverifysub
ods.odsfmtss_t_bd_customer</t>
  </si>
  <si>
    <t xml:space="preserve">SUBSTR(cus.fnumber,1,INSTR(cus.fnumber,'(')-1)</t>
  </si>
  <si>
    <t xml:space="preserve">fk_hifi_customer = fid</t>
  </si>
  <si>
    <t xml:space="preserve">cust_name</t>
  </si>
  <si>
    <t xml:space="preserve">fname</t>
  </si>
  <si>
    <t xml:space="preserve">src_profitcenter_code</t>
  </si>
  <si>
    <t xml:space="preserve">匹配利润中心主数据</t>
  </si>
  <si>
    <t xml:space="preserve">ods.odsfmfi_tk_hifi_baddebtverifysub
ods.odsfmfi_tk_hifi_cas_profitcenter</t>
  </si>
  <si>
    <t xml:space="preserve">ltrim(pf.fnumber,'0')</t>
  </si>
  <si>
    <t xml:space="preserve">fk_hifi_profitcenter = fid</t>
  </si>
  <si>
    <t xml:space="preserve">src_profitcenter_name</t>
  </si>
  <si>
    <t xml:space="preserve">ods.odsfmfi_tk_hifi_cas_profitcenter
ods.odsfmfi_tk_hifi_cas_profitcenter_l</t>
  </si>
  <si>
    <t xml:space="preserve">fid = fid and flocaleid = 'zh_CN'</t>
  </si>
  <si>
    <t xml:space="preserve">profitcenter_code</t>
  </si>
  <si>
    <t xml:space="preserve">profitcenter_name</t>
  </si>
  <si>
    <t xml:space="preserve">bus_range_code</t>
  </si>
  <si>
    <t xml:space="preserve">匹配业务范围主数据</t>
  </si>
  <si>
    <t xml:space="preserve">ods.odsfmfi_tk_hifi_baddebtverifysub
ods.odsfmfi_tk_hifi_cas_bizrange</t>
  </si>
  <si>
    <t xml:space="preserve">fk_hifi_businessscope = fid</t>
  </si>
  <si>
    <t xml:space="preserve">bus_range_name</t>
  </si>
  <si>
    <t xml:space="preserve">ods.odsfmfi_tk_hifi_cas_bizrange
ods.odsfmfi_tk_hifi_cas_bizrange_l</t>
  </si>
  <si>
    <t xml:space="preserve">bcy_code</t>
  </si>
  <si>
    <t xml:space="preserve">匹配币种主数据</t>
  </si>
  <si>
    <t xml:space="preserve">ods.odsfmfi_tk_hifi_baddebtverifysub
ods.odsfmtssys_t_bd_currency</t>
  </si>
  <si>
    <t xml:space="preserve">fk_hifi_localcurrency = fid</t>
  </si>
  <si>
    <t xml:space="preserve">qcy_code</t>
  </si>
  <si>
    <t xml:space="preserve">fk_hifi_currencyfield = fid</t>
  </si>
  <si>
    <t xml:space="preserve">bcy_amt</t>
  </si>
  <si>
    <t xml:space="preserve">ods.odsfmfi_tk_hifi_baddebtverify
ods.odsfmfi_tk_hifi_baddebtverifysub</t>
  </si>
  <si>
    <t xml:space="preserve">fk_hifi_local_lossmoneys</t>
  </si>
  <si>
    <t xml:space="preserve">fid = fid</t>
  </si>
  <si>
    <t xml:space="preserve">qcy_amt</t>
  </si>
  <si>
    <t xml:space="preserve">fk_hifi_lossmoneys</t>
  </si>
  <si>
    <t xml:space="preserve">ods_src</t>
  </si>
  <si>
    <t xml:space="preserve">固定值</t>
  </si>
  <si>
    <t xml:space="preserve">load_dt</t>
  </si>
  <si>
    <t xml:space="preserve">NOW()</t>
  </si>
  <si>
    <t/>
    <r>
      <rPr>
        <u val="single"/>
        <color theme="10"/>
      </rPr>
      <t>返回</t>
    </r>
  </si>
  <si>
    <t xml:space="preserve">dwd_fi_mr_arap_sum_mi逻辑处理</t>
  </si>
  <si>
    <t/>
    <r>
      <rPr>
        <u val="single"/>
        <color theme="10"/>
      </rPr>
      <t>规则库</t>
    </r>
  </si>
  <si>
    <t xml:space="preserve">表名称</t>
  </si>
  <si>
    <t xml:space="preserve">dwd.dwd_fi_mr_arap_sum_mi</t>
  </si>
  <si>
    <t xml:space="preserve">表描述</t>
  </si>
  <si>
    <t xml:space="preserve">往来账龄汇总表</t>
  </si>
  <si>
    <t xml:space="preserve">表类型</t>
  </si>
  <si>
    <t xml:space="preserve">事实表</t>
  </si>
  <si>
    <t xml:space="preserve">数仓分层</t>
  </si>
  <si>
    <t xml:space="preserve">DWD</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</si>
  <si>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</si>
  <si>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</si>
  <si>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</si>
  <si>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</si>
  <si>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</si>
  <si>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</si>
  <si>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</si>
  <si>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</si>
  <si>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</si>
  <si>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</si>
  <si>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</si>
  <si>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根据detail的明细表单将数据进行聚合，不到凭证行项目，减少数据量，并且将信汇系统的明细数据聚合</t>
  </si>
  <si>
    <t xml:space="preserve">待确认：ods.odsmr_ztab_9000_acct_maping公司匹配表怎么处理--表单入湖，逻辑延用</t>
  </si>
  <si>
    <t xml:space="preserve">目标表</t>
  </si>
  <si>
    <t xml:space="preserve">1、往来账龄明细表【dwd_fi_mr_arap_detail_mi】</t>
  </si>
  <si>
    <t xml:space="preserve">2、信汇ods.odsmt_fin_bill_view_data</t>
  </si>
  <si>
    <t xml:space="preserve">3、超期款明细表</t>
  </si>
  <si>
    <t xml:space="preserve">4.1、SMS欠付返利明细表</t>
  </si>
  <si>
    <t xml:space="preserve">4.2、政策欠付返利明细表</t>
  </si>
  <si>
    <t xml:space="preserve">5、提前回款【dwd_fi_mr_arap_sum_mi】</t>
  </si>
  <si>
    <t xml:space="preserve">6、核销金额明细表dwd.dwd_fi_mr_ar_writeoff_mi</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</si>
  <si>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</si>
  <si>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</si>
  <si>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</si>
  <si>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</si>
  <si>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</si>
  <si>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</si>
  <si>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</si>
  <si>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</si>
  <si>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</si>
  <si>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</si>
  <si>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</si>
  <si>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</si>
  <si>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</si>
  <si>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</si>
  <si>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</si>
  <si>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</si>
  <si>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</si>
  <si>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</si>
  <si>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</si>
  <si>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dt_month</t>
  </si>
  <si>
    <t xml:space="preserve">直接对应</t>
  </si>
  <si>
    <t xml:space="preserve">参数年月</t>
  </si>
  <si>
    <t xml:space="preserve">dws.dws_fi_mr_ar_overdue_mi</t>
  </si>
  <si>
    <t xml:space="preserve">start_dt</t>
  </si>
  <si>
    <t xml:space="preserve">Doris</t>
  </si>
  <si>
    <t xml:space="preserve">dwd_mrs_mc_report_reward_account_detail_new_hi</t>
  </si>
  <si>
    <t xml:space="preserve">period</t>
  </si>
  <si>
    <t xml:space="preserve">doris</t>
  </si>
  <si>
    <t xml:space="preserve">dwd_fi_mr_arap_sum_mi</t>
  </si>
  <si>
    <t/>
    <r>
      <rPr>
        <b val="true"/>
        <i val="false"/>
        <strike val="false"/>
        <sz val="11"/>
        <color rgb="FF373C43"/>
      </rPr>
      <t xml:space="preserve">限制条件：
</t>
    </r>
    <r>
      <rPr>
        <b val="false"/>
        <i val="false"/>
        <strike val="false"/>
        <sz val="11"/>
        <color rgb="FF373C43"/>
      </rPr>
      <t xml:space="preserve">1、限制科目为应收、其他应收、长期应收、合同资产
2、单据状态fbillstatus = 'C'
3、SAP凭证号fk_hifi_sapvouchernum 不为空</t>
    </r>
  </si>
  <si>
    <t xml:space="preserve">ods.odsfmfi_tk_hifi_baddebtverify
ods.odsfmfi_t_bd_period</t>
  </si>
  <si>
    <t xml:space="preserve">参数截取年月</t>
  </si>
  <si>
    <t xml:space="preserve">year</t>
  </si>
  <si>
    <t xml:space="preserve">√</t>
  </si>
  <si>
    <t xml:space="preserve">普通级</t>
  </si>
  <si>
    <t xml:space="preserve">参数年</t>
  </si>
  <si>
    <t/>
    <r>
      <rPr>
        <b val="true"/>
        <i val="false"/>
        <strike val="false"/>
        <sz val="11"/>
        <color rgb="FF373C43"/>
      </rPr>
      <t xml:space="preserve">限制条件：
</t>
    </r>
    <r>
      <rPr>
        <b val="false"/>
        <i val="false"/>
        <strike val="false"/>
        <sz val="11"/>
        <color rgb="FF373C43"/>
      </rPr>
      <t xml:space="preserve">1、同一个票据编号，区间保留子序号最大的一条记录
2、排除BILL_STATUS=9999
3、排除应收公司与应付公司相同的数据；两列均为空时也排除。
4、按“应付公司 + 应收公司 + SIGN_DATE”汇总 BILL_AMOUNT。
排除汇总金额为0的数据。
5、目标组织排除 9000、9002、9003、9005、9008、空</t>
    </r>
  </si>
  <si>
    <t xml:space="preserve">start_dt截取年份</t>
  </si>
  <si>
    <t xml:space="preserve">LEFT(period,4)</t>
  </si>
  <si>
    <t xml:space="preserve"/>
  </si>
  <si>
    <t xml:space="preserve">参数截取年份</t>
  </si>
  <si>
    <t xml:space="preserve">month</t>
  </si>
  <si>
    <t xml:space="preserve">参数月</t>
  </si>
  <si>
    <t xml:space="preserve">取8月份的数据，start_dt为9月1号</t>
  </si>
  <si>
    <t xml:space="preserve">start_dt截取月份 -1</t>
  </si>
  <si>
    <t xml:space="preserve">RIGHT(period,2)</t>
  </si>
  <si>
    <t xml:space="preserve">参数截取月份</t>
  </si>
  <si>
    <t xml:space="preserve">company_code</t>
  </si>
  <si>
    <t xml:space="preserve">dwd_fi_mr_arap_detail_mi</t>
  </si>
  <si>
    <t xml:space="preserve">应付公司映射：
1、通过CREDIT_CUSTOMER_ACCOUNT匹配ods.odsmr_ztab_9000_acct_maping的ACCOUNT_NO，取BUKRS
2、按CREDIT_CUSTOMER_CODE匹配公司主数据中的AZIENDA.SEDE_LEGALE，取最小COD_AZIENDA
应收公司映射：
1、若HOLD_CUSTOMER_NAME='青岛海信商业保理有限公司'，AR_BUKRS固定为9002
2、按HOLD_CUSTOMER_ACCOUNT匹配ods.odsmr_ztab_9000_acct_mapingBUKRS的ACCOUNT_NO，取BUKRS
3、按RECEIVE_CREDIT_CODE匹配公司主数据中AZIENDA.SEDE_LEGALE，取最小COD_AZIENDA
应收公司生成一条数放公司，应付公司生成一条数放公司</t>
  </si>
  <si>
    <t xml:space="preserve">ods.odsmt_fin_bill_view_data</t>
  </si>
  <si>
    <t xml:space="preserve">AP_BUKRS/AR_BUKRS</t>
  </si>
  <si>
    <t xml:space="preserve">ledge_code</t>
  </si>
  <si>
    <t xml:space="preserve">dwd_ltc_cem_reportpay_balance_summary_dd</t>
  </si>
  <si>
    <t xml:space="preserve">sales_group</t>
  </si>
  <si>
    <t xml:space="preserve">匹配公司主数据</t>
  </si>
  <si>
    <t xml:space="preserve">ods.odsfmfi_tk_hifi_baddebtverify
ods.odsfmtss_t_org_org</t>
  </si>
  <si>
    <t xml:space="preserve">ods.odsfmtss_t_org_org.fnumber</t>
  </si>
  <si>
    <t xml:space="preserve">cust_code</t>
  </si>
  <si>
    <t xml:space="preserve">公司放应收公司时：XH_ + AP_BUKRS
公司放应付公司时：XH_ + AR_BUKRS；
对方为空时XH_Z001</t>
  </si>
  <si>
    <t xml:space="preserve">sales_code</t>
  </si>
  <si>
    <t xml:space="preserve">customer_code</t>
  </si>
  <si>
    <t xml:space="preserve">匹配客户主数据</t>
  </si>
  <si>
    <t xml:space="preserve">ods.odsfmfi_tk_hifi_baddebtverifysub
ods.odsfmtss_t_bd_customer</t>
  </si>
  <si>
    <t xml:space="preserve">SUBSTR(cus.fnumber,1,INSTR(cus.fnumber,'(')-1)</t>
  </si>
  <si>
    <t xml:space="preserve">cust_name</t>
  </si>
  <si>
    <t xml:space="preserve">公司放应收公司时：应收账款-信汇；
公司放应付公司时：应付账款-信汇</t>
  </si>
  <si>
    <t xml:space="preserve">sname</t>
  </si>
  <si>
    <t xml:space="preserve">customer_name</t>
  </si>
  <si>
    <t xml:space="preserve">fname</t>
  </si>
  <si>
    <t xml:space="preserve">cust_head_code</t>
  </si>
  <si>
    <t xml:space="preserve">cust_head_name</t>
  </si>
  <si>
    <t xml:space="preserve">应收账款-信汇/应付账款-信汇</t>
  </si>
  <si>
    <t xml:space="preserve">cust_branch_code</t>
  </si>
  <si>
    <t xml:space="preserve">无</t>
  </si>
  <si>
    <t xml:space="preserve">rsv_field_7</t>
  </si>
  <si>
    <t xml:space="preserve">cust_branch_name</t>
  </si>
  <si>
    <t xml:space="preserve">rsv_field_8</t>
  </si>
  <si>
    <t xml:space="preserve">cp_company_code</t>
  </si>
  <si>
    <t xml:space="preserve">公司放应收公司时：AP_BUKRS
公司放应付公司时：AR_BUKRS</t>
  </si>
  <si>
    <t xml:space="preserve">匹配客商映射对方公司dim.dim_rule_fi_mr_cust2ctp_mapping</t>
  </si>
  <si>
    <t xml:space="preserve">dim.dim_rule_fi_mr_cust2ctp_mapping</t>
  </si>
  <si>
    <t xml:space="preserve">优先取cp_company_code_mr，为空则取cp_company_code</t>
  </si>
  <si>
    <t xml:space="preserve">客商编码匹配客商映射对方公司映射表</t>
  </si>
  <si>
    <t xml:space="preserve">country_code</t>
  </si>
  <si>
    <t xml:space="preserve">匹配mdg客户主数据得到对应字段</t>
  </si>
  <si>
    <t xml:space="preserve">dw.dim_customer_base_info_dd-客户主数据基本信息</t>
  </si>
  <si>
    <t xml:space="preserve">kunnr_mdg = cust_code</t>
  </si>
  <si>
    <t xml:space="preserve">country_name</t>
  </si>
  <si>
    <t xml:space="preserve">acct_type_code</t>
  </si>
  <si>
    <t xml:space="preserve">公司放应收公司时：D
公司放应付公司时：K</t>
  </si>
  <si>
    <t xml:space="preserve">D/K</t>
  </si>
  <si>
    <t xml:space="preserve">acct_src_code</t>
  </si>
  <si>
    <t xml:space="preserve">公司放应收公司时：1122000095
公司放应付公司时：2202000095</t>
  </si>
  <si>
    <t xml:space="preserve">1122000095/2202000095</t>
  </si>
  <si>
    <t xml:space="preserve">gl_account</t>
  </si>
  <si>
    <t xml:space="preserve">ods.odsfmfi_tk_hifi_baddebtverifysub
ods.odsfmfi_t_bd_account</t>
  </si>
  <si>
    <t xml:space="preserve">fnumber</t>
  </si>
  <si>
    <t xml:space="preserve">acct_map_code</t>
  </si>
  <si>
    <t xml:space="preserve">剔除科目为1122000095、2202000095</t>
  </si>
  <si>
    <t xml:space="preserve">匹配科目映射表dim.dim_rule_fi_mr_acct_mapping</t>
  </si>
  <si>
    <t xml:space="preserve">dim.dim_rule_fi_mr_acct_mapping</t>
  </si>
  <si>
    <t xml:space="preserve">科目编码匹配科目映射表</t>
  </si>
  <si>
    <t xml:space="preserve">取映射后科目</t>
  </si>
  <si>
    <t xml:space="preserve">channel_l1_code</t>
  </si>
  <si>
    <t xml:space="preserve">comp_cls_l1</t>
  </si>
  <si>
    <t xml:space="preserve">channel_l1_name</t>
  </si>
  <si>
    <t xml:space="preserve">channel_l2_code</t>
  </si>
  <si>
    <t xml:space="preserve">comp_cls_l2</t>
  </si>
  <si>
    <t xml:space="preserve">channel_l2_name</t>
  </si>
  <si>
    <t xml:space="preserve">channel_l3_code</t>
  </si>
  <si>
    <t xml:space="preserve">comp_cls_l3</t>
  </si>
  <si>
    <t xml:space="preserve">channel_l3_name</t>
  </si>
  <si>
    <t xml:space="preserve">onoffline_code</t>
  </si>
  <si>
    <t xml:space="preserve">channel_group</t>
  </si>
  <si>
    <t xml:space="preserve">onoffline_name</t>
  </si>
  <si>
    <t xml:space="preserve">src_profitcenter_code</t>
  </si>
  <si>
    <t xml:space="preserve">profit_center_code</t>
  </si>
  <si>
    <t xml:space="preserve">profit_center</t>
  </si>
  <si>
    <t xml:space="preserve">匹配利润中心主数据</t>
  </si>
  <si>
    <t xml:space="preserve">ods.odsfmfi_tk_hifi_baddebtverifysub
ods.odsfmfi_tk_hifi_cas_profitcenter</t>
  </si>
  <si>
    <t xml:space="preserve">ltrim(pf.fnumber,'0')</t>
  </si>
  <si>
    <t xml:space="preserve">src_profitcenter_name</t>
  </si>
  <si>
    <t xml:space="preserve">profit_center_name</t>
  </si>
  <si>
    <t xml:space="preserve">ods.odsfmfi_tk_hifi_cas_profitcenter
ods.odsfmfi_tk_hifi_cas_profitcenter_l</t>
  </si>
  <si>
    <t xml:space="preserve">profitcenter_code</t>
  </si>
  <si>
    <t xml:space="preserve">匹配《应收模块-利润中心映射表》，筛选映射类型为“收入利润中心映射往来利润中心”，将收入利润中心映射成应收利润中心</t>
  </si>
  <si>
    <t xml:space="preserve">dim_rule_fi_mr_ar_profit_mapping经分项目应收模块-利润中心映射表</t>
  </si>
  <si>
    <t xml:space="preserve">profit_center = src_profitcenter_code</t>
  </si>
  <si>
    <t xml:space="preserve">profitcenter_name</t>
  </si>
  <si>
    <t xml:space="preserve">bus_range_code</t>
  </si>
  <si>
    <t xml:space="preserve">bus_scope_code</t>
  </si>
  <si>
    <t xml:space="preserve">匹配业务范围主数据</t>
  </si>
  <si>
    <t xml:space="preserve">ods.odsfmfi_tk_hifi_baddebtverifysub
ods.odsfmfi_tk_hifi_cas_bizrange</t>
  </si>
  <si>
    <t xml:space="preserve">bus_range_name</t>
  </si>
  <si>
    <t xml:space="preserve">bus_scope_desc</t>
  </si>
  <si>
    <t xml:space="preserve">ods.odsfmfi_tk_hifi_cas_bizrange
ods.odsfmfi_tk_hifi_cas_bizrange_l</t>
  </si>
  <si>
    <t xml:space="preserve">marketing_dept_code</t>
  </si>
  <si>
    <t xml:space="preserve">biz_mgmt_unit</t>
  </si>
  <si>
    <t xml:space="preserve">marketing_dept_name</t>
  </si>
  <si>
    <t xml:space="preserve">tov_channel_code</t>
  </si>
  <si>
    <t xml:space="preserve">tov_channel_name</t>
  </si>
  <si>
    <t xml:space="preserve">cc_cust_group_code</t>
  </si>
  <si>
    <t xml:space="preserve">cc_cust_group_name</t>
  </si>
  <si>
    <t xml:space="preserve">pay_reason_code</t>
  </si>
  <si>
    <t xml:space="preserve">bcy_code</t>
  </si>
  <si>
    <t xml:space="preserve">固定CNY</t>
  </si>
  <si>
    <t xml:space="preserve">CNY</t>
  </si>
  <si>
    <t xml:space="preserve">匹配币种主数据</t>
  </si>
  <si>
    <t xml:space="preserve">ods.odsfmfi_tk_hifi_baddebtverifysub
ods.odsfmtssys_t_bd_currency</t>
  </si>
  <si>
    <t xml:space="preserve">qcy_code</t>
  </si>
  <si>
    <t xml:space="preserve">bcy_0_amt</t>
  </si>
  <si>
    <t xml:space="preserve">各个账龄段金额合计</t>
  </si>
  <si>
    <t xml:space="preserve">bcy_amt</t>
  </si>
  <si>
    <t xml:space="preserve">公司放应收公司时：金额
公司放应付公司时：金额*-1</t>
  </si>
  <si>
    <t xml:space="preserve">BILL_AMOUNT</t>
  </si>
  <si>
    <t xml:space="preserve">overdue_adj_after_amt
inv_sample_amt
分两行数据展示</t>
  </si>
  <si>
    <t xml:space="preserve">overdue_adj_after_amt
inv_sample_amt</t>
  </si>
  <si>
    <t xml:space="preserve">yue</t>
  </si>
  <si>
    <t/>
    <r>
      <rPr>
        <b val="false"/>
        <i val="false"/>
        <strike val="false"/>
        <sz val="11"/>
        <color rgb="FF373C43"/>
      </rPr>
      <t xml:space="preserve">1、dim_rule_fi_mr_ar_cust_type规则库中，cust_type为结算类客户，筛选政策台账状态policystatename为【兑现过程中】、【确认完毕】的数据
2、电商类客户</t>
    </r>
    <r>
      <rPr>
        <b val="false"/>
        <i val="false"/>
        <strike val="false"/>
        <sz val="11"/>
        <color rgb="FFF54A45"/>
      </rPr>
      <t>【待确认如何判断】</t>
    </r>
    <r>
      <rPr>
        <b val="false"/>
        <i val="false"/>
        <strike val="false"/>
        <sz val="11"/>
        <color rgb="FF373C43"/>
      </rPr>
      <t>，政策清单policy_list筛选【退差未冲红】的数据</t>
    </r>
  </si>
  <si>
    <t xml:space="preserve">arrears_amount</t>
  </si>
  <si>
    <t xml:space="preserve">1、ods_src为bsid和bsad%的，pay_reason_code=400，acct_map_code为1122%，判断baseline_dt&lt;=当前年月最后一天，取大于0的数据
2、ods_src为bsid和bsad%的，pay_reason_code=400，acct_map_code为1122%，取小于0的数据
3、根据同一个科目+客商+利润中心计算1+2的数据，小于0时输出1+2的数据</t>
  </si>
  <si>
    <t xml:space="preserve">ods.odsfmfi_tk_hifi_baddebtverify
ods.odsfmfi_tk_hifi_baddebtverifysub</t>
  </si>
  <si>
    <t xml:space="preserve">fk_hifi_local_lossmoneys</t>
  </si>
  <si>
    <t xml:space="preserve">bcy_1_amt</t>
  </si>
  <si>
    <t xml:space="preserve">根据detail表中的账龄段编码将本位币账龄金额放入对应的账龄区间</t>
  </si>
  <si>
    <t xml:space="preserve">公式:aging_days=月末最后一天-起算日期+1
起算日期为SIGN_DATE
根据计算的账龄天数匹配【账龄段配置表】</t>
  </si>
  <si>
    <t xml:space="preserve">同本月账龄逻辑</t>
  </si>
  <si>
    <t xml:space="preserve">同本月账龄</t>
  </si>
  <si>
    <t xml:space="preserve">bcy_2_amt</t>
  </si>
  <si>
    <t xml:space="preserve">同上</t>
  </si>
  <si>
    <t xml:space="preserve">bcy_3_amt</t>
  </si>
  <si>
    <t xml:space="preserve">bcy_4_amt</t>
  </si>
  <si>
    <t xml:space="preserve">bcy_5_amt</t>
  </si>
  <si>
    <t xml:space="preserve">bcy_6_amt</t>
  </si>
  <si>
    <t xml:space="preserve">bcy_7_amt</t>
  </si>
  <si>
    <t xml:space="preserve">bcy_8_amt</t>
  </si>
  <si>
    <t xml:space="preserve">bcy_9_amt</t>
  </si>
  <si>
    <t xml:space="preserve">bcy_10_amt</t>
  </si>
  <si>
    <t xml:space="preserve">bcy_11_amt</t>
  </si>
  <si>
    <t xml:space="preserve">bcy_12_amt</t>
  </si>
  <si>
    <t xml:space="preserve">bcy_13_amt</t>
  </si>
  <si>
    <t xml:space="preserve">bcy_14_amt</t>
  </si>
  <si>
    <t xml:space="preserve">bcy_15_amt</t>
  </si>
  <si>
    <t xml:space="preserve">qcy_0_amt</t>
  </si>
  <si>
    <t xml:space="preserve">qcy_amt</t>
  </si>
  <si>
    <t xml:space="preserve">1、应收合计数：ods_src为bsid和bsad%的，pay_reason_code=400，acct_map_code为1122%，判断净收付日期netcrp_dt&lt;=当前年月最后一天，取大于0的数据
2、提前回款数：ods_src为bsid和bsad%的，pay_reason_code=400，acct_map_code为1122%，取小于0的数据
3、根据同一个科目+客商+利润中心计算1+2的数据，小于0时输出1+2的数据</t>
  </si>
  <si>
    <t xml:space="preserve">fk_hifi_lossmoneys</t>
  </si>
  <si>
    <t xml:space="preserve">qcy_1_amt</t>
  </si>
  <si>
    <t xml:space="preserve">qcy_2_amt</t>
  </si>
  <si>
    <t xml:space="preserve">qcy_3_amt</t>
  </si>
  <si>
    <t xml:space="preserve">qcy_4_amt</t>
  </si>
  <si>
    <t xml:space="preserve">qcy_5_amt</t>
  </si>
  <si>
    <t xml:space="preserve">qcy_6_amt</t>
  </si>
  <si>
    <t xml:space="preserve">qcy_7_amt</t>
  </si>
  <si>
    <t xml:space="preserve">qcy_8_amt</t>
  </si>
  <si>
    <t xml:space="preserve">qcy_9_amt</t>
  </si>
  <si>
    <t xml:space="preserve">qcy_10_amt</t>
  </si>
  <si>
    <t xml:space="preserve">qcy_11_amt</t>
  </si>
  <si>
    <t xml:space="preserve">qcy_12_amt</t>
  </si>
  <si>
    <t xml:space="preserve">qcy_13_amt</t>
  </si>
  <si>
    <t xml:space="preserve">qcy_14_amt</t>
  </si>
  <si>
    <t xml:space="preserve">qcy_15_amt</t>
  </si>
  <si>
    <t xml:space="preserve">pays_tran</t>
  </si>
  <si>
    <t xml:space="preserve">system_src</t>
  </si>
  <si>
    <t xml:space="preserve">XH</t>
  </si>
  <si>
    <t xml:space="preserve">FM_WTZJ</t>
  </si>
  <si>
    <t xml:space="preserve">SMS</t>
  </si>
  <si>
    <t xml:space="preserve">POLICY</t>
  </si>
  <si>
    <t xml:space="preserve">ods_src</t>
  </si>
  <si>
    <t xml:space="preserve">ORG_ZZT003</t>
  </si>
  <si>
    <t xml:space="preserve">ORG_XH</t>
  </si>
  <si>
    <t xml:space="preserve">OVERDUE
INV_SAMPLE</t>
  </si>
  <si>
    <t xml:space="preserve">取overdue_amt金额时，放overdue-超期款
取inv_sample_amt金额时，放inv_sample-开票样机额度</t>
  </si>
  <si>
    <t xml:space="preserve">UREB</t>
  </si>
  <si>
    <t xml:space="preserve">EPAY</t>
  </si>
  <si>
    <t xml:space="preserve">FM</t>
  </si>
  <si>
    <t xml:space="preserve">load_dt</t>
  </si>
  <si>
    <t xml:space="preserve">NOW()</t>
  </si>
  <si>
    <t xml:space="preserve">数据更新时间</t>
  </si>
  <si>
    <t xml:space="preserve">WRITEOFF</t>
  </si>
  <si>
    <t xml:space="preserve">reb_type</t>
  </si>
  <si>
    <t xml:space="preserve">leibie</t>
  </si>
  <si>
    <t xml:space="preserve">ledger_status</t>
  </si>
  <si>
    <t xml:space="preserve">policystatename</t>
  </si>
  <si>
    <t xml:space="preserve">已确认未兑现：兑现过程中、确认完成
已计提未兑现：待确认</t>
  </si>
  <si>
    <t xml:space="preserve">acct_cert_type</t>
  </si>
  <si>
    <t xml:space="preserve">tax_rate</t>
  </si>
  <si>
    <t xml:space="preserve">匹配《税率维护表》，按照顺序优先级处理
1、匹配规则batch_id为1，按照公司company_code+主户cust_code匹配对应税率
2、匹配规则batch_id为2，按照公司company_code+利润中心profitcenter_code匹配对应税率
3、匹配规则batch_id为3，按照公司company_code匹配税率
匹配不到的默认为0.13</t>
  </si>
  <si>
    <t xml:space="preserve">dim_rule_fi_mr_ar_tax_rate</t>
  </si>
  <si>
    <t xml:space="preserve">nature_l1_name</t>
  </si>
  <si>
    <t xml:space="preserve">varchar(2000)</t>
  </si>
  <si>
    <t xml:space="preserve">匹配《性质维护表》，按照顺序优先级处理
1、匹配规则batch_id为1，按照公司company_code+科目acct_src_code+主户cust_code匹配
2、匹配规则batch_id为2，按照公司company_code+主户cust_code匹配
3、匹配规则batch_id为3，按照公司company_code+科目acct_src_code+利润中心profitcenter_code匹配
4、匹配规则batch_id为4，按照公司company_code+科目acct_src_code匹配
5、匹配规则batch_id为5，按照科目company_code+主户cust_code匹配
6、以上未匹配到的，按照公司+客商性质+客商编码匹配sap主数据客户和供应商主数据取KVERM</t>
  </si>
  <si>
    <t xml:space="preserve">dim_rule_fi_mr_ar_nature</t>
  </si>
  <si>
    <t xml:space="preserve">nature_l2_name</t>
  </si>
  <si>
    <t xml:space="preserve">同一级性质</t>
  </si>
  <si>
    <t xml:space="preserve">nature_l3_name</t>
  </si>
  <si>
    <t xml:space="preserve">exchange_rate_eval_flag</t>
  </si>
  <si>
    <t xml:space="preserve">匹配《不汇率评估范围维护表》
1、维护规则logic_name为'按照公司+客商维护'，根据公司company_code+主户cust_code匹配，匹配到输出为S
2、维护规则logic_name为'按照SAP系统+科目维护'，根据SAP系统号system_src+原始科目编码acct_src_code匹配，匹配到输出为M
3、如果两个都匹配到，输出SM
4、都没有匹配匹配到输出NULL</t>
  </si>
  <si>
    <t xml:space="preserve">dim_rule_fi_mr_ar_ex_rate_eval_range</t>
  </si>
  <si>
    <t xml:space="preserve">is_apar_flag</t>
  </si>
  <si>
    <t xml:space="preserve">匹配《账龄表进数范围维护》
1、取数类型为EX1，按照公司+主户匹配，匹配到的输出N
2、取数类型为EX2，按照公司+科目匹配，匹配到的输出N
3、取数类型为EX3，按照系统号+科目匹配，匹配到的输出N
4、取数类型为IN1，按照系统号+公司+科目匹配，匹配到的输出Y</t>
  </si>
  <si>
    <t xml:space="preserve">dim_rule_fi_mr_ar_aging_range</t>
  </si>
  <si>
    <t xml:space="preserve">pay_term_code</t>
  </si>
  <si>
    <t xml:space="preserve">varchar(300)</t>
  </si>
  <si>
    <t xml:space="preserve">dwd_fi_mr_ar_cterm_md</t>
  </si>
  <si>
    <t xml:space="preserve">pay_term_desc</t>
  </si>
  <si>
    <t xml:space="preserve">返利/费用标识</t>
  </si>
  <si>
    <t xml:space="preserve">ufee_ureb_flag</t>
  </si>
  <si>
    <t xml:space="preserve">满足以下条件，标识为UFEE：
1、acct_cert_type = zz
2、pay_reason_code = 800
3、acct_map_code为1122%
满足以下条件，标识为UREB：
1、acct_cert_type = zz
2、pay_reason_code = 600
3、acct_map_code为1122%</t>
  </si>
  <si>
    <t xml:space="preserve">电商零售标识</t>
  </si>
  <si>
    <t xml:space="preserve">ecls_flag</t>
  </si>
  <si>
    <t xml:space="preserve">客户范围限制在《电商零售客户》
pay_reason_code=400，acct_map_code为1122%，判断同一个科目+客商+付款服务商编号的金额&gt;0且最小的净收付日期大于本月的最后一天
满足以上条件打Y</t>
  </si>
  <si>
    <t xml:space="preserve">DWM 数据集编码规则：</t>
  </si>
  <si>
    <t xml:space="preserve">AW+域编码+M+5位数据集编码</t>
  </si>
  <si>
    <t xml:space="preserve">编码</t>
  </si>
  <si>
    <t xml:space="preserve">描述</t>
  </si>
  <si>
    <t xml:space="preserve">数据集域</t>
  </si>
  <si>
    <t xml:space="preserve">类型</t>
  </si>
  <si>
    <t xml:space="preserve">AW_MR9_ARPM01</t>
  </si>
  <si>
    <t xml:space="preserve">往来账龄计算底稿</t>
  </si>
  <si>
    <t xml:space="preserve">MR9</t>
  </si>
  <si>
    <t xml:space="preserve">实体数据集</t>
  </si>
  <si>
    <t xml:space="preserve">步骤ID</t>
  </si>
  <si>
    <t xml:space="preserve">步骤</t>
  </si>
  <si>
    <t xml:space="preserve">源表</t>
  </si>
  <si>
    <t xml:space="preserve">处理类型</t>
  </si>
  <si>
    <t xml:space="preserve">处理内容</t>
  </si>
  <si>
    <t xml:space="preserve">mrd需求</t>
  </si>
  <si>
    <t/>
    <r>
      <rPr>
        <u val="single"/>
        <color theme="10"/>
      </rPr>
      <t>ARP001_STEP_1</t>
    </r>
  </si>
  <si>
    <t xml:space="preserve">dwd_fi_mr_arap_sum_mi
AW_MR9_REVM01_000001
dwd_fi_mr_ar_overdue_mi
dwd_fi_mr_ar_ureb_mi</t>
  </si>
  <si>
    <t xml:space="preserve">数据聚合处理</t>
  </si>
  <si>
    <t xml:space="preserve">将往来账龄及周转影响因素需要的数据聚合到计算底稿中，包括SAP的账龄明细、信汇明细、出库未开、退货未办、超期款数据、提前回款、电商零售节奏、欠付费用、欠付返利，通过数据分类字段区分开</t>
  </si>
  <si>
    <t xml:space="preserve">应收指标构成+影响因素</t>
  </si>
  <si>
    <t/>
    <r>
      <rPr>
        <u val="single"/>
        <color theme="10"/>
      </rPr>
      <t>ARP001_STEP_2</t>
    </r>
  </si>
  <si>
    <t xml:space="preserve">AW_MR9_REVM01_000001</t>
  </si>
  <si>
    <t xml:space="preserve">数据范围限制</t>
  </si>
  <si>
    <t xml:space="preserve">往来账龄需要对部分客商或科目等进行剔除，此步骤用于将步骤1取到的数据根据进数范围进行限制</t>
  </si>
  <si>
    <t/>
    <r>
      <rPr>
        <u val="single"/>
        <color theme="10"/>
      </rPr>
      <t>ARP001_STEP_3</t>
    </r>
  </si>
  <si>
    <t xml:space="preserve">重分类处理</t>
  </si>
  <si>
    <t xml:space="preserve">此步骤将往来账龄的数据根据重分类的规则进行重分类的判断，法人口径、管理口径、管理分公司口径三个口径的重分类处理，以及集团归属范围的判断</t>
  </si>
  <si>
    <t xml:space="preserve">AW_MR9_ARPM02</t>
  </si>
  <si>
    <t xml:space="preserve">往来账龄结果表</t>
  </si>
  <si>
    <t/>
    <r>
      <rPr>
        <u val="single"/>
        <color theme="10"/>
      </rPr>
      <t>ARP002_STEP_1</t>
    </r>
  </si>
  <si>
    <t xml:space="preserve">AW_MR9_ARPM01_000001</t>
  </si>
  <si>
    <t xml:space="preserve">数据匹配到同一行</t>
  </si>
  <si>
    <t xml:space="preserve">此表将往来账龄计算底稿不同数据分类的数据平铺到列上展示，并且针对应收重分类到合同负债的数据，把对应的税额剔除</t>
  </si>
  <si>
    <t xml:space="preserve">AW_MR9_ARPM03</t>
  </si>
  <si>
    <t xml:space="preserve">坏账计算表</t>
  </si>
  <si>
    <t/>
    <r>
      <rPr>
        <u val="single"/>
        <color theme="10"/>
      </rPr>
      <t>ARP003_STEP_1</t>
    </r>
  </si>
  <si>
    <t xml:space="preserve">AW_MR9_ARPM02_000001</t>
  </si>
  <si>
    <t xml:space="preserve">坏账计提基数计算</t>
  </si>
  <si>
    <t xml:space="preserve">将往来账龄表中涉及到需要计算坏账的数据取到坏账计算表中，根据管理分类和分公司分类不同生成两个口径的数据，并且匹配出坏账的调整项，如果有直销垫资的金额，用垫资的金额冲减坏账计提基数，优先从长账龄冲销，如果同一个客户存在负数的账龄金额，拆分到长账龄的区间中</t>
  </si>
  <si>
    <t xml:space="preserve">坏账计算规则</t>
  </si>
  <si>
    <t/>
    <r>
      <rPr>
        <u val="single"/>
        <color theme="10"/>
      </rPr>
      <t>ARP003_STEP_2</t>
    </r>
  </si>
  <si>
    <t xml:space="preserve">AW_MR9_ARPM03_000001</t>
  </si>
  <si>
    <t xml:space="preserve">坏账计算</t>
  </si>
  <si>
    <t xml:space="preserve">根据不同的坏账计提规则计算坏账金额，如果有个别认定和煤改电，优先取对应的金额计提坏账，再按照优先级匹配坏账计提比例，根据坏账计提比例*坏账计提基数计算坏账金额，如果保障天数&gt;0，需要再根据保障天数判断坏账计提区间，根据坏账计提比例*坏账计提基数*未覆盖比例计算坏账</t>
  </si>
  <si>
    <t/>
    <r>
      <rPr>
        <u val="single"/>
        <color theme="10"/>
      </rPr>
      <t>ARP003_STEP_3</t>
    </r>
  </si>
  <si>
    <t xml:space="preserve">负坏账分摊</t>
  </si>
  <si>
    <t xml:space="preserve">针对坏账计算出来为负数的行项目，按照同一个公司+客户+科目计算正数行的比例，把负数的坏账金额分摊到正数行上</t>
  </si>
  <si>
    <t xml:space="preserve">坏账计算规则-分摊</t>
  </si>
  <si>
    <t xml:space="preserve">AW_MR9_ARPM04</t>
  </si>
  <si>
    <t xml:space="preserve">周转计算-占用明细表</t>
  </si>
  <si>
    <t/>
    <r>
      <rPr>
        <u val="single"/>
        <color theme="10"/>
      </rPr>
      <t>ARP004_STEP_1</t>
    </r>
  </si>
  <si>
    <t xml:space="preserve">周转占用取数</t>
  </si>
  <si>
    <t xml:space="preserve">把往来账龄结果表的数据筛选出需要计算周转的应收占用数据，根据取数配置表中的限制进行数据的取数及剔除，以及将手工调整的影响因素也匹配到同一行数据中</t>
  </si>
  <si>
    <t xml:space="preserve">应收周转占用取数</t>
  </si>
  <si>
    <t xml:space="preserve">AW_MR9_ARPM05</t>
  </si>
  <si>
    <t xml:space="preserve">周转计算-收入明细表</t>
  </si>
  <si>
    <t/>
    <r>
      <rPr>
        <u val="single"/>
        <color theme="10"/>
      </rPr>
      <t>ARP005_STEP_1</t>
    </r>
  </si>
  <si>
    <t xml:space="preserve">周转收入取数</t>
  </si>
  <si>
    <t xml:space="preserve">把单体销售明细表的数据筛选出需要计算周转的收入数据，根据取数配置表中的限制进行数据的取数及剔除</t>
  </si>
  <si>
    <t xml:space="preserve">应收周转收入取数</t>
  </si>
  <si>
    <t/>
    <r>
      <rPr>
        <u val="single"/>
        <color theme="10"/>
      </rPr>
      <t>返回</t>
    </r>
  </si>
  <si>
    <t xml:space="preserve">AW_MR9_ARPM01_000001逻辑处理</t>
  </si>
  <si>
    <t/>
    <r>
      <rPr>
        <u val="single"/>
        <color theme="10"/>
      </rPr>
      <t>规则库</t>
    </r>
  </si>
  <si>
    <t xml:space="preserve">表名称</t>
  </si>
  <si>
    <t xml:space="preserve">AW_MR9_ARPM01_000001</t>
  </si>
  <si>
    <t xml:space="preserve">存储过程名称：CPM_SP_D2M_ARP_M</t>
  </si>
  <si>
    <t xml:space="preserve">表描述</t>
  </si>
  <si>
    <t xml:space="preserve">往来账龄计算底稿</t>
  </si>
  <si>
    <t xml:space="preserve">表类型</t>
  </si>
  <si>
    <t xml:space="preserve">事实表</t>
  </si>
  <si>
    <t xml:space="preserve">数仓分层</t>
  </si>
  <si>
    <t xml:space="preserve">DWM</t>
  </si>
  <si>
    <t xml:space="preserve">参数：场景 P_SCENARIO</t>
  </si>
  <si>
    <t xml:space="preserve">L1数仓目录</t>
  </si>
  <si>
    <t xml:space="preserve">管理财经</t>
  </si>
  <si>
    <t xml:space="preserve">L2数仓目录</t>
  </si>
  <si>
    <t xml:space="preserve">财报管理</t>
  </si>
  <si>
    <t xml:space="preserve">L3数仓目录</t>
  </si>
  <si>
    <t xml:space="preserve">应收</t>
  </si>
  <si>
    <t xml:space="preserve">期间：P_PERIODO</t>
  </si>
  <si>
    <t xml:space="preserve">更新方式</t>
  </si>
  <si>
    <t xml:space="preserve">增量更新</t>
  </si>
  <si>
    <t xml:space="preserve">设计人员</t>
  </si>
  <si>
    <t xml:space="preserve">时间</t>
  </si>
  <si>
    <t xml:space="preserve">公司：P_AZIENDA</t>
  </si>
  <si>
    <t xml:space="preserve">使用场景</t>
  </si>
  <si>
    <t xml:space="preserve">将D层往来账龄汇总表的数据推到M层，并汇总取出库和退货的数据</t>
  </si>
  <si>
    <t xml:space="preserve">用户：SESSION_USER </t>
  </si>
  <si>
    <t xml:space="preserve">M01还有出库和退货的调整数，所以只能从M01取数</t>
  </si>
  <si>
    <t xml:space="preserve">目标表</t>
  </si>
  <si>
    <t xml:space="preserve">往来账龄明细表【dwd_fi_mr_arap_sum_mi】</t>
  </si>
  <si>
    <t xml:space="preserve">单体销售明细表【AW_MR9_REVM01_000001】</t>
  </si>
  <si>
    <t xml:space="preserve">超期款明细表【dwd_fi_mr_ar_overdue_mi】</t>
  </si>
  <si>
    <t xml:space="preserve">提前回款【dwd_fi_mr_arap_sum_mi】</t>
  </si>
  <si>
    <t xml:space="preserve">电商零售销售节奏【dwd_fi_mr_arap_sum_mi】</t>
  </si>
  <si>
    <t xml:space="preserve">欠付费用【dwd_fi_mr_arap_sum_mi】</t>
  </si>
  <si>
    <t xml:space="preserve">欠付返利【dwd_fi_mr_arap_sum_mi】</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</si>
  <si>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</si>
  <si>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</si>
  <si>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</si>
  <si>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</si>
  <si>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</si>
  <si>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</si>
  <si>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</si>
  <si>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</si>
  <si>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</si>
  <si>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</si>
  <si>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</si>
  <si>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</si>
  <si>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</si>
  <si>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</si>
  <si>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</si>
  <si>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</si>
  <si>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</si>
  <si>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</si>
  <si>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</si>
  <si>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COD_SCENARIO</t>
  </si>
  <si>
    <t xml:space="preserve">限制条件：
1、取is_apar_flag为Y或为空的
2、限制公司在抽取范围内的AW_RUL_DWMCRS_000001中ARP_FLAG为Y的COD_AZIENDA范围</t>
  </si>
  <si>
    <t xml:space="preserve">doris</t>
  </si>
  <si>
    <t xml:space="preserve">dwd_fi_mr_arap_sum_mi</t>
  </si>
  <si>
    <t xml:space="preserve">year+"ACT"</t>
  </si>
  <si>
    <t xml:space="preserve">直接对应</t>
  </si>
  <si>
    <t xml:space="preserve">TA</t>
  </si>
  <si>
    <t xml:space="preserve">AW_MR9_REVM01_000001</t>
  </si>
  <si>
    <t xml:space="preserve">dwd_fi_mr_ar_overdue_mi</t>
  </si>
  <si>
    <t xml:space="preserve">dwd_fi_mr_ar_ureb_mi</t>
  </si>
  <si>
    <t xml:space="preserve">COD_PERIODO</t>
  </si>
  <si>
    <t xml:space="preserve">√</t>
  </si>
  <si>
    <t xml:space="preserve">普通级</t>
  </si>
  <si>
    <t xml:space="preserve">month</t>
  </si>
  <si>
    <t xml:space="preserve">COD_AZIENDA</t>
  </si>
  <si>
    <t xml:space="preserve">company_code</t>
  </si>
  <si>
    <t xml:space="preserve">COD_CATEGORIA</t>
  </si>
  <si>
    <t xml:space="preserve">ZAMOUNT</t>
  </si>
  <si>
    <t xml:space="preserve">SRC_DETAIL</t>
  </si>
  <si>
    <t xml:space="preserve">ods_src</t>
  </si>
  <si>
    <t xml:space="preserve">如果是S600101%则ZTSO04_CK-出库未开，如果是S600102%则ZTSO04_TH-退货未办</t>
  </si>
  <si>
    <t xml:space="preserve">COD_CONTO</t>
  </si>
  <si>
    <t xml:space="preserve">S600101%/S600102%</t>
  </si>
  <si>
    <t xml:space="preserve">取overdue_amt金额时，放overdue-超期款
取inv_sample_amt金额时，放inv_sample-开票样机额度</t>
  </si>
  <si>
    <t xml:space="preserve">epay-提前回款</t>
  </si>
  <si>
    <t xml:space="preserve">ECLS-电商零售销售节奏</t>
  </si>
  <si>
    <t xml:space="preserve">UFEE-欠付费用</t>
  </si>
  <si>
    <t xml:space="preserve">UREB-欠付返利</t>
  </si>
  <si>
    <t xml:space="preserve">CUST_CODE</t>
  </si>
  <si>
    <t xml:space="preserve">cust_code</t>
  </si>
  <si>
    <t xml:space="preserve">匹配《欠付返利客户取值范围》
1、ods_src为SAP时，取客户类型为结算类客户的范围
2、ods_src为policy时，排除客户类型为结算类客户
2.1客户类型为电商零售类客户时，取ledger_status为
2.2客户类型不为电商零售类客户时，取ledger_status为兑现过程
中、确认完成</t>
  </si>
  <si>
    <t xml:space="preserve">CUST_NAME</t>
  </si>
  <si>
    <t xml:space="preserve">cust_name</t>
  </si>
  <si>
    <t xml:space="preserve">CUST_HEAD_CODE</t>
  </si>
  <si>
    <t xml:space="preserve">cust_head_code</t>
  </si>
  <si>
    <t xml:space="preserve">CUST_HEAD_NAME</t>
  </si>
  <si>
    <t xml:space="preserve">cust_head_name</t>
  </si>
  <si>
    <t xml:space="preserve">CUST_BRANCH_CODE</t>
  </si>
  <si>
    <t xml:space="preserve">cust_branch_code</t>
  </si>
  <si>
    <t xml:space="preserve">CUST_BRANCH_NAME</t>
  </si>
  <si>
    <t xml:space="preserve">cust_branch_name</t>
  </si>
  <si>
    <t xml:space="preserve">COD_AZI_CTP</t>
  </si>
  <si>
    <t xml:space="preserve">cp_company_code</t>
  </si>
  <si>
    <t xml:space="preserve">COUNTRY_CODE</t>
  </si>
  <si>
    <t xml:space="preserve">country_code</t>
  </si>
  <si>
    <t xml:space="preserve">COUNTRY_NAME</t>
  </si>
  <si>
    <t xml:space="preserve">country_name</t>
  </si>
  <si>
    <t xml:space="preserve">ACCT_SRC_CODE</t>
  </si>
  <si>
    <t xml:space="preserve">acct_src_code</t>
  </si>
  <si>
    <t xml:space="preserve">ACCT_REC_CODE</t>
  </si>
  <si>
    <t xml:space="preserve">根据原始科目判断合并
</t>
  </si>
  <si>
    <t xml:space="preserve">CASE
               WHEN ACCT_SRC_CODE LIKE '1466%' THEN '1466000000'
               WHEN COMPANY_CODE IN ('6500', '6510')
                AND ACCT_SRC_CODE IN ('2241010100', '2241010200', '2241020000', '2241040000') THEN '2241010100'
               WHEN COMPANY_CODE IN ('6500', '6510')
                AND ACCT_SRC_CODE IN ('1221010000', '1221020000', '1221040000') THEN '1221010000'
               WHEN COMPANY_CODE IN ('1007', '1008', '1041')
                AND ACCT_SRC_CODE LIKE '2202%' THEN '2202000000'
               WHEN COMPANY_CODE LIKE '66%'
                AND COMPANY_CODE &lt;&gt; '6600'
                AND ACCT_SRC_CODE LIKE '1131%'
                AND ACCT_SRC_CODE &lt;&gt; '1131999001' THEN '1131002000'
               WHEN COMPANY_CODE LIKE '66%'
                AND COMPANY_CODE &lt;&gt; '6600'
                AND ACCT_SRC_CODE LIKE '1133%'
                AND ACCT_SRC_CODE &lt;&gt; '1133999001' THEN '1133001003'
               WHEN COMPANY_CODE LIKE '66%'
                AND COMPANY_CODE &lt;&gt; '6600'
                AND ACCT_SRC_CODE LIKE '2181%'
                AND ACCT_SRC_CODE &lt;&gt; '2181999001' THEN '2181001005'
               WHEN COMPANY_CODE LIKE '66%'
                AND COMPANY_CODE &lt;&gt; '6600'
                AND ACCT_SRC_CODE LIKE '2121%'
                AND ACCT_SRC_CODE &lt;&gt; '2121999001' THEN '2121001000'
               WHEN COMPANY_CODE IN ('6000', '6600')
                AND ACCT_SRC_CODE LIKE '1131%' THEN '1131002000'
               WHEN COMPANY_CODE IN ('6000', '6600')
                AND ACCT_SRC_CODE LIKE '1133%' THEN '1133001003'
               WHEN COMPANY_CODE IN ('6000', '6600')
                AND ACCT_SRC_CODE LIKE '2181%' THEN '2181001005'
               WHEN COMPANY_CODE IN ('6000', '6600')
                AND ACCT_SRC_CODE LIKE '2121%' THEN '2121001000'
               WHEN COMPANY_CODE LIKE '16%'
                AND COMPANY_CODE NOT LIKE '163%'
                AND COMPANY_CODE NOT LIKE '162%'
                AND ACCT_SRC_CODE IN ('2202000000', '2202000089') THEN '2202000000'
               ELSE ACCT_SRC_CODE
           END</t>
  </si>
  <si>
    <t xml:space="preserve">ACCT_MAP_CODE</t>
  </si>
  <si>
    <t xml:space="preserve">acct_map_code</t>
  </si>
  <si>
    <t xml:space="preserve">LE_AGE_FLAG</t>
  </si>
  <si>
    <t xml:space="preserve">ME_AGE_FLAG</t>
  </si>
  <si>
    <t xml:space="preserve">MB_AGE_FLAG</t>
  </si>
  <si>
    <t xml:space="preserve">GRP_SCOPE</t>
  </si>
  <si>
    <t xml:space="preserve">D_CHANNEL</t>
  </si>
  <si>
    <t xml:space="preserve">channel_l3_code</t>
  </si>
  <si>
    <t xml:space="preserve">D_ONOFFLINE</t>
  </si>
  <si>
    <t xml:space="preserve">onoffline_code</t>
  </si>
  <si>
    <t xml:space="preserve">COD_DEST2</t>
  </si>
  <si>
    <t xml:space="preserve">profitcenter_code</t>
  </si>
  <si>
    <t xml:space="preserve">COD_DEST3</t>
  </si>
  <si>
    <t xml:space="preserve">bus_range_code</t>
  </si>
  <si>
    <t xml:space="preserve">D_SALE_DEPT</t>
  </si>
  <si>
    <t xml:space="preserve">marketing_dept_code</t>
  </si>
  <si>
    <t xml:space="preserve">D_TOV_CHAN</t>
  </si>
  <si>
    <t xml:space="preserve">tov_channel_code</t>
  </si>
  <si>
    <t xml:space="preserve">D_CC_CUSTGRP</t>
  </si>
  <si>
    <t xml:space="preserve">cc_cust_group_code</t>
  </si>
  <si>
    <t xml:space="preserve">COD_VALUTA</t>
  </si>
  <si>
    <t xml:space="preserve">bcy_code</t>
  </si>
  <si>
    <t xml:space="preserve">COD_VALUTA_ORIGINARIA</t>
  </si>
  <si>
    <t xml:space="preserve">qcy_code</t>
  </si>
  <si>
    <t xml:space="preserve">CNY</t>
  </si>
  <si>
    <t xml:space="preserve">同本位币币种</t>
  </si>
  <si>
    <t xml:space="preserve">BCY_0_AMT</t>
  </si>
  <si>
    <t xml:space="preserve">汇总同一维度的BCY_REV金额数</t>
  </si>
  <si>
    <t xml:space="preserve">BCY_REV</t>
  </si>
  <si>
    <t xml:space="preserve">overdue_amt
inv_sample_amt
分两行数据展示</t>
  </si>
  <si>
    <t xml:space="preserve">overdue_amt
inv_sample_amt</t>
  </si>
  <si>
    <t xml:space="preserve">1、ods_src为bsid和bsad的，pay_reason_code=400，acct_map_code为1122%，判断baseline_dt&lt;=当前年月最后一天，取大于0的数据
2、ods_src为bsid和bsad的，pay_reason_code=400，acct_map_code为1122%，取小于0的数据
3、计算1+2的数据，小于0时输出1+2的数据</t>
  </si>
  <si>
    <t xml:space="preserve">bcy_amt</t>
  </si>
  <si>
    <t xml:space="preserve">客户范围限制在《电商零售客户》
ods_src为bsid和bsad的，pay_reason_code=400，acct_map_code为1122%，判断同一个科目+客商+付款服务商编号的金额&gt;0且最小的基准日期大于本月的最后一天</t>
  </si>
  <si>
    <t xml:space="preserve">合计所有的金额</t>
  </si>
  <si>
    <t xml:space="preserve">筛选条件：
1、acct_cert_type = zz
2、pay_reason_code = 800
3、acct_map_code为1122%</t>
  </si>
  <si>
    <t xml:space="preserve">BCY_1_AMT</t>
  </si>
  <si>
    <t xml:space="preserve">同BCY_AMT0</t>
  </si>
  <si>
    <t xml:space="preserve">合计所有的金额，不区分账龄区间</t>
  </si>
  <si>
    <t xml:space="preserve">BCY_2_AMT</t>
  </si>
  <si>
    <t xml:space="preserve">BCY_3_AMT</t>
  </si>
  <si>
    <t xml:space="preserve">BCY_4_AMT</t>
  </si>
  <si>
    <t xml:space="preserve">BCY_5_AMT</t>
  </si>
  <si>
    <t xml:space="preserve">BCY_6_AMT</t>
  </si>
  <si>
    <t xml:space="preserve">BCY_7_AMT</t>
  </si>
  <si>
    <t xml:space="preserve">BCY_8_AMT</t>
  </si>
  <si>
    <t xml:space="preserve">BCY_9_AMT</t>
  </si>
  <si>
    <t xml:space="preserve">BCY_10_AMT</t>
  </si>
  <si>
    <t xml:space="preserve">BCY_11_AMT</t>
  </si>
  <si>
    <t xml:space="preserve">BCY_12_AMT</t>
  </si>
  <si>
    <t xml:space="preserve">BCY_13_AMT</t>
  </si>
  <si>
    <t xml:space="preserve">BCY_14_AMT</t>
  </si>
  <si>
    <t xml:space="preserve">BCY_15_AMT</t>
  </si>
  <si>
    <t xml:space="preserve">QCY_0_AMT</t>
  </si>
  <si>
    <t xml:space="preserve">汇总同一维度的ORG_REV金额数</t>
  </si>
  <si>
    <t xml:space="preserve">ORG_REV</t>
  </si>
  <si>
    <t xml:space="preserve">限制客户范围不在《电商零售客户》
1、应收账款金额：ods_src为bsid和bsad的，pay_reason_code=400，acct_map_code为1122%，判断baseline_dt&lt;=当前年月最后一天，取大于0的数据
2、本账期回款金额：ods_src为bsid和bsad的，pay_reason_code=400，acct_map_code为1122%，取小于0的数据
3、计算1+2的数据，小于0时输出1+2的数据</t>
  </si>
  <si>
    <t xml:space="preserve">限制客户范围在《电商零售客户》
ods_src为bsid和bsad的，pay_reason_code=400，acct_map_code为1122%，判断同一个科目+客商+付款服务商编号的金额&gt;0且最小的基准日期大于本月的最后一天</t>
  </si>
  <si>
    <t xml:space="preserve">qcy_amt</t>
  </si>
  <si>
    <t xml:space="preserve">QCY_1_AMT</t>
  </si>
  <si>
    <t xml:space="preserve">QCY_2_AMT</t>
  </si>
  <si>
    <t xml:space="preserve">QCY_3_AMT</t>
  </si>
  <si>
    <t xml:space="preserve">QCY_4_AMT</t>
  </si>
  <si>
    <t xml:space="preserve">QCY_5_AMT</t>
  </si>
  <si>
    <t xml:space="preserve">QCY_6_AMT</t>
  </si>
  <si>
    <t xml:space="preserve">QCY_7_AMT</t>
  </si>
  <si>
    <t xml:space="preserve">QCY_8_AMT</t>
  </si>
  <si>
    <t xml:space="preserve">QCY_9_AMT</t>
  </si>
  <si>
    <t xml:space="preserve">QCY_10_AMT</t>
  </si>
  <si>
    <t xml:space="preserve">QCY_11_AMT</t>
  </si>
  <si>
    <t xml:space="preserve">QCY_12_AMT</t>
  </si>
  <si>
    <t xml:space="preserve">QCY_13_AMT</t>
  </si>
  <si>
    <t xml:space="preserve">QCY_14_AMT</t>
  </si>
  <si>
    <t xml:space="preserve">QCY_15_AMT</t>
  </si>
  <si>
    <t xml:space="preserve">SYSTEM_SRC</t>
  </si>
  <si>
    <t xml:space="preserve">system_src</t>
  </si>
  <si>
    <t xml:space="preserve">D_ADJ_TYPE</t>
  </si>
  <si>
    <t xml:space="preserve">ZZZZ</t>
  </si>
  <si>
    <t xml:space="preserve">TAX_RATE</t>
  </si>
  <si>
    <t xml:space="preserve">NATURE_L1_NAME</t>
  </si>
  <si>
    <t xml:space="preserve">NATURE_L2_NAME</t>
  </si>
  <si>
    <t xml:space="preserve">NATURE_L3_NAME</t>
  </si>
  <si>
    <t xml:space="preserve">UFEE_UREB_FLAG</t>
  </si>
  <si>
    <t xml:space="preserve">ECLS_FLAG</t>
  </si>
  <si>
    <t xml:space="preserve">PAY_TERM_CODE</t>
  </si>
  <si>
    <t xml:space="preserve">PAY_TERM_DESC</t>
  </si>
  <si>
    <t xml:space="preserve">EXCHANGE_RATE_EVAL_FLAG</t>
  </si>
  <si>
    <t/>
    <r>
      <rPr>
        <u val="single"/>
        <color theme="10"/>
      </rPr>
      <t>返回</t>
    </r>
  </si>
  <si>
    <t xml:space="preserve">AW_MR9_ARPM01_000001逻辑处理</t>
  </si>
  <si>
    <t/>
    <r>
      <rPr>
        <u val="single"/>
        <color theme="10"/>
      </rPr>
      <t>规则库</t>
    </r>
  </si>
  <si>
    <t xml:space="preserve">表名称</t>
  </si>
  <si>
    <t xml:space="preserve">AW_MR9_ARPM01_000001</t>
  </si>
  <si>
    <t xml:space="preserve">表描述</t>
  </si>
  <si>
    <t xml:space="preserve">往来账龄计算底稿</t>
  </si>
  <si>
    <t xml:space="preserve">表类型</t>
  </si>
  <si>
    <t xml:space="preserve">事实表</t>
  </si>
  <si>
    <t xml:space="preserve">数仓分层</t>
  </si>
  <si>
    <t xml:space="preserve">DWM</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</si>
  <si>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</si>
  <si>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</si>
  <si>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</si>
  <si>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</si>
  <si>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</si>
  <si>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</si>
  <si>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</si>
  <si>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</si>
  <si>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</si>
  <si>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</si>
  <si>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</si>
  <si>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往来账龄需要对部分客商或科目等进行剔除，此步骤用于将步骤1取到的数据根据进数范围进行限制</t>
  </si>
  <si>
    <t xml:space="preserve">目标表</t>
  </si>
  <si>
    <t xml:space="preserve">往来账龄计算底稿【AW_MR9_ARPM01_000001】</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</si>
  <si>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</si>
  <si>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</si>
  <si>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</si>
  <si>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</si>
  <si>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</si>
  <si>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</si>
  <si>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</si>
  <si>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</si>
  <si>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</si>
  <si>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</si>
  <si>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</si>
  <si>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</si>
  <si>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</si>
  <si>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</si>
  <si>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</si>
  <si>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</si>
  <si>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</si>
  <si>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</si>
  <si>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</si>
  <si>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COD_SCENARIO</t>
  </si>
  <si>
    <t xml:space="preserve">直接对应</t>
  </si>
  <si>
    <t xml:space="preserve">doris</t>
  </si>
  <si>
    <t xml:space="preserve">dwd_fi_mr_arap_sum_mi</t>
  </si>
  <si>
    <t xml:space="preserve">year+"ACT"</t>
  </si>
  <si>
    <t xml:space="preserve">COD_PERIODO</t>
  </si>
  <si>
    <t xml:space="preserve">√</t>
  </si>
  <si>
    <t xml:space="preserve">普通级</t>
  </si>
  <si>
    <t xml:space="preserve">month</t>
  </si>
  <si>
    <t xml:space="preserve">COD_AZIENDA</t>
  </si>
  <si>
    <t xml:space="preserve">根据《账龄表进数范围维护》表按取数类型进行数据的剔除和取数
1、取数类型为EX1-按公司+客商剔除：根据公司和客商匹配，排除对应的公司+客商数据
2、取数类型为EX2-按公司+科目剔除：根据公司和科目匹配，排除对应的公司+科目数据
3、取数类型为EX3-按系统号+科目剔除：根据系统号和科目匹配，排除对应的系统号+科目数据
4、取数类型为IN1-按系统号+公司+科目剔除：根据系统号和公司和科目匹配，取对应的数据</t>
  </si>
  <si>
    <t xml:space="preserve">company_code</t>
  </si>
  <si>
    <t xml:space="preserve">按照1.0的配置表过滤数据
1、排除: 国际营销客户(ZS_APAR01_IPT04/XT02)
2、排除: 暂估科目(ZS_APAR01_IPT06/XT02/XT03)</t>
  </si>
  <si>
    <t xml:space="preserve">1、CVCODE NOT IN (select TESTO_11 from tgk_gb_hisense.form_dati where cod_prospetto = 'ZS_APAR01_IPT04' and COD_AZIENDA =V_ENTITY AND COD_CATEGORIA='XT02' AND LTRIM(TRIM(TESTO_11),'0') IS NOT NULL AND  V_YEARMONTH BETWEEN NVL(TRIM(TESTO_13),'0')  AND NVL(TRIM(TESTO_13),'999999')
2、(ZS.MANDT||ZS.HKONT NOT IN (select TRIM(TESTO_1)||TRIM(TESTO_3)  from tgk_gb_hisense.form_dati FD where cod_prospetto = 'ZS_APAR01_IPT06' AND COD_CATEGORIA='XT02' AND TRIM(TESTO_3) IS NOT NULL AND  V_YEARMONTH BETWEEN NVL(TRIM(TESTO_13),'0')  AND NVL(TRIM(TESTO_13),'999999') )
     OR ZS.MANDT||ZS.BUKRS||ZS.HKONT  IN (select TRIM(TESTO_1)||TRIM(TESTO_12)||TRIM(TESTO_3)  from tgk_gb_hisense.form_dati FD where cod_prospetto = 'ZS_APAR01_IPT06' AND COD_CATEGORIA='XT03' AND TRIM(TESTO_13)='A' AND TRIM(TESTO_3) IS NOT NULL)
    )
AND ZS.MANDT||ZS.BUKRS||ZS.HKONT NOT IN (select TRIM(TESTO_1)||TRIM(TESTO_12)||TRIM(TESTO_3)  from tgk_gb_hisense.form_dati FD where cod_prospetto = 'ZS_APAR01_IPT06' AND COD_CATEGORIA='XT03' AND TRIM(TESTO_13)='B' AND TRIM(TESTO_3) IS NOT NULL)</t>
  </si>
  <si>
    <t xml:space="preserve">COD_CONTO</t>
  </si>
  <si>
    <t xml:space="preserve">acct_map_code</t>
  </si>
  <si>
    <t xml:space="preserve">ACCT_SRC_CODE</t>
  </si>
  <si>
    <t xml:space="preserve">acct_src_code</t>
  </si>
  <si>
    <t xml:space="preserve">CUST_CODE</t>
  </si>
  <si>
    <t xml:space="preserve">cust_code</t>
  </si>
  <si>
    <t xml:space="preserve">CUST_NAME</t>
  </si>
  <si>
    <t xml:space="preserve">cust_name</t>
  </si>
  <si>
    <t xml:space="preserve">SYSTEM_SRC</t>
  </si>
  <si>
    <t xml:space="preserve">system_src</t>
  </si>
  <si>
    <t/>
    <r>
      <rPr>
        <u val="single"/>
        <color theme="10"/>
      </rPr>
      <t>返回</t>
    </r>
  </si>
  <si>
    <t xml:space="preserve">AW_MR9_ARPM01_000001逻辑处理</t>
  </si>
  <si>
    <t/>
    <r>
      <rPr>
        <u val="single"/>
        <color theme="10"/>
      </rPr>
      <t>规则库</t>
    </r>
  </si>
  <si>
    <t xml:space="preserve">表名称</t>
  </si>
  <si>
    <t xml:space="preserve">AW_MR9_ARPM01_000001</t>
  </si>
  <si>
    <t xml:space="preserve">存储过程名称：CPM_SP_D2M_ARP_M</t>
  </si>
  <si>
    <t xml:space="preserve">表描述</t>
  </si>
  <si>
    <t xml:space="preserve">往来账龄计算底稿</t>
  </si>
  <si>
    <t xml:space="preserve">表类型</t>
  </si>
  <si>
    <t xml:space="preserve">事实表</t>
  </si>
  <si>
    <t xml:space="preserve">数仓分层</t>
  </si>
  <si>
    <t xml:space="preserve">DWM</t>
  </si>
  <si>
    <t xml:space="preserve">参数：场景 P_SCENARIO</t>
  </si>
  <si>
    <t xml:space="preserve">L1数仓目录</t>
  </si>
  <si>
    <t xml:space="preserve">管理财经</t>
  </si>
  <si>
    <t xml:space="preserve">L2数仓目录</t>
  </si>
  <si>
    <t xml:space="preserve">财报管理</t>
  </si>
  <si>
    <t xml:space="preserve">L3数仓目录</t>
  </si>
  <si>
    <t xml:space="preserve">应收</t>
  </si>
  <si>
    <t xml:space="preserve">期间：P_PERIODO</t>
  </si>
  <si>
    <t xml:space="preserve">更新方式</t>
  </si>
  <si>
    <t xml:space="preserve">增量更新</t>
  </si>
  <si>
    <t xml:space="preserve">设计人员</t>
  </si>
  <si>
    <t xml:space="preserve">时间</t>
  </si>
  <si>
    <t xml:space="preserve">公司：P_AZIENDA</t>
  </si>
  <si>
    <t xml:space="preserve">使用场景</t>
  </si>
  <si>
    <t xml:space="preserve">此步骤将往来账龄的数据根据重分类的规则进行重分类的判断，法人口径、管理口径、管理分公司口径三个口径的重分类处理，以及集团归属范围的判断</t>
  </si>
  <si>
    <t xml:space="preserve">用户：SESSION_USER </t>
  </si>
  <si>
    <t xml:space="preserve">目标表</t>
  </si>
  <si>
    <t xml:space="preserve">往来账龄计算底稿【AW_MR9_ARPM01_000001】</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</si>
  <si>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</si>
  <si>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</si>
  <si>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</si>
  <si>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</si>
  <si>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</si>
  <si>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</si>
  <si>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</si>
  <si>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</si>
  <si>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</si>
  <si>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</si>
  <si>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</si>
  <si>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</si>
  <si>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</si>
  <si>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</si>
  <si>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</si>
  <si>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</si>
  <si>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</si>
  <si>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</si>
  <si>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</si>
  <si>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COD_CONTO</t>
  </si>
  <si>
    <t xml:space="preserve">√</t>
  </si>
  <si>
    <t xml:space="preserve">根据LE_AGE_FLG对应
AR  1122000000
OR  122101F
AS  1123000000
CA  1460000000
RF  1124001000
AP  2202000000
OP  224199F
AC  2203000000
CL  2204000000
A9  1910000A70
A10 1531000000</t>
  </si>
  <si>
    <t xml:space="preserve">LE_AGE_FLAG</t>
  </si>
  <si>
    <t xml:space="preserve">普通级</t>
  </si>
  <si>
    <t xml:space="preserve">使用重分类函数F_APAR_REC，根据系统号+公司+科目范围+主户匹配，判断同一账套+主户编码下数据分类为BS%和总账标识（FAGLFLEXT/GLFUNCT）的bcy_amt金额汇总是否符合金额条件，输出【重分类标识】</t>
  </si>
  <si>
    <t xml:space="preserve">TA</t>
  </si>
  <si>
    <t xml:space="preserve">IS_REC_LG</t>
  </si>
  <si>
    <t xml:space="preserve">使用重分类函数F_APAR_REC，根据系统号+公司+科目范围+主户匹配，判断同一账套+主户编码下数据分类为BS%和总账标识（FAGLFLEXT/GLFUNCT）的bcy_amt金额汇总是否符合金额条件，输出【是否重分类】</t>
  </si>
  <si>
    <t xml:space="preserve">ME_AGE_FLAG</t>
  </si>
  <si>
    <t xml:space="preserve">使用重分类函数F_APAR_REC，根据系统号+公司+科目范围+主户匹配，判断同一账套+主户编码下数据分类为BS%和总账标识（FAGLFLEXT/GLFUNCT）和ZTSO04%的bcy_amt金额汇总是否符合金额条件，输出【重分类标识】</t>
  </si>
  <si>
    <t xml:space="preserve">IS_REC_ME</t>
  </si>
  <si>
    <t xml:space="preserve">使用重分类函数F_APAR_REC，根据系统号+公司+科目范围+主户匹配，判断同一账套+主户编码下数据分类为BS%和总账标识（FAGLFLEXT/GLFUNCT）和ZTSO04%的bcy_amt金额汇总是否符合金额条件，输出【是否重分类】</t>
  </si>
  <si>
    <t xml:space="preserve">MB_AGE_FLAG</t>
  </si>
  <si>
    <t xml:space="preserve">使用重分类函数F_APAR_REC，根据系统号+公司+科目范围+主户匹配，判断同一账套+主户编码+利润中心下数据分类为BS%和总账标识（FAGLFLEXT/GLFUNCT）和ZTSO04%的bcy_amt金额汇总是否符合金额条件，输出【重分类标识】</t>
  </si>
  <si>
    <t xml:space="preserve">IS_REC_MB</t>
  </si>
  <si>
    <t xml:space="preserve">使用重分类函数F_APAR_REC，根据系统号+公司+科目范围+主户匹配，判断同一账套+主户编码+利润中心下数据分类为BS%和总账标识（FAGLFLEXT/GLFUNCT）和ZTSO04%的bcy_amt金额汇总是否符合金额条件，输出【是否重分类】</t>
  </si>
  <si>
    <t xml:space="preserve">GRP_SCOPE</t>
  </si>
  <si>
    <t xml:space="preserve">按照场景期间公司，取1.0视图V_APAR_ELEM_NODE_TAB，获取两个字段node（如果是日立公司则取nodes），hq
在使用对方公司匹配这个视图V_APAR_ELEM_NODE_TAB，如果两个字段都相等，那么放SUB-子公司，如果只有HQ相等，放GIN-集团内，其他放GEX-集团外</t>
  </si>
  <si>
    <t/>
    <r>
      <rPr>
        <u val="single"/>
        <color theme="10"/>
      </rPr>
      <t>返回</t>
    </r>
  </si>
  <si>
    <t xml:space="preserve">AW_MR9_ARPM02_000001逻辑处理</t>
  </si>
  <si>
    <t/>
    <r>
      <rPr>
        <u val="single"/>
        <color theme="10"/>
      </rPr>
      <t>规则库</t>
    </r>
  </si>
  <si>
    <t xml:space="preserve">表名称</t>
  </si>
  <si>
    <t xml:space="preserve">AW_MR9_ARPM02_000001</t>
  </si>
  <si>
    <t xml:space="preserve">存储过程名称：CPM_SP_M2M_ARP_AG_M</t>
  </si>
  <si>
    <t xml:space="preserve">表描述</t>
  </si>
  <si>
    <t xml:space="preserve">往来账龄结果表</t>
  </si>
  <si>
    <t xml:space="preserve">表类型</t>
  </si>
  <si>
    <t xml:space="preserve">事实表</t>
  </si>
  <si>
    <t xml:space="preserve">数仓分层</t>
  </si>
  <si>
    <t xml:space="preserve">DWM</t>
  </si>
  <si>
    <t xml:space="preserve">参数：场景 P_SCENARIO</t>
  </si>
  <si>
    <t xml:space="preserve">L1数仓目录</t>
  </si>
  <si>
    <t xml:space="preserve">管理财经</t>
  </si>
  <si>
    <t xml:space="preserve">L2数仓目录</t>
  </si>
  <si>
    <t xml:space="preserve">财报管理</t>
  </si>
  <si>
    <t xml:space="preserve">L3数仓目录</t>
  </si>
  <si>
    <t xml:space="preserve">应收</t>
  </si>
  <si>
    <t xml:space="preserve">期间：P_PERIODO</t>
  </si>
  <si>
    <t xml:space="preserve">更新方式</t>
  </si>
  <si>
    <t xml:space="preserve">增量更新</t>
  </si>
  <si>
    <t xml:space="preserve">设计人员</t>
  </si>
  <si>
    <t xml:space="preserve">时间</t>
  </si>
  <si>
    <t xml:space="preserve">公司：P_AZIENDA</t>
  </si>
  <si>
    <t xml:space="preserve">使用场景</t>
  </si>
  <si>
    <t xml:space="preserve">此表将往来账龄计算底稿不同数据分类的数据平铺到列上展示，并且针对应收重分类到合同负债的数据，把对应的税额剔除</t>
  </si>
  <si>
    <t xml:space="preserve">用户：SESSION_USER </t>
  </si>
  <si>
    <t xml:space="preserve">0908：年初、期初等需要放出来，有可能会有修改</t>
  </si>
  <si>
    <t xml:space="preserve">目标表</t>
  </si>
  <si>
    <t xml:space="preserve">往来账龄计算底稿【AW_MR9_ARPM01_000001】</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</si>
  <si>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</si>
  <si>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</si>
  <si>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</si>
  <si>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</si>
  <si>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</si>
  <si>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</si>
  <si>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</si>
  <si>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</si>
  <si>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</si>
  <si>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</si>
  <si>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</si>
  <si>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</si>
  <si>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</si>
  <si>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</si>
  <si>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</si>
  <si>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</si>
  <si>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</si>
  <si>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</si>
  <si>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</si>
  <si>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COD_SCENARIO</t>
  </si>
  <si>
    <t xml:space="preserve">直接对应</t>
  </si>
  <si>
    <t xml:space="preserve">TA</t>
  </si>
  <si>
    <t xml:space="preserve">AW_MR9_ARPM01_000001</t>
  </si>
  <si>
    <t xml:space="preserve">COD_PERIODO</t>
  </si>
  <si>
    <t xml:space="preserve">√</t>
  </si>
  <si>
    <t xml:space="preserve">普通级</t>
  </si>
  <si>
    <t xml:space="preserve">COD_AZIENDA</t>
  </si>
  <si>
    <t xml:space="preserve">COD_CONTO</t>
  </si>
  <si>
    <t xml:space="preserve">COD_CATEGORIA</t>
  </si>
  <si>
    <t xml:space="preserve">ZAMOUNT</t>
  </si>
  <si>
    <t xml:space="preserve"/>
  </si>
  <si>
    <t xml:space="preserve">CUST_CODE</t>
  </si>
  <si>
    <t xml:space="preserve">CUST_NAME</t>
  </si>
  <si>
    <t xml:space="preserve">CUST_HEAD_CODE</t>
  </si>
  <si>
    <t xml:space="preserve">CUST_HEAD_NAME</t>
  </si>
  <si>
    <t xml:space="preserve">CUST_BRANCH_CODE</t>
  </si>
  <si>
    <t xml:space="preserve">CUST_BRANCH_NAME</t>
  </si>
  <si>
    <t xml:space="preserve">COD_AZI_CTP</t>
  </si>
  <si>
    <t xml:space="preserve">COUNTRY_CODE</t>
  </si>
  <si>
    <t xml:space="preserve">COUNTRY_NAME</t>
  </si>
  <si>
    <t xml:space="preserve">ACCT_SRC_CODE</t>
  </si>
  <si>
    <t xml:space="preserve">LE_AGE_FLAG</t>
  </si>
  <si>
    <t xml:space="preserve">LE_AGE_FLG</t>
  </si>
  <si>
    <t xml:space="preserve">IS_REC_LG</t>
  </si>
  <si>
    <t xml:space="preserve">ME_AGE_FLAG</t>
  </si>
  <si>
    <t xml:space="preserve">ME_AGE_FLG</t>
  </si>
  <si>
    <t xml:space="preserve">IS_REC_ME</t>
  </si>
  <si>
    <t xml:space="preserve">MB_AGE_FLAG</t>
  </si>
  <si>
    <t xml:space="preserve">MB_AGE_FLG</t>
  </si>
  <si>
    <t xml:space="preserve">IS_REC_MB</t>
  </si>
  <si>
    <t xml:space="preserve">GRP_SCOPE</t>
  </si>
  <si>
    <t xml:space="preserve">NATURE_L1_NAME</t>
  </si>
  <si>
    <t xml:space="preserve">varchar(2000)</t>
  </si>
  <si>
    <t xml:space="preserve">NATURE_L2_NAME</t>
  </si>
  <si>
    <t xml:space="preserve">NATURE_L3_NAME</t>
  </si>
  <si>
    <t xml:space="preserve">D_CHANNEL</t>
  </si>
  <si>
    <t xml:space="preserve">D_ONOFFLINE</t>
  </si>
  <si>
    <t xml:space="preserve">COD_DEST2</t>
  </si>
  <si>
    <t xml:space="preserve">COD_DEST3</t>
  </si>
  <si>
    <t xml:space="preserve">D_SALE_DEPT</t>
  </si>
  <si>
    <t xml:space="preserve">TAX_RATE</t>
  </si>
  <si>
    <t xml:space="preserve">COD_VALUTA</t>
  </si>
  <si>
    <t xml:space="preserve">COD_VALUTA_ORIGINARIA</t>
  </si>
  <si>
    <t xml:space="preserve">BY_BCY_0_AMT</t>
  </si>
  <si>
    <t xml:space="preserve">AW_MR9_ARPM02_000001年初的场景期间，根据公司+科目+客商+利润中心匹配取BCY_0_AMT，全量匹配，如果本月没有，年初有，则其他字段取年初的信息</t>
  </si>
  <si>
    <t xml:space="preserve">LM_BCY_0_AMT</t>
  </si>
  <si>
    <t xml:space="preserve">AW_MR9_ARPM02_000001上月的场景期间，根据公司+科目+客商+利润中心匹配取BCY_0_AMT，全量匹配，如果本月没有，上月有，则其他字段取上月的信息</t>
  </si>
  <si>
    <t xml:space="preserve">BCY_0_AMT</t>
  </si>
  <si>
    <t xml:space="preserve">判断le_age_flg为CL且IS_REC_LG为Y的，取SRC_DETAIL为ORG%的数据/（1+tax_rate）</t>
  </si>
  <si>
    <t xml:space="preserve">BCY_AMT0</t>
  </si>
  <si>
    <t xml:space="preserve">BCY_1_AMT</t>
  </si>
  <si>
    <t xml:space="preserve">同本月账龄处理逻辑</t>
  </si>
  <si>
    <t xml:space="preserve">BCY_AMT1</t>
  </si>
  <si>
    <t xml:space="preserve">BCY_2_AMT</t>
  </si>
  <si>
    <t xml:space="preserve">BCY_AMT2</t>
  </si>
  <si>
    <t xml:space="preserve">BCY_3_AMT</t>
  </si>
  <si>
    <t xml:space="preserve">BCY_AMT3</t>
  </si>
  <si>
    <t xml:space="preserve">BCY_4_AMT</t>
  </si>
  <si>
    <t xml:space="preserve">BCY_AMT4</t>
  </si>
  <si>
    <t xml:space="preserve">BCY_5_AMT</t>
  </si>
  <si>
    <t xml:space="preserve">BCY_AMT5</t>
  </si>
  <si>
    <t xml:space="preserve">BCY_6_AMT</t>
  </si>
  <si>
    <t xml:space="preserve">BCY_AMT6</t>
  </si>
  <si>
    <t xml:space="preserve">BCY_7_AMT</t>
  </si>
  <si>
    <t xml:space="preserve">BCY_AMT7</t>
  </si>
  <si>
    <t xml:space="preserve">BCY_8_AMT</t>
  </si>
  <si>
    <t xml:space="preserve">BCY_AMT8</t>
  </si>
  <si>
    <t xml:space="preserve">BCY_9_AMT</t>
  </si>
  <si>
    <t xml:space="preserve">BCY_AMT9</t>
  </si>
  <si>
    <t xml:space="preserve">BCY_10_AMT</t>
  </si>
  <si>
    <t xml:space="preserve">BCY_AMT10</t>
  </si>
  <si>
    <t xml:space="preserve">BCY_11_AMT</t>
  </si>
  <si>
    <t xml:space="preserve">BCY_AMT11</t>
  </si>
  <si>
    <t xml:space="preserve">BCY_12_AMT</t>
  </si>
  <si>
    <t xml:space="preserve">BCY_AMT12</t>
  </si>
  <si>
    <t xml:space="preserve">BCY_13_AMT</t>
  </si>
  <si>
    <t xml:space="preserve">BCY_AMT13</t>
  </si>
  <si>
    <t xml:space="preserve">BCY_14_AMT</t>
  </si>
  <si>
    <t xml:space="preserve">BCY_AMT14</t>
  </si>
  <si>
    <t xml:space="preserve">BCY_15_AMT</t>
  </si>
  <si>
    <t xml:space="preserve">BCY_AMT15</t>
  </si>
  <si>
    <t xml:space="preserve">QCY_0_AMT</t>
  </si>
  <si>
    <t xml:space="preserve">QCY_AMT0</t>
  </si>
  <si>
    <t xml:space="preserve">QCY_1_AMT</t>
  </si>
  <si>
    <t xml:space="preserve">QCY_AMT1</t>
  </si>
  <si>
    <t xml:space="preserve">QCY_2_AMT</t>
  </si>
  <si>
    <t xml:space="preserve">QCY_AMT2</t>
  </si>
  <si>
    <t xml:space="preserve">QCY_3_AMT</t>
  </si>
  <si>
    <t xml:space="preserve">QCY_AMT3</t>
  </si>
  <si>
    <t xml:space="preserve">QCY_4_AMT</t>
  </si>
  <si>
    <t xml:space="preserve">QCY_AMT4</t>
  </si>
  <si>
    <t xml:space="preserve">QCY_5_AMT</t>
  </si>
  <si>
    <t xml:space="preserve">QCY_AMT5</t>
  </si>
  <si>
    <t xml:space="preserve">QCY_6_AMT</t>
  </si>
  <si>
    <t xml:space="preserve">QCY_AMT6</t>
  </si>
  <si>
    <t xml:space="preserve">QCY_7_AMT</t>
  </si>
  <si>
    <t xml:space="preserve">QCY_AMT7</t>
  </si>
  <si>
    <t xml:space="preserve">QCY_8_AMT</t>
  </si>
  <si>
    <t xml:space="preserve">QCY_AMT8</t>
  </si>
  <si>
    <t xml:space="preserve">QCY_9_AMT</t>
  </si>
  <si>
    <t xml:space="preserve">QCY_AMT9</t>
  </si>
  <si>
    <t xml:space="preserve">QCY_10_AMT</t>
  </si>
  <si>
    <t xml:space="preserve">QCY_AMT10</t>
  </si>
  <si>
    <t xml:space="preserve">QCY_11_AMT</t>
  </si>
  <si>
    <t xml:space="preserve">QCY_AMT11</t>
  </si>
  <si>
    <t xml:space="preserve">QCY_12_AMT</t>
  </si>
  <si>
    <t xml:space="preserve">QCY_AMT12</t>
  </si>
  <si>
    <t xml:space="preserve">QCY_13_AMT</t>
  </si>
  <si>
    <t xml:space="preserve">QCY_AMT13</t>
  </si>
  <si>
    <t xml:space="preserve">QCY_14_AMT</t>
  </si>
  <si>
    <t xml:space="preserve">QCY_AMT14</t>
  </si>
  <si>
    <t xml:space="preserve">QCY_15_AMT</t>
  </si>
  <si>
    <t xml:space="preserve">QCY_AMT15</t>
  </si>
  <si>
    <t xml:space="preserve">SHP_NINV_AMT</t>
  </si>
  <si>
    <t xml:space="preserve">取SRC_DETAIL为ZSTO04_CK%的数据，根据科目+客户+利润中心匹配到同一行</t>
  </si>
  <si>
    <t xml:space="preserve">RET_NTRF_AMT</t>
  </si>
  <si>
    <t xml:space="preserve">取SRC_DETAIL为ZTSO04_TH%的数据，根据科目+客户+利润中心匹配到同一行</t>
  </si>
  <si>
    <t xml:space="preserve">BCY_ADJ_INCL_0_AMT</t>
  </si>
  <si>
    <t xml:space="preserve">判断le_age_flg为CL且IS_REC_LG为N的，取SRC_DETAIL为ORG%的数据*（1+tax_rate）+shp_ninv_amt-ret_ntrf_amt
其余取SRC_DETAIL为ORG%的数据+shp_ninv_amt-ret_ntrf_amt</t>
  </si>
  <si>
    <t xml:space="preserve">BCY_ADJ_INCL_1_AMT</t>
  </si>
  <si>
    <t xml:space="preserve">BCY_ADJ_INCL_2_AMT</t>
  </si>
  <si>
    <t xml:space="preserve">BCY_ADJ_INCL_3_AMT</t>
  </si>
  <si>
    <t xml:space="preserve">BCY_ADJ_INCL_4_AMT</t>
  </si>
  <si>
    <t xml:space="preserve">BCY_ADJ_INCL_5_AMT</t>
  </si>
  <si>
    <t xml:space="preserve">BCY_ADJ_INCL_6_AMT</t>
  </si>
  <si>
    <t xml:space="preserve">BCY_ADJ_INCL_7_AMT</t>
  </si>
  <si>
    <t xml:space="preserve">BCY_ADJ_INCL_8_AMT</t>
  </si>
  <si>
    <t xml:space="preserve">BCY_ADJ_INCL_9_AMT</t>
  </si>
  <si>
    <t xml:space="preserve">BCY_ADJ_INCL_10_AMT</t>
  </si>
  <si>
    <t xml:space="preserve">BCY_ADJ_INCL_11_AMT</t>
  </si>
  <si>
    <t xml:space="preserve">BCY_ADJ_INCL_12_AMT</t>
  </si>
  <si>
    <t xml:space="preserve">BCY_ADJ_INCL_13_AMT</t>
  </si>
  <si>
    <t xml:space="preserve">BCY_ADJ_INCL_14_AMT</t>
  </si>
  <si>
    <t xml:space="preserve">BCY_ADJ_INCL_15_AMT</t>
  </si>
  <si>
    <t xml:space="preserve">BCY_ADJ_EXCL_0_AMT</t>
  </si>
  <si>
    <t xml:space="preserve">判断me_age_flg为CL且IS_REC_ME为N的，取SRC_DETAIL为ORG%的数据+shp_ninv_amt-ret_ntrf_amt
me_age_flg为CL且IS_REC_ME为Y的，SRC_DETAIL为ORG%的数据/（1+tax_rate）+shp_ninv_amt-ret_ntrf_amt</t>
  </si>
  <si>
    <t xml:space="preserve">overdue_0_amt</t>
  </si>
  <si>
    <t xml:space="preserve">number(27,9)</t>
  </si>
  <si>
    <t xml:space="preserve">取SRC_DETAIL为overdue%的数据，根据科目+客户+利润中心匹配到同一行</t>
  </si>
  <si>
    <t xml:space="preserve">overdue_1_amt</t>
  </si>
  <si>
    <t xml:space="preserve">overdue_2_amt</t>
  </si>
  <si>
    <t xml:space="preserve">置空</t>
  </si>
  <si>
    <t xml:space="preserve">overdue_3_amt</t>
  </si>
  <si>
    <t xml:space="preserve">overdue_4_amt</t>
  </si>
  <si>
    <t xml:space="preserve">overdue_5_amt</t>
  </si>
  <si>
    <t xml:space="preserve">overdue_6_amt</t>
  </si>
  <si>
    <t xml:space="preserve">overdue_7_amt</t>
  </si>
  <si>
    <t xml:space="preserve">overdue_8_amt</t>
  </si>
  <si>
    <t xml:space="preserve">overdue_9_amt</t>
  </si>
  <si>
    <t xml:space="preserve">INV_SAMPLE_AMT</t>
  </si>
  <si>
    <t xml:space="preserve">取SRC_DETAIL为inv_sample%的数据，根据科目+客户+利润中心匹配到同一行</t>
  </si>
  <si>
    <t xml:space="preserve">EPAY_AMT</t>
  </si>
  <si>
    <t xml:space="preserve">取SRC_DETAIL为epay%的数据，根据科目+客户+利润中心匹配到同一行</t>
  </si>
  <si>
    <t xml:space="preserve">ECLS_AMT</t>
  </si>
  <si>
    <t xml:space="preserve">取SRC_DETAIL为ECLS%的数据，根据科目+客户+利润中心匹配到同一行</t>
  </si>
  <si>
    <t xml:space="preserve">UREB_AMT</t>
  </si>
  <si>
    <t xml:space="preserve">取SRC_DETAIL为ufee%的数据，根据科目+客户+利润中心匹配到同一行</t>
  </si>
  <si>
    <t xml:space="preserve">UFEE_AMT</t>
  </si>
  <si>
    <t xml:space="preserve">取SRC_DETAIL为ureb%的数据，根据科目+客户+利润中心匹配到同一行</t>
  </si>
  <si>
    <t xml:space="preserve">PAY_TERM_CODE</t>
  </si>
  <si>
    <t xml:space="preserve">varchar(300)</t>
  </si>
  <si>
    <t xml:space="preserve">PAY_TERM_DESC</t>
  </si>
  <si>
    <t xml:space="preserve">CLOSING_RATE_BCY_AMT</t>
  </si>
  <si>
    <t xml:space="preserve">1、非2023公司：
交易币且本位币&lt;&gt;CNY，
根据交易币计算折算成本位币的汇率，汇率取系统的汇率表中的最终汇率；保留5位小数，用汇率*交易币金额
2、2023公司：
根据交易币计算折算成本位币的汇率，汇率取SAP-TCURR的汇率，用汇率*交易币金额
3、其他：根据交易币计算折算成本位币的汇率，汇率取系统的汇率表中的最终汇率；用汇率*交易币金额</t>
  </si>
  <si>
    <t xml:space="preserve">Doris</t>
  </si>
  <si>
    <t xml:space="preserve">DATI_CAMBIO
ODS.ODSS600_TCURR@FMSLK</t>
  </si>
  <si>
    <t xml:space="preserve">CAMBIO_FINALE
UKURS*(CASE WHEN TCURR='VND' AND FCURR IN ('USD') THEN 1000
                      WHEN TCURR='VND' THEN 100
                      ELSE 1
                  END) </t>
  </si>
  <si>
    <t xml:space="preserve">POSTING_RATE_BCY_AMT</t>
  </si>
  <si>
    <t xml:space="preserve">EXCHANGE_RATE_EVAL_FLAG</t>
  </si>
  <si>
    <t xml:space="preserve">TH_FX_EVAL_AMT</t>
  </si>
  <si>
    <t xml:space="preserve">BCY_AMT0 - posting_rate_bcy_amt</t>
  </si>
  <si>
    <t xml:space="preserve">CURRENCY_ACCT_DETAIL</t>
  </si>
  <si>
    <t xml:space="preserve">格式为：【法人分类标识:本币余额\原币:原币余额;】</t>
  </si>
  <si>
    <t xml:space="preserve">LISTAGG(LE_AGE_FLG || ':' || BCY_0_AMT|| '\' || COD_VALUTA_ORIGINARIA || ':' || QCY_0_AMT, ';') 
  WITHIN GROUP (ORDER BY LE_AGE_FLG, BCY_0_AMT)</t>
  </si>
  <si>
    <t xml:space="preserve">ADJ_REB_AMT</t>
  </si>
  <si>
    <t xml:space="preserve">UREB_AMT - MIN(BCY_AMT0/UREB_AMT)</t>
  </si>
  <si>
    <t xml:space="preserve">ADJ_RET_AMT</t>
  </si>
  <si>
    <t xml:space="preserve">MIN(BCY_AMT0/ret_ntrf_amt)</t>
  </si>
  <si>
    <t/>
    <r>
      <rPr>
        <u val="single"/>
        <color theme="10"/>
      </rPr>
      <t>返回</t>
    </r>
  </si>
  <si>
    <t xml:space="preserve">AW_MR9_ARPM03_000001逻辑处理</t>
  </si>
  <si>
    <t/>
    <r>
      <rPr>
        <u val="single"/>
        <color theme="10"/>
      </rPr>
      <t>规则库</t>
    </r>
  </si>
  <si>
    <t xml:space="preserve">表名称</t>
  </si>
  <si>
    <t xml:space="preserve">AW_MR9_ARPM03_000001</t>
  </si>
  <si>
    <t xml:space="preserve">存储过程名称：CPM_SP_M2M_ARP_BD_M</t>
  </si>
  <si>
    <t xml:space="preserve">表描述</t>
  </si>
  <si>
    <t xml:space="preserve">坏账计算表</t>
  </si>
  <si>
    <t xml:space="preserve">表类型</t>
  </si>
  <si>
    <t xml:space="preserve">事实表</t>
  </si>
  <si>
    <t xml:space="preserve">数仓分层</t>
  </si>
  <si>
    <t xml:space="preserve">DWM</t>
  </si>
  <si>
    <t xml:space="preserve">参数：场景 P_SCENARIO</t>
  </si>
  <si>
    <t xml:space="preserve">L1数仓目录</t>
  </si>
  <si>
    <t xml:space="preserve">管理财经</t>
  </si>
  <si>
    <t xml:space="preserve">L2数仓目录</t>
  </si>
  <si>
    <t xml:space="preserve">财报管理</t>
  </si>
  <si>
    <t xml:space="preserve">L3数仓目录</t>
  </si>
  <si>
    <t xml:space="preserve">应收</t>
  </si>
  <si>
    <t xml:space="preserve">期间：P_PERIODO</t>
  </si>
  <si>
    <t xml:space="preserve">更新方式</t>
  </si>
  <si>
    <t xml:space="preserve">增量更新</t>
  </si>
  <si>
    <t xml:space="preserve">设计人员</t>
  </si>
  <si>
    <t xml:space="preserve">时间</t>
  </si>
  <si>
    <t xml:space="preserve">公司：P_AZIENDA</t>
  </si>
  <si>
    <t xml:space="preserve">使用场景</t>
  </si>
  <si>
    <t xml:space="preserve">将往来账龄表中涉及到需要计算坏账的数据取到坏账计算表中，根据管理分类和分公司分类不同生成两个口径的数据，并且匹配出坏账的调整项，如果有直销垫资的金额，用垫资的金额冲减坏账计提基数，优先从长账龄冲销，如果同一个客户存在负数的账龄金额，拆分到长账龄的区间中</t>
  </si>
  <si>
    <t xml:space="preserve">用户：SESSION_USER </t>
  </si>
  <si>
    <t xml:space="preserve">目标表</t>
  </si>
  <si>
    <t xml:space="preserve">往来账龄结果【AW_MR9_ARPM02_000001】</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</si>
  <si>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</si>
  <si>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</si>
  <si>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</si>
  <si>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</si>
  <si>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</si>
  <si>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</si>
  <si>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</si>
  <si>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</si>
  <si>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</si>
  <si>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</si>
  <si>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</si>
  <si>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</si>
  <si>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</si>
  <si>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</si>
  <si>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</si>
  <si>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</si>
  <si>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</si>
  <si>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</si>
  <si>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</si>
  <si>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COD_SCENARIO</t>
  </si>
  <si>
    <t xml:space="preserve">直接对应</t>
  </si>
  <si>
    <t xml:space="preserve">TA</t>
  </si>
  <si>
    <t xml:space="preserve">AW_MR9_ARPM02_000001</t>
  </si>
  <si>
    <t xml:space="preserve">COD_PERIODO</t>
  </si>
  <si>
    <t xml:space="preserve">√</t>
  </si>
  <si>
    <t xml:space="preserve">普通级</t>
  </si>
  <si>
    <t xml:space="preserve">COD_AZIENDA</t>
  </si>
  <si>
    <t xml:space="preserve">COD_CONTO</t>
  </si>
  <si>
    <t xml:space="preserve">COD_CATEGORIA</t>
  </si>
  <si>
    <t xml:space="preserve">根据me_age_flg取AR/OR/CA/A10的数据，类别放ZAMOUNT
根据mb_age_flg取AR/OR/CA/A10的数据，类别放ZAMOUNT_L2</t>
  </si>
  <si>
    <t xml:space="preserve"/>
  </si>
  <si>
    <t xml:space="preserve">CUST_CODE</t>
  </si>
  <si>
    <t xml:space="preserve">CUST_NAME</t>
  </si>
  <si>
    <t xml:space="preserve">CUST_HEAD_CODE</t>
  </si>
  <si>
    <t xml:space="preserve">CUST_HEAD_NAME</t>
  </si>
  <si>
    <t xml:space="preserve">CUST_BRANCH_CODE</t>
  </si>
  <si>
    <t xml:space="preserve">CUST_BRANCH_NAME</t>
  </si>
  <si>
    <t xml:space="preserve">COD_AZI_CTP</t>
  </si>
  <si>
    <t xml:space="preserve">COUNTRY_CODE</t>
  </si>
  <si>
    <t xml:space="preserve">COUNTRY_NAME</t>
  </si>
  <si>
    <t xml:space="preserve">GRP_SCOPE</t>
  </si>
  <si>
    <t xml:space="preserve">NATURE_L1_NAME</t>
  </si>
  <si>
    <t xml:space="preserve">varchar(2000)</t>
  </si>
  <si>
    <t xml:space="preserve">NATURE_L2_NAME</t>
  </si>
  <si>
    <t xml:space="preserve">NATURE_L3_NAME</t>
  </si>
  <si>
    <t xml:space="preserve">D_CHANNEL</t>
  </si>
  <si>
    <t xml:space="preserve">D_ONOFFLINE</t>
  </si>
  <si>
    <t xml:space="preserve">COD_DEST2</t>
  </si>
  <si>
    <t xml:space="preserve">COD_DEST3</t>
  </si>
  <si>
    <t xml:space="preserve">D_SALE_DEPT</t>
  </si>
  <si>
    <t xml:space="preserve">COD_VALUTA</t>
  </si>
  <si>
    <t xml:space="preserve">COD_VALUTA_ORIGINARIA</t>
  </si>
  <si>
    <t xml:space="preserve">BCY_ADJ_INCL_0_AMT</t>
  </si>
  <si>
    <t xml:space="preserve">BCY_ADJ_INCL_1_AMT</t>
  </si>
  <si>
    <t xml:space="preserve">BCY_ADJ_INCL_2_AMT</t>
  </si>
  <si>
    <t xml:space="preserve">BCY_ADJ_INCL_3_AMT</t>
  </si>
  <si>
    <t xml:space="preserve">BCY_ADJ_INCL_4_AMT</t>
  </si>
  <si>
    <t xml:space="preserve">BCY_ADJ_INCL_5_AMT</t>
  </si>
  <si>
    <t xml:space="preserve">BCY_ADJ_INCL_6_AMT</t>
  </si>
  <si>
    <t xml:space="preserve">BCY_ADJ_INCL_7_AMT</t>
  </si>
  <si>
    <t xml:space="preserve">BCY_ADJ_INCL_8_AMT</t>
  </si>
  <si>
    <t xml:space="preserve">BCY_ADJ_INCL_9_AMT</t>
  </si>
  <si>
    <t xml:space="preserve">BCY_ADJ_INCL_10_AMT</t>
  </si>
  <si>
    <t xml:space="preserve">BCY_ADJ_INCL_11_AMT</t>
  </si>
  <si>
    <t xml:space="preserve">BCY_ADJ_INCL_12_AMT</t>
  </si>
  <si>
    <t xml:space="preserve">BCY_ADJ_INCL_13_AMT</t>
  </si>
  <si>
    <t xml:space="preserve">BCY_ADJ_INCL_14_AMT</t>
  </si>
  <si>
    <t xml:space="preserve">BCY_ADJ_INCL_15_AMT</t>
  </si>
  <si>
    <t xml:space="preserve">SPC_DSV_DED_AMT</t>
  </si>
  <si>
    <t xml:space="preserve">根据公司+客商编码+利润中心编码匹配《手工录入表》，坏账计提调整项-直销垫资</t>
  </si>
  <si>
    <t xml:space="preserve">AW_MR9_ARPM01_000001</t>
  </si>
  <si>
    <t xml:space="preserve">BCY_0_AMT</t>
  </si>
  <si>
    <t xml:space="preserve">SPC_C2E_DED_AMT</t>
  </si>
  <si>
    <t xml:space="preserve">根据公司+客商编码+利润中心编码匹配《手工录入表》，
坏账计提调整项-煤改电扣减</t>
  </si>
  <si>
    <t xml:space="preserve">SPC_INS_DED_AMT</t>
  </si>
  <si>
    <t xml:space="preserve">根据公司+客商编码+利润中心编码匹配AW_MR9_ARPM01_000001，筛选SRC_DETAIL包含坏账计提调整项-投保扣减</t>
  </si>
  <si>
    <t xml:space="preserve">INS_COV_DAYS</t>
  </si>
  <si>
    <t xml:space="preserve">根据公司+科目+客商编码匹配《投保信息表》，取保障天数BZTS</t>
  </si>
  <si>
    <t xml:space="preserve">ZTAB_AG_TF_INSURE</t>
  </si>
  <si>
    <t xml:space="preserve">BZTS</t>
  </si>
  <si>
    <t xml:space="preserve">INS_UNCOV_RATE</t>
  </si>
  <si>
    <t xml:space="preserve">根据公司+科目+客商编码匹配《投保信息表》，取未覆盖比例WFUGBL</t>
  </si>
  <si>
    <t xml:space="preserve">WFUGBL</t>
  </si>
  <si>
    <t xml:space="preserve">BD_BASE_0_AMT</t>
  </si>
  <si>
    <t xml:space="preserve">合计各账龄段数据之和</t>
  </si>
  <si>
    <t xml:space="preserve">BD_BASE_1_AMT</t>
  </si>
  <si>
    <t xml:space="preserve">1、垫资金额spc_dsv_ded_amt如果有值，先从长账龄段冲减BCY_ADJ_INCL_1_AMT原始账龄段的数据
2、如果存在负数的账龄段，根据同一个公司+客户下长账龄的数据开始拆分（先进先出的原理）</t>
  </si>
  <si>
    <t xml:space="preserve">BD_BASE_2_AMT</t>
  </si>
  <si>
    <t xml:space="preserve">1、垫资金额spc_dsv_ded_amt如果有值，先从长账龄段冲减BCY_ADJ_INCL_2_AMT原始账龄段的数据
2、如果存在负数的账龄段，根据同一个公司+客户下长账龄的数据开始拆分（先进先出的原理）</t>
  </si>
  <si>
    <t xml:space="preserve">BD_BASE_3_AMT</t>
  </si>
  <si>
    <t xml:space="preserve">1、垫资金额spc_dsv_ded_amt如果有值，先从长账龄段冲减BCY_ADJ_INCL_3_AMT原始账龄段的数据
2、如果存在负数的账龄段，根据同一个公司+客户下长账龄的数据开始拆分（先进先出的原理）</t>
  </si>
  <si>
    <t xml:space="preserve">BD_BASE_4_AMT</t>
  </si>
  <si>
    <t xml:space="preserve">1、垫资金额spc_dsv_ded_amt如果有值，先从长账龄段冲减BCY_ADJ_INCL_4_AMT原始账龄段的数据
2、如果存在负数的账龄段，根据同一个公司+客户下长账龄的数据开始拆分（先进先出的原理）</t>
  </si>
  <si>
    <t xml:space="preserve">BD_BASE_5_AMT</t>
  </si>
  <si>
    <t xml:space="preserve">1、垫资金额spc_dsv_ded_amt如果有值，先从长账龄段冲减BCY_ADJ_INCL_5_AMT原始账龄段的数据
2、如果存在负数的账龄段，根据同一个公司+客户下长账龄的数据开始拆分（先进先出的原理）</t>
  </si>
  <si>
    <t xml:space="preserve">BD_BASE_6_AMT</t>
  </si>
  <si>
    <t xml:space="preserve">1、垫资金额spc_dsv_ded_amt如果有值，先从长账龄段冲减BCY_ADJ_INCL_6_AMT原始账龄段的数据
2、如果存在负数的账龄段，根据同一个公司+客户下长账龄的数据开始拆分（先进先出的原理）</t>
  </si>
  <si>
    <t xml:space="preserve">BD_BASE_7_AMT</t>
  </si>
  <si>
    <t xml:space="preserve">1、垫资金额spc_dsv_ded_amt如果有值，先从长账龄段冲减BCY_ADJ_INCL_7_AMT原始账龄段的数据
2、如果存在负数的账龄段，根据同一个公司+客户下长账龄的数据开始拆分（先进先出的原理）</t>
  </si>
  <si>
    <t xml:space="preserve">BD_BASE_8_AMT</t>
  </si>
  <si>
    <t xml:space="preserve">1、垫资金额spc_dsv_ded_amt如果有值，先从长账龄段冲减BCY_ADJ_INCL_8_AMT原始账龄段的数据
2、如果存在负数的账龄段，根据同一个公司+客户下长账龄的数据开始拆分（先进先出的原理）</t>
  </si>
  <si>
    <t xml:space="preserve">BD_BASE_9_AMT</t>
  </si>
  <si>
    <t xml:space="preserve">1、垫资金额spc_dsv_ded_amt如果有值，先从长账龄段冲减BCY_ADJ_INCL_9_AMT原始账龄段的数据
2、如果存在负数的账龄段，根据同一个公司+客户下长账龄的数据开始拆分（先进先出的原理）</t>
  </si>
  <si>
    <t xml:space="preserve">BD_BASE_10_AMT</t>
  </si>
  <si>
    <t xml:space="preserve">1、垫资金额spc_dsv_ded_amt如果有值，先从长账龄段冲减BCY_ADJ_INCL_10_AMT原始账龄段的数据
2、如果存在负数的账龄段，根据同一个公司+客户下长账龄的数据开始拆分（先进先出的原理）</t>
  </si>
  <si>
    <t xml:space="preserve">BD_BASE_11_AMT</t>
  </si>
  <si>
    <t xml:space="preserve">1、垫资金额spc_dsv_ded_amt如果有值，先从长账龄段冲减BCY_ADJ_INCL_11_AMT原始账龄段的数据
2、如果存在负数的账龄段，根据同一个公司+客户下长账龄的数据开始拆分（先进先出的原理）</t>
  </si>
  <si>
    <t xml:space="preserve">BD_BASE_12_AMT</t>
  </si>
  <si>
    <t xml:space="preserve">1、垫资金额spc_dsv_ded_amt如果有值，先从长账龄段冲减BCY_ADJ_INCL_12_AMT原始账龄段的数据
2、如果存在负数的账龄段，根据同一个公司+客户下长账龄的数据开始拆分（先进先出的原理）</t>
  </si>
  <si>
    <t xml:space="preserve">BD_BASE_13_AMT</t>
  </si>
  <si>
    <t xml:space="preserve">1、垫资金额spc_dsv_ded_amt如果有值，先从长账龄段冲减BCY_ADJ_INCL_13_AMT原始账龄段的数据
2、如果存在负数的账龄段，根据同一个公司+客户下长账龄的数据开始拆分（先进先出的原理）</t>
  </si>
  <si>
    <t xml:space="preserve">BD_BASE_14_AMT</t>
  </si>
  <si>
    <t xml:space="preserve">1、垫资金额spc_dsv_ded_amt如果有值，先从长账龄段冲减BCY_ADJ_INCL_14_AMT原始账龄段的数据
2、如果存在负数的账龄段，根据同一个公司+客户下长账龄的数据开始拆分（先进先出的原理）</t>
  </si>
  <si>
    <t xml:space="preserve">BD_BASE_15_AMT</t>
  </si>
  <si>
    <t xml:space="preserve">1、垫资金额spc_dsv_ded_amt如果有值，先从长账龄段冲减BCY_ADJ_INCL_15_AMT原始账龄段的数据
2、如果存在负数的账龄段，根据同一个公司+客户下长账龄的数据开始拆分（先进先出的原理）</t>
  </si>
  <si>
    <t xml:space="preserve">BD_0_AMT</t>
  </si>
  <si>
    <t xml:space="preserve">BD_1_AMT</t>
  </si>
  <si>
    <t xml:space="preserve">BD_2_AMT</t>
  </si>
  <si>
    <t xml:space="preserve">BD_3_AMT</t>
  </si>
  <si>
    <t xml:space="preserve">BD_4_AMT</t>
  </si>
  <si>
    <t xml:space="preserve">BD_5_AMT</t>
  </si>
  <si>
    <t xml:space="preserve">BD_6_AMT</t>
  </si>
  <si>
    <t xml:space="preserve">BD_7_AMT</t>
  </si>
  <si>
    <t xml:space="preserve">BD_8_AMT</t>
  </si>
  <si>
    <t xml:space="preserve">BD_9_AMT</t>
  </si>
  <si>
    <t xml:space="preserve">BD_10_AMT</t>
  </si>
  <si>
    <t xml:space="preserve">BD_11_AMT</t>
  </si>
  <si>
    <t xml:space="preserve">BD_12_AMT</t>
  </si>
  <si>
    <t xml:space="preserve">BD_13_AMT</t>
  </si>
  <si>
    <t xml:space="preserve">BD_14_AMT</t>
  </si>
  <si>
    <t xml:space="preserve">BD_15_AMT</t>
  </si>
  <si>
    <t xml:space="preserve">BD_ALLOC_RATIO</t>
  </si>
  <si>
    <t xml:space="preserve">AGE_ALLOC_AMT</t>
  </si>
  <si>
    <t xml:space="preserve">AGE_ALLOC_1_AMT</t>
  </si>
  <si>
    <t xml:space="preserve">AGE_ALLOC_2_AMT</t>
  </si>
  <si>
    <t xml:space="preserve">AGE_ALLOC_3_AMT</t>
  </si>
  <si>
    <t xml:space="preserve">AGE_ALLOC_4_AMT</t>
  </si>
  <si>
    <t xml:space="preserve">AGE_ALLOC_5_AMT</t>
  </si>
  <si>
    <t xml:space="preserve">AGE_ALLOC_6_AMT</t>
  </si>
  <si>
    <t xml:space="preserve">AGE_ALLOC_7_AMT</t>
  </si>
  <si>
    <t xml:space="preserve">AGE_ALLOC_8_AMT</t>
  </si>
  <si>
    <t xml:space="preserve">AGE_ALLOC_9_AMT</t>
  </si>
  <si>
    <t xml:space="preserve">AGE_ALLOC_10_AMT</t>
  </si>
  <si>
    <t xml:space="preserve">AGE_ALLOC_11_AMT</t>
  </si>
  <si>
    <t xml:space="preserve">AGE_ALLOC_12_AMT</t>
  </si>
  <si>
    <t xml:space="preserve">AGE_ALLOC_13_AMT</t>
  </si>
  <si>
    <t xml:space="preserve">AGE_ALLOC_14_AMT</t>
  </si>
  <si>
    <t xml:space="preserve">AGE_ALLOC_15_AMT</t>
  </si>
  <si>
    <t xml:space="preserve">BD_AFAL_0_AMT</t>
  </si>
  <si>
    <t xml:space="preserve">BD_AFAL_1_AMT</t>
  </si>
  <si>
    <t xml:space="preserve">BD_AFAL_2_AMT</t>
  </si>
  <si>
    <t xml:space="preserve">BD_AFAL_3_AMT</t>
  </si>
  <si>
    <t xml:space="preserve">BD_AFAL_4_AMT</t>
  </si>
  <si>
    <t xml:space="preserve">BD_AFAL_5_AMT</t>
  </si>
  <si>
    <t xml:space="preserve">BD_AFAL_6_AMT</t>
  </si>
  <si>
    <t xml:space="preserve">BD_AFAL_7_AMT</t>
  </si>
  <si>
    <t xml:space="preserve">BD_AFAL_8_AMT</t>
  </si>
  <si>
    <t xml:space="preserve">BD_AFAL_9_AMT</t>
  </si>
  <si>
    <t xml:space="preserve">BD_AFAL_10_AMT</t>
  </si>
  <si>
    <t xml:space="preserve">BD_AFAL_11_AMT</t>
  </si>
  <si>
    <t xml:space="preserve">BD_AFAL_12_AMT</t>
  </si>
  <si>
    <t xml:space="preserve">BD_AFAL_13_AMT</t>
  </si>
  <si>
    <t xml:space="preserve">BD_AFAL_14_AMT</t>
  </si>
  <si>
    <t xml:space="preserve">BD_AFAL_15_AMT</t>
  </si>
  <si>
    <t/>
    <r>
      <rPr>
        <u val="single"/>
        <color theme="10"/>
      </rPr>
      <t>返回</t>
    </r>
  </si>
  <si>
    <t xml:space="preserve">AW_MR9_ARPM03_000001逻辑处理</t>
  </si>
  <si>
    <t/>
    <r>
      <rPr>
        <u val="single"/>
        <color theme="10"/>
      </rPr>
      <t>规则库</t>
    </r>
  </si>
  <si>
    <t xml:space="preserve">表名称</t>
  </si>
  <si>
    <t xml:space="preserve">AW_MR9_ARPM03_000001</t>
  </si>
  <si>
    <t xml:space="preserve">存储过程名称：CPM_SP_M2M_ARP_BD_M</t>
  </si>
  <si>
    <t xml:space="preserve">表描述</t>
  </si>
  <si>
    <t xml:space="preserve">坏账计算表</t>
  </si>
  <si>
    <t xml:space="preserve">表类型</t>
  </si>
  <si>
    <t xml:space="preserve">事实表</t>
  </si>
  <si>
    <t xml:space="preserve">数仓分层</t>
  </si>
  <si>
    <t xml:space="preserve">DWM</t>
  </si>
  <si>
    <t xml:space="preserve">参数：场景 P_SCENARIO</t>
  </si>
  <si>
    <t xml:space="preserve">L1数仓目录</t>
  </si>
  <si>
    <t xml:space="preserve">管理财经</t>
  </si>
  <si>
    <t xml:space="preserve">L2数仓目录</t>
  </si>
  <si>
    <t xml:space="preserve">财报管理</t>
  </si>
  <si>
    <t xml:space="preserve">L3数仓目录</t>
  </si>
  <si>
    <t xml:space="preserve">应收</t>
  </si>
  <si>
    <t xml:space="preserve">期间：P_PERIODO</t>
  </si>
  <si>
    <t xml:space="preserve">更新方式</t>
  </si>
  <si>
    <t xml:space="preserve">增量更新</t>
  </si>
  <si>
    <t xml:space="preserve">设计人员</t>
  </si>
  <si>
    <t xml:space="preserve">时间</t>
  </si>
  <si>
    <t xml:space="preserve">公司：P_AZIENDA</t>
  </si>
  <si>
    <t xml:space="preserve">使用场景</t>
  </si>
  <si>
    <t xml:space="preserve">根据不同的坏账计提规则计算坏账金额，如果有个别认定和煤改电，优先取对应的金额计提坏账，再按照优先级匹配坏账计提比例，根据坏账计提比例*坏账计提基数计算坏账金额，如果保障天数&gt;0，需要再根据保障天数判断坏账计提区间，根据坏账计提比例*坏账计提基数*未覆盖比例计算坏账</t>
  </si>
  <si>
    <t xml:space="preserve">用户：SESSION_USER </t>
  </si>
  <si>
    <t xml:space="preserve">目标表</t>
  </si>
  <si>
    <t xml:space="preserve">坏账计提基数【AW_MR9_ARPM03_000001】</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</si>
  <si>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</si>
  <si>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</si>
  <si>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</si>
  <si>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</si>
  <si>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</si>
  <si>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</si>
  <si>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</si>
  <si>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</si>
  <si>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</si>
  <si>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</si>
  <si>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</si>
  <si>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</si>
  <si>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</si>
  <si>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</si>
  <si>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</si>
  <si>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</si>
  <si>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</si>
  <si>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</si>
  <si>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</si>
  <si>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SPID_0_AMT</t>
  </si>
  <si>
    <t xml:space="preserve">√</t>
  </si>
  <si>
    <t xml:space="preserve">根据公司+客户+利润中心+三级性质匹配AW_MR9_ARPM03_000001，限制类别为ZFAMOUNT，取spid_0_amt</t>
  </si>
  <si>
    <t xml:space="preserve">SPID_1_AMT</t>
  </si>
  <si>
    <t xml:space="preserve">根据公司+客户+利润中心+三级性质匹配AW_MR9_ARPM03_000001，限制类别为ZFAMOUNT，取spid_1_amt</t>
  </si>
  <si>
    <t xml:space="preserve">SPID_2_AMT</t>
  </si>
  <si>
    <t xml:space="preserve">根据公司+客户+利润中心+三级性质匹配AW_MR9_ARPM03_000001，限制类别为ZFAMOUNT，取spid_2_amt</t>
  </si>
  <si>
    <t xml:space="preserve">SPID_3_AMT</t>
  </si>
  <si>
    <t xml:space="preserve">根据公司+客户+利润中心+三级性质匹配AW_MR9_ARPM03_000001，限制类别为ZFAMOUNT，取spid_3_amt</t>
  </si>
  <si>
    <t xml:space="preserve">SPID_4_AMT</t>
  </si>
  <si>
    <t xml:space="preserve">根据公司+客户+利润中心+三级性质匹配AW_MR9_ARPM03_000001，限制类别为ZFAMOUNT，取spid_4_amt</t>
  </si>
  <si>
    <t xml:space="preserve">SPID_5_AMT</t>
  </si>
  <si>
    <t xml:space="preserve">根据公司+客户+利润中心+三级性质匹配AW_MR9_ARPM03_000001，限制类别为ZFAMOUNT，取spid_5_amt</t>
  </si>
  <si>
    <t xml:space="preserve">SPID_6_AMT</t>
  </si>
  <si>
    <t xml:space="preserve">根据公司+客户+利润中心+三级性质匹配AW_MR9_ARPM03_000001，限制类别为ZFAMOUNT，取spid_6_amt</t>
  </si>
  <si>
    <t xml:space="preserve">SPID_7_AMT</t>
  </si>
  <si>
    <t xml:space="preserve">根据公司+客户+利润中心+三级性质匹配AW_MR9_ARPM03_000001，限制类别为ZFAMOUNT，取spid_7_amt</t>
  </si>
  <si>
    <t xml:space="preserve">SPID_8_AMT</t>
  </si>
  <si>
    <t xml:space="preserve">根据公司+客户+利润中心+三级性质匹配AW_MR9_ARPM03_000001，限制类别为ZFAMOUNT，取spid_8_amt</t>
  </si>
  <si>
    <t xml:space="preserve">SPID_9_AMT</t>
  </si>
  <si>
    <t xml:space="preserve">根据公司+客户+利润中心+三级性质匹配AW_MR9_ARPM03_000001，限制类别为ZFAMOUNT，取spid_9_amt</t>
  </si>
  <si>
    <t xml:space="preserve">SPID_10_AMT</t>
  </si>
  <si>
    <t xml:space="preserve">根据公司+客户+利润中心+三级性质匹配AW_MR9_ARPM03_000001，限制类别为ZFAMOUNT，取spid_10_amt</t>
  </si>
  <si>
    <t xml:space="preserve">SPID_11_AMT</t>
  </si>
  <si>
    <t xml:space="preserve">根据公司+客户+利润中心+三级性质匹配AW_MR9_ARPM03_000001，限制类别为ZFAMOUNT，取spid_11_amt</t>
  </si>
  <si>
    <t xml:space="preserve">SPID_12_AMT</t>
  </si>
  <si>
    <t xml:space="preserve">根据公司+客户+利润中心+三级性质匹配AW_MR9_ARPM03_000001，限制类别为ZFAMOUNT，取spid_12_amt</t>
  </si>
  <si>
    <t xml:space="preserve">SPID_13_AMT</t>
  </si>
  <si>
    <t xml:space="preserve">根据公司+客户+利润中心+三级性质匹配AW_MR9_ARPM03_000001，限制类别为ZFAMOUNT，取spid_13_amt</t>
  </si>
  <si>
    <t xml:space="preserve">SPID_14_AMT</t>
  </si>
  <si>
    <t xml:space="preserve">根据公司+客户+利润中心+三级性质匹配AW_MR9_ARPM03_000001，限制类别为ZFAMOUNT，取spid_14_amt</t>
  </si>
  <si>
    <t xml:space="preserve">SPID_15_AMT</t>
  </si>
  <si>
    <t xml:space="preserve">根据公司+客户+利润中心+三级性质匹配AW_MR9_ARPM03_000001，限制类别为ZFAMOUNT，取spid_15_amt</t>
  </si>
  <si>
    <t xml:space="preserve">BD_0_AMT</t>
  </si>
  <si>
    <t xml:space="preserve">合计各账龄段数据之和</t>
  </si>
  <si>
    <t xml:space="preserve">TA</t>
  </si>
  <si>
    <t xml:space="preserve">BD_1_AMT</t>
  </si>
  <si>
    <t/>
    <r>
      <rPr>
        <b val="true"/>
        <i val="false"/>
        <strike val="false"/>
        <sz val="11"/>
        <color/>
      </rPr>
      <t xml:space="preserve">如果个别认定金额有值，则直接取个别认定金额SPID_1_AMT
如果煤改电金额有值，则直接取煤改电金额spc_c2e_ded_amt
按照优先级匹配坏账计提比例</t>
    </r>
    <r>
      <rPr>
        <b val="false"/>
        <i val="false"/>
        <strike val="false"/>
        <sz val="11"/>
        <color/>
      </rPr>
      <t xml:space="preserve">（组织架构01层级下，节点2000排除2910，用2000维护的比例；组织架构10层级下，节点04020，排除6600，用6800的比例；组织架构10层级下，节点03020，排除6000A，用6700的比例）
1、特殊客户级：根据公司+客户+科目匹配1.0form_dati表单，ZS_AR0001_IPT01，COD_CONTO     IN ('1122000000','122101F','1460000000','1531000000')，COD_CATEGORIA IN ('$AMOUNT','1ADJ','1REC')，TESTO_14客户不为空
grp_scope为SUB匹配$AMOUNT，GIN匹配1ADJ，GEX匹配1REC
2、特殊性质级：根据公司+科目+三级性质匹配1.0form_dati表单，ZS_AR0001_IPT01，COD_CONTO     IN ('1122000000','122101F','1460000000','1531000000')，COD_CATEGORIA IN ('$AMOUNT','1ADJ','1REC')，TESTO_14客户为空，TESTO_2三级性质不为空
grp_scope为SUB匹配$AMOUNT，GIN匹配1ADJ，GEX匹配1REC，nature_l3_name和TESTO_2匹配
3、通用级：根据公司+科目匹配1.0form_dati表单，ZS_AR0001_IPT01，COD_CONTO     IN ('1122000000','122101F','1460000000','1531000000')，COD_CATEGORIA IN ('$AMOUNT','1ADJ','1REC')，TESTO_14客户为空，TESTO_2三级性质为空
grp_scope为SUB匹配$AMOUNT，GIN匹配1ADJ，GEX匹配1REC
根据bd_base_1_amt*IMPORTO_06
</t>
    </r>
    <r>
      <rPr>
        <b val="true"/>
        <i val="false"/>
        <strike val="false"/>
        <sz val="11"/>
        <color/>
      </rPr>
      <t xml:space="preserve">根据保障天数计算比例
</t>
    </r>
    <r>
      <rPr>
        <b val="false"/>
        <i val="false"/>
        <strike val="false"/>
        <sz val="11"/>
        <color/>
      </rPr>
      <t xml:space="preserve">保障天数&gt;0且&lt;=30，bd_base_1_amt*IMPORTO_06 * ins_uncov_rate</t>
    </r>
  </si>
  <si>
    <t xml:space="preserve">BD_2_AMT</t>
  </si>
  <si>
    <t/>
    <r>
      <rPr>
        <b val="true"/>
        <i val="false"/>
        <strike val="false"/>
        <sz val="11"/>
        <color/>
      </rPr>
      <t xml:space="preserve">按照优先级匹配坏账计提比例
</t>
    </r>
    <r>
      <rPr>
        <b val="false"/>
        <i val="false"/>
        <strike val="false"/>
        <sz val="11"/>
        <color/>
      </rPr>
      <t xml:space="preserve">1、特殊客户级：根据公司+客户+科目匹配1.0form_dati表单，ZS_AR0001_IPT01，COD_CONTO     IN ('1122000000','122101F','1460000000','1531000000')，COD_CATEGORIA IN ('$AMOUNT','1ADJ','1REC')，TESTO_14客户不为空
grp_scope为SUB匹配$AMOUNT，GIN匹配1ADJ，GEX匹配1REC
2、特殊性质级：根据公司+科目+三级性质匹配1.0form_dati表单，ZS_AR0001_IPT01，COD_CONTO     IN ('1122000000','122101F','1460000000','1531000000')，COD_CATEGORIA IN ('$AMOUNT','1ADJ','1REC')，TESTO_14客户为空，TESTO_2三级性质不为空
grp_scope为SUB匹配$AMOUNT，GIN匹配1ADJ，GEX匹配1REC，nature_l3_name和TESTO_2匹配
3、通用级：根据公司+科目匹配1.0form_dati表单，ZS_AR0001_IPT01，COD_CONTO     IN ('1122000000','122101F','1460000000','1531000000')，COD_CATEGORIA IN ('$AMOUNT','1ADJ','1REC')，TESTO_14客户为空，TESTO_2三级性质为空
grp_scope为SUB匹配$AMOUNT，GIN匹配1ADJ，GEX匹配1REC
根据bd_base_2_amt*IMPORTO_07
</t>
    </r>
    <r>
      <rPr>
        <b val="true"/>
        <i val="false"/>
        <strike val="false"/>
        <sz val="11"/>
        <color/>
      </rPr>
      <t xml:space="preserve">根据保障天数计算比例
</t>
    </r>
    <r>
      <rPr>
        <b val="false"/>
        <i val="false"/>
        <strike val="false"/>
        <sz val="11"/>
        <color/>
      </rPr>
      <t xml:space="preserve">保障天数&gt;30且&lt;=90，bd_base_2_amt*IMPORTO_07 * ins_uncov_rate</t>
    </r>
  </si>
  <si>
    <t xml:space="preserve">BD_3_AMT</t>
  </si>
  <si>
    <t/>
    <r>
      <rPr>
        <b val="true"/>
        <i val="false"/>
        <strike val="false"/>
        <sz val="11"/>
        <color/>
      </rPr>
      <t xml:space="preserve">按照优先级匹配坏账计提比例
</t>
    </r>
    <r>
      <rPr>
        <b val="false"/>
        <i val="false"/>
        <strike val="false"/>
        <sz val="11"/>
        <color/>
      </rPr>
      <t xml:space="preserve">1、特殊客户级：根据公司+客户+科目匹配1.0form_dati表单，ZS_AR0001_IPT01，COD_CONTO     IN ('1122000000','122101F','1460000000','1531000000')，COD_CATEGORIA IN ('$AMOUNT','1ADJ','1REC')，TESTO_14客户不为空
grp_scope为SUB匹配$AMOUNT，GIN匹配1ADJ，GEX匹配1REC
2、特殊性质级：根据公司+科目+三级性质匹配1.0form_dati表单，ZS_AR0001_IPT01，COD_CONTO     IN ('1122000000','122101F','1460000000','1531000000')，COD_CATEGORIA IN ('$AMOUNT','1ADJ','1REC')，TESTO_14客户为空，TESTO_2三级性质不为空
grp_scope为SUB匹配$AMOUNT，GIN匹配1ADJ，GEX匹配1REC，nature_l3_name和TESTO_2匹配
3、通用级：根据公司+科目匹配1.0form_dati表单，ZS_AR0001_IPT01，COD_CONTO     IN ('1122000000','122101F','1460000000','1531000000')，COD_CATEGORIA IN ('$AMOUNT','1ADJ','1REC')，TESTO_14客户为空，TESTO_2三级性质为空
grp_scope为SUB匹配$AMOUNT，GIN匹配1ADJ，GEX匹配1REC
根据bd_base_3_amt*IMPORTO_08
</t>
    </r>
    <r>
      <rPr>
        <b val="true"/>
        <i val="false"/>
        <strike val="false"/>
        <sz val="11"/>
        <color/>
      </rPr>
      <t xml:space="preserve">根据保障天数计算比例
</t>
    </r>
    <r>
      <rPr>
        <b val="false"/>
        <i val="false"/>
        <strike val="false"/>
        <sz val="11"/>
        <color/>
      </rPr>
      <t xml:space="preserve">保障天数&gt;90且&lt;=180，bd_base_3_amt*IMPORTO_08* ins_uncov_rate</t>
    </r>
  </si>
  <si>
    <t xml:space="preserve">BD_4_AMT</t>
  </si>
  <si>
    <t/>
    <r>
      <rPr>
        <b val="true"/>
        <i val="false"/>
        <strike val="false"/>
        <sz val="11"/>
        <color/>
      </rPr>
      <t xml:space="preserve">按照优先级匹配坏账计提比例
</t>
    </r>
    <r>
      <rPr>
        <b val="false"/>
        <i val="false"/>
        <strike val="false"/>
        <sz val="11"/>
        <color/>
      </rPr>
      <t xml:space="preserve">1、特殊客户级：根据公司+客户+科目匹配1.0form_dati表单，ZS_AR0001_IPT01，COD_CONTO     IN ('1122000000','122101F','1460000000','1531000000')，COD_CATEGORIA IN ('$AMOUNT','1ADJ','1REC')，TESTO_14客户不为空
grp_scope为SUB匹配$AMOUNT，GIN匹配1ADJ，GEX匹配1REC
2、特殊性质级：根据公司+科目+三级性质匹配1.0form_dati表单，ZS_AR0001_IPT01，COD_CONTO     IN ('1122000000','122101F','1460000000','1531000000')，COD_CATEGORIA IN ('$AMOUNT','1ADJ','1REC')，TESTO_14客户为空，TESTO_2三级性质不为空
grp_scope为SUB匹配$AMOUNT，GIN匹配1ADJ，GEX匹配1REC，nature_l3_name和TESTO_2匹配
3、通用级：根据公司+科目匹配1.0form_dati表单，ZS_AR0001_IPT01，COD_CONTO     IN ('1122000000','122101F','1460000000','1531000000')，COD_CATEGORIA IN ('$AMOUNT','1ADJ','1REC')，TESTO_14客户为空，TESTO_2三级性质为空
grp_scope为SUB匹配$AMOUNT，GIN匹配1ADJ，GEX匹配1REC
根据bd_base_4_amt*IMPORTO_09
</t>
    </r>
    <r>
      <rPr>
        <b val="true"/>
        <i val="false"/>
        <strike val="false"/>
        <sz val="11"/>
        <color/>
      </rPr>
      <t xml:space="preserve">根据保障天数计算比例
</t>
    </r>
    <r>
      <rPr>
        <b val="false"/>
        <i val="false"/>
        <strike val="false"/>
        <sz val="11"/>
        <color/>
      </rPr>
      <t xml:space="preserve">保障天数&gt;180，bd_base_4_amt*IMPORTO_09* ins_uncov_rate</t>
    </r>
  </si>
  <si>
    <t xml:space="preserve">BD_5_AMT</t>
  </si>
  <si>
    <t xml:space="preserve">按照优先级匹配坏账计提比例
1、特殊客户级：根据公司+客户+科目匹配1.0form_dati表单，ZS_AR0001_IPT01，COD_CONTO     IN ('1122000000','122101F','1460000000','1531000000')，COD_CATEGORIA IN ('$AMOUNT','1ADJ','1REC')，TESTO_14客户不为空
grp_scope为SUB匹配$AMOUNT，GIN匹配1ADJ，GEX匹配1REC
2、特殊性质级：根据公司+科目+三级性质匹配1.0form_dati表单，ZS_AR0001_IPT01，COD_CONTO     IN ('1122000000','122101F','1460000000','1531000000')，COD_CATEGORIA IN ('$AMOUNT','1ADJ','1REC')，TESTO_14客户为空，TESTO_2三级性质不为空
grp_scope为SUB匹配$AMOUNT，GIN匹配1ADJ，GEX匹配1REC，nature_l3_name和TESTO_2匹配
3、通用级：根据公司+科目匹配1.0form_dati表单，ZS_AR0001_IPT01，COD_CONTO     IN ('1122000000','122101F','1460000000','1531000000')，COD_CATEGORIA IN ('$AMOUNT','1ADJ','1REC')，TESTO_14客户为空，TESTO_2三级性质为空
grp_scope为SUB匹配$AMOUNT，GIN匹配1ADJ，GEX匹配1REC
根据bd_base_5_amt*IMPORTO_10</t>
  </si>
  <si>
    <t xml:space="preserve">BD_6_AMT</t>
  </si>
  <si>
    <t xml:space="preserve">按照优先级匹配坏账计提比例
1、特殊客户级：根据公司+客户+科目匹配1.0form_dati表单，ZS_AR0001_IPT01，COD_CONTO     IN ('1122000000','122101F','1460000000','1531000000')，COD_CATEGORIA IN ('$AMOUNT','1ADJ','1REC')，TESTO_14客户不为空
grp_scope为SUB匹配$AMOUNT，GIN匹配1ADJ，GEX匹配1REC
2、特殊性质级：根据公司+科目+三级性质匹配1.0form_dati表单，ZS_AR0001_IPT01，COD_CONTO     IN ('1122000000','122101F','1460000000','1531000000')，COD_CATEGORIA IN ('$AMOUNT','1ADJ','1REC')，TESTO_14客户为空，TESTO_2三级性质不为空
grp_scope为SUB匹配$AMOUNT，GIN匹配1ADJ，GEX匹配1REC，nature_l3_name和TESTO_2匹配
3、通用级：根据公司+科目匹配1.0form_dati表单，ZS_AR0001_IPT01，COD_CONTO     IN ('1122000000','122101F','1460000000','1531000000')，COD_CATEGORIA IN ('$AMOUNT','1ADJ','1REC')，TESTO_14客户为空，TESTO_2三级性质为空
grp_scope为SUB匹配$AMOUNT，GIN匹配1ADJ，GEX匹配1REC
根据bd_base_6_amt*IMPORTO_11</t>
  </si>
  <si>
    <t xml:space="preserve">BD_7_AMT</t>
  </si>
  <si>
    <t xml:space="preserve">按照优先级匹配坏账计提比例
1、特殊客户级：根据公司+客户+科目匹配1.0form_dati表单，ZS_AR0001_IPT01，COD_CONTO     IN ('1122000000','122101F','1460000000','1531000000')，COD_CATEGORIA IN ('$AMOUNT','1ADJ','1REC')，TESTO_14客户不为空
grp_scope为SUB匹配$AMOUNT，GIN匹配1ADJ，GEX匹配1REC
2、特殊性质级：根据公司+科目+三级性质匹配1.0form_dati表单，ZS_AR0001_IPT01，COD_CONTO     IN ('1122000000','122101F','1460000000','1531000000')，COD_CATEGORIA IN ('$AMOUNT','1ADJ','1REC')，TESTO_14客户为空，TESTO_2三级性质不为空
grp_scope为SUB匹配$AMOUNT，GIN匹配1ADJ，GEX匹配1REC，nature_l3_name和TESTO_2匹配
3、通用级：根据公司+科目匹配1.0form_dati表单，ZS_AR0001_IPT01，COD_CONTO     IN ('1122000000','122101F','1460000000','1531000000')，COD_CATEGORIA IN ('$AMOUNT','1ADJ','1REC')，TESTO_14客户为空，TESTO_2三级性质为空
grp_scope为SUB匹配$AMOUNT，GIN匹配1ADJ，GEX匹配1REC
根据bd_base_7_amt*IMPORTO_12</t>
  </si>
  <si>
    <t xml:space="preserve">BD_8_AMT</t>
  </si>
  <si>
    <t xml:space="preserve">按照优先级匹配坏账计提比例
1、特殊客户级：根据公司+客户+科目匹配1.0form_dati表单，ZS_AR0001_IPT01，COD_CONTO     IN ('1122000000','122101F','1460000000','1531000000')，COD_CATEGORIA IN ('$AMOUNT','1ADJ','1REC')，TESTO_14客户不为空
grp_scope为SUB匹配$AMOUNT，GIN匹配1ADJ，GEX匹配1REC
2、特殊性质级：根据公司+科目+三级性质匹配1.0form_dati表单，ZS_AR0001_IPT01，COD_CONTO     IN ('1122000000','122101F','1460000000','1531000000')，COD_CATEGORIA IN ('$AMOUNT','1ADJ','1REC')，TESTO_14客户为空，TESTO_2三级性质不为空
grp_scope为SUB匹配$AMOUNT，GIN匹配1ADJ，GEX匹配1REC，nature_l3_name和TESTO_2匹配
3、通用级：根据公司+科目匹配1.0form_dati表单，ZS_AR0001_IPT01，COD_CONTO     IN ('1122000000','122101F','1460000000','1531000000')，COD_CATEGORIA IN ('$AMOUNT','1ADJ','1REC')，TESTO_14客户为空，TESTO_2三级性质为空
grp_scope为SUB匹配$AMOUNT，GIN匹配1ADJ，GEX匹配1REC
根据bd_base_8_amt*IMPORTO_22</t>
  </si>
  <si>
    <t xml:space="preserve">BD_9_AMT</t>
  </si>
  <si>
    <t xml:space="preserve">按照优先级匹配坏账计提比例
1、特殊客户级：根据公司+客户+科目匹配1.0form_dati表单，ZS_AR0001_IPT01，COD_CONTO     IN ('1122000000','122101F','1460000000','1531000000')，COD_CATEGORIA IN ('$AMOUNT','1ADJ','1REC')，TESTO_14客户不为空
grp_scope为SUB匹配$AMOUNT，GIN匹配1ADJ，GEX匹配1REC
2、特殊性质级：根据公司+科目+三级性质匹配1.0form_dati表单，ZS_AR0001_IPT01，COD_CONTO     IN ('1122000000','122101F','1460000000','1531000000')，COD_CATEGORIA IN ('$AMOUNT','1ADJ','1REC')，TESTO_14客户为空，TESTO_2三级性质不为空
grp_scope为SUB匹配$AMOUNT，GIN匹配1ADJ，GEX匹配1REC，nature_l3_name和TESTO_2匹配
3、通用级：根据公司+科目匹配1.0form_dati表单，ZS_AR0001_IPT01，COD_CONTO     IN ('1122000000','122101F','1460000000','1531000000')，COD_CATEGORIA IN ('$AMOUNT','1ADJ','1REC')，TESTO_14客户为空，TESTO_2三级性质为空
grp_scope为SUB匹配$AMOUNT，GIN匹配1ADJ，GEX匹配1REC
根据bd_base_9_amt*IMPORTO_21</t>
  </si>
  <si>
    <t xml:space="preserve">BD_10_AMT</t>
  </si>
  <si>
    <t xml:space="preserve">BD_11_AMT</t>
  </si>
  <si>
    <t xml:space="preserve">BD_12_AMT</t>
  </si>
  <si>
    <t xml:space="preserve">BD_13_AMT</t>
  </si>
  <si>
    <t xml:space="preserve">BD_14_AMT</t>
  </si>
  <si>
    <t xml:space="preserve">BD_15_AMT</t>
  </si>
  <si>
    <t/>
    <r>
      <rPr>
        <u val="single"/>
        <color theme="10"/>
      </rPr>
      <t>返回</t>
    </r>
  </si>
  <si>
    <t xml:space="preserve">AW_MR9_ARPM03_000001逻辑处理</t>
  </si>
  <si>
    <t/>
    <r>
      <rPr>
        <u val="single"/>
        <color theme="10"/>
      </rPr>
      <t>规则库</t>
    </r>
  </si>
  <si>
    <t xml:space="preserve">表名称</t>
  </si>
  <si>
    <t xml:space="preserve">AW_MR9_ARPM03_000001</t>
  </si>
  <si>
    <t xml:space="preserve">存储过程名称：CPM_SP_M2M_ARP_BD_M</t>
  </si>
  <si>
    <t xml:space="preserve">表描述</t>
  </si>
  <si>
    <t xml:space="preserve">坏账计算表</t>
  </si>
  <si>
    <t xml:space="preserve">表类型</t>
  </si>
  <si>
    <t xml:space="preserve">事实表</t>
  </si>
  <si>
    <t xml:space="preserve">数仓分层</t>
  </si>
  <si>
    <t xml:space="preserve">DWM</t>
  </si>
  <si>
    <t xml:space="preserve">参数：场景 P_SCENARIO</t>
  </si>
  <si>
    <t xml:space="preserve">L1数仓目录</t>
  </si>
  <si>
    <t xml:space="preserve">管理财经</t>
  </si>
  <si>
    <t xml:space="preserve">L2数仓目录</t>
  </si>
  <si>
    <t xml:space="preserve">财报管理</t>
  </si>
  <si>
    <t xml:space="preserve">L3数仓目录</t>
  </si>
  <si>
    <t xml:space="preserve">应收</t>
  </si>
  <si>
    <t xml:space="preserve">期间：P_PERIODO</t>
  </si>
  <si>
    <t xml:space="preserve">更新方式</t>
  </si>
  <si>
    <t xml:space="preserve">增量更新</t>
  </si>
  <si>
    <t xml:space="preserve">设计人员</t>
  </si>
  <si>
    <t xml:space="preserve">时间</t>
  </si>
  <si>
    <t xml:space="preserve">公司：P_AZIENDA</t>
  </si>
  <si>
    <t xml:space="preserve">使用场景</t>
  </si>
  <si>
    <t xml:space="preserve">针对坏账计算出来为负数的行项目，按照同一个公司+客户+科目计算正数行的比例，把负数的坏账金额分摊到正数行上</t>
  </si>
  <si>
    <t xml:space="preserve">用户：SESSION_USER </t>
  </si>
  <si>
    <t xml:space="preserve">目标表</t>
  </si>
  <si>
    <t xml:space="preserve">坏账计提基数【AW_MR9_ARPM02_000001】</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</si>
  <si>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</si>
  <si>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</si>
  <si>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</si>
  <si>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</si>
  <si>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</si>
  <si>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</si>
  <si>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</si>
  <si>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</si>
  <si>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</si>
  <si>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</si>
  <si>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</si>
  <si>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</si>
  <si>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</si>
  <si>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</si>
  <si>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</si>
  <si>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</si>
  <si>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</si>
  <si>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</si>
  <si>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</si>
  <si>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BD_ALLOC_RATIO</t>
  </si>
  <si>
    <t xml:space="preserve">√</t>
  </si>
  <si>
    <t xml:space="preserve">筛选计算出来的bd_0_amt金额大于0，按照公司+客户+科目计算每一行的分摊比例</t>
  </si>
  <si>
    <t xml:space="preserve">TA</t>
  </si>
  <si>
    <t xml:space="preserve">AGE_ALLOC_0_AMT</t>
  </si>
  <si>
    <t xml:space="preserve">合计所有账龄段数据</t>
  </si>
  <si>
    <t xml:space="preserve">AGE_ALLOC_1_AMT</t>
  </si>
  <si>
    <t xml:space="preserve">筛选计算出来的bd_0_amt金额小于0，将bd_1_amt金额*bd_alloc_ratio分摊到每一行</t>
  </si>
  <si>
    <t xml:space="preserve">AGE_ALLOC_2_AMT</t>
  </si>
  <si>
    <t xml:space="preserve">筛选计算出来的bd_0_amt金额小于0，将bd_2_amt金额*bd_alloc_ratio分摊到每一行</t>
  </si>
  <si>
    <t xml:space="preserve">AGE_ALLOC_3_AMT</t>
  </si>
  <si>
    <t xml:space="preserve">筛选计算出来的bd_0_amt金额小于0，将bd_3_amt金额*bd_alloc_ratio分摊到每一行</t>
  </si>
  <si>
    <t xml:space="preserve">AGE_ALLOC_4_AMT</t>
  </si>
  <si>
    <t xml:space="preserve">筛选计算出来的bd_0_amt金额小于0，将bd_4_amt金额*bd_alloc_ratio分摊到每一行</t>
  </si>
  <si>
    <t xml:space="preserve">AGE_ALLOC_5_AMT</t>
  </si>
  <si>
    <t xml:space="preserve">筛选计算出来的bd_0_amt金额小于0，将bd_5_amt金额*bd_alloc_ratio分摊到每一行</t>
  </si>
  <si>
    <t xml:space="preserve">AGE_ALLOC_6_AMT</t>
  </si>
  <si>
    <t xml:space="preserve">筛选计算出来的bd_0_amt金额小于0，将bd_6_amt金额*bd_alloc_ratio分摊到每一行</t>
  </si>
  <si>
    <t xml:space="preserve">AGE_ALLOC_7_AMT</t>
  </si>
  <si>
    <t xml:space="preserve">筛选计算出来的bd_0_amt金额小于0，将bd_7_amt金额*bd_alloc_ratio分摊到每一行</t>
  </si>
  <si>
    <t xml:space="preserve">AGE_ALLOC_8_AMT</t>
  </si>
  <si>
    <t xml:space="preserve">筛选计算出来的bd_0_amt金额小于0，将bd_8_amt金额*bd_alloc_ratio分摊到每一行</t>
  </si>
  <si>
    <t xml:space="preserve">AGE_ALLOC_9_AMT</t>
  </si>
  <si>
    <t xml:space="preserve">筛选计算出来的bd_0_amt金额小于0，将bd_9_amt金额*bd_alloc_ratio分摊到每一行</t>
  </si>
  <si>
    <t xml:space="preserve">AGE_ALLOC_10_AMT</t>
  </si>
  <si>
    <t xml:space="preserve">筛选计算出来的bd_0_amt金额小于0，将bd_10_amt金额*bd_alloc_ratio分摊到每一行</t>
  </si>
  <si>
    <t xml:space="preserve">AGE_ALLOC_11_AMT</t>
  </si>
  <si>
    <t xml:space="preserve">筛选计算出来的bd_0_amt金额小于0，将bd_11_amt金额*bd_alloc_ratio分摊到每一行</t>
  </si>
  <si>
    <t xml:space="preserve">AGE_ALLOC_12_AMT</t>
  </si>
  <si>
    <t xml:space="preserve">筛选计算出来的bd_0_amt金额小于0，将bd_12_amt金额*bd_alloc_ratio分摊到每一行</t>
  </si>
  <si>
    <t xml:space="preserve">AGE_ALLOC_13_AMT</t>
  </si>
  <si>
    <t xml:space="preserve">筛选计算出来的bd_0_amt金额小于0，将bd_13_amt金额*bd_alloc_ratio分摊到每一行</t>
  </si>
  <si>
    <t xml:space="preserve">AGE_ALLOC_14_AMT</t>
  </si>
  <si>
    <t xml:space="preserve">筛选计算出来的bd_0_amt金额小于0，将bd_14_amt金额*bd_alloc_ratio分摊到每一行</t>
  </si>
  <si>
    <t xml:space="preserve">AGE_ALLOC_15_AMT</t>
  </si>
  <si>
    <t xml:space="preserve">筛选计算出来的bd_0_amt金额小于0，将bd_15_amt金额*bd_alloc_ratio分摊到每一行</t>
  </si>
  <si>
    <t xml:space="preserve">BD_AFAL_0_AMT</t>
  </si>
  <si>
    <t xml:space="preserve">BD_AFAL_1_AMT</t>
  </si>
  <si>
    <t xml:space="preserve">如果spid_1_amt有值，则直接取spid_1_amt，没有的按照以下逻辑计算
筛选计算出来的bd_0_amt金额大于0，bd_1_amt+age_alloc_1_amt</t>
  </si>
  <si>
    <t xml:space="preserve">BD_AFAL_2_AMT</t>
  </si>
  <si>
    <t xml:space="preserve">如果spid_2_amt有值，则直接取spid_2_amt，没有的按照以下逻辑计算
筛选计算出来的bd_0_amt金额大于0，bd_2_amt+age_alloc_2_amt</t>
  </si>
  <si>
    <t xml:space="preserve">BD_AFAL_3_AMT</t>
  </si>
  <si>
    <t xml:space="preserve">如果spid_3_amt有值，则直接取spid_3_amt，没有的按照以下逻辑计算：筛选计算出来的bd_0_amt金额大于0，取bd_3_amt+age_alloc_3_amt</t>
  </si>
  <si>
    <t xml:space="preserve">BD_AFAL_4_AMT</t>
  </si>
  <si>
    <t xml:space="preserve">如果spid_4_amt有值，则直接取spid_4_amt，没有的按照以下逻辑计算：筛选计算出来的bd_0_amt金额大于0，取bd_4_amt+age_alloc_4_amt</t>
  </si>
  <si>
    <t xml:space="preserve">BD_AFAL_5_AMT</t>
  </si>
  <si>
    <t xml:space="preserve">如果spid_5_amt有值，则直接取spid_5_amt，没有的按照以下逻辑计算：筛选计算出来的bd_0_amt金额大于0，取bd_5_amt+age_alloc_5_amt</t>
  </si>
  <si>
    <t xml:space="preserve">BD_AFAL_6_AMT</t>
  </si>
  <si>
    <t xml:space="preserve">如果spid_6_amt有值，则直接取spid_6_amt，没有的按照以下逻辑计算：筛选计算出来的bd_0_amt金额大于0，取bd_6_amt+age_alloc_6_amt</t>
  </si>
  <si>
    <t xml:space="preserve">BD_AFAL_7_AMT</t>
  </si>
  <si>
    <t xml:space="preserve">如果spid_7_amt有值，则直接取spid_7_amt，没有的按照以下逻辑计算：筛选计算出来的bd_0_amt金额大于0，取bd_7_amt+age_alloc_7_amt</t>
  </si>
  <si>
    <t xml:space="preserve">BD_AFAL_8_AMT</t>
  </si>
  <si>
    <t xml:space="preserve">如果spid_8_amt有值，则直接取spid_8_amt，没有的按照以下逻辑计算：筛选计算出来的bd_0_amt金额大于0，取bd_8_amt+age_alloc_8_amt</t>
  </si>
  <si>
    <t xml:space="preserve">BD_AFAL_9_AMT</t>
  </si>
  <si>
    <t xml:space="preserve">如果spid_9_amt有值，则直接取spid_9_amt，没有的按照以下逻辑计算：筛选计算出来的bd_0_amt金额大于0，取bd_9_amt+age_alloc_9_amt</t>
  </si>
  <si>
    <t xml:space="preserve">BD_AFAL_10_AMT</t>
  </si>
  <si>
    <t xml:space="preserve">如果spid_10_amt有值，则直接取spid_10_amt，没有的按照以下逻辑计算：筛选计算出来的bd_0_amt金额大于0，取bd_10_amt+age_alloc_10_amt</t>
  </si>
  <si>
    <t xml:space="preserve">BD_AFAL_11_AMT</t>
  </si>
  <si>
    <t xml:space="preserve">如果spid_11_amt有值，则直接取spid_11_amt，没有的按照以下逻辑计算：筛选计算出来的bd_0_amt金额大于0，取bd_11_amt+age_alloc_11_amt</t>
  </si>
  <si>
    <t xml:space="preserve">BD_AFAL_12_AMT</t>
  </si>
  <si>
    <t xml:space="preserve">如果spid_12_amt有值，则直接取spid_12_amt，没有的按照以下逻辑计算：筛选计算出来的bd_0_amt金额大于0，取bd_12_amt+age_alloc_12_amt</t>
  </si>
  <si>
    <t xml:space="preserve">BD_AFAL_13_AMT</t>
  </si>
  <si>
    <t xml:space="preserve">如果spid_13_amt有值，则直接取spid_13_amt，没有的按照以下逻辑计算：筛选计算出来的bd_0_amt金额大于0，取bd_13_amt+age_alloc_13_amt</t>
  </si>
  <si>
    <t xml:space="preserve">BD_AFAL_14_AMT</t>
  </si>
  <si>
    <t xml:space="preserve">如果spid_14_amt有值，则直接取spid_14_amt，没有的按照以下逻辑计算：筛选计算出来的bd_0_amt金额大于0，取bd_14_amt+age_alloc_14_amt</t>
  </si>
  <si>
    <t xml:space="preserve">BD_AFAL_15_AMT</t>
  </si>
  <si>
    <t xml:space="preserve">如果spid_15_amt有值，则直接取spid_15_amt，没有的按照以下逻辑计算：筛选计算出来的bd_0_amt金额大于0，取bd_15_amt+age_alloc_15_amt</t>
  </si>
  <si>
    <t xml:space="preserve">LM_BD_AFAL_0_AMT</t>
  </si>
  <si>
    <t xml:space="preserve">取上个月的AW_MR9_ARPM02_000001数据，根据公司+客户+利润中心匹配</t>
  </si>
  <si>
    <t xml:space="preserve">BD_PROV_METHOD</t>
  </si>
  <si>
    <t xml:space="preserve">1、如果spid_0_amt不为0，则输出'按单项计提'
2、其余根据公司节点判断，代码见右侧脚本</t>
  </si>
  <si>
    <t xml:space="preserve">WHEN C.COD_AZIENDA IN (SELECT ELEM FROM TGK_GB_HISENSE.V_REF_AZIENDA T WHERE T.HIE = '01' AND T.NODE = '2910')
                        THEN (CASE WHEN C.COD_AZI_CTP IN (SELECT ELEM FROM TGK_GB_HISENSE.V_REF_AZIENDA T WHERE T.HIE = '01' AND T.NODE = '2000B') THEN '视像合并组合'
                                   WHEN C.COD_AZI_CTP IN (SELECT ELEM FROM TGK_GB_HISENSE.V_REF_AZIENDA T WHERE T.HIE = '01' AND T.NODE = '1000') THEN '关联方组合'
                                   ELSE 'TVS组合'
                              END)
                      WHEN C.COD_AZIENDA IN (SELECT ELEM FROM TGK_GB_HISENSE.V_REF_AZIENDA T WHERE T.HIE = '01' AND T.NODE = '2000')
                        THEN (CASE WHEN C.COD_AZI_CTP IN (SELECT ELEM FROM TGK_GB_HISENSE.V_REF_AZIENDA T WHERE T.HIE = '01' AND T.NODE = '2000B') THEN '视像合并组合'
                                   WHEN C.COD_AZI_CTP IN (SELECT ELEM FROM TGK_GB_HISENSE.V_REF_AZIENDA T WHERE T.HIE = '01' AND T.NODE = '1000') THEN '关联方组合'
                                   ELSE '账龄组合'
                              END)</t>
  </si>
  <si>
    <t xml:space="preserve">WRITEOFF_AMT</t>
  </si>
  <si>
    <t xml:space="preserve">根据公司+科目+客户+利润中心+业务范围匹配，取核销金额的数据</t>
  </si>
  <si>
    <t xml:space="preserve">doris</t>
  </si>
  <si>
    <t xml:space="preserve">dwd_fi_mr_ar_writeoff_mi</t>
  </si>
  <si>
    <t xml:space="preserve">writeoff_amt</t>
  </si>
  <si>
    <t xml:space="preserve">MTD_BD_PROV_OCUR_AMT</t>
  </si>
  <si>
    <t xml:space="preserve">BD_AFAL_0_AMT - LM_BD_AFAL_0_AMT + WRITEOFF_AMT</t>
  </si>
  <si>
    <t/>
    <r>
      <rPr>
        <u val="single"/>
        <color theme="10"/>
      </rPr>
      <t>返回</t>
    </r>
  </si>
  <si>
    <t xml:space="preserve">AW_MR9_ARPM04_000001逻辑处理</t>
  </si>
  <si>
    <t/>
    <r>
      <rPr>
        <u val="single"/>
        <color theme="10"/>
      </rPr>
      <t>规则库</t>
    </r>
  </si>
  <si>
    <t xml:space="preserve">表名称</t>
  </si>
  <si>
    <t xml:space="preserve">AW_MR9_ARPM04_000001</t>
  </si>
  <si>
    <t xml:space="preserve">存储过程名称：CPM_SP_M2M_ARP_TOV_M</t>
  </si>
  <si>
    <t xml:space="preserve">表描述</t>
  </si>
  <si>
    <t xml:space="preserve">应收周转计算-占用明细表</t>
  </si>
  <si>
    <t xml:space="preserve">表类型</t>
  </si>
  <si>
    <t xml:space="preserve">事实表</t>
  </si>
  <si>
    <t xml:space="preserve">数仓分层</t>
  </si>
  <si>
    <t xml:space="preserve">DWM</t>
  </si>
  <si>
    <t xml:space="preserve">参数：场景 P_SCENARIO</t>
  </si>
  <si>
    <t xml:space="preserve">L1数仓目录</t>
  </si>
  <si>
    <t xml:space="preserve">管理财经</t>
  </si>
  <si>
    <t xml:space="preserve">L2数仓目录</t>
  </si>
  <si>
    <t xml:space="preserve">财报管理</t>
  </si>
  <si>
    <t xml:space="preserve">L3数仓目录</t>
  </si>
  <si>
    <t xml:space="preserve">应收</t>
  </si>
  <si>
    <t xml:space="preserve">期间：P_PERIODO</t>
  </si>
  <si>
    <t xml:space="preserve">更新方式</t>
  </si>
  <si>
    <t xml:space="preserve">增量更新</t>
  </si>
  <si>
    <t xml:space="preserve">设计人员</t>
  </si>
  <si>
    <t xml:space="preserve">时间</t>
  </si>
  <si>
    <t xml:space="preserve">公司：P_AZIENDA</t>
  </si>
  <si>
    <t xml:space="preserve">使用场景</t>
  </si>
  <si>
    <t xml:space="preserve">把往来账龄结果表的数据筛选出需要计算周转的应收占用数据，根据取数配置表中的限制进行数据的取数及剔除，以及将手工调整的影响因素也匹配到同一行数据中</t>
  </si>
  <si>
    <t xml:space="preserve">用户：SESSION_USER </t>
  </si>
  <si>
    <t xml:space="preserve">目标表</t>
  </si>
  <si>
    <t xml:space="preserve">往来账龄结果【AW_MR9_ARPM02_000001】</t>
  </si>
  <si>
    <t xml:space="preserve">国际营销占用【dwd_fi_mr_ar_imocc_mi】</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</si>
  <si>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</si>
  <si>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</si>
  <si>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</si>
  <si>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</si>
  <si>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</si>
  <si>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</si>
  <si>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</si>
  <si>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</si>
  <si>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</si>
  <si>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</si>
  <si>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</si>
  <si>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</si>
  <si>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</si>
  <si>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</si>
  <si>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</si>
  <si>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</si>
  <si>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</si>
  <si>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</si>
  <si>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</si>
  <si>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COD_SCENARIO</t>
  </si>
  <si>
    <t xml:space="preserve">直接对应</t>
  </si>
  <si>
    <t xml:space="preserve">TA</t>
  </si>
  <si>
    <t xml:space="preserve">AW_MR9_ARPM02_000001</t>
  </si>
  <si>
    <t xml:space="preserve">参数场景</t>
  </si>
  <si>
    <t xml:space="preserve">doris</t>
  </si>
  <si>
    <t xml:space="preserve">dwd_fi_mr_ar_imocc_mi</t>
  </si>
  <si>
    <t xml:space="preserve">COD_PERIODO</t>
  </si>
  <si>
    <t xml:space="preserve">√</t>
  </si>
  <si>
    <t xml:space="preserve">普通级</t>
  </si>
  <si>
    <t xml:space="preserve">参数月份</t>
  </si>
  <si>
    <t xml:space="preserve">COD_AZIENDA</t>
  </si>
  <si>
    <t xml:space="preserve">1、剔除二级性质为货款-材料外协的
2、剔除客户70012338
3、根据【集团归属范围】判断取集团外的客户
4、根据《应收周转特殊取数配置》限制取数范围
4.1、取数类型为剔除项，排除这部分配置的公司+客户+利润中心+业务管理单元
4.2、取数类型为取数项，单独加上这部分配置的公司+客户+利润中心+业务管理单元</t>
  </si>
  <si>
    <t xml:space="preserve">1、限制取1740和2080的数据
2、限制对方公司为空</t>
  </si>
  <si>
    <t xml:space="preserve">company_code</t>
  </si>
  <si>
    <t xml:space="preserve">COD_CONTO</t>
  </si>
  <si>
    <t xml:space="preserve">COD_CATEGORIA</t>
  </si>
  <si>
    <t xml:space="preserve">根据me_age_flg取AR的数据，类别放ZAMOUNT
根据mb_age_flg取AR的数据，类别放ZAMOUNT_L2</t>
  </si>
  <si>
    <t xml:space="preserve">ZAMOUNT</t>
  </si>
  <si>
    <t xml:space="preserve">CUST_CODE</t>
  </si>
  <si>
    <t xml:space="preserve">cust_code</t>
  </si>
  <si>
    <t xml:space="preserve">CUST_NAME</t>
  </si>
  <si>
    <t xml:space="preserve">cust_name</t>
  </si>
  <si>
    <t xml:space="preserve">CUST_HEAD_CODE</t>
  </si>
  <si>
    <t xml:space="preserve">CUST_HEAD_NAME</t>
  </si>
  <si>
    <t xml:space="preserve">CUST_BRANCH_CODE</t>
  </si>
  <si>
    <t xml:space="preserve">cust_branch_code</t>
  </si>
  <si>
    <t xml:space="preserve">CUST_BRANCH_NAME</t>
  </si>
  <si>
    <t xml:space="preserve">cust_branch_name</t>
  </si>
  <si>
    <t xml:space="preserve">COD_AZI_CTP</t>
  </si>
  <si>
    <t xml:space="preserve">cp_company_code</t>
  </si>
  <si>
    <t xml:space="preserve">COUNTRY_CODE</t>
  </si>
  <si>
    <t xml:space="preserve">country_code</t>
  </si>
  <si>
    <t xml:space="preserve">COUNTRY_NAME</t>
  </si>
  <si>
    <t xml:space="preserve">country_name</t>
  </si>
  <si>
    <t xml:space="preserve">GRP_SCOPE</t>
  </si>
  <si>
    <t xml:space="preserve">D_ADJ_TYPE</t>
  </si>
  <si>
    <t xml:space="preserve">ZZZZ</t>
  </si>
  <si>
    <t xml:space="preserve">ARP_01_001-国际营销占用还原</t>
  </si>
  <si>
    <t xml:space="preserve">D_CHANNEL</t>
  </si>
  <si>
    <t xml:space="preserve">D_ONOFFLINE</t>
  </si>
  <si>
    <t xml:space="preserve">COD_DEST2</t>
  </si>
  <si>
    <t xml:space="preserve">profitcenter_code</t>
  </si>
  <si>
    <t xml:space="preserve">COD_DEST3</t>
  </si>
  <si>
    <t xml:space="preserve">bus_range_code</t>
  </si>
  <si>
    <t xml:space="preserve">D_SALE_DEPT</t>
  </si>
  <si>
    <t xml:space="preserve">COD_VALUTA</t>
  </si>
  <si>
    <t xml:space="preserve">CNY</t>
  </si>
  <si>
    <t xml:space="preserve">AR_AMT</t>
  </si>
  <si>
    <t xml:space="preserve">如果公司为组织架构10下的050节点的公司，则用BCY_ADJ_INCL_0_AMT - UREB_AMT，其余公司直接取BCY_ADJ_INCL_0_AMT</t>
  </si>
  <si>
    <t xml:space="preserve">BCY_ADJ_INCL_0_AMT</t>
  </si>
  <si>
    <t xml:space="preserve">imocc_cny_amt</t>
  </si>
  <si>
    <t xml:space="preserve">F1_ODUE_AMT</t>
  </si>
  <si>
    <t xml:space="preserve">OVERDUE_AMT0</t>
  </si>
  <si>
    <t xml:space="preserve">F2_EPAY_AMT</t>
  </si>
  <si>
    <t xml:space="preserve">EPAY_AMT</t>
  </si>
  <si>
    <t xml:space="preserve">F3_ECR_AMT</t>
  </si>
  <si>
    <t xml:space="preserve"/>
  </si>
  <si>
    <t xml:space="preserve">F4_UREB_AMT</t>
  </si>
  <si>
    <t xml:space="preserve">如果公司为组织架构10下的050节点的公司，则输出0，其余公司直接取UREB_AMT</t>
  </si>
  <si>
    <t xml:space="preserve">UREB_AMT</t>
  </si>
  <si>
    <t xml:space="preserve">F5_UFEE_AMT</t>
  </si>
  <si>
    <t xml:space="preserve">UFEE_AMT</t>
  </si>
  <si>
    <t xml:space="preserve">F6_INVSM_AMT</t>
  </si>
  <si>
    <t xml:space="preserve">INV_SAMPLE_AMT</t>
  </si>
  <si>
    <t xml:space="preserve">F7_GSUB_AMT</t>
  </si>
  <si>
    <t xml:space="preserve">取SRC_DETAIL为ARFAC_GSUB%的数据，根据科目+客户+利润中心匹配到同一行</t>
  </si>
  <si>
    <t xml:space="preserve">AW_MR9_ARPM01_000001</t>
  </si>
  <si>
    <t xml:space="preserve">BCY_AMT0</t>
  </si>
  <si>
    <t xml:space="preserve">F8_ADJ_AMT</t>
  </si>
  <si>
    <t xml:space="preserve">取SRC_DETAIL为ARFAC_ADJ%的数据，根据科目+客户+利润中心匹配到同一行</t>
  </si>
  <si>
    <t/>
    <r>
      <rPr>
        <u val="single"/>
        <color theme="10"/>
      </rPr>
      <t>返回</t>
    </r>
  </si>
  <si>
    <t xml:space="preserve">AW_MR9_ARPM05_000001逻辑处理</t>
  </si>
  <si>
    <t/>
    <r>
      <rPr>
        <u val="single"/>
        <color theme="10"/>
      </rPr>
      <t>规则库</t>
    </r>
  </si>
  <si>
    <t xml:space="preserve">表名称</t>
  </si>
  <si>
    <t xml:space="preserve">AW_MR9_ARPM05_000001</t>
  </si>
  <si>
    <t xml:space="preserve">表描述</t>
  </si>
  <si>
    <t xml:space="preserve">应收周转计算-收入明细表</t>
  </si>
  <si>
    <t xml:space="preserve">表类型</t>
  </si>
  <si>
    <t xml:space="preserve">事实表</t>
  </si>
  <si>
    <t xml:space="preserve">数仓分层</t>
  </si>
  <si>
    <t xml:space="preserve">DWM</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</si>
  <si>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</si>
  <si>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</si>
  <si>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</si>
  <si>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</si>
  <si>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</si>
  <si>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</si>
  <si>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</si>
  <si>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</si>
  <si>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</si>
  <si>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</si>
  <si>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</si>
  <si>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把单体销售明细表的数据筛选出需要计算周转的收入数据，根据取数配置表中的限制进行数据的取数及剔除</t>
  </si>
  <si>
    <t xml:space="preserve">待确认：国际营销对外的收入怎么取数</t>
  </si>
  <si>
    <t xml:space="preserve">目标表</t>
  </si>
  <si>
    <t xml:space="preserve">单体销售明细表【AW_MR9_REVM01_000001】</t>
  </si>
  <si>
    <t xml:space="preserve">国际营销收入</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</si>
  <si>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</si>
  <si>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</si>
  <si>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</si>
  <si>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</si>
  <si>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</si>
  <si>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</si>
  <si>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</si>
  <si>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</si>
  <si>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</si>
  <si>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</si>
  <si>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</si>
  <si>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</si>
  <si>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</si>
  <si>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</si>
  <si>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</si>
  <si>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</si>
  <si>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</si>
  <si>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</si>
  <si>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</si>
  <si>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COD_SCENARIO</t>
  </si>
  <si>
    <t xml:space="preserve">直接对应</t>
  </si>
  <si>
    <t xml:space="preserve">TA</t>
  </si>
  <si>
    <t xml:space="preserve">AW_MR9_REVM01_000001</t>
  </si>
  <si>
    <t xml:space="preserve">SRC_DETAIL 排除'BSEG_FLJC'
类别COD_CATEGORIA排除GA00_PA_IN、GA00_PA_OUT
调整类型D_ADJ_TYPE排除REV_01_210、REV_01_212</t>
  </si>
  <si>
    <t xml:space="preserve">COD_PERIODO</t>
  </si>
  <si>
    <t xml:space="preserve">√</t>
  </si>
  <si>
    <t xml:space="preserve">普通级</t>
  </si>
  <si>
    <t xml:space="preserve">COD_AZIENDA</t>
  </si>
  <si>
    <t xml:space="preserve">根据《应收周转特殊取数配置》限制取数范围
1、取数类型为剔除项，排除这部分配置的公司+客户+利润中心+业务管理单元
2、取数类型为取数项，单独加上这部分配置的公司+客户+利润中心+业务管理单元</t>
  </si>
  <si>
    <t xml:space="preserve">COD_CONTO</t>
  </si>
  <si>
    <t xml:space="preserve">S600100</t>
  </si>
  <si>
    <t xml:space="preserve">COD_CATEGORIA</t>
  </si>
  <si>
    <t xml:space="preserve">ZAMOUNT</t>
  </si>
  <si>
    <t xml:space="preserve">CUST_CODE</t>
  </si>
  <si>
    <t xml:space="preserve">CUST_NAME</t>
  </si>
  <si>
    <t xml:space="preserve">COD_AZI_CTP</t>
  </si>
  <si>
    <t xml:space="preserve">COUNTRY_CODE</t>
  </si>
  <si>
    <t xml:space="preserve">取业务范围对应的节点编码</t>
  </si>
  <si>
    <t xml:space="preserve">NVL(NVL(DEST3_GERARCHIA_FLAT.DESC_DEST3_ELEGER3,
            DEST3_GERARCHIA_FLAT.DESC_DEST3_ELEGER4),
        DEST3_GERARCHIA_FLAT.DESC_DEST3_ELEGER5)</t>
  </si>
  <si>
    <t xml:space="preserve">COUNTRY_NAME</t>
  </si>
  <si>
    <t xml:space="preserve">取业务范围对应的节点名称</t>
  </si>
  <si>
    <t xml:space="preserve">D_ADJ_TYPE</t>
  </si>
  <si>
    <t xml:space="preserve">ZZZZ</t>
  </si>
  <si>
    <t xml:space="preserve">D_CHANNEL</t>
  </si>
  <si>
    <t xml:space="preserve">D_ONOFFLINE</t>
  </si>
  <si>
    <t xml:space="preserve">COD_DEST2</t>
  </si>
  <si>
    <t xml:space="preserve">COD_DEST3</t>
  </si>
  <si>
    <t xml:space="preserve">D_SALE_DEPT</t>
  </si>
  <si>
    <t xml:space="preserve">COD_VALUTA</t>
  </si>
  <si>
    <t xml:space="preserve">REV_AMT</t>
  </si>
  <si>
    <t xml:space="preserve">见右侧脚本</t>
  </si>
  <si>
    <t xml:space="preserve">(CASE
           WHEN A.SRC_DETAIL IN ('BSEG_FLJC') THEN 0
           ELSE ORG_REV
       END)
    - (CASE
           WHEN A.SRC_DETAIL IN ('BSEG_FLJC') THEN 0
           WHEN A.SRC_DETAIL IN ('VBRP')
             OR A.SRC_SYSTEM IN ('SMS', 'GSMS')
                THEN POLICY_AMT / AZIENDA.CAMBIO_PERIODO
           ELSE POLICY_AMT
       END)
    - (CASE
           WHEN A.SRC_DETAIL IN ('BSEG_FLJC') THEN 0
           WHEN A.SRC_DETAIL IN ('VBRP')
             OR A.SRC_SYSTEM IN ('SMS', 'GSMS')
                THEN (NVL(MAP_DIS1, 0) + NVL(MAP_DIS3, 0) + NVL(MAP_DIS4, 0)
                      + NVL(MAP_DIS30, 0) + NVL(MAP_DIS34, 0)) / AZIENDA.CAMBIO_PERIODO
           ELSE (NVL(MAP_DIS1, 0) + NVL(MAP_DIS3, 0) + NVL(MAP_DIS4, 0)
                 + NVL(MAP_DIS30, 0) + NVL(MAP_DIS34, 0))
       END)</t>
  </si>
  <si>
    <t/>
    <r>
      <rPr>
        <u val="single"/>
        <color theme="10"/>
      </rPr>
      <t>返回</t>
    </r>
  </si>
  <si>
    <t xml:space="preserve">AW_MR6_ARPINS_000001逻辑处理</t>
  </si>
  <si>
    <t/>
    <r>
      <rPr>
        <u val="single"/>
        <color theme="10"/>
      </rPr>
      <t>规则库</t>
    </r>
  </si>
  <si>
    <t xml:space="preserve">表名称</t>
  </si>
  <si>
    <t xml:space="preserve">AW_MR6_ARPINS_000001</t>
  </si>
  <si>
    <t xml:space="preserve">表描述</t>
  </si>
  <si>
    <t xml:space="preserve">往来模块-投保信息录入表</t>
  </si>
  <si>
    <t xml:space="preserve">表类型</t>
  </si>
  <si>
    <t xml:space="preserve">事实表</t>
  </si>
  <si>
    <t xml:space="preserve">数仓分层</t>
  </si>
  <si>
    <t xml:space="preserve">DWM</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</si>
  <si>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</si>
  <si>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</si>
  <si>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</si>
  <si>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</si>
  <si>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</si>
  <si>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</si>
  <si>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</si>
  <si>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</si>
  <si>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</si>
  <si>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</si>
  <si>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</si>
  <si>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根据投保信息录入的数据，计算出投保的未覆盖比例</t>
  </si>
  <si>
    <t xml:space="preserve">目标表</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</si>
  <si>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</si>
  <si>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</si>
  <si>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</si>
  <si>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</si>
  <si>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</si>
  <si>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</si>
  <si>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</si>
  <si>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</si>
  <si>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</si>
  <si>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</si>
  <si>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</si>
  <si>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</si>
  <si>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</si>
  <si>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</si>
  <si>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</si>
  <si>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</si>
  <si>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</si>
  <si>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</si>
  <si>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</si>
  <si>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COD_SCENARIO</t>
  </si>
  <si>
    <t xml:space="preserve">COD_PERIODO</t>
  </si>
  <si>
    <t xml:space="preserve">√</t>
  </si>
  <si>
    <t xml:space="preserve">普通级</t>
  </si>
  <si>
    <t xml:space="preserve">COD_AZIENDA</t>
  </si>
  <si>
    <t xml:space="preserve">CUST_CODE</t>
  </si>
  <si>
    <t xml:space="preserve">CUST_NAME</t>
  </si>
  <si>
    <t xml:space="preserve">QCY_INS_CODE</t>
  </si>
  <si>
    <t xml:space="preserve">QCY_INS_AMT</t>
  </si>
  <si>
    <t xml:space="preserve">INS_COV_DAYS</t>
  </si>
  <si>
    <t xml:space="preserve">INS_CLM_RATIO</t>
  </si>
  <si>
    <t xml:space="preserve">QCY_INS_DDBL_AMT</t>
  </si>
  <si>
    <t xml:space="preserve">VALID_FR</t>
  </si>
  <si>
    <t xml:space="preserve">VALID_TO</t>
  </si>
  <si>
    <t xml:space="preserve">BCY_INS_AMT</t>
  </si>
  <si>
    <t xml:space="preserve">BCY_INS_DDBL_AMT</t>
  </si>
  <si>
    <t xml:space="preserve">MTD_END_RATE</t>
  </si>
  <si>
    <t xml:space="preserve">BCY_0_AMT</t>
  </si>
  <si>
    <t xml:space="preserve">BCY_1_AMT</t>
  </si>
  <si>
    <t xml:space="preserve">BCY_2_AMT</t>
  </si>
  <si>
    <t xml:space="preserve">BCY_3_AMT</t>
  </si>
  <si>
    <t xml:space="preserve">INS_UNCOV_RATIO</t>
  </si>
  <si>
    <t xml:space="preserve">DWS 数据集编码规则：</t>
  </si>
  <si>
    <t xml:space="preserve">AW+域编码+S+5位数据集编码</t>
  </si>
  <si>
    <t xml:space="preserve">编码</t>
  </si>
  <si>
    <t xml:space="preserve">描述</t>
  </si>
  <si>
    <t xml:space="preserve">数据集域</t>
  </si>
  <si>
    <t xml:space="preserve">类型</t>
  </si>
  <si>
    <t xml:space="preserve">AW_MR8_ARPS01</t>
  </si>
  <si>
    <t xml:space="preserve">周转计算汇总表</t>
  </si>
  <si>
    <t xml:space="preserve">MR8</t>
  </si>
  <si>
    <t xml:space="preserve">实体数据集</t>
  </si>
  <si>
    <t xml:space="preserve">步骤ID</t>
  </si>
  <si>
    <t xml:space="preserve">步骤</t>
  </si>
  <si>
    <t xml:space="preserve">源表</t>
  </si>
  <si>
    <t xml:space="preserve">处理类型</t>
  </si>
  <si>
    <t xml:space="preserve">处理内容</t>
  </si>
  <si>
    <t/>
    <r>
      <rPr>
        <u val="single"/>
        <color theme="10"/>
      </rPr>
      <t>ARP001_STEP_1</t>
    </r>
  </si>
  <si>
    <t xml:space="preserve">AW_MR9_ARPM04_000001-周转计算占用
AW_MR9_ARPM05_000001-周转计算-收入明细表</t>
  </si>
  <si>
    <t xml:space="preserve">占用和收入匹配</t>
  </si>
  <si>
    <t xml:space="preserve">将周转计算的占用和收入的M表匹配成一个表单，匹配出对应的事业部维度，将不符合条件的数据进行排除</t>
  </si>
  <si>
    <t xml:space="preserve">AW_MR8_CPRS01</t>
  </si>
  <si>
    <t xml:space="preserve">核心利润S表</t>
  </si>
  <si>
    <t/>
    <r>
      <rPr>
        <u val="single"/>
        <color theme="10"/>
      </rPr>
      <t>ARP002_STEP_1</t>
    </r>
  </si>
  <si>
    <t xml:space="preserve">AW_MR8_CPRS01_000001</t>
  </si>
  <si>
    <t xml:space="preserve">周转计算同步核心利润S表</t>
  </si>
  <si>
    <t xml:space="preserve">根据配置表维护的周转口径的对应关系将指标表需要展示的周转口径的数据计算后同步到核心利润S表中</t>
  </si>
  <si>
    <t/>
    <r>
      <rPr>
        <u val="single"/>
        <color theme="10"/>
      </rPr>
      <t>返回</t>
    </r>
  </si>
  <si>
    <t xml:space="preserve">AW_MR8_ARPS01_000001逻辑处理</t>
  </si>
  <si>
    <t/>
    <r>
      <rPr>
        <u val="single"/>
        <color theme="10"/>
      </rPr>
      <t>规则库</t>
    </r>
  </si>
  <si>
    <t xml:space="preserve">表名称</t>
  </si>
  <si>
    <t xml:space="preserve">AW_MR8_ARPS01_000001</t>
  </si>
  <si>
    <t xml:space="preserve">表描述</t>
  </si>
  <si>
    <t xml:space="preserve">应收周转计算汇总表</t>
  </si>
  <si>
    <t xml:space="preserve">表类型</t>
  </si>
  <si>
    <t xml:space="preserve">事实表</t>
  </si>
  <si>
    <t xml:space="preserve">数仓分层</t>
  </si>
  <si>
    <t xml:space="preserve">DWS</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</si>
  <si>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</si>
  <si>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</si>
  <si>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</si>
  <si>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</si>
  <si>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</si>
  <si>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</si>
  <si>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</si>
  <si>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</si>
  <si>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</si>
  <si>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</si>
  <si>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</si>
  <si>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将周转计算的占用和收入的M表匹配成一个表单，并匹配出对应的事业部维度</t>
  </si>
  <si>
    <t xml:space="preserve">目标表</t>
  </si>
  <si>
    <t xml:space="preserve">往来账龄结果【AW_MR9_ARPM02_000001】</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</si>
  <si>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</si>
  <si>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</si>
  <si>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</si>
  <si>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</si>
  <si>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</si>
  <si>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</si>
  <si>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</si>
  <si>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</si>
  <si>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</si>
  <si>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</si>
  <si>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</si>
  <si>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</si>
  <si>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</si>
  <si>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</si>
  <si>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</si>
  <si>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</si>
  <si>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</si>
  <si>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</si>
  <si>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</si>
  <si>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COD_SCENARIO</t>
  </si>
  <si>
    <t xml:space="preserve">直接对应</t>
  </si>
  <si>
    <t xml:space="preserve">TA</t>
  </si>
  <si>
    <t xml:space="preserve">AW_MR9_ARPM04_000001-周转计算占用</t>
  </si>
  <si>
    <t xml:space="preserve">COD_PERIODO</t>
  </si>
  <si>
    <t xml:space="preserve">√</t>
  </si>
  <si>
    <t xml:space="preserve">普通级</t>
  </si>
  <si>
    <t xml:space="preserve">D_BG</t>
  </si>
  <si>
    <t xml:space="preserve">根据利润中心匹配取&lt;AW_RUL_PCRMAP_000001-利润中心所属事业部映射&gt;中【COD_BG-事业部编码】，未匹配上放'ZZZZ'</t>
  </si>
  <si>
    <t xml:space="preserve">AW_MR9_ARPM04_000001-周转计算占用
AW_RUL_PCRMAP_000001-利润中心所属事业部映射</t>
  </si>
  <si>
    <t xml:space="preserve">COD_BG</t>
  </si>
  <si>
    <t xml:space="preserve">COD_DEST2=COD_DEST2</t>
  </si>
  <si>
    <t/>
    <r>
      <rPr>
        <b val="false"/>
        <i val="false"/>
        <strike val="false"/>
        <sz val="10"/>
        <color rgb="FF1F2329"/>
      </rPr>
      <t>①根据利润中心匹配映射表取事业部字段，</t>
    </r>
    <r>
      <rPr>
        <b val="false"/>
        <i val="false"/>
        <strike val="false"/>
        <sz val="10"/>
        <color rgb="FFD83931"/>
      </rPr>
      <t xml:space="preserve">映射表限制起始时间包含当前场景期间
</t>
    </r>
    <r>
      <rPr>
        <b val="false"/>
        <i val="false"/>
        <strike val="false"/>
        <sz val="10"/>
        <color rgb="FF1F2329"/>
      </rPr>
      <t xml:space="preserve">②限制取参数范围内的事业部
③排除锁定事业部（不在V_BG_LOCK中）</t>
    </r>
  </si>
  <si>
    <t xml:space="preserve">COD_AZIENDA</t>
  </si>
  <si>
    <t xml:space="preserve">直接对应
根据参数&amp;事业部限制</t>
  </si>
  <si>
    <t xml:space="preserve">AW_MR9_ARPM04_000001-周转计算占用
AW_RUL_ATSMAP_000001-账套所属事业部映射</t>
  </si>
  <si>
    <t xml:space="preserve">COD_CONTO</t>
  </si>
  <si>
    <t xml:space="preserve">COD_CATEGORIA</t>
  </si>
  <si>
    <t xml:space="preserve">CUST_CODE</t>
  </si>
  <si>
    <t/>
    <r>
      <rPr>
        <b val="true"/>
        <i val="false"/>
        <strike val="false"/>
        <sz val="11"/>
        <color/>
      </rPr>
      <t xml:space="preserve">限制条件：
</t>
    </r>
    <r>
      <rPr>
        <b val="false"/>
        <i val="false"/>
        <strike val="false"/>
        <sz val="11"/>
        <color/>
      </rPr>
      <t>如果同一个客户同一个事业部的金额为负数，则排除该条数据</t>
    </r>
  </si>
  <si>
    <t xml:space="preserve">CUST_NAME</t>
  </si>
  <si>
    <t xml:space="preserve">CUST_HEAD_CODE</t>
  </si>
  <si>
    <t xml:space="preserve">CUST_HEAD_NAME</t>
  </si>
  <si>
    <t xml:space="preserve">CUST_BRANCH_CODE</t>
  </si>
  <si>
    <t xml:space="preserve">CUST_BRANCH_NAME</t>
  </si>
  <si>
    <t xml:space="preserve">COD_AZI_CTP</t>
  </si>
  <si>
    <t xml:space="preserve">COUNTRY_CODE</t>
  </si>
  <si>
    <t xml:space="preserve">COUNTRY_NAME</t>
  </si>
  <si>
    <t xml:space="preserve">D_ADJ_TYPE</t>
  </si>
  <si>
    <t xml:space="preserve">D_CHANNEL</t>
  </si>
  <si>
    <t xml:space="preserve">D_ONOFFLINE</t>
  </si>
  <si>
    <t xml:space="preserve">COD_DEST2</t>
  </si>
  <si>
    <t xml:space="preserve">COD_DEST3</t>
  </si>
  <si>
    <t xml:space="preserve">D_SALE_DEPT</t>
  </si>
  <si>
    <t xml:space="preserve">COD_VALUTA</t>
  </si>
  <si>
    <t xml:space="preserve">AR_AMT</t>
  </si>
  <si>
    <t xml:space="preserve">REV_AMT</t>
  </si>
  <si>
    <t xml:space="preserve">AW_MR9_ARPM05_000001-周转计算-收入明细表</t>
  </si>
  <si>
    <t xml:space="preserve">通过公司，科目，类别，客商，利润中心匹配</t>
  </si>
  <si>
    <t xml:space="preserve">F1_ODUE_AMT</t>
  </si>
  <si>
    <t xml:space="preserve">F2_EPAY_AMT</t>
  </si>
  <si>
    <t xml:space="preserve">F3_ECR_AMT</t>
  </si>
  <si>
    <t xml:space="preserve">F4_UREB_AMT</t>
  </si>
  <si>
    <t xml:space="preserve">F5_UFEE_AMT</t>
  </si>
  <si>
    <t xml:space="preserve">F6_INVSM_AMT</t>
  </si>
  <si>
    <t xml:space="preserve">F7_GSUB_AMT</t>
  </si>
  <si>
    <t xml:space="preserve">F8_ADJ_AMT</t>
  </si>
  <si>
    <t/>
    <r>
      <rPr>
        <u val="single"/>
        <color theme="10"/>
      </rPr>
      <t>返回</t>
    </r>
  </si>
  <si>
    <t xml:space="preserve">AW_MR8_CPRS01_000001逻辑处理</t>
  </si>
  <si>
    <t/>
    <r>
      <rPr>
        <u val="single"/>
        <color theme="10"/>
      </rPr>
      <t>规则库</t>
    </r>
  </si>
  <si>
    <t xml:space="preserve">表名称</t>
  </si>
  <si>
    <t xml:space="preserve">AW_MR8_CPRS01_000001</t>
  </si>
  <si>
    <t xml:space="preserve">表描述</t>
  </si>
  <si>
    <t xml:space="preserve">核心利润汇总表</t>
  </si>
  <si>
    <t xml:space="preserve">表类型</t>
  </si>
  <si>
    <t xml:space="preserve">事实表</t>
  </si>
  <si>
    <t xml:space="preserve">数仓分层</t>
  </si>
  <si>
    <t xml:space="preserve">DWS</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</si>
  <si>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</si>
  <si>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</si>
  <si>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</si>
  <si>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</si>
  <si>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</si>
  <si>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</si>
  <si>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</si>
  <si>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</si>
  <si>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</si>
  <si>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</si>
  <si>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</si>
  <si>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根据配置表维护的周转口径的对应关系将指标表需要展示的周转口径的数据计算后同步到核心利润S表中</t>
  </si>
  <si>
    <t xml:space="preserve">目标表</t>
  </si>
  <si>
    <t xml:space="preserve">应收周转S表【AW_MR8_ARPS01_000001】</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</si>
  <si>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</si>
  <si>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</si>
  <si>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</si>
  <si>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</si>
  <si>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</si>
  <si>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</si>
  <si>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</si>
  <si>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</si>
  <si>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</si>
  <si>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</si>
  <si>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</si>
  <si>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</si>
  <si>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</si>
  <si>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</si>
  <si>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</si>
  <si>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</si>
  <si>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</si>
  <si>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</si>
  <si>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</si>
  <si>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COD_SCENARIO</t>
  </si>
  <si>
    <t xml:space="preserve">直接对应</t>
  </si>
  <si>
    <t xml:space="preserve">TA</t>
  </si>
  <si>
    <t xml:space="preserve">AW_MR8_ARPS01_000001</t>
  </si>
  <si>
    <t xml:space="preserve">COD_PERIODO</t>
  </si>
  <si>
    <t xml:space="preserve">√</t>
  </si>
  <si>
    <t xml:space="preserve">普通级</t>
  </si>
  <si>
    <t xml:space="preserve">D_BG</t>
  </si>
  <si>
    <t xml:space="preserve">根据《周转计算配置表》限制数据源的取数条件，根据目标表的维度进数，如果为空则按数据源的维度进数</t>
  </si>
  <si>
    <t xml:space="preserve">COD_BG</t>
  </si>
  <si>
    <t xml:space="preserve">COD_AZIENDA</t>
  </si>
  <si>
    <t xml:space="preserve">COD_CONTO</t>
  </si>
  <si>
    <t xml:space="preserve">COD_CATEGORIA</t>
  </si>
  <si>
    <t xml:space="preserve">ZBISAVE01-当月
ZBISAVE02-累计</t>
  </si>
  <si>
    <t xml:space="preserve">对方公司</t>
  </si>
  <si>
    <t xml:space="preserve">COD_AZI_CTP</t>
  </si>
  <si>
    <t xml:space="preserve">D_CHANNEL</t>
  </si>
  <si>
    <t xml:space="preserve">D_ONOFFLINE</t>
  </si>
  <si>
    <t xml:space="preserve">COD_DEST2</t>
  </si>
  <si>
    <t xml:space="preserve">COD_DEST3</t>
  </si>
  <si>
    <t xml:space="preserve">D_SALE_DEPT</t>
  </si>
  <si>
    <t xml:space="preserve">项目大类</t>
  </si>
  <si>
    <t xml:space="preserve">D_PROJ_CLASS</t>
  </si>
  <si>
    <t xml:space="preserve">默认ZZZZ</t>
  </si>
  <si>
    <t xml:space="preserve">事业部多算标识</t>
  </si>
  <si>
    <t xml:space="preserve">D_FLAG_DUL</t>
  </si>
  <si>
    <t xml:space="preserve">varchar(30)</t>
  </si>
  <si>
    <t xml:space="preserve">费用分类（销管研）</t>
  </si>
  <si>
    <t xml:space="preserve">D_EXP_CLASS</t>
  </si>
  <si>
    <t xml:space="preserve">营销模式</t>
  </si>
  <si>
    <t xml:space="preserve">D_MODE</t>
  </si>
  <si>
    <t xml:space="preserve">费用属性</t>
  </si>
  <si>
    <t xml:space="preserve">D_EXP_ATTR</t>
  </si>
  <si>
    <t xml:space="preserve">调整类型</t>
  </si>
  <si>
    <t xml:space="preserve">D_ADJ_TYPE</t>
  </si>
  <si>
    <t xml:space="preserve">事业部内外标识</t>
  </si>
  <si>
    <t xml:space="preserve">D_BU_TRAN</t>
  </si>
  <si>
    <t xml:space="preserve">品牌</t>
  </si>
  <si>
    <t xml:space="preserve">COD_DEST4</t>
  </si>
  <si>
    <t xml:space="preserve">其他</t>
  </si>
  <si>
    <t xml:space="preserve">COD_DEST5</t>
  </si>
  <si>
    <t xml:space="preserve">COD_VALUTA</t>
  </si>
  <si>
    <t xml:space="preserve">交易币币种</t>
  </si>
  <si>
    <t xml:space="preserve">COD_VALUTA_ORIGINARIA</t>
  </si>
  <si>
    <t xml:space="preserve">人民币金额</t>
  </si>
  <si>
    <t xml:space="preserve">CNY_AMT</t>
  </si>
  <si>
    <t xml:space="preserve">当月：根据配置表中数据源取数列，用（上月占用+本月占用）/2*30/本月耗用
累计：根据配置表中数据源取数列，用（上年12月占用/2+本年累计占用-本月占用/2）*30/累计耗用</t>
  </si>
  <si>
    <t xml:space="preserve">交易币金额</t>
  </si>
  <si>
    <t xml:space="preserve">QCY_AMT</t>
  </si>
  <si>
    <t xml:space="preserve">同人民币金额计算逻辑</t>
  </si>
  <si>
    <t xml:space="preserve">ADS 数据集编码规则：</t>
  </si>
  <si>
    <t xml:space="preserve">AW+域编码+S+5位数据集编码</t>
  </si>
  <si>
    <t xml:space="preserve">编码</t>
  </si>
  <si>
    <t xml:space="preserve">描述</t>
  </si>
  <si>
    <t xml:space="preserve">数据集域</t>
  </si>
  <si>
    <t xml:space="preserve">类型</t>
  </si>
  <si>
    <t xml:space="preserve">AW_MR7_ARPS01</t>
  </si>
  <si>
    <t xml:space="preserve">账龄展示表</t>
  </si>
  <si>
    <t xml:space="preserve">MR7</t>
  </si>
  <si>
    <t xml:space="preserve">实体数据集</t>
  </si>
  <si>
    <t xml:space="preserve">步骤ID</t>
  </si>
  <si>
    <t xml:space="preserve">步骤</t>
  </si>
  <si>
    <t xml:space="preserve">源表</t>
  </si>
  <si>
    <t xml:space="preserve">处理类型</t>
  </si>
  <si>
    <t xml:space="preserve">处理内容</t>
  </si>
  <si>
    <t/>
    <r>
      <rPr>
        <u val="single"/>
        <color theme="10"/>
      </rPr>
      <t>AW_MR7_ARPS01_000001</t>
    </r>
  </si>
  <si>
    <t xml:space="preserve">AW_MR9_ARPM02_000001
AW_MR9_ARPM03_000001</t>
  </si>
  <si>
    <t xml:space="preserve">往来账龄表和坏账匹配</t>
  </si>
  <si>
    <t xml:space="preserve">根据往来账龄结果表及坏账计算结果表匹配成一个大宽表，用于给1.0数据传输</t>
  </si>
  <si>
    <t xml:space="preserve">AW_MR7_ARPS02</t>
  </si>
  <si>
    <t xml:space="preserve">周转展示表</t>
  </si>
  <si>
    <t/>
    <r>
      <rPr>
        <u val="single"/>
        <color theme="10"/>
      </rPr>
      <t>AW_MR7_ARPS02_000001</t>
    </r>
  </si>
  <si>
    <t xml:space="preserve">AW_MR8_ARPS01_000001-周转计算汇总表</t>
  </si>
  <si>
    <t xml:space="preserve">根据周转汇总表的数据，按照周转展示表需要计算的列都展示到列上，方便后续周转计算处理</t>
  </si>
  <si>
    <t/>
    <r>
      <rPr>
        <u val="single"/>
        <color theme="10"/>
      </rPr>
      <t>返回</t>
    </r>
  </si>
  <si>
    <t xml:space="preserve">AW_MR7_ARPS01_000001逻辑处理</t>
  </si>
  <si>
    <t xml:space="preserve">表名称</t>
  </si>
  <si>
    <t xml:space="preserve">AW_MR7_ARPS01_000001</t>
  </si>
  <si>
    <t xml:space="preserve">表描述</t>
  </si>
  <si>
    <t xml:space="preserve">往来账龄展示表</t>
  </si>
  <si>
    <t xml:space="preserve">表类型</t>
  </si>
  <si>
    <t xml:space="preserve">事实表</t>
  </si>
  <si>
    <t xml:space="preserve">数仓分层</t>
  </si>
  <si>
    <t xml:space="preserve">ADS</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</si>
  <si>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</si>
  <si>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</si>
  <si>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</si>
  <si>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</si>
  <si>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</si>
  <si>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</si>
  <si>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</si>
  <si>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</si>
  <si>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</si>
  <si>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</si>
  <si>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</si>
  <si>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根据往来账龄结果表及坏账计算结果表匹配成一个大宽表，用于给1.0数据传输</t>
  </si>
  <si>
    <t xml:space="preserve">目标表</t>
  </si>
  <si>
    <t xml:space="preserve">往来账龄结果表【AW_MR9_ARPM02_000001】</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</si>
  <si>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</si>
  <si>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</si>
  <si>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</si>
  <si>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</si>
  <si>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</si>
  <si>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</si>
  <si>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</si>
  <si>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</si>
  <si>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</si>
  <si>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</si>
  <si>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</si>
  <si>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</si>
  <si>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</si>
  <si>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</si>
  <si>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</si>
  <si>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</si>
  <si>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</si>
  <si>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</si>
  <si>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</si>
  <si>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COD_SCENARIO</t>
  </si>
  <si>
    <t xml:space="preserve">直接对应</t>
  </si>
  <si>
    <t xml:space="preserve">TA</t>
  </si>
  <si>
    <t xml:space="preserve">AW_MR9_ARPM02_000001</t>
  </si>
  <si>
    <t xml:space="preserve">COD_PERIODO</t>
  </si>
  <si>
    <t xml:space="preserve">√</t>
  </si>
  <si>
    <t xml:space="preserve">普通级</t>
  </si>
  <si>
    <t xml:space="preserve">COD_AZIENDA</t>
  </si>
  <si>
    <t xml:space="preserve">COD_CONTO</t>
  </si>
  <si>
    <t xml:space="preserve">COD_CATEGORIA</t>
  </si>
  <si>
    <t xml:space="preserve">ZAMOUNT</t>
  </si>
  <si>
    <t xml:space="preserve"/>
  </si>
  <si>
    <t xml:space="preserve">CUST_CODE</t>
  </si>
  <si>
    <t xml:space="preserve">CUST_NAME</t>
  </si>
  <si>
    <t xml:space="preserve">CUST_HEAD_CODE</t>
  </si>
  <si>
    <t xml:space="preserve">CUST_HEAD_NAME</t>
  </si>
  <si>
    <t xml:space="preserve">CUST_BRANCH_CODE</t>
  </si>
  <si>
    <t xml:space="preserve">CUST_BRANCH_NAME</t>
  </si>
  <si>
    <t xml:space="preserve">COD_AZI_CTP</t>
  </si>
  <si>
    <t xml:space="preserve">COUNTRY_CODE</t>
  </si>
  <si>
    <t xml:space="preserve">COUNTRY_NAME</t>
  </si>
  <si>
    <t xml:space="preserve">ACCT_SRC_CODE</t>
  </si>
  <si>
    <t xml:space="preserve">LE_AGE_FLAG</t>
  </si>
  <si>
    <t xml:space="preserve">LE_AGE_FLG</t>
  </si>
  <si>
    <t xml:space="preserve">IS_REC_LG</t>
  </si>
  <si>
    <t xml:space="preserve">ME_AGE_FLAG</t>
  </si>
  <si>
    <t xml:space="preserve">ME_AGE_FLG</t>
  </si>
  <si>
    <t xml:space="preserve">IS_REC_ME</t>
  </si>
  <si>
    <t xml:space="preserve">MB_AGE_FLAG</t>
  </si>
  <si>
    <t xml:space="preserve">MB_AGE_FLG</t>
  </si>
  <si>
    <t xml:space="preserve">IS_REC_MB</t>
  </si>
  <si>
    <t xml:space="preserve">GRP_SCOPE</t>
  </si>
  <si>
    <t xml:space="preserve">NATURE_L1_NAME</t>
  </si>
  <si>
    <t xml:space="preserve">varchar(2000)</t>
  </si>
  <si>
    <t xml:space="preserve">NATURE_L2_NAME</t>
  </si>
  <si>
    <t xml:space="preserve">NATURE_L3_NAME</t>
  </si>
  <si>
    <t xml:space="preserve">D_CHANNEL</t>
  </si>
  <si>
    <t xml:space="preserve">D_ONOFFLINE</t>
  </si>
  <si>
    <t xml:space="preserve">COD_DEST2</t>
  </si>
  <si>
    <t xml:space="preserve">COD_DEST3</t>
  </si>
  <si>
    <t xml:space="preserve">D_SALE_DEPT</t>
  </si>
  <si>
    <t xml:space="preserve">TAX_RATE</t>
  </si>
  <si>
    <t xml:space="preserve">COD_VALUTA</t>
  </si>
  <si>
    <t xml:space="preserve">COD_VALUTA_ORIGINARIA</t>
  </si>
  <si>
    <t xml:space="preserve">BY_BCY_0_AMT</t>
  </si>
  <si>
    <t xml:space="preserve">AW_MR9_ARPM02_000001年初的场景期间，根据公司+科目+客商+利润中心匹配取BCY_0_AMT，全量匹配，如果本月没有，年初有，则其他字段取年初的信息</t>
  </si>
  <si>
    <t xml:space="preserve">BCY_0_AMT</t>
  </si>
  <si>
    <t xml:space="preserve">LM_BCY_0_AMT</t>
  </si>
  <si>
    <t xml:space="preserve">AW_MR9_ARPM02_000001上月的场景期间，根据公司+科目+客商+利润中心匹配取BCY_0_AMT，全量匹配，如果本月没有，上月有，则其他字段取上月的信息</t>
  </si>
  <si>
    <t xml:space="preserve">BCY_AMT0</t>
  </si>
  <si>
    <t xml:space="preserve">BCY_1_AMT</t>
  </si>
  <si>
    <t xml:space="preserve">BCY_AMT1</t>
  </si>
  <si>
    <t xml:space="preserve">BCY_2_AMT</t>
  </si>
  <si>
    <t xml:space="preserve">BCY_AMT2</t>
  </si>
  <si>
    <t xml:space="preserve">BCY_3_AMT</t>
  </si>
  <si>
    <t xml:space="preserve">BCY_AMT3</t>
  </si>
  <si>
    <t xml:space="preserve">BCY_4_AMT</t>
  </si>
  <si>
    <t xml:space="preserve">BCY_AMT4</t>
  </si>
  <si>
    <t xml:space="preserve">BCY_5_AMT</t>
  </si>
  <si>
    <t xml:space="preserve">BCY_AMT5</t>
  </si>
  <si>
    <t xml:space="preserve">BCY_6_AMT</t>
  </si>
  <si>
    <t xml:space="preserve">BCY_AMT6</t>
  </si>
  <si>
    <t xml:space="preserve">BCY_7_AMT</t>
  </si>
  <si>
    <t xml:space="preserve">BCY_AMT7</t>
  </si>
  <si>
    <t xml:space="preserve">BCY_8_AMT</t>
  </si>
  <si>
    <t xml:space="preserve">BCY_AMT8</t>
  </si>
  <si>
    <t xml:space="preserve">BCY_9_AMT</t>
  </si>
  <si>
    <t xml:space="preserve">BCY_AMT9</t>
  </si>
  <si>
    <t xml:space="preserve">BCY_10_AMT</t>
  </si>
  <si>
    <t xml:space="preserve">BCY_AMT10</t>
  </si>
  <si>
    <t xml:space="preserve">BCY_11_AMT</t>
  </si>
  <si>
    <t xml:space="preserve">BCY_AMT11</t>
  </si>
  <si>
    <t xml:space="preserve">BCY_12_AMT</t>
  </si>
  <si>
    <t xml:space="preserve">BCY_AMT12</t>
  </si>
  <si>
    <t xml:space="preserve">BCY_13_AMT</t>
  </si>
  <si>
    <t xml:space="preserve">BCY_AMT13</t>
  </si>
  <si>
    <t xml:space="preserve">BCY_14_AMT</t>
  </si>
  <si>
    <t xml:space="preserve">BCY_AMT14</t>
  </si>
  <si>
    <t xml:space="preserve">BCY_15_AMT</t>
  </si>
  <si>
    <t xml:space="preserve">BCY_AMT15</t>
  </si>
  <si>
    <t xml:space="preserve">QCY_0_AMT</t>
  </si>
  <si>
    <t xml:space="preserve">QCY_AMT0</t>
  </si>
  <si>
    <t xml:space="preserve">QCY_1_AMT</t>
  </si>
  <si>
    <t xml:space="preserve">QCY_AMT1</t>
  </si>
  <si>
    <t xml:space="preserve">QCY_2_AMT</t>
  </si>
  <si>
    <t xml:space="preserve">QCY_AMT2</t>
  </si>
  <si>
    <t xml:space="preserve">QCY_3_AMT</t>
  </si>
  <si>
    <t xml:space="preserve">QCY_AMT3</t>
  </si>
  <si>
    <t xml:space="preserve">QCY_4_AMT</t>
  </si>
  <si>
    <t xml:space="preserve">QCY_AMT4</t>
  </si>
  <si>
    <t xml:space="preserve">QCY_5_AMT</t>
  </si>
  <si>
    <t xml:space="preserve">QCY_AMT5</t>
  </si>
  <si>
    <t xml:space="preserve">QCY_6_AMT</t>
  </si>
  <si>
    <t xml:space="preserve">QCY_AMT6</t>
  </si>
  <si>
    <t xml:space="preserve">QCY_7_AMT</t>
  </si>
  <si>
    <t xml:space="preserve">QCY_AMT7</t>
  </si>
  <si>
    <t xml:space="preserve">QCY_8_AMT</t>
  </si>
  <si>
    <t xml:space="preserve">QCY_AMT8</t>
  </si>
  <si>
    <t xml:space="preserve">QCY_9_AMT</t>
  </si>
  <si>
    <t xml:space="preserve">QCY_AMT9</t>
  </si>
  <si>
    <t xml:space="preserve">QCY_10_AMT</t>
  </si>
  <si>
    <t xml:space="preserve">QCY_AMT10</t>
  </si>
  <si>
    <t xml:space="preserve">QCY_11_AMT</t>
  </si>
  <si>
    <t xml:space="preserve">QCY_AMT11</t>
  </si>
  <si>
    <t xml:space="preserve">QCY_12_AMT</t>
  </si>
  <si>
    <t xml:space="preserve">QCY_AMT12</t>
  </si>
  <si>
    <t xml:space="preserve">QCY_13_AMT</t>
  </si>
  <si>
    <t xml:space="preserve">QCY_AMT13</t>
  </si>
  <si>
    <t xml:space="preserve">QCY_14_AMT</t>
  </si>
  <si>
    <t xml:space="preserve">QCY_AMT14</t>
  </si>
  <si>
    <t xml:space="preserve">QCY_15_AMT</t>
  </si>
  <si>
    <t xml:space="preserve">QCY_AMT15</t>
  </si>
  <si>
    <t xml:space="preserve">SHP_NINV_AMT</t>
  </si>
  <si>
    <t xml:space="preserve">RET_NTRF_AMT</t>
  </si>
  <si>
    <t xml:space="preserve">BCY_ADJ_INCL_0_AMT</t>
  </si>
  <si>
    <t xml:space="preserve">BCY_ADJ_INCL_1_AMT</t>
  </si>
  <si>
    <t xml:space="preserve">BCY_ADJ_INCL_2_AMT</t>
  </si>
  <si>
    <t xml:space="preserve">BCY_ADJ_INCL_3_AMT</t>
  </si>
  <si>
    <t xml:space="preserve">BCY_ADJ_INCL_4_AMT</t>
  </si>
  <si>
    <t xml:space="preserve">BCY_ADJ_INCL_5_AMT</t>
  </si>
  <si>
    <t xml:space="preserve">BCY_ADJ_INCL_6_AMT</t>
  </si>
  <si>
    <t xml:space="preserve">BCY_ADJ_INCL_7_AMT</t>
  </si>
  <si>
    <t xml:space="preserve">BCY_ADJ_INCL_8_AMT</t>
  </si>
  <si>
    <t xml:space="preserve">BCY_ADJ_INCL_9_AMT</t>
  </si>
  <si>
    <t xml:space="preserve">BCY_ADJ_INCL_10_AMT</t>
  </si>
  <si>
    <t xml:space="preserve">BCY_ADJ_INCL_11_AMT</t>
  </si>
  <si>
    <t xml:space="preserve">BCY_ADJ_INCL_12_AMT</t>
  </si>
  <si>
    <t xml:space="preserve">BCY_ADJ_INCL_13_AMT</t>
  </si>
  <si>
    <t xml:space="preserve">BCY_ADJ_INCL_14_AMT</t>
  </si>
  <si>
    <t xml:space="preserve">BCY_ADJ_INCL_15_AMT</t>
  </si>
  <si>
    <t xml:space="preserve">BCY_ADJ_EXCL_0_AMT</t>
  </si>
  <si>
    <t xml:space="preserve">OVERDUE_AMT0</t>
  </si>
  <si>
    <t xml:space="preserve">number(27,9)</t>
  </si>
  <si>
    <t xml:space="preserve">OVERDUE_AMT1</t>
  </si>
  <si>
    <t xml:space="preserve">OVERDUE_AMT2</t>
  </si>
  <si>
    <t xml:space="preserve">OVERDUE_AMT3</t>
  </si>
  <si>
    <t xml:space="preserve">OVERDUE_AMT4</t>
  </si>
  <si>
    <t xml:space="preserve">OVERDUE_AMT5</t>
  </si>
  <si>
    <t xml:space="preserve">OVERDUE_AMT6</t>
  </si>
  <si>
    <t xml:space="preserve">OVERDUE_AMT7</t>
  </si>
  <si>
    <t xml:space="preserve">OVERDUE_AMT8</t>
  </si>
  <si>
    <t xml:space="preserve">OVERDUE_AMT9</t>
  </si>
  <si>
    <t xml:space="preserve">INV_SAMPLE_AMT</t>
  </si>
  <si>
    <t xml:space="preserve">EPAY_AMT</t>
  </si>
  <si>
    <t xml:space="preserve">ECLS_AMT</t>
  </si>
  <si>
    <t xml:space="preserve">UREB_AMT</t>
  </si>
  <si>
    <t xml:space="preserve">UFEE_AMT</t>
  </si>
  <si>
    <t xml:space="preserve">PAY_TERM_CODE</t>
  </si>
  <si>
    <t xml:space="preserve">varchar(300)</t>
  </si>
  <si>
    <t xml:space="preserve">PAY_TERM_DESC</t>
  </si>
  <si>
    <t xml:space="preserve">CLOSING_RATE_BCY_AMT</t>
  </si>
  <si>
    <t xml:space="preserve">POSTING_RATE_BCY_AMT</t>
  </si>
  <si>
    <t xml:space="preserve">EXCHANGE_RATE_EVAL_FLAG</t>
  </si>
  <si>
    <t xml:space="preserve">TH_FX_EVAL</t>
  </si>
  <si>
    <t xml:space="preserve">CURRENCY_ACCT_DETAIL</t>
  </si>
  <si>
    <t xml:space="preserve">ADJ_REB_AMT</t>
  </si>
  <si>
    <t xml:space="preserve">ADJ_RET_AMT</t>
  </si>
  <si>
    <t xml:space="preserve">DEAD_AMT</t>
  </si>
  <si>
    <t xml:space="preserve">RISK_AMT</t>
  </si>
  <si>
    <t xml:space="preserve">PAY_METHOD</t>
  </si>
  <si>
    <t xml:space="preserve">IS_LN_AGE</t>
  </si>
  <si>
    <t xml:space="preserve">LN_AGE_RSN</t>
  </si>
  <si>
    <t xml:space="preserve">IS_ABN</t>
  </si>
  <si>
    <t xml:space="preserve">IS_EXS</t>
  </si>
  <si>
    <t xml:space="preserve">SUSP_RSN</t>
  </si>
  <si>
    <t xml:space="preserve">CLR_MEA</t>
  </si>
  <si>
    <t xml:space="preserve">EST_CLR_DT</t>
  </si>
  <si>
    <t xml:space="preserve">CLR_PROG</t>
  </si>
  <si>
    <t xml:space="preserve">RSP_PSN</t>
  </si>
  <si>
    <t xml:space="preserve">MTD_BD_PROV_AMT</t>
  </si>
  <si>
    <t xml:space="preserve">匹配坏账计算表</t>
  </si>
  <si>
    <t xml:space="preserve">AW_MR9_ARPM03_000001</t>
  </si>
  <si>
    <t xml:space="preserve">BD_AFAL_0_AMT</t>
  </si>
  <si>
    <t xml:space="preserve">按公司，科目，客商，利润中心匹配</t>
  </si>
  <si>
    <t xml:space="preserve">PM_BD_PROV_AMT</t>
  </si>
  <si>
    <t xml:space="preserve">LM_BD_AFAL_0_AMT</t>
  </si>
  <si>
    <t xml:space="preserve">WRITEOFF_AMT</t>
  </si>
  <si>
    <t xml:space="preserve">MTD_BD_PROV_OCUR_AMT</t>
  </si>
  <si>
    <t xml:space="preserve">IS_ADJ</t>
  </si>
  <si>
    <t xml:space="preserve">ADJ_RSN</t>
  </si>
  <si>
    <t xml:space="preserve">PROV_METHOD</t>
  </si>
  <si>
    <t xml:space="preserve">BD_PROV_METHOD</t>
  </si>
  <si>
    <t/>
    <r>
      <rPr>
        <u val="single"/>
        <color theme="10"/>
      </rPr>
      <t>返回</t>
    </r>
  </si>
  <si>
    <t xml:space="preserve">AW_MR7_ARPS02_000001逻辑处理</t>
  </si>
  <si>
    <t xml:space="preserve">表名称</t>
  </si>
  <si>
    <t xml:space="preserve">AW_MR7_ARPS02_000001</t>
  </si>
  <si>
    <t xml:space="preserve">表描述</t>
  </si>
  <si>
    <t xml:space="preserve">应收周转展示表</t>
  </si>
  <si>
    <t xml:space="preserve">表类型</t>
  </si>
  <si>
    <t xml:space="preserve">事实表</t>
  </si>
  <si>
    <t xml:space="preserve">数仓分层</t>
  </si>
  <si>
    <t xml:space="preserve">DWM</t>
  </si>
  <si>
    <t xml:space="preserve">L1数仓目录</t>
  </si>
  <si>
    <t xml:space="preserve">管理财经</t>
  </si>
  <si>
    <t xml:space="preserve">L2数仓目录</t>
  </si>
  <si>
    <t xml:space="preserve">财报管理</t>
  </si>
  <si>
    <t xml:space="preserve">L3数仓目录</t>
  </si>
  <si>
    <t xml:space="preserve">应收</t>
  </si>
  <si>
    <t xml:space="preserve">更新方式</t>
  </si>
  <si>
    <t xml:space="preserve">增量更新</t>
  </si>
  <si>
    <t xml:space="preserve">设计人员</t>
  </si>
  <si>
    <t xml:space="preserve">时间</t>
  </si>
  <si>
    <t xml:space="preserve">使用场景</t>
  </si>
  <si>
    <t xml:space="preserve">根据周转汇总表的数据，按照周转展示表需要计算的列都展示到列上，方便后续周转计算处理</t>
  </si>
  <si>
    <t xml:space="preserve">目标表</t>
  </si>
  <si>
    <t xml:space="preserve">AW_MR8_ARPS01_000001-周转计算汇总表</t>
  </si>
  <si>
    <t xml:space="preserve">字段中文名称</t>
  </si>
  <si>
    <t xml:space="preserve">*字段名称</t>
  </si>
  <si>
    <t xml:space="preserve">*类型</t>
  </si>
  <si>
    <t xml:space="preserve">主键</t>
  </si>
  <si>
    <t xml:space="preserve">*描述</t>
  </si>
  <si>
    <t xml:space="preserve">允许为空</t>
  </si>
  <si>
    <t xml:space="preserve">默认值</t>
  </si>
  <si>
    <t xml:space="preserve">聚合类型</t>
  </si>
  <si>
    <t xml:space="preserve">基础标准</t>
  </si>
  <si>
    <t xml:space="preserve">标准代码</t>
  </si>
  <si>
    <t xml:space="preserve">*安全分级</t>
  </si>
  <si>
    <t xml:space="preserve">转换清洗规则</t>
  </si>
  <si>
    <t xml:space="preserve">源系统</t>
  </si>
  <si>
    <t xml:space="preserve">源头表</t>
  </si>
  <si>
    <t xml:space="preserve">源头字段</t>
  </si>
  <si>
    <t xml:space="preserve">匹配字段</t>
  </si>
  <si>
    <t xml:space="preserve">匹配过滤</t>
  </si>
  <si>
    <t xml:space="preserve">数仓处理脚本</t>
  </si>
  <si>
    <t xml:space="preserve">备注</t>
  </si>
  <si>
    <t xml:space="preserve">COD_SCENARIO</t>
  </si>
  <si>
    <t xml:space="preserve">参数场景</t>
  </si>
  <si>
    <t xml:space="preserve">COD_PERIODO</t>
  </si>
  <si>
    <t xml:space="preserve">√</t>
  </si>
  <si>
    <t xml:space="preserve">普通级</t>
  </si>
  <si>
    <t xml:space="preserve">参数期间</t>
  </si>
  <si>
    <t xml:space="preserve">D_BG</t>
  </si>
  <si>
    <t xml:space="preserve">直接对应</t>
  </si>
  <si>
    <t xml:space="preserve">TA</t>
  </si>
  <si>
    <t xml:space="preserve">COD_AZIENDA</t>
  </si>
  <si>
    <t xml:space="preserve">COD_CATEGORIA</t>
  </si>
  <si>
    <t xml:space="preserve">CUST_CODE</t>
  </si>
  <si>
    <t xml:space="preserve">CUST_NAME</t>
  </si>
  <si>
    <t xml:space="preserve">CUST_HEAD_CODE</t>
  </si>
  <si>
    <t xml:space="preserve">CUST_HEAD_NAME</t>
  </si>
  <si>
    <t xml:space="preserve">CUST_BRANCH_CODE</t>
  </si>
  <si>
    <t xml:space="preserve">CUST_BRANCH_NAME</t>
  </si>
  <si>
    <t xml:space="preserve">COD_AZI_CTP</t>
  </si>
  <si>
    <t xml:space="preserve">D_CHANNEL</t>
  </si>
  <si>
    <t xml:space="preserve">D_ONOFFLINE</t>
  </si>
  <si>
    <t xml:space="preserve">COD_DEST2</t>
  </si>
  <si>
    <t xml:space="preserve">COD_DEST3</t>
  </si>
  <si>
    <t xml:space="preserve">D_SALE_DEPT</t>
  </si>
  <si>
    <t xml:space="preserve">COD_VALUTA</t>
  </si>
  <si>
    <t xml:space="preserve">PLN_BEG_AR_AMT</t>
  </si>
  <si>
    <t xml:space="preserve">取场景为BGT的上年12月的数据</t>
  </si>
  <si>
    <t xml:space="preserve">PLN_LM_AR_AMT</t>
  </si>
  <si>
    <t xml:space="preserve">取场景为BGT的上个月的数据</t>
  </si>
  <si>
    <t xml:space="preserve">PLN_END_AR_AMT</t>
  </si>
  <si>
    <t xml:space="preserve">取场景为BGT的当月的数据</t>
  </si>
  <si>
    <t xml:space="preserve">PLN_YTD_AR_AMT</t>
  </si>
  <si>
    <t xml:space="preserve">取场景为BGT的当年的数据</t>
  </si>
  <si>
    <t xml:space="preserve">PLN_MTD_REV_AMT</t>
  </si>
  <si>
    <t xml:space="preserve">PLN_YTD_REV_AMT</t>
  </si>
  <si>
    <t xml:space="preserve">ACT_BEG_AR_AMT</t>
  </si>
  <si>
    <t xml:space="preserve">取场景为ACT的上年12月的数据</t>
  </si>
  <si>
    <t xml:space="preserve">ACT_LM_AR_AMT</t>
  </si>
  <si>
    <t xml:space="preserve">取场景为ACT的上个月的数据</t>
  </si>
  <si>
    <t xml:space="preserve">ACT_END_AR_AMT</t>
  </si>
  <si>
    <t xml:space="preserve">取场景为ACT的当月的数据</t>
  </si>
  <si>
    <t xml:space="preserve">ACT_YTD_AR_AMT</t>
  </si>
  <si>
    <t xml:space="preserve">取场景为ACT的当年的数据</t>
  </si>
  <si>
    <t xml:space="preserve">ACT_MTD_REV_AMT</t>
  </si>
  <si>
    <t xml:space="preserve">ACT_YTD_REV_AMT</t>
  </si>
  <si>
    <t xml:space="preserve">LY_BEG_AR_AMT</t>
  </si>
  <si>
    <t xml:space="preserve">取场景为ACT的上上年12月的数据</t>
  </si>
  <si>
    <t xml:space="preserve">LY_LM_AR_AMT</t>
  </si>
  <si>
    <t xml:space="preserve">取场景为ACT的去年上个月的数据</t>
  </si>
  <si>
    <t xml:space="preserve">LY_END_AR_AMT</t>
  </si>
  <si>
    <t xml:space="preserve">取场景为ACT的去年当月的数据</t>
  </si>
  <si>
    <t xml:space="preserve">LY_YTD_AR_AMT</t>
  </si>
  <si>
    <t xml:space="preserve">取场景为ACT的去年截止到参数月份的数据</t>
  </si>
  <si>
    <t xml:space="preserve">LY_MTD_REV_AMT</t>
  </si>
  <si>
    <t xml:space="preserve">LY_YTD_REV_AMT</t>
  </si>
  <si>
    <t xml:space="preserve">ACT_BEG_F1_ODUE_AMT</t>
  </si>
  <si>
    <t xml:space="preserve">ACT_LM_F1_ODUE_AMT</t>
  </si>
  <si>
    <t xml:space="preserve">ACT_END_F1_ODUE_AMT</t>
  </si>
  <si>
    <t xml:space="preserve">ACT_YTD_F1_ODUE_AMT</t>
  </si>
  <si>
    <t xml:space="preserve">LY_BEG_F1_ODUE_AMT</t>
  </si>
  <si>
    <t xml:space="preserve">LY_LM_F1_ODUE_AMT</t>
  </si>
  <si>
    <t xml:space="preserve">LY_END_F1_ODUE_AMT</t>
  </si>
  <si>
    <t xml:space="preserve">LY_YTD_F1_ODUE_AMT</t>
  </si>
  <si>
    <t xml:space="preserve">ACT_BEG_F2_EPAY_AMT</t>
  </si>
  <si>
    <t xml:space="preserve">ACT_LM_F2_EPAY_AMT</t>
  </si>
  <si>
    <t xml:space="preserve">ACT_END_F2_EPAY_AMT</t>
  </si>
  <si>
    <t xml:space="preserve">ACT_YTD_F2_EPAY_AMT</t>
  </si>
  <si>
    <t xml:space="preserve">LY_BEG_F2_EPAY_AMT</t>
  </si>
  <si>
    <t xml:space="preserve">LY_LM_F2_EPAY_AMT</t>
  </si>
  <si>
    <t xml:space="preserve">LY_END_F2_EPAY_AMT</t>
  </si>
  <si>
    <t xml:space="preserve">LY_YTD_F2_EPAY_AMT</t>
  </si>
  <si>
    <t xml:space="preserve">ACT_BEG_F3_ECR_AMT</t>
  </si>
  <si>
    <t xml:space="preserve">ACT_LM_F3_ECR_AMT</t>
  </si>
  <si>
    <t xml:space="preserve">ACT_END_F3_ECR_AMT</t>
  </si>
  <si>
    <t xml:space="preserve">ACT_YTD_F3_ECR_AMT</t>
  </si>
  <si>
    <t xml:space="preserve">LY_BEG_F3_ECR_AMT</t>
  </si>
  <si>
    <t xml:space="preserve">LY_LM_F3_ECR_AMT</t>
  </si>
  <si>
    <t xml:space="preserve">LY_END_F3_ECR_AMT</t>
  </si>
  <si>
    <t xml:space="preserve">LY_YTD_F3_ECR_AMT</t>
  </si>
  <si>
    <t xml:space="preserve">ACT_BEG_F4_UREB_AMT</t>
  </si>
  <si>
    <t xml:space="preserve">ACT_LM_F4_UREB_AMT</t>
  </si>
  <si>
    <t xml:space="preserve">ACT_END_F4_UREB_AMT</t>
  </si>
  <si>
    <t xml:space="preserve">ACT_YTD_F4_UREB_AMT</t>
  </si>
  <si>
    <t xml:space="preserve">LY_BEG_F4_UREB_AMT</t>
  </si>
  <si>
    <t xml:space="preserve">LY_LM_F4_UREB_AMT</t>
  </si>
  <si>
    <t xml:space="preserve">LY_END_F4_UREB_AMT</t>
  </si>
  <si>
    <t xml:space="preserve">LY_YTD_F4_UREB_AMT</t>
  </si>
  <si>
    <t xml:space="preserve">ACT_BEG_F5_UFEE_AMT</t>
  </si>
  <si>
    <t xml:space="preserve">ACT_LM_F5_UFEE_AMT</t>
  </si>
  <si>
    <t xml:space="preserve">ACT_END_F5_UFEE_AMT</t>
  </si>
  <si>
    <t xml:space="preserve">ACT_YTD_F5_UFEE_AMT</t>
  </si>
  <si>
    <t xml:space="preserve">LY_BEG_F5_UFEE_AMT</t>
  </si>
  <si>
    <t xml:space="preserve">LY_LM_F5_UFEE_AMT</t>
  </si>
  <si>
    <t xml:space="preserve">LY_END_F5_UFEE_AMT</t>
  </si>
  <si>
    <t xml:space="preserve">LY_YTD_F5_UFEE_AMT</t>
  </si>
  <si>
    <t xml:space="preserve">ACT_BEG_F6_INVSM_AMT</t>
  </si>
  <si>
    <t xml:space="preserve">ACT_LM_F6_INVSM_AMT</t>
  </si>
  <si>
    <t xml:space="preserve">ACT_END_F6_INVSM_AMT</t>
  </si>
  <si>
    <t xml:space="preserve">ACT_YTD_F6_INVSM_AMT</t>
  </si>
  <si>
    <t xml:space="preserve">LY_BEG_F6_INVSM_AMT</t>
  </si>
  <si>
    <t xml:space="preserve">LY_LM_F6_INVSM_AMT</t>
  </si>
  <si>
    <t xml:space="preserve">LY_END_F6_INVSM_AMT</t>
  </si>
  <si>
    <t xml:space="preserve">LY_YTD_F6_INVSM_AMT</t>
  </si>
  <si>
    <t xml:space="preserve">ACT_BEG_F7_GSUB_AMT</t>
  </si>
  <si>
    <t xml:space="preserve">ACT_LM_F7_GSUB_AMT</t>
  </si>
  <si>
    <t xml:space="preserve">ACT_END_F7_GSUB_AMT</t>
  </si>
  <si>
    <t xml:space="preserve">ACT_YTD_F7_GSUB_AMT</t>
  </si>
  <si>
    <t xml:space="preserve">LY_BEG_F7_GSUB_AMT</t>
  </si>
  <si>
    <t xml:space="preserve">LY_LM_F7_GSUB_AMT</t>
  </si>
  <si>
    <t xml:space="preserve">LY_END_F7_GSUB_AMT</t>
  </si>
  <si>
    <t xml:space="preserve">LY_YTD_F7_GSUB_AMT</t>
  </si>
  <si>
    <t xml:space="preserve">ACT_BEG_F8_ADJ_AMT</t>
  </si>
  <si>
    <t xml:space="preserve">ACT_LM_F8_ADJ_AMT</t>
  </si>
  <si>
    <t xml:space="preserve">ACT_END_F8_ADJ_AMT</t>
  </si>
  <si>
    <t xml:space="preserve">ACT_YTD_F8_ADJ_AMT</t>
  </si>
  <si>
    <t xml:space="preserve">LY_BEG_F8_ADJ_AMT</t>
  </si>
  <si>
    <t xml:space="preserve">LY_LM_F8_ADJ_AMT</t>
  </si>
  <si>
    <t xml:space="preserve">LY_END_F8_ADJ_AMT</t>
  </si>
  <si>
    <t xml:space="preserve">LY_YTD_F8_ADJ_AMT</t>
  </si>
  <si>
    <t/>
    <r>
      <rPr>
        <u val="single"/>
        <color theme="10"/>
      </rPr>
      <t>账龄日期计算配置</t>
    </r>
  </si>
  <si>
    <t xml:space="preserve">ar_agingdate</t>
  </si>
  <si>
    <t xml:space="preserve">（只维护用基准日期计算的范围）</t>
  </si>
  <si>
    <t xml:space="preserve">主键</t>
  </si>
  <si>
    <t xml:space="preserve">有效期起</t>
  </si>
  <si>
    <t xml:space="preserve">有效期止</t>
  </si>
  <si>
    <t xml:space="preserve">系统号</t>
  </si>
  <si>
    <t xml:space="preserve">公司</t>
  </si>
  <si>
    <t xml:space="preserve">账龄计算日期</t>
  </si>
  <si>
    <t xml:space="preserve">ID</t>
  </si>
  <si>
    <t xml:space="preserve">valid_fr</t>
  </si>
  <si>
    <t xml:space="preserve">valid_to</t>
  </si>
  <si>
    <t xml:space="preserve">system_src</t>
  </si>
  <si>
    <t xml:space="preserve">company_code</t>
  </si>
  <si>
    <t xml:space="preserve">agingdate</t>
  </si>
  <si>
    <t xml:space="preserve">S600</t>
  </si>
  <si>
    <t xml:space="preserve">基准日期-zfdat</t>
  </si>
  <si>
    <t xml:space="preserve">S900</t>
  </si>
  <si>
    <t/>
    <r>
      <rPr>
        <u val="single"/>
        <color theme="10"/>
      </rPr>
      <t>账龄段配置表</t>
    </r>
  </si>
  <si>
    <t xml:space="preserve">ar_aging_seg</t>
  </si>
  <si>
    <t xml:space="preserve">账龄段编码</t>
  </si>
  <si>
    <t xml:space="preserve">账龄段描述</t>
  </si>
  <si>
    <t xml:space="preserve">账龄段计算起始</t>
  </si>
  <si>
    <t xml:space="preserve">账龄段计算结束</t>
  </si>
  <si>
    <t xml:space="preserve">aging_seg_code</t>
  </si>
  <si>
    <t xml:space="preserve">aging_seg_name</t>
  </si>
  <si>
    <t xml:space="preserve">aging_seg_fr</t>
  </si>
  <si>
    <t xml:space="preserve">aging_seg_to</t>
  </si>
  <si>
    <t xml:space="preserve">1个月以内</t>
  </si>
  <si>
    <t xml:space="preserve">2-3个月</t>
  </si>
  <si>
    <t/>
    <r>
      <rPr>
        <u val="single"/>
        <color theme="10"/>
      </rPr>
      <t>周转分析渠道映射表</t>
    </r>
  </si>
  <si>
    <t xml:space="preserve">匹配顺序</t>
  </si>
  <si>
    <t xml:space="preserve">逻辑处理</t>
  </si>
  <si>
    <t xml:space="preserve">公司编码</t>
  </si>
  <si>
    <t xml:space="preserve">客商编码</t>
  </si>
  <si>
    <t xml:space="preserve">客商名称</t>
  </si>
  <si>
    <t xml:space="preserve">三级公司分类编码</t>
  </si>
  <si>
    <t xml:space="preserve">三级公司分类名称</t>
  </si>
  <si>
    <t xml:space="preserve">周转分析渠道编码</t>
  </si>
  <si>
    <t xml:space="preserve">周转分析渠道名称</t>
  </si>
  <si>
    <t xml:space="preserve">batch_id</t>
  </si>
  <si>
    <t xml:space="preserve">logic_name</t>
  </si>
  <si>
    <t xml:space="preserve">cust_code</t>
  </si>
  <si>
    <t xml:space="preserve">cust_name</t>
  </si>
  <si>
    <t xml:space="preserve">channel_l3_code</t>
  </si>
  <si>
    <t xml:space="preserve">channel_l3_name</t>
  </si>
  <si>
    <t xml:space="preserve">tov_channel_code</t>
  </si>
  <si>
    <t xml:space="preserve">tov_channel_name</t>
  </si>
  <si>
    <t xml:space="preserve">按公司+客户映射</t>
  </si>
  <si>
    <t xml:space="preserve">三级分类映射</t>
  </si>
  <si>
    <t/>
    <r>
      <rPr>
        <u val="single"/>
        <color theme="10"/>
      </rPr>
      <t>渠道分组映射表</t>
    </r>
  </si>
  <si>
    <t xml:space="preserve">ar_nf_mapping</t>
  </si>
  <si>
    <t xml:space="preserve">一级公司分类编码</t>
  </si>
  <si>
    <t xml:space="preserve">一级公司分类名称</t>
  </si>
  <si>
    <t xml:space="preserve">渠道分组编码</t>
  </si>
  <si>
    <t xml:space="preserve">渠道分组名称</t>
  </si>
  <si>
    <t xml:space="preserve">channel_l1_code</t>
  </si>
  <si>
    <t xml:space="preserve">channel_l1_name</t>
  </si>
  <si>
    <t xml:space="preserve">onoffline_code</t>
  </si>
  <si>
    <t xml:space="preserve">onoffline_name</t>
  </si>
  <si>
    <t xml:space="preserve">按公司+三级公司分类映射</t>
  </si>
  <si>
    <t xml:space="preserve">按公司+二级公司分类映射</t>
  </si>
  <si>
    <t xml:space="preserve">按公司映射</t>
  </si>
  <si>
    <t/>
    <r>
      <rPr>
        <u val="single"/>
        <color theme="10"/>
      </rPr>
      <t>利润中心映射表</t>
    </r>
  </si>
  <si>
    <t xml:space="preserve">ar_profit_mapping</t>
  </si>
  <si>
    <t xml:space="preserve">映射前利润中心编码</t>
  </si>
  <si>
    <t xml:space="preserve">映射前利润中心名称</t>
  </si>
  <si>
    <t xml:space="preserve">映射后利润中心编码</t>
  </si>
  <si>
    <t xml:space="preserve">映射后利润中心名称</t>
  </si>
  <si>
    <t xml:space="preserve">src_profitcenter_code</t>
  </si>
  <si>
    <t xml:space="preserve">src_profitcenter_name</t>
  </si>
  <si>
    <t xml:space="preserve">profitcenter_code</t>
  </si>
  <si>
    <t xml:space="preserve">profitcenter_name</t>
  </si>
  <si>
    <t xml:space="preserve">新旧利润中心映射</t>
  </si>
  <si>
    <t xml:space="preserve">收入利润中心映射往来利润中心</t>
  </si>
  <si>
    <t/>
    <r>
      <rPr>
        <u val="single"/>
        <color theme="10"/>
      </rPr>
      <t>业务范围映射表</t>
    </r>
  </si>
  <si>
    <t xml:space="preserve">ar_busrange_mapping</t>
  </si>
  <si>
    <t xml:space="preserve">三级性质</t>
  </si>
  <si>
    <t xml:space="preserve">二级公司分类编码</t>
  </si>
  <si>
    <t xml:space="preserve">二级公司分类名称</t>
  </si>
  <si>
    <t xml:space="preserve">业务范围编码</t>
  </si>
  <si>
    <t xml:space="preserve">业务范围名称</t>
  </si>
  <si>
    <t xml:space="preserve">nature_l3_name</t>
  </si>
  <si>
    <t xml:space="preserve">channel_l2_code</t>
  </si>
  <si>
    <t xml:space="preserve">channel_l2_name</t>
  </si>
  <si>
    <t xml:space="preserve">bus_range_code</t>
  </si>
  <si>
    <t xml:space="preserve">bus_range_name</t>
  </si>
  <si>
    <t xml:space="preserve">1-按公司+二级公司分类映射</t>
  </si>
  <si>
    <t xml:space="preserve">2-按公司+三级性质映射</t>
  </si>
  <si>
    <t xml:space="preserve">3-按公司映射</t>
  </si>
  <si>
    <t/>
    <r>
      <rPr>
        <u val="single"/>
        <color theme="10"/>
      </rPr>
      <t>国家业务范围映射表</t>
    </r>
  </si>
  <si>
    <t xml:space="preserve">ar_country_busrange_mapping</t>
  </si>
  <si>
    <t xml:space="preserve">国家编码</t>
  </si>
  <si>
    <t xml:space="preserve">国家名称</t>
  </si>
  <si>
    <t xml:space="preserve">country_code</t>
  </si>
  <si>
    <t xml:space="preserve">country_name</t>
  </si>
  <si>
    <t/>
    <r>
      <rPr>
        <u val="single"/>
        <color theme="10"/>
      </rPr>
      <t>业务管理单元映射表</t>
    </r>
  </si>
  <si>
    <t xml:space="preserve">ar_busdept_mapping</t>
  </si>
  <si>
    <t xml:space="preserve">业务管理单元编码</t>
  </si>
  <si>
    <t xml:space="preserve">业务管理单元名称</t>
  </si>
  <si>
    <t xml:space="preserve">marketing_dept_code</t>
  </si>
  <si>
    <t xml:space="preserve">marketing_dept_name</t>
  </si>
  <si>
    <t xml:space="preserve">系统号+利润中心映射</t>
  </si>
  <si>
    <t xml:space="preserve">系统号+三级性质映射</t>
  </si>
  <si>
    <t/>
    <r>
      <rPr>
        <u val="single"/>
        <color theme="10"/>
      </rPr>
      <t>欠付返利客户取值范围</t>
    </r>
  </si>
  <si>
    <t xml:space="preserve">ar_cust_type</t>
  </si>
  <si>
    <t xml:space="preserve">客户类型</t>
  </si>
  <si>
    <t xml:space="preserve">cust_type</t>
  </si>
  <si>
    <t xml:space="preserve">结算类客户</t>
  </si>
  <si>
    <t xml:space="preserve">电商零售类客户</t>
  </si>
  <si>
    <t/>
    <r>
      <rPr>
        <u val="single"/>
        <color theme="10"/>
      </rPr>
      <t>不汇率评估范围维护</t>
    </r>
  </si>
  <si>
    <t xml:space="preserve">ar_ex_rate_eval_range</t>
  </si>
  <si>
    <t xml:space="preserve">0908：hidata上新建规则表，整合成一个配置表，在DWD层打标处理</t>
  </si>
  <si>
    <t xml:space="preserve">SAP系统号</t>
  </si>
  <si>
    <t xml:space="preserve">科目编码</t>
  </si>
  <si>
    <t xml:space="preserve">科目名称</t>
  </si>
  <si>
    <t xml:space="preserve">acct_src_code</t>
  </si>
  <si>
    <t xml:space="preserve">acct_src_name</t>
  </si>
  <si>
    <t xml:space="preserve">按照公司+客商维护</t>
  </si>
  <si>
    <t xml:space="preserve">按照SAP系统+科目维护</t>
  </si>
  <si>
    <t/>
    <r>
      <rPr>
        <u val="single"/>
        <color theme="10"/>
      </rPr>
      <t>不汇率评估科目维护</t>
    </r>
  </si>
  <si>
    <t xml:space="preserve">整合到上面的表单一起</t>
  </si>
  <si>
    <t/>
    <r>
      <rPr>
        <u val="single"/>
        <color theme="10"/>
      </rPr>
      <t>账龄表进数范围维护</t>
    </r>
  </si>
  <si>
    <t xml:space="preserve">ar_aging_range</t>
  </si>
  <si>
    <t xml:space="preserve">0908：hidata上新建规则表，在DWD层打标处理</t>
  </si>
  <si>
    <t xml:space="preserve">备注</t>
  </si>
  <si>
    <t xml:space="preserve">note</t>
  </si>
  <si>
    <t xml:space="preserve">EX1-按公司+按客商剔除</t>
  </si>
  <si>
    <t xml:space="preserve">EX2-按公司+科目剔除</t>
  </si>
  <si>
    <t xml:space="preserve">EX3-按系统号+科目剔除</t>
  </si>
  <si>
    <t xml:space="preserve">IN1-按系统号+公司+科目取数</t>
  </si>
  <si>
    <t/>
    <r>
      <rPr>
        <u val="single"/>
        <color theme="10"/>
      </rPr>
      <t>重分类规则配置</t>
    </r>
  </si>
  <si>
    <t xml:space="preserve">示例</t>
  </si>
  <si>
    <t xml:space="preserve">ar_reclass</t>
  </si>
  <si>
    <t xml:space="preserve">科目范围</t>
  </si>
  <si>
    <t xml:space="preserve">金额条件</t>
  </si>
  <si>
    <t xml:space="preserve">是否重分类</t>
  </si>
  <si>
    <t xml:space="preserve">重分类标识
AR应收账款/OR其他应收/AS预付账款/AP应付账款/OP其他应付/AC预收账款/CA合同资产/CL合同负债/RF应收款项融资/A9其他非流动性资产/A10长期应收款</t>
  </si>
  <si>
    <t xml:space="preserve">amt_flag</t>
  </si>
  <si>
    <t xml:space="preserve">is_rec</t>
  </si>
  <si>
    <t xml:space="preserve">rec_flag</t>
  </si>
  <si>
    <t xml:space="preserve">&gt;=0</t>
  </si>
  <si>
    <t xml:space="preserve">N</t>
  </si>
  <si>
    <t xml:space="preserve">AR — 应收正数</t>
  </si>
  <si>
    <t xml:space="preserve">&lt;0</t>
  </si>
  <si>
    <t xml:space="preserve">Y</t>
  </si>
  <si>
    <t xml:space="preserve">CL — 应收负数→合同负债</t>
  </si>
  <si>
    <t xml:space="preserve">OR — 其他应收正数</t>
  </si>
  <si>
    <t xml:space="preserve">OP — 其他应收负数→其他应付</t>
  </si>
  <si>
    <t xml:space="preserve">AS — 预付正数</t>
  </si>
  <si>
    <t xml:space="preserve">AP — 预付负数→应付</t>
  </si>
  <si>
    <t/>
    <r>
      <rPr>
        <u val="single"/>
        <color theme="10"/>
      </rPr>
      <t>税率维护表</t>
    </r>
  </si>
  <si>
    <t xml:space="preserve">ar_tax_rate</t>
  </si>
  <si>
    <t xml:space="preserve">0908：hidata上新建规则表，在DWD层处理</t>
  </si>
  <si>
    <t xml:space="preserve">增值税税率</t>
  </si>
  <si>
    <t xml:space="preserve">说明</t>
  </si>
  <si>
    <t xml:space="preserve">tax_rate</t>
  </si>
  <si>
    <t xml:space="preserve">按公司+客商匹配</t>
  </si>
  <si>
    <t xml:space="preserve">按公司+利润中心匹配</t>
  </si>
  <si>
    <t xml:space="preserve">按公司匹配</t>
  </si>
  <si>
    <t/>
    <r>
      <rPr>
        <u val="single"/>
        <color theme="10"/>
      </rPr>
      <t>性质维护表</t>
    </r>
  </si>
  <si>
    <t xml:space="preserve">ar_nature</t>
  </si>
  <si>
    <t xml:space="preserve">科目分类</t>
  </si>
  <si>
    <t xml:space="preserve">一级性质</t>
  </si>
  <si>
    <t xml:space="preserve">二级性质</t>
  </si>
  <si>
    <t xml:space="preserve">acct_map_code</t>
  </si>
  <si>
    <t xml:space="preserve">acct_type</t>
  </si>
  <si>
    <t xml:space="preserve">nature_l1_name</t>
  </si>
  <si>
    <t xml:space="preserve">nature_l2_name</t>
  </si>
  <si>
    <t xml:space="preserve">按公司+科目+客商匹配</t>
  </si>
  <si>
    <t xml:space="preserve">按公司+科目+利润中心匹配</t>
  </si>
  <si>
    <t xml:space="preserve">按公司+科目匹配</t>
  </si>
  <si>
    <t xml:space="preserve">按科目+客商匹配</t>
  </si>
  <si>
    <t/>
    <r>
      <rPr>
        <u val="single"/>
        <color theme="10"/>
      </rPr>
      <t>坏账计提比例表</t>
    </r>
  </si>
  <si>
    <t xml:space="preserve">0908：在2.0里重构配置表单</t>
  </si>
  <si>
    <t xml:space="preserve">ARPBDR</t>
  </si>
  <si>
    <t xml:space="preserve">集团所属范围</t>
  </si>
  <si>
    <t xml:space="preserve">坏账计提比例-1个月</t>
  </si>
  <si>
    <t xml:space="preserve">坏账计提比例-2-3个月</t>
  </si>
  <si>
    <t xml:space="preserve">坏账计提比例-4-6个月</t>
  </si>
  <si>
    <t xml:space="preserve">坏账计提比例-7-12个月</t>
  </si>
  <si>
    <t xml:space="preserve">坏账计提比例-1-2年</t>
  </si>
  <si>
    <t xml:space="preserve">坏账计提比例-2-3年</t>
  </si>
  <si>
    <t xml:space="preserve">坏账计提比例-3-4年</t>
  </si>
  <si>
    <t xml:space="preserve">坏账计提比例-4-5年</t>
  </si>
  <si>
    <t xml:space="preserve">坏账计提比例-5年以上</t>
  </si>
  <si>
    <t xml:space="preserve">grp_scope</t>
  </si>
  <si>
    <t xml:space="preserve">COD_AZIENDA</t>
  </si>
  <si>
    <t xml:space="preserve">COD_CONTO</t>
  </si>
  <si>
    <t xml:space="preserve">BD_RATIO_1</t>
  </si>
  <si>
    <t xml:space="preserve">BD_RATIO_2</t>
  </si>
  <si>
    <t xml:space="preserve">BD_RATIO_3</t>
  </si>
  <si>
    <t xml:space="preserve">BD_RATIO_4</t>
  </si>
  <si>
    <t xml:space="preserve">BD_RATIO_5</t>
  </si>
  <si>
    <t xml:space="preserve">BD_RATIO_6</t>
  </si>
  <si>
    <t xml:space="preserve">BD_RATIO_7</t>
  </si>
  <si>
    <t xml:space="preserve">BD_RATIO_8</t>
  </si>
  <si>
    <t xml:space="preserve">BD_RATIO_9</t>
  </si>
  <si>
    <t xml:space="preserve">NOTE</t>
  </si>
  <si>
    <t xml:space="preserve">1-按公司+客商匹配</t>
  </si>
  <si>
    <t xml:space="preserve">2-按公司+三级性质匹配</t>
  </si>
  <si>
    <t xml:space="preserve">3-按公司匹配</t>
  </si>
  <si>
    <t/>
    <r>
      <rPr>
        <u val="single"/>
        <color theme="10"/>
      </rPr>
      <t>周转计算配置表</t>
    </r>
  </si>
  <si>
    <t xml:space="preserve">目标表单</t>
  </si>
  <si>
    <t xml:space="preserve">目标-事业部</t>
  </si>
  <si>
    <t xml:space="preserve">目标-其他</t>
  </si>
  <si>
    <t xml:space="preserve">目标-科目</t>
  </si>
  <si>
    <t xml:space="preserve">目标-公司</t>
  </si>
  <si>
    <t xml:space="preserve">目标-利润中心</t>
  </si>
  <si>
    <t xml:space="preserve">目标-业务范围</t>
  </si>
  <si>
    <t xml:space="preserve">目标-渠道分组</t>
  </si>
  <si>
    <t xml:space="preserve">目标-业务管理单元</t>
  </si>
  <si>
    <t xml:space="preserve">目标-公司三级分类</t>
  </si>
  <si>
    <t xml:space="preserve">取数源表单</t>
  </si>
  <si>
    <t xml:space="preserve">耗用取数列</t>
  </si>
  <si>
    <t xml:space="preserve">占用取数列</t>
  </si>
  <si>
    <t xml:space="preserve">事业部筛选规则</t>
  </si>
  <si>
    <t xml:space="preserve">事业部筛选值</t>
  </si>
  <si>
    <t xml:space="preserve">公司筛选规则</t>
  </si>
  <si>
    <t xml:space="preserve">公司筛选值</t>
  </si>
  <si>
    <t xml:space="preserve">科目筛选规则</t>
  </si>
  <si>
    <t xml:space="preserve">科目筛选值</t>
  </si>
  <si>
    <t xml:space="preserve">利润中心筛选规则</t>
  </si>
  <si>
    <t xml:space="preserve">利润中心筛选值</t>
  </si>
  <si>
    <t xml:space="preserve">业务范围筛选规则</t>
  </si>
  <si>
    <t xml:space="preserve">业务范围筛选值</t>
  </si>
  <si>
    <t xml:space="preserve">渠道分组筛选规则</t>
  </si>
  <si>
    <t xml:space="preserve">渠道分组筛选值</t>
  </si>
  <si>
    <t xml:space="preserve">业务管理单元筛选规则</t>
  </si>
  <si>
    <t xml:space="preserve">业务管理单元筛选值</t>
  </si>
  <si>
    <t xml:space="preserve">客户筛选规则</t>
  </si>
  <si>
    <t xml:space="preserve">客户筛选值</t>
  </si>
  <si>
    <t xml:space="preserve">公司三级分类筛选规则</t>
  </si>
  <si>
    <t xml:space="preserve">公司三级分类筛选值</t>
  </si>
  <si>
    <t xml:space="preserve">应收周转分析表-整体</t>
  </si>
  <si>
    <t xml:space="preserve">显示事业部</t>
  </si>
  <si>
    <t xml:space="preserve">应收周转天数</t>
  </si>
  <si>
    <t xml:space="preserve">内销平板</t>
  </si>
  <si>
    <t xml:space="preserve">应收周转S表</t>
  </si>
  <si>
    <t xml:space="preserve">收入</t>
  </si>
  <si>
    <t xml:space="preserve">占用</t>
  </si>
  <si>
    <t xml:space="preserve">= | 等于</t>
  </si>
  <si>
    <t xml:space="preserve">BG001</t>
  </si>
  <si>
    <t xml:space="preserve">HIE | 层级</t>
  </si>
  <si>
    <t xml:space="preserve">01|0103</t>
  </si>
  <si>
    <t xml:space="preserve">01|HN</t>
  </si>
  <si>
    <t xml:space="preserve">周转计算配置表-计算逻辑配置</t>
  </si>
  <si>
    <t xml:space="preserve">计算优先级</t>
  </si>
  <si>
    <t xml:space="preserve">计算序号</t>
  </si>
  <si>
    <t xml:space="preserve">运算符号</t>
  </si>
  <si>
    <t xml:space="preserve">期间筛选</t>
  </si>
  <si>
    <t xml:space="preserve">源-事业部</t>
  </si>
  <si>
    <t xml:space="preserve">源-其他</t>
  </si>
  <si>
    <t xml:space="preserve">源-科目</t>
  </si>
  <si>
    <t xml:space="preserve">源-科目固定值</t>
  </si>
  <si>
    <t xml:space="preserve">源-公司</t>
  </si>
  <si>
    <t xml:space="preserve">源-利润中心</t>
  </si>
  <si>
    <t xml:space="preserve">源-业务范围</t>
  </si>
  <si>
    <t xml:space="preserve">源-渠道分组</t>
  </si>
  <si>
    <t xml:space="preserve">源-业务管理单元</t>
  </si>
  <si>
    <t xml:space="preserve">源-客户</t>
  </si>
  <si>
    <t xml:space="preserve">源-公司三级分类</t>
  </si>
  <si>
    <t xml:space="preserve">应收周转天数-当月</t>
  </si>
  <si>
    <t xml:space="preserve">+</t>
  </si>
  <si>
    <t xml:space="preserve">上月应收占用</t>
  </si>
  <si>
    <t xml:space="preserve">本期应收占用</t>
  </si>
  <si>
    <t xml:space="preserve">/</t>
  </si>
  <si>
    <t xml:space="preserve">固定值</t>
  </si>
  <si>
    <t xml:space="preserve">*</t>
  </si>
  <si>
    <t xml:space="preserve">应收周转天数-累计</t>
  </si>
  <si>
    <t xml:space="preserve">累计</t>
  </si>
  <si>
    <t xml:space="preserve">累计收入</t>
  </si>
  <si>
    <t/>
    <r>
      <rPr>
        <u val="single"/>
        <color theme="10"/>
      </rPr>
      <t>应收周转特殊取数配置</t>
    </r>
  </si>
  <si>
    <t xml:space="preserve">取数类型</t>
  </si>
  <si>
    <t xml:space="preserve">公司描述</t>
  </si>
  <si>
    <t xml:space="preserve">客户编码</t>
  </si>
  <si>
    <t xml:space="preserve">客户描述</t>
  </si>
  <si>
    <t xml:space="preserve">利润中心编码</t>
  </si>
  <si>
    <t xml:space="preserve">利润中心描述</t>
  </si>
  <si>
    <t xml:space="preserve">业务管理单元描述</t>
  </si>
  <si>
    <t xml:space="preserve">EX1-按公司剔除</t>
  </si>
  <si>
    <t xml:space="preserve">IN1-按公司+利润中心取数</t>
  </si>
  <si>
    <t xml:space="preserve">海信容声（广东）冷柜有限公司</t>
  </si>
  <si>
    <t xml:space="preserve">商用冷链</t>
  </si>
  <si>
    <t xml:space="preserve">IN2-按公司+业务管理单元取数</t>
  </si>
  <si>
    <t xml:space="preserve">海信空调有限公司</t>
  </si>
  <si>
    <t xml:space="preserve">科龙煤改电</t>
  </si>
  <si>
    <t xml:space="preserve">空调OEM外部</t>
  </si>
  <si>
    <t xml:space="preserve">客户账期明细表</t>
  </si>
  <si>
    <t xml:space="preserve">组织</t>
  </si>
  <si>
    <t xml:space="preserve">客户编码</t>
  </si>
  <si>
    <t xml:space="preserve">付款条件代码</t>
  </si>
  <si>
    <t xml:space="preserve">付款条件描述</t>
  </si>
  <si>
    <t xml:space="preserve">来源系统</t>
  </si>
  <si>
    <t xml:space="preserve">更新时间</t>
  </si>
  <si>
    <t xml:space="preserve">往来账龄明细表</t>
  </si>
  <si>
    <t xml:space="preserve">年月</t>
  </si>
  <si>
    <t xml:space="preserve">年份</t>
  </si>
  <si>
    <t xml:space="preserve">月份</t>
  </si>
  <si>
    <t xml:space="preserve">凭证类型</t>
  </si>
  <si>
    <t xml:space="preserve">凭证编号</t>
  </si>
  <si>
    <t xml:space="preserve">凭证日期</t>
  </si>
  <si>
    <t xml:space="preserve">凭证过账日期</t>
  </si>
  <si>
    <t xml:space="preserve">基准日期</t>
  </si>
  <si>
    <t xml:space="preserve">清账日期</t>
  </si>
  <si>
    <t xml:space="preserve">客商编码</t>
  </si>
  <si>
    <t xml:space="preserve">客商名称</t>
  </si>
  <si>
    <t xml:space="preserve">主户编码</t>
  </si>
  <si>
    <t xml:space="preserve">主户名称</t>
  </si>
  <si>
    <t xml:space="preserve">分户编码</t>
  </si>
  <si>
    <t xml:space="preserve">分户名称</t>
  </si>
  <si>
    <t xml:space="preserve">对方公司</t>
  </si>
  <si>
    <t xml:space="preserve">国家编码</t>
  </si>
  <si>
    <t xml:space="preserve">国家名称</t>
  </si>
  <si>
    <t xml:space="preserve">科目类型</t>
  </si>
  <si>
    <t xml:space="preserve">原始科目编码</t>
  </si>
  <si>
    <t xml:space="preserve">映射后科目编码</t>
  </si>
  <si>
    <t xml:space="preserve">一级公司分类编码</t>
  </si>
  <si>
    <t xml:space="preserve">一级公司分类名称</t>
  </si>
  <si>
    <t xml:space="preserve">二级公司分类编码</t>
  </si>
  <si>
    <t xml:space="preserve">二级公司分类名称</t>
  </si>
  <si>
    <t xml:space="preserve">三级公司分类编码</t>
  </si>
  <si>
    <t xml:space="preserve">三级公司分类名称</t>
  </si>
  <si>
    <t xml:space="preserve">周转分析渠道编码</t>
  </si>
  <si>
    <t xml:space="preserve">周转分析渠道名称</t>
  </si>
  <si>
    <t xml:space="preserve">渠道分组编码</t>
  </si>
  <si>
    <t xml:space="preserve">渠道分组名称</t>
  </si>
  <si>
    <t xml:space="preserve">原始利润中心编码</t>
  </si>
  <si>
    <t xml:space="preserve">原始利润中心名称</t>
  </si>
  <si>
    <t xml:space="preserve">利润中心编码</t>
  </si>
  <si>
    <t xml:space="preserve">利润中心名称</t>
  </si>
  <si>
    <t xml:space="preserve">业务范围编码</t>
  </si>
  <si>
    <t xml:space="preserve">业务范围名称</t>
  </si>
  <si>
    <t xml:space="preserve">业务管理单元编码</t>
  </si>
  <si>
    <t xml:space="preserve">业务管理单元名称</t>
  </si>
  <si>
    <t xml:space="preserve">付款原因代码</t>
  </si>
  <si>
    <t xml:space="preserve">本位币币种</t>
  </si>
  <si>
    <t xml:space="preserve">交易币币种</t>
  </si>
  <si>
    <t xml:space="preserve">本位币金额</t>
  </si>
  <si>
    <t xml:space="preserve">交易币金额</t>
  </si>
  <si>
    <t xml:space="preserve">账龄天数</t>
  </si>
  <si>
    <t xml:space="preserve">付款服务商的付款编号</t>
  </si>
  <si>
    <t xml:space="preserve">数据来源</t>
  </si>
  <si>
    <t xml:space="preserve">已确认未兑现返利金额明细表</t>
  </si>
  <si>
    <t xml:space="preserve">返利性质</t>
  </si>
  <si>
    <t xml:space="preserve">台账状态</t>
  </si>
  <si>
    <t xml:space="preserve">超期款明细表</t>
  </si>
  <si>
    <t xml:space="preserve">超期款金额-1个月以内</t>
  </si>
  <si>
    <t xml:space="preserve">超期款金额-2-3个月</t>
  </si>
  <si>
    <t xml:space="preserve">超期款金额-4-6个月</t>
  </si>
  <si>
    <t xml:space="preserve">超期款金额-7-12个月</t>
  </si>
  <si>
    <t xml:space="preserve">超期款金额-1-2年</t>
  </si>
  <si>
    <t xml:space="preserve">超期款金额-2-3年</t>
  </si>
  <si>
    <t xml:space="preserve">超期款金额-3-4年</t>
  </si>
  <si>
    <t xml:space="preserve">超期款金额-4-5年</t>
  </si>
  <si>
    <t xml:space="preserve">超期款金额-5年以上</t>
  </si>
  <si>
    <t xml:space="preserve">超期款金额</t>
  </si>
  <si>
    <t xml:space="preserve">开票样机金额</t>
  </si>
  <si>
    <t xml:space="preserve">国际营销应收占用明细表</t>
  </si>
  <si>
    <t xml:space="preserve">大区编码</t>
  </si>
  <si>
    <t xml:space="preserve">大区名称</t>
  </si>
  <si>
    <t xml:space="preserve">区组编码</t>
  </si>
  <si>
    <t xml:space="preserve">区组名称</t>
  </si>
  <si>
    <t xml:space="preserve">业务模式</t>
  </si>
  <si>
    <t xml:space="preserve">产品大类</t>
  </si>
  <si>
    <t xml:space="preserve">产品名称</t>
  </si>
  <si>
    <t xml:space="preserve">产品线编码</t>
  </si>
  <si>
    <t xml:space="preserve">产品线名称</t>
  </si>
  <si>
    <t xml:space="preserve">客户账期编码</t>
  </si>
  <si>
    <t xml:space="preserve">范围</t>
  </si>
  <si>
    <t xml:space="preserve">国际营销应收占用金额-人民币</t>
  </si>
  <si>
    <t xml:space="preserve">国际营销应收占用金额-美元</t>
  </si>
  <si>
    <t xml:space="preserve">国际营销应收占用金额-本位币</t>
  </si>
  <si>
    <t xml:space="preserve">核销金额明细表</t>
  </si>
  <si>
    <t xml:space="preserve">核销金额</t>
  </si>
  <si>
    <t xml:space="preserve">投保信息录入表</t>
  </si>
  <si>
    <t xml:space="preserve">单独一个投保信息录入的AW表</t>
  </si>
  <si>
    <t xml:space="preserve">场景</t>
  </si>
  <si>
    <t xml:space="preserve">期间</t>
  </si>
  <si>
    <t xml:space="preserve">公司</t>
  </si>
  <si>
    <t xml:space="preserve">客商编码</t>
  </si>
  <si>
    <t xml:space="preserve">客商名称</t>
  </si>
  <si>
    <t xml:space="preserve">投保币种</t>
  </si>
  <si>
    <t xml:space="preserve">投保金额-交易币</t>
  </si>
  <si>
    <t xml:space="preserve">保障期限（天）</t>
  </si>
  <si>
    <t xml:space="preserve">赔付比例</t>
  </si>
  <si>
    <t xml:space="preserve">免赔额（自负额）-交易币</t>
  </si>
  <si>
    <t xml:space="preserve">开始时间</t>
  </si>
  <si>
    <t xml:space="preserve">结束时间</t>
  </si>
  <si>
    <t xml:space="preserve">COD_SCENARIO</t>
  </si>
  <si>
    <t xml:space="preserve">COD_PERIODO</t>
  </si>
  <si>
    <t xml:space="preserve">COD_AZIENDA</t>
  </si>
  <si>
    <t xml:space="preserve">CUST_CODE</t>
  </si>
  <si>
    <t xml:space="preserve">CUST_NAME</t>
  </si>
  <si>
    <t xml:space="preserve">QCY_INS_CODE</t>
  </si>
  <si>
    <t xml:space="preserve">QCY_INS_AMT</t>
  </si>
  <si>
    <t xml:space="preserve">INS_COV_DAYS</t>
  </si>
  <si>
    <t xml:space="preserve">INS_CLM_RATIO</t>
  </si>
  <si>
    <t xml:space="preserve">QCY_INS_DDBL_AMT</t>
  </si>
  <si>
    <t xml:space="preserve">VALID_FR</t>
  </si>
  <si>
    <t xml:space="preserve">VALID_TO</t>
  </si>
  <si>
    <t xml:space="preserve">未覆盖比例计算表</t>
  </si>
  <si>
    <t xml:space="preserve">同投保信息AW表</t>
  </si>
  <si>
    <t xml:space="preserve">投保金额-本位币</t>
  </si>
  <si>
    <t xml:space="preserve">赔付比例（%）</t>
  </si>
  <si>
    <t xml:space="preserve">免赔额（自负额）-本位币</t>
  </si>
  <si>
    <t xml:space="preserve">本月期末汇率</t>
  </si>
  <si>
    <t xml:space="preserve">本月账龄余额</t>
  </si>
  <si>
    <t xml:space="preserve">未覆盖比例</t>
  </si>
  <si>
    <t xml:space="preserve">1个月</t>
  </si>
  <si>
    <t xml:space="preserve">2-3个月</t>
  </si>
  <si>
    <t xml:space="preserve">4-6个月</t>
  </si>
  <si>
    <t xml:space="preserve">7-12个月</t>
  </si>
  <si>
    <t xml:space="preserve">BCY_INS_AMT</t>
  </si>
  <si>
    <t xml:space="preserve">BCY_INS_DDBL_AMT</t>
  </si>
  <si>
    <t xml:space="preserve">MTD_END_RATE</t>
  </si>
  <si>
    <t xml:space="preserve">BCY_0_AMT</t>
  </si>
  <si>
    <t xml:space="preserve">BCY_1_AMT</t>
  </si>
  <si>
    <t xml:space="preserve">BCY_2_AMT</t>
  </si>
  <si>
    <t xml:space="preserve">BCY_3_AMT</t>
  </si>
  <si>
    <t xml:space="preserve">INS_UNCOV_RATIO</t>
  </si>
  <si>
    <t xml:space="preserve">个别认定调整表</t>
  </si>
  <si>
    <t xml:space="preserve">坏账计提M02表</t>
  </si>
  <si>
    <t xml:space="preserve">公司编码</t>
  </si>
  <si>
    <t xml:space="preserve">科目</t>
  </si>
  <si>
    <t xml:space="preserve">调整类型</t>
  </si>
  <si>
    <t xml:space="preserve">三级性质</t>
  </si>
  <si>
    <t xml:space="preserve">币种</t>
  </si>
  <si>
    <t xml:space="preserve">利润中心编码</t>
  </si>
  <si>
    <t xml:space="preserve">利润中心名称</t>
  </si>
  <si>
    <t xml:space="preserve">业务范围编码</t>
  </si>
  <si>
    <t xml:space="preserve">业务范围名称</t>
  </si>
  <si>
    <t xml:space="preserve">坏账计提余额</t>
  </si>
  <si>
    <t xml:space="preserve">坏账计提余额-</t>
  </si>
  <si>
    <t xml:space="preserve">原因备注</t>
  </si>
  <si>
    <t xml:space="preserve">个别认定调整
煤改电调整</t>
  </si>
  <si>
    <t xml:space="preserve">往来账龄计算底稿</t>
  </si>
  <si>
    <t xml:space="preserve">往来账龄M01表</t>
  </si>
  <si>
    <t xml:space="preserve">集团归属范围（
子公司/集团内/集团外）</t>
  </si>
  <si>
    <t xml:space="preserve">本位币金额-本月账龄</t>
  </si>
  <si>
    <t xml:space="preserve">本位币金额-账龄区间段1</t>
  </si>
  <si>
    <t xml:space="preserve">本位币金额-账龄区间段2</t>
  </si>
  <si>
    <t xml:space="preserve">本位币金额-账龄区间段3</t>
  </si>
  <si>
    <t xml:space="preserve">本位币金额-账龄区间段4</t>
  </si>
  <si>
    <t xml:space="preserve">本位币金额-账龄区间段5</t>
  </si>
  <si>
    <t xml:space="preserve">本位币金额-账龄区间段6</t>
  </si>
  <si>
    <t xml:space="preserve">本位币金额-账龄区间段7</t>
  </si>
  <si>
    <t xml:space="preserve">本位币金额-账龄区间段8</t>
  </si>
  <si>
    <t xml:space="preserve">本位币金额-账龄区间段9</t>
  </si>
  <si>
    <t xml:space="preserve">本位币金额-账龄区间段10</t>
  </si>
  <si>
    <t xml:space="preserve">本位币金额-账龄区间段11</t>
  </si>
  <si>
    <t xml:space="preserve">本位币金额-账龄区间段12</t>
  </si>
  <si>
    <t xml:space="preserve">本位币金额-账龄区间段13</t>
  </si>
  <si>
    <t xml:space="preserve">本位币金额-账龄区间段14</t>
  </si>
  <si>
    <t xml:space="preserve">本位币金额-账龄区间段15</t>
  </si>
  <si>
    <t xml:space="preserve">ARFAC_GSUB-应收周转影响因素-国补未回款影响金额
ARFAC_ADJ-应收周转影响因素-手工导入影响因素
BD_DSV-坏账计提调整项-直销垫资</t>
  </si>
  <si>
    <t xml:space="preserve">往来账龄计算底稿
AW_MR9_ARPM01_000001</t>
  </si>
  <si>
    <t xml:space="preserve">调整表列</t>
  </si>
  <si>
    <t xml:space="preserve">场景</t>
  </si>
  <si>
    <t xml:space="preserve">期间</t>
  </si>
  <si>
    <t xml:space="preserve">公司</t>
  </si>
  <si>
    <t xml:space="preserve">科目</t>
  </si>
  <si>
    <t xml:space="preserve">类别</t>
  </si>
  <si>
    <t xml:space="preserve">调整类型</t>
  </si>
  <si>
    <t xml:space="preserve">数据分类</t>
  </si>
  <si>
    <t xml:space="preserve">客商编码</t>
  </si>
  <si>
    <t xml:space="preserve">客商名称</t>
  </si>
  <si>
    <t xml:space="preserve">主户编码</t>
  </si>
  <si>
    <t xml:space="preserve">主户名称</t>
  </si>
  <si>
    <t xml:space="preserve">分户编码</t>
  </si>
  <si>
    <t xml:space="preserve">分户名称</t>
  </si>
  <si>
    <t xml:space="preserve">对方公司</t>
  </si>
  <si>
    <t xml:space="preserve">国家编码</t>
  </si>
  <si>
    <t xml:space="preserve">国家名称</t>
  </si>
  <si>
    <t xml:space="preserve">原始科目编码</t>
  </si>
  <si>
    <t xml:space="preserve">重分类科目编码</t>
  </si>
  <si>
    <t xml:space="preserve">映射后科目编码</t>
  </si>
  <si>
    <t xml:space="preserve">法人单体账龄标识</t>
  </si>
  <si>
    <t xml:space="preserve">是否重分类_法人</t>
  </si>
  <si>
    <t xml:space="preserve">管理单体账龄标识</t>
  </si>
  <si>
    <t xml:space="preserve">是否重分类_管理</t>
  </si>
  <si>
    <t xml:space="preserve">管理分公司账龄标识</t>
  </si>
  <si>
    <t xml:space="preserve">是否重分类_管理分公司</t>
  </si>
  <si>
    <t xml:space="preserve">集团归属范围（
子公司/集团内/集团外）</t>
  </si>
  <si>
    <t xml:space="preserve">三级公司分类编码</t>
  </si>
  <si>
    <t xml:space="preserve">渠道分组编码</t>
  </si>
  <si>
    <t xml:space="preserve">利润中心编码</t>
  </si>
  <si>
    <t xml:space="preserve">业务范围编码</t>
  </si>
  <si>
    <t xml:space="preserve">业务管理单元编码</t>
  </si>
  <si>
    <t xml:space="preserve">周转分析渠道</t>
  </si>
  <si>
    <t xml:space="preserve">商冷客户群</t>
  </si>
  <si>
    <t xml:space="preserve">本位币币种</t>
  </si>
  <si>
    <t xml:space="preserve">交易币币种</t>
  </si>
  <si>
    <t xml:space="preserve">本位币金额-本月账龄</t>
  </si>
  <si>
    <t xml:space="preserve">本位币金额-账龄区间段1</t>
  </si>
  <si>
    <t xml:space="preserve">本位币金额-账龄区间段2</t>
  </si>
  <si>
    <t xml:space="preserve">本位币金额-账龄区间段3</t>
  </si>
  <si>
    <t xml:space="preserve">本位币金额-账龄区间段4</t>
  </si>
  <si>
    <t xml:space="preserve">本位币金额-账龄区间段5</t>
  </si>
  <si>
    <t xml:space="preserve">本位币金额-账龄区间段6</t>
  </si>
  <si>
    <t xml:space="preserve">本位币金额-账龄区间段7</t>
  </si>
  <si>
    <t xml:space="preserve">本位币金额-账龄区间段8</t>
  </si>
  <si>
    <t xml:space="preserve">本位币金额-账龄区间段9</t>
  </si>
  <si>
    <t xml:space="preserve">本位币金额-账龄区间段10</t>
  </si>
  <si>
    <t xml:space="preserve">本位币金额-账龄区间段11</t>
  </si>
  <si>
    <t xml:space="preserve">本位币金额-账龄区间段12</t>
  </si>
  <si>
    <t xml:space="preserve">本位币金额-账龄区间段13</t>
  </si>
  <si>
    <t xml:space="preserve">本位币金额-账龄区间段14</t>
  </si>
  <si>
    <t xml:space="preserve">本位币金额-账龄区间段15</t>
  </si>
  <si>
    <t xml:space="preserve">交易币金额-本月账龄</t>
  </si>
  <si>
    <t xml:space="preserve">交易币金额-账龄区间段1</t>
  </si>
  <si>
    <t xml:space="preserve">交易币金额-账龄区间段2</t>
  </si>
  <si>
    <t xml:space="preserve">交易币金额-账龄区间段3</t>
  </si>
  <si>
    <t xml:space="preserve">交易币金额-账龄区间段4</t>
  </si>
  <si>
    <t xml:space="preserve">交易币金额-账龄区间段5</t>
  </si>
  <si>
    <t xml:space="preserve">交易币金额-账龄区间段6</t>
  </si>
  <si>
    <t xml:space="preserve">交易币金额-账龄区间段7</t>
  </si>
  <si>
    <t xml:space="preserve">交易币金额-账龄区间段8</t>
  </si>
  <si>
    <t xml:space="preserve">交易币金额-账龄区间段9</t>
  </si>
  <si>
    <t xml:space="preserve">交易币金额-账龄区间段10</t>
  </si>
  <si>
    <t xml:space="preserve">交易币金额-账龄区间段11</t>
  </si>
  <si>
    <t xml:space="preserve">交易币金额-账龄区间段12</t>
  </si>
  <si>
    <t xml:space="preserve">交易币金额-账龄区间段13</t>
  </si>
  <si>
    <t xml:space="preserve">交易币金额-账龄区间段14</t>
  </si>
  <si>
    <t xml:space="preserve">交易币金额-账龄区间段15</t>
  </si>
  <si>
    <t xml:space="preserve">付款条件代码</t>
  </si>
  <si>
    <t xml:space="preserve">付款条件描述</t>
  </si>
  <si>
    <t xml:space="preserve">一级性质</t>
  </si>
  <si>
    <t xml:space="preserve">二级性质</t>
  </si>
  <si>
    <t xml:space="preserve">三级性质</t>
  </si>
  <si>
    <t xml:space="preserve">期末汇率余额</t>
  </si>
  <si>
    <t xml:space="preserve">记账汇率余额</t>
  </si>
  <si>
    <t xml:space="preserve">汇率评估标识</t>
  </si>
  <si>
    <t xml:space="preserve">来源系统</t>
  </si>
  <si>
    <t xml:space="preserve">理论汇兑评估</t>
  </si>
  <si>
    <t xml:space="preserve">币种科目构成明细</t>
  </si>
  <si>
    <t xml:space="preserve">调整后返利金额</t>
  </si>
  <si>
    <t xml:space="preserve">调整后退货金额</t>
  </si>
  <si>
    <t xml:space="preserve">税率</t>
  </si>
  <si>
    <t xml:space="preserve">返利/费用标识</t>
  </si>
  <si>
    <t xml:space="preserve">电商零售标识</t>
  </si>
  <si>
    <t xml:space="preserve">COD_SCENARIO</t>
  </si>
  <si>
    <t xml:space="preserve">COD_PERIODO</t>
  </si>
  <si>
    <t xml:space="preserve">COD_AZIENDA</t>
  </si>
  <si>
    <t xml:space="preserve">COD_CONTO</t>
  </si>
  <si>
    <t xml:space="preserve">COD_CATEGORIA</t>
  </si>
  <si>
    <t xml:space="preserve">D_ADJ_TYPE</t>
  </si>
  <si>
    <t xml:space="preserve">SRC_DETAIL</t>
  </si>
  <si>
    <t xml:space="preserve">CUST_CODE</t>
  </si>
  <si>
    <t xml:space="preserve">CUST_NAME</t>
  </si>
  <si>
    <t xml:space="preserve">CUST_HEAD_CODE</t>
  </si>
  <si>
    <t xml:space="preserve">CUST_HEAD_NAME</t>
  </si>
  <si>
    <t xml:space="preserve">CUST_BRANCH_CODE</t>
  </si>
  <si>
    <t xml:space="preserve">CUST_BRANCH_NAME</t>
  </si>
  <si>
    <t xml:space="preserve">COD_AZI_CTP</t>
  </si>
  <si>
    <t xml:space="preserve">COUNTRY_CODE</t>
  </si>
  <si>
    <t xml:space="preserve">COUNTRY_NAME</t>
  </si>
  <si>
    <t xml:space="preserve">ACCT_SRC_CODE</t>
  </si>
  <si>
    <t xml:space="preserve">ACCT_REC_CODE</t>
  </si>
  <si>
    <t xml:space="preserve">ACCT_MAP_CODE</t>
  </si>
  <si>
    <t xml:space="preserve">LE_AGE_FLAG</t>
  </si>
  <si>
    <t xml:space="preserve">IS_REC_LG</t>
  </si>
  <si>
    <t xml:space="preserve">ME_AGE_FLAG</t>
  </si>
  <si>
    <t xml:space="preserve">IS_REC_ME</t>
  </si>
  <si>
    <t xml:space="preserve">MB_AGE_FLAG</t>
  </si>
  <si>
    <t xml:space="preserve">IS_REC_MB</t>
  </si>
  <si>
    <t xml:space="preserve">GRP_SCOPE</t>
  </si>
  <si>
    <t xml:space="preserve">D_CHANNEL</t>
  </si>
  <si>
    <t xml:space="preserve">D_ONOFFLINE</t>
  </si>
  <si>
    <t xml:space="preserve">COD_DEST2</t>
  </si>
  <si>
    <t xml:space="preserve">COD_DEST3</t>
  </si>
  <si>
    <t xml:space="preserve">D_SALE_DEPT</t>
  </si>
  <si>
    <t xml:space="preserve">D_TOV_CHAN</t>
  </si>
  <si>
    <t xml:space="preserve">D_CC_CUSTGRP</t>
  </si>
  <si>
    <t xml:space="preserve">COD_VALUTA</t>
  </si>
  <si>
    <t xml:space="preserve">COD_VALUTA_ORIGINARIA</t>
  </si>
  <si>
    <t xml:space="preserve">BCY_0_AMT</t>
  </si>
  <si>
    <t xml:space="preserve">BCY_1_AMT</t>
  </si>
  <si>
    <t xml:space="preserve">BCY_2_AMT</t>
  </si>
  <si>
    <t xml:space="preserve">BCY_3_AMT</t>
  </si>
  <si>
    <t xml:space="preserve">BCY_4_AMT</t>
  </si>
  <si>
    <t xml:space="preserve">BCY_5_AMT</t>
  </si>
  <si>
    <t xml:space="preserve">BCY_6_AMT</t>
  </si>
  <si>
    <t xml:space="preserve">BCY_7_AMT</t>
  </si>
  <si>
    <t xml:space="preserve">BCY_8_AMT</t>
  </si>
  <si>
    <t xml:space="preserve">BCY_9_AMT</t>
  </si>
  <si>
    <t xml:space="preserve">BCY_10_AMT</t>
  </si>
  <si>
    <t xml:space="preserve">BCY_11_AMT</t>
  </si>
  <si>
    <t xml:space="preserve">BCY_12_AMT</t>
  </si>
  <si>
    <t xml:space="preserve">BCY_13_AMT</t>
  </si>
  <si>
    <t xml:space="preserve">BCY_14_AMT</t>
  </si>
  <si>
    <t xml:space="preserve">BCY_15_AMT</t>
  </si>
  <si>
    <t xml:space="preserve">QCY_0_AMT</t>
  </si>
  <si>
    <t xml:space="preserve">QCY_1_AMT</t>
  </si>
  <si>
    <t xml:space="preserve">QCY_2_AMT</t>
  </si>
  <si>
    <t xml:space="preserve">QCY_3_AMT</t>
  </si>
  <si>
    <t xml:space="preserve">QCY_4_AMT</t>
  </si>
  <si>
    <t xml:space="preserve">QCY_5_AMT</t>
  </si>
  <si>
    <t xml:space="preserve">QCY_6_AMT</t>
  </si>
  <si>
    <t xml:space="preserve">QCY_7_AMT</t>
  </si>
  <si>
    <t xml:space="preserve">QCY_8_AMT</t>
  </si>
  <si>
    <t xml:space="preserve">QCY_9_AMT</t>
  </si>
  <si>
    <t xml:space="preserve">QCY_10_AMT</t>
  </si>
  <si>
    <t xml:space="preserve">QCY_11_AMT</t>
  </si>
  <si>
    <t xml:space="preserve">QCY_12_AMT</t>
  </si>
  <si>
    <t xml:space="preserve">QCY_13_AMT</t>
  </si>
  <si>
    <t xml:space="preserve">QCY_14_AMT</t>
  </si>
  <si>
    <t xml:space="preserve">QCY_15_AMT</t>
  </si>
  <si>
    <t xml:space="preserve">PAY_TERM_CODE</t>
  </si>
  <si>
    <t xml:space="preserve">PAY_TERM_DESC</t>
  </si>
  <si>
    <t xml:space="preserve">NATURE_L1_NAME</t>
  </si>
  <si>
    <t xml:space="preserve">NATURE_L2_NAME</t>
  </si>
  <si>
    <t xml:space="preserve">NATURE_L3_NAME</t>
  </si>
  <si>
    <t xml:space="preserve">CLOSING_RATE_BCY_AMT</t>
  </si>
  <si>
    <t xml:space="preserve">POSTING_RATE_BCY_AMT</t>
  </si>
  <si>
    <t xml:space="preserve">EXCHANGE_RATE_EVAL_FLAG</t>
  </si>
  <si>
    <t xml:space="preserve">SYSTEM_SRC</t>
  </si>
  <si>
    <t xml:space="preserve">TH_FX_EVAL_AMT</t>
  </si>
  <si>
    <t xml:space="preserve">CURRENCY_ACCT_DETAIL</t>
  </si>
  <si>
    <t xml:space="preserve">ADJ_REB_AMT</t>
  </si>
  <si>
    <t xml:space="preserve">ADJ_RET_AMT</t>
  </si>
  <si>
    <t xml:space="preserve">TAX_RATE</t>
  </si>
  <si>
    <t xml:space="preserve">UFEE_UREB_FLAG</t>
  </si>
  <si>
    <t xml:space="preserve">ECLS_FLAG</t>
  </si>
  <si>
    <t xml:space="preserve">系统取值用ZAMOUNT-原始数据抽取</t>
  </si>
  <si>
    <t xml:space="preserve">ZZZZ</t>
  </si>
  <si>
    <t xml:space="preserve">1、ORG_SAP-法人账面：取D层往来账龄明细表，根据账龄长度匹配配置表对应账龄区间
 2、ZTSO04_CK-出库未开：取单体销售明细表中源数据明细ZTSO04_CK，账龄区间放最近的一个
3、ZTSO04_TH-退货未办：取单体销售明细表中源数据明细ZTSO04_TH，账龄区间放最近的一个
4、OVERDUE-超期款：取D层超期款明细表
5、EPAY-提前回款金额：根据D层往来账龄明细表计算提前回款金额 
6、ECLS-电商零售金额：根据D层往来账龄明细表计算电商零售金额 
7、UFEE-欠付费用：取D层往来账龄明细表，原因代码800，凭证类型zz的数据，账龄区间放最近的一个
8、UREB-欠付返利：取D层已确认未兑现返利金额明细表，账龄区间放最近的一个
9、INV_SAMPLE-开票样机额度：取D层超期款明细表</t>
  </si>
  <si>
    <t xml:space="preserve">根据账套+客户对法人数据进行重分类</t>
  </si>
  <si>
    <t xml:space="preserve">根据账套+客户对（法人+出库未开-退货未办）数据进行重分类</t>
  </si>
  <si>
    <t xml:space="preserve">根据账套+客户+利润中心对（法人+出库未开-退货未办）数据进行重分类</t>
  </si>
  <si>
    <t xml:space="preserve">手工调整ZFAMOUNT</t>
  </si>
  <si>
    <t xml:space="preserve">9、ARFAC_GSUB-应收周转影响因素-国补未回款影响金额
10、ARFAC_ADJ-应收周转影响因素-手工导入影响因素
11、BD_DSV-坏账计提调整项-直销垫资
12、BD_C2E-坏账计提调整项-煤改电扣减</t>
  </si>
  <si>
    <t xml:space="preserve">
</t>
  </si>
  <si>
    <t xml:space="preserve">·</t>
  </si>
  <si>
    <t xml:space="preserve">往来账龄结果表
AW_MR9_ARPM02_000001</t>
  </si>
  <si>
    <t xml:space="preserve">出库未开金额</t>
  </si>
  <si>
    <t xml:space="preserve">退货未办退税金额</t>
  </si>
  <si>
    <t xml:space="preserve">本位币金额-调整后含税-本月账龄</t>
  </si>
  <si>
    <t xml:space="preserve">本位币金额-调整后含税-账龄区间段1</t>
  </si>
  <si>
    <t xml:space="preserve">本位币金额-调整后含税-账龄区间段2</t>
  </si>
  <si>
    <t xml:space="preserve">本位币金额-调整后含税-账龄区间段3</t>
  </si>
  <si>
    <t xml:space="preserve">本位币金额-调整后含税-账龄区间段4</t>
  </si>
  <si>
    <t xml:space="preserve">本位币金额-调整后含税-账龄区间段5</t>
  </si>
  <si>
    <t xml:space="preserve">本位币金额-调整后含税-账龄区间段6</t>
  </si>
  <si>
    <t xml:space="preserve">本位币金额-调整后含税-账龄区间段7</t>
  </si>
  <si>
    <t xml:space="preserve">本位币金额-调整后含税-账龄区间段8</t>
  </si>
  <si>
    <t xml:space="preserve">本位币金额-调整后含税-账龄区间段9</t>
  </si>
  <si>
    <t xml:space="preserve">本位币金额-调整后含税-账龄区间段10</t>
  </si>
  <si>
    <t xml:space="preserve">本位币金额-调整后含税-账龄区间段11</t>
  </si>
  <si>
    <t xml:space="preserve">本位币金额-调整后含税-账龄区间段12</t>
  </si>
  <si>
    <t xml:space="preserve">本位币金额-调整后含税-账龄区间段13</t>
  </si>
  <si>
    <t xml:space="preserve">本位币金额-调整后含税-账龄区间段14</t>
  </si>
  <si>
    <t xml:space="preserve">本位币金额-调整后含税-账龄区间段15</t>
  </si>
  <si>
    <t xml:space="preserve">本位币金额-调整后不含税-本月账龄</t>
  </si>
  <si>
    <t xml:space="preserve">超期款金额</t>
  </si>
  <si>
    <t xml:space="preserve">超期款金额-1个月以内</t>
  </si>
  <si>
    <t xml:space="preserve">超期款金额-2-3个月</t>
  </si>
  <si>
    <t xml:space="preserve">超期款金额-4-6个月</t>
  </si>
  <si>
    <t xml:space="preserve">超期款金额-7-12个月</t>
  </si>
  <si>
    <t xml:space="preserve">超期款金额-1-2年</t>
  </si>
  <si>
    <t xml:space="preserve">超期款金额-2-3年</t>
  </si>
  <si>
    <t xml:space="preserve">超期款金额-3-4年</t>
  </si>
  <si>
    <t xml:space="preserve">超期款金额-4-5年</t>
  </si>
  <si>
    <t xml:space="preserve">超期款金额-5年以上</t>
  </si>
  <si>
    <t xml:space="preserve">开票样机金额</t>
  </si>
  <si>
    <t xml:space="preserve">提前回款金额</t>
  </si>
  <si>
    <t xml:space="preserve">电商零售金额</t>
  </si>
  <si>
    <t xml:space="preserve">欠付返利余额</t>
  </si>
  <si>
    <t xml:space="preserve">欠付费用金额</t>
  </si>
  <si>
    <t xml:space="preserve">呆死金额</t>
  </si>
  <si>
    <t xml:space="preserve">风险金额</t>
  </si>
  <si>
    <t xml:space="preserve">付款方式</t>
  </si>
  <si>
    <t xml:space="preserve">是否长账龄</t>
  </si>
  <si>
    <t xml:space="preserve">长账龄原因-大类</t>
  </si>
  <si>
    <t xml:space="preserve">是否异常</t>
  </si>
  <si>
    <t xml:space="preserve">是否存续</t>
  </si>
  <si>
    <t xml:space="preserve">挂账原因</t>
  </si>
  <si>
    <t xml:space="preserve">清理措施</t>
  </si>
  <si>
    <t xml:space="preserve">预计清理时间</t>
  </si>
  <si>
    <t xml:space="preserve">清理进度</t>
  </si>
  <si>
    <t xml:space="preserve">责任人</t>
  </si>
  <si>
    <t xml:space="preserve"> 是否调整 </t>
  </si>
  <si>
    <t xml:space="preserve"> 调整原因 </t>
  </si>
  <si>
    <t xml:space="preserve">SHP_NINV_AMT</t>
  </si>
  <si>
    <t xml:space="preserve">RET_NTRF_AMT</t>
  </si>
  <si>
    <t xml:space="preserve">BCY_ADJ_INCL_0_AMT</t>
  </si>
  <si>
    <t xml:space="preserve">BCY_ADJ_INCL_1_AMT</t>
  </si>
  <si>
    <t xml:space="preserve">BCY_ADJ_INCL_2_AMT</t>
  </si>
  <si>
    <t xml:space="preserve">BCY_ADJ_INCL_3_AMT</t>
  </si>
  <si>
    <t xml:space="preserve">BCY_ADJ_INCL_4_AMT</t>
  </si>
  <si>
    <t xml:space="preserve">BCY_ADJ_INCL_5_AMT</t>
  </si>
  <si>
    <t xml:space="preserve">BCY_ADJ_INCL_6_AMT</t>
  </si>
  <si>
    <t xml:space="preserve">BCY_ADJ_INCL_7_AMT</t>
  </si>
  <si>
    <t xml:space="preserve">BCY_ADJ_INCL_8_AMT</t>
  </si>
  <si>
    <t xml:space="preserve">BCY_ADJ_INCL_9_AMT</t>
  </si>
  <si>
    <t xml:space="preserve">BCY_ADJ_INCL_10_AMT</t>
  </si>
  <si>
    <t xml:space="preserve">BCY_ADJ_INCL_11_AMT</t>
  </si>
  <si>
    <t xml:space="preserve">BCY_ADJ_INCL_12_AMT</t>
  </si>
  <si>
    <t xml:space="preserve">BCY_ADJ_INCL_13_AMT</t>
  </si>
  <si>
    <t xml:space="preserve">BCY_ADJ_INCL_14_AMT</t>
  </si>
  <si>
    <t xml:space="preserve">BCY_ADJ_INCL_15_AMT</t>
  </si>
  <si>
    <t xml:space="preserve">BCY_ADJ_EXCL_0_AMT</t>
  </si>
  <si>
    <t xml:space="preserve">overdue_0_amt</t>
  </si>
  <si>
    <t xml:space="preserve">overdue_1_amt</t>
  </si>
  <si>
    <t xml:space="preserve">overdue_2_amt</t>
  </si>
  <si>
    <t xml:space="preserve">overdue_3_amt</t>
  </si>
  <si>
    <t xml:space="preserve">overdue_4_amt</t>
  </si>
  <si>
    <t xml:space="preserve">overdue_5_amt</t>
  </si>
  <si>
    <t xml:space="preserve">overdue_6_amt</t>
  </si>
  <si>
    <t xml:space="preserve">overdue_7_amt</t>
  </si>
  <si>
    <t xml:space="preserve">overdue_8_amt</t>
  </si>
  <si>
    <t xml:space="preserve">overdue_9_amt</t>
  </si>
  <si>
    <t xml:space="preserve">INV_SAMPLE_AMT</t>
  </si>
  <si>
    <t xml:space="preserve">EPAY_AMT</t>
  </si>
  <si>
    <t xml:space="preserve">ECLS_AMT</t>
  </si>
  <si>
    <t xml:space="preserve">UREB_AMT</t>
  </si>
  <si>
    <t xml:space="preserve">UFEE_AMT</t>
  </si>
  <si>
    <t xml:space="preserve">TH_FX_EVAL</t>
  </si>
  <si>
    <t xml:space="preserve">dead_amt</t>
  </si>
  <si>
    <t xml:space="preserve">risk_amt</t>
  </si>
  <si>
    <t xml:space="preserve">pay_method</t>
  </si>
  <si>
    <t xml:space="preserve">is_ln_age</t>
  </si>
  <si>
    <t xml:space="preserve">ln_age_rsn</t>
  </si>
  <si>
    <t xml:space="preserve">is_abn</t>
  </si>
  <si>
    <t xml:space="preserve">is_exs</t>
  </si>
  <si>
    <t xml:space="preserve">susp_rsn</t>
  </si>
  <si>
    <t xml:space="preserve">clr_mea</t>
  </si>
  <si>
    <t xml:space="preserve">est_clr_dt</t>
  </si>
  <si>
    <t xml:space="preserve">clr_prog</t>
  </si>
  <si>
    <t xml:space="preserve">rsp_psn</t>
  </si>
  <si>
    <t xml:space="preserve">is_adj</t>
  </si>
  <si>
    <t xml:space="preserve">adj_rsn</t>
  </si>
  <si>
    <t xml:space="preserve">手工填写列</t>
  </si>
  <si>
    <t xml:space="preserve">坏账计算表
AW_MR9_ARPM03_000001</t>
  </si>
  <si>
    <t xml:space="preserve">特殊调整项-直销垫资扣减金额</t>
  </si>
  <si>
    <t xml:space="preserve">特殊调整项-煤改电扣减金额</t>
  </si>
  <si>
    <t xml:space="preserve">投保-保障天数</t>
  </si>
  <si>
    <t xml:space="preserve">投保-未覆盖比例</t>
  </si>
  <si>
    <t xml:space="preserve">坏账计提基数金额</t>
  </si>
  <si>
    <t xml:space="preserve">坏账计提基数金额-账龄区间段1</t>
  </si>
  <si>
    <t xml:space="preserve">坏账计提基数金额-账龄区间段2</t>
  </si>
  <si>
    <t xml:space="preserve">坏账计提基数金额-账龄区间段3</t>
  </si>
  <si>
    <t xml:space="preserve">坏账计提基数金额-账龄区间段4</t>
  </si>
  <si>
    <t xml:space="preserve">坏账计提基数金额-账龄区间段5</t>
  </si>
  <si>
    <t xml:space="preserve">坏账计提基数金额-账龄区间段6</t>
  </si>
  <si>
    <t xml:space="preserve">坏账计提基数金额-账龄区间段7</t>
  </si>
  <si>
    <t xml:space="preserve">坏账计提基数金额-账龄区间段8</t>
  </si>
  <si>
    <t xml:space="preserve">坏账计提基数金额-账龄区间段9</t>
  </si>
  <si>
    <t xml:space="preserve">坏账计提基数金额-账龄区间段10</t>
  </si>
  <si>
    <t xml:space="preserve">坏账计提基数金额-账龄区间段11</t>
  </si>
  <si>
    <t xml:space="preserve">坏账计提基数金额-账龄区间段12</t>
  </si>
  <si>
    <t xml:space="preserve">坏账计提基数金额-账龄区间段13</t>
  </si>
  <si>
    <t xml:space="preserve">坏账计提基数金额-账龄区间段14</t>
  </si>
  <si>
    <t xml:space="preserve">坏账计提基数金额-账龄区间段15</t>
  </si>
  <si>
    <t xml:space="preserve">坏账计提金额</t>
  </si>
  <si>
    <t xml:space="preserve">坏账计提金额-账龄区间段1</t>
  </si>
  <si>
    <t xml:space="preserve">坏账计提金额-账龄区间段2</t>
  </si>
  <si>
    <t xml:space="preserve">坏账计提金额-账龄区间段3</t>
  </si>
  <si>
    <t xml:space="preserve">坏账计提金额-账龄区间段4</t>
  </si>
  <si>
    <t xml:space="preserve">坏账计提金额-账龄区间段5</t>
  </si>
  <si>
    <t xml:space="preserve">坏账计提金额-账龄区间段6</t>
  </si>
  <si>
    <t xml:space="preserve">坏账计提金额-账龄区间段7</t>
  </si>
  <si>
    <t xml:space="preserve">坏账计提金额-账龄区间段8</t>
  </si>
  <si>
    <t xml:space="preserve">坏账计提金额-账龄区间段9</t>
  </si>
  <si>
    <t xml:space="preserve">坏账计提金额-账龄区间段10</t>
  </si>
  <si>
    <t xml:space="preserve">坏账计提金额-账龄区间段11</t>
  </si>
  <si>
    <t xml:space="preserve">坏账计提金额-账龄区间段12</t>
  </si>
  <si>
    <t xml:space="preserve">坏账计提金额-账龄区间段13</t>
  </si>
  <si>
    <t xml:space="preserve">坏账计提金额-账龄区间段14</t>
  </si>
  <si>
    <t xml:space="preserve">坏账计提金额-账龄区间段15</t>
  </si>
  <si>
    <t xml:space="preserve">坏账分摊比例</t>
  </si>
  <si>
    <t xml:space="preserve">负账龄分摊金额</t>
  </si>
  <si>
    <t xml:space="preserve">负账龄分摊金额-账龄区间段1</t>
  </si>
  <si>
    <t xml:space="preserve">负账龄分摊金额-账龄区间段2</t>
  </si>
  <si>
    <t xml:space="preserve">负账龄分摊金额-账龄区间段3</t>
  </si>
  <si>
    <t xml:space="preserve">负账龄分摊金额-账龄区间段4</t>
  </si>
  <si>
    <t xml:space="preserve">负账龄分摊金额-账龄区间段5</t>
  </si>
  <si>
    <t xml:space="preserve">负账龄分摊金额-账龄区间段6</t>
  </si>
  <si>
    <t xml:space="preserve">负账龄分摊金额-账龄区间段7</t>
  </si>
  <si>
    <t xml:space="preserve">负账龄分摊金额-账龄区间段8</t>
  </si>
  <si>
    <t xml:space="preserve">负账龄分摊金额-账龄区间段9</t>
  </si>
  <si>
    <t xml:space="preserve">负账龄分摊金额-账龄区间段10</t>
  </si>
  <si>
    <t xml:space="preserve">负账龄分摊金额-账龄区间段11</t>
  </si>
  <si>
    <t xml:space="preserve">负账龄分摊金额-账龄区间段12</t>
  </si>
  <si>
    <t xml:space="preserve">负账龄分摊金额-账龄区间段13</t>
  </si>
  <si>
    <t xml:space="preserve">负账龄分摊金额-账龄区间段14</t>
  </si>
  <si>
    <t xml:space="preserve">负账龄分摊金额-账龄区间段15</t>
  </si>
  <si>
    <t xml:space="preserve">分摊后坏账金额</t>
  </si>
  <si>
    <t xml:space="preserve">分摊后坏账金额-账龄区间段1</t>
  </si>
  <si>
    <t xml:space="preserve">分摊后坏账金额-账龄区间段2</t>
  </si>
  <si>
    <t xml:space="preserve">分摊后坏账金额-账龄区间段3</t>
  </si>
  <si>
    <t xml:space="preserve">分摊后坏账金额-账龄区间段4</t>
  </si>
  <si>
    <t xml:space="preserve">分摊后坏账金额-账龄区间段5</t>
  </si>
  <si>
    <t xml:space="preserve">分摊后坏账金额-账龄区间段6</t>
  </si>
  <si>
    <t xml:space="preserve">分摊后坏账金额-账龄区间段7</t>
  </si>
  <si>
    <t xml:space="preserve">分摊后坏账金额-账龄区间段8</t>
  </si>
  <si>
    <t xml:space="preserve">分摊后坏账金额-账龄区间段9</t>
  </si>
  <si>
    <t xml:space="preserve">分摊后坏账金额-账龄区间段10</t>
  </si>
  <si>
    <t xml:space="preserve">分摊后坏账金额-账龄区间段11</t>
  </si>
  <si>
    <t xml:space="preserve">分摊后坏账金额-账龄区间段12</t>
  </si>
  <si>
    <t xml:space="preserve">分摊后坏账金额-账龄区间段13</t>
  </si>
  <si>
    <t xml:space="preserve">分摊后坏账金额-账龄区间段14</t>
  </si>
  <si>
    <t xml:space="preserve">分摊后坏账金额-账龄区间段15</t>
  </si>
  <si>
    <t xml:space="preserve">个别认定金额</t>
  </si>
  <si>
    <t xml:space="preserve">个别认定金额-账龄区间段1</t>
  </si>
  <si>
    <t xml:space="preserve">个别认定金额-账龄区间段2</t>
  </si>
  <si>
    <t xml:space="preserve">个别认定金额-账龄区间段3</t>
  </si>
  <si>
    <t xml:space="preserve">个别认定金额-账龄区间段4</t>
  </si>
  <si>
    <t xml:space="preserve">个别认定金额-账龄区间段5</t>
  </si>
  <si>
    <t xml:space="preserve">个别认定金额-账龄区间段6</t>
  </si>
  <si>
    <t xml:space="preserve">个别认定金额-账龄区间段7</t>
  </si>
  <si>
    <t xml:space="preserve">个别认定金额-账龄区间段8</t>
  </si>
  <si>
    <t xml:space="preserve">个别认定金额-账龄区间段9</t>
  </si>
  <si>
    <t xml:space="preserve">个别认定金额-账龄区间段10</t>
  </si>
  <si>
    <t xml:space="preserve">个别认定金额-账龄区间段11</t>
  </si>
  <si>
    <t xml:space="preserve">个别认定金额-账龄区间段12</t>
  </si>
  <si>
    <t xml:space="preserve">个别认定金额-账龄区间段13</t>
  </si>
  <si>
    <t xml:space="preserve">个别认定金额-账龄区间段14</t>
  </si>
  <si>
    <t xml:space="preserve">个别认定金额-账龄区间段15</t>
  </si>
  <si>
    <t xml:space="preserve">上月-分摊后坏账金额</t>
  </si>
  <si>
    <t xml:space="preserve">坏账计提方法</t>
  </si>
  <si>
    <t xml:space="preserve">核销金额</t>
  </si>
  <si>
    <t xml:space="preserve">本月应计提坏账发生额</t>
  </si>
  <si>
    <t xml:space="preserve">SPC_DSV_DED_AMT</t>
  </si>
  <si>
    <t xml:space="preserve">SPC_C2E_DED_AMT</t>
  </si>
  <si>
    <t xml:space="preserve">INS_COV_DAYS</t>
  </si>
  <si>
    <t xml:space="preserve">INS_UNCOV_RATE</t>
  </si>
  <si>
    <t xml:space="preserve">BD_BASE_0_AMT</t>
  </si>
  <si>
    <t xml:space="preserve">BD_BASE_1_AMT</t>
  </si>
  <si>
    <t xml:space="preserve">BD_BASE_2_AMT</t>
  </si>
  <si>
    <t xml:space="preserve">BD_BASE_3_AMT</t>
  </si>
  <si>
    <t xml:space="preserve">BD_BASE_4_AMT</t>
  </si>
  <si>
    <t xml:space="preserve">BD_BASE_5_AMT</t>
  </si>
  <si>
    <t xml:space="preserve">BD_BASE_6_AMT</t>
  </si>
  <si>
    <t xml:space="preserve">BD_BASE_7_AMT</t>
  </si>
  <si>
    <t xml:space="preserve">BD_BASE_8_AMT</t>
  </si>
  <si>
    <t xml:space="preserve">BD_BASE_9_AMT</t>
  </si>
  <si>
    <t xml:space="preserve">BD_BASE_10_AMT</t>
  </si>
  <si>
    <t xml:space="preserve">BD_BASE_11_AMT</t>
  </si>
  <si>
    <t xml:space="preserve">BD_BASE_12_AMT</t>
  </si>
  <si>
    <t xml:space="preserve">BD_BASE_13_AMT</t>
  </si>
  <si>
    <t xml:space="preserve">BD_BASE_14_AMT</t>
  </si>
  <si>
    <t xml:space="preserve">BD_BASE_15_AMT</t>
  </si>
  <si>
    <t xml:space="preserve">BD_0_AMT</t>
  </si>
  <si>
    <t xml:space="preserve">BD_1_AMT</t>
  </si>
  <si>
    <t xml:space="preserve">BD_2_AMT</t>
  </si>
  <si>
    <t xml:space="preserve">BD_3_AMT</t>
  </si>
  <si>
    <t xml:space="preserve">BD_4_AMT</t>
  </si>
  <si>
    <t xml:space="preserve">BD_5_AMT</t>
  </si>
  <si>
    <t xml:space="preserve">BD_6_AMT</t>
  </si>
  <si>
    <t xml:space="preserve">BD_7_AMT</t>
  </si>
  <si>
    <t xml:space="preserve">BD_8_AMT</t>
  </si>
  <si>
    <t xml:space="preserve">BD_9_AMT</t>
  </si>
  <si>
    <t xml:space="preserve">BD_10_AMT</t>
  </si>
  <si>
    <t xml:space="preserve">BD_11_AMT</t>
  </si>
  <si>
    <t xml:space="preserve">BD_12_AMT</t>
  </si>
  <si>
    <t xml:space="preserve">BD_13_AMT</t>
  </si>
  <si>
    <t xml:space="preserve">BD_14_AMT</t>
  </si>
  <si>
    <t xml:space="preserve">BD_15_AMT</t>
  </si>
  <si>
    <t xml:space="preserve">BD_ALLOC_RATIO</t>
  </si>
  <si>
    <t xml:space="preserve">AGE_ALLOC_AMT</t>
  </si>
  <si>
    <t xml:space="preserve">AGE_ALLOC_1_AMT</t>
  </si>
  <si>
    <t xml:space="preserve">AGE_ALLOC_2_AMT</t>
  </si>
  <si>
    <t xml:space="preserve">AGE_ALLOC_3_AMT</t>
  </si>
  <si>
    <t xml:space="preserve">AGE_ALLOC_4_AMT</t>
  </si>
  <si>
    <t xml:space="preserve">AGE_ALLOC_5_AMT</t>
  </si>
  <si>
    <t xml:space="preserve">AGE_ALLOC_6_AMT</t>
  </si>
  <si>
    <t xml:space="preserve">AGE_ALLOC_7_AMT</t>
  </si>
  <si>
    <t xml:space="preserve">AGE_ALLOC_8_AMT</t>
  </si>
  <si>
    <t xml:space="preserve">AGE_ALLOC_9_AMT</t>
  </si>
  <si>
    <t xml:space="preserve">AGE_ALLOC_10_AMT</t>
  </si>
  <si>
    <t xml:space="preserve">AGE_ALLOC_11_AMT</t>
  </si>
  <si>
    <t xml:space="preserve">AGE_ALLOC_12_AMT</t>
  </si>
  <si>
    <t xml:space="preserve">AGE_ALLOC_13_AMT</t>
  </si>
  <si>
    <t xml:space="preserve">AGE_ALLOC_14_AMT</t>
  </si>
  <si>
    <t xml:space="preserve">AGE_ALLOC_15_AMT</t>
  </si>
  <si>
    <t xml:space="preserve">BD_AFAL_0_AMT</t>
  </si>
  <si>
    <t xml:space="preserve">BD_AFAL_1_AMT</t>
  </si>
  <si>
    <t xml:space="preserve">BD_AFAL_2_AMT</t>
  </si>
  <si>
    <t xml:space="preserve">BD_AFAL_3_AMT</t>
  </si>
  <si>
    <t xml:space="preserve">BD_AFAL_4_AMT</t>
  </si>
  <si>
    <t xml:space="preserve">BD_AFAL_5_AMT</t>
  </si>
  <si>
    <t xml:space="preserve">BD_AFAL_6_AMT</t>
  </si>
  <si>
    <t xml:space="preserve">BD_AFAL_7_AMT</t>
  </si>
  <si>
    <t xml:space="preserve">BD_AFAL_8_AMT</t>
  </si>
  <si>
    <t xml:space="preserve">BD_AFAL_9_AMT</t>
  </si>
  <si>
    <t xml:space="preserve">BD_AFAL_10_AMT</t>
  </si>
  <si>
    <t xml:space="preserve">BD_AFAL_11_AMT</t>
  </si>
  <si>
    <t xml:space="preserve">BD_AFAL_12_AMT</t>
  </si>
  <si>
    <t xml:space="preserve">BD_AFAL_13_AMT</t>
  </si>
  <si>
    <t xml:space="preserve">BD_AFAL_14_AMT</t>
  </si>
  <si>
    <t xml:space="preserve">BD_AFAL_15_AMT</t>
  </si>
  <si>
    <t xml:space="preserve">SPID_0_AMT</t>
  </si>
  <si>
    <t xml:space="preserve">SPID_1_AMT</t>
  </si>
  <si>
    <t xml:space="preserve">SPID_2_AMT</t>
  </si>
  <si>
    <t xml:space="preserve">SPID_3_AMT</t>
  </si>
  <si>
    <t xml:space="preserve">SPID_4_AMT</t>
  </si>
  <si>
    <t xml:space="preserve">SPID_5_AMT</t>
  </si>
  <si>
    <t xml:space="preserve">SPID_6_AMT</t>
  </si>
  <si>
    <t xml:space="preserve">SPID_7_AMT</t>
  </si>
  <si>
    <t xml:space="preserve">SPID_8_AMT</t>
  </si>
  <si>
    <t xml:space="preserve">SPID_9_AMT</t>
  </si>
  <si>
    <t xml:space="preserve">SPID_10_AMT</t>
  </si>
  <si>
    <t xml:space="preserve">SPID_11_AMT</t>
  </si>
  <si>
    <t xml:space="preserve">SPID_12_AMT</t>
  </si>
  <si>
    <t xml:space="preserve">SPID_13_AMT</t>
  </si>
  <si>
    <t xml:space="preserve">SPID_14_AMT</t>
  </si>
  <si>
    <t xml:space="preserve">SPID_15_AMT</t>
  </si>
  <si>
    <t xml:space="preserve">AGE_ALLOC_0_AMT</t>
  </si>
  <si>
    <t xml:space="preserve">LM_BD_AFAL_0_AMT</t>
  </si>
  <si>
    <t xml:space="preserve">BD_PROV_METHOD</t>
  </si>
  <si>
    <t xml:space="preserve">WRITEOFF_AMT</t>
  </si>
  <si>
    <t xml:space="preserve">MTD_BD_PROV_OCUR_AMT</t>
  </si>
  <si>
    <t xml:space="preserve">ZAMOUNT</t>
  </si>
  <si>
    <t xml:space="preserve">A</t>
  </si>
  <si>
    <t xml:space="preserve">周转占用明细表
AW_MR9_ARPM04_000001</t>
  </si>
  <si>
    <t xml:space="preserve">期末应收账款占用</t>
  </si>
  <si>
    <t xml:space="preserve">因素1-超期款金额</t>
  </si>
  <si>
    <t xml:space="preserve">因素2-提前回款金额</t>
  </si>
  <si>
    <t xml:space="preserve">因素3-电商零售销售节奏</t>
  </si>
  <si>
    <t xml:space="preserve">因素4-已确认未兑现返利余额</t>
  </si>
  <si>
    <t xml:space="preserve">因素5-已账扣未报账的欠付费用</t>
  </si>
  <si>
    <t xml:space="preserve">因素6-开票样机额度</t>
  </si>
  <si>
    <t xml:space="preserve">因素7-国补未回款影响金额</t>
  </si>
  <si>
    <t xml:space="preserve">因素8手工导入因素</t>
  </si>
  <si>
    <t xml:space="preserve">AR_AMT</t>
  </si>
  <si>
    <t xml:space="preserve">F1_ODUE_AMT</t>
  </si>
  <si>
    <t xml:space="preserve">F2_EPAY_AMT</t>
  </si>
  <si>
    <t xml:space="preserve">F3_ECR_AMT</t>
  </si>
  <si>
    <t xml:space="preserve">F4_UREB_AMT</t>
  </si>
  <si>
    <t xml:space="preserve">F5_UFEE_AMT</t>
  </si>
  <si>
    <t xml:space="preserve">F6_INVSM_AMT</t>
  </si>
  <si>
    <t xml:space="preserve">F7_GSUB_AMT</t>
  </si>
  <si>
    <t xml:space="preserve">F8_ADJ_AMT</t>
  </si>
  <si>
    <t xml:space="preserve">周转收入明细表
AW_MR9_ARPM05_000001</t>
  </si>
  <si>
    <t xml:space="preserve">收入金额</t>
  </si>
  <si>
    <t xml:space="preserve">REV_AMT</t>
  </si>
  <si>
    <t xml:space="preserve">周转明细表DWS表</t>
  </si>
  <si>
    <t xml:space="preserve">场景</t>
  </si>
  <si>
    <t xml:space="preserve">期间</t>
  </si>
  <si>
    <t xml:space="preserve">事业部编码</t>
  </si>
  <si>
    <t xml:space="preserve">公司</t>
  </si>
  <si>
    <t xml:space="preserve">科目</t>
  </si>
  <si>
    <t xml:space="preserve">类别</t>
  </si>
  <si>
    <t xml:space="preserve">客商编码</t>
  </si>
  <si>
    <t xml:space="preserve">客商名称</t>
  </si>
  <si>
    <t xml:space="preserve">主户编码</t>
  </si>
  <si>
    <t xml:space="preserve">主户名称</t>
  </si>
  <si>
    <t xml:space="preserve">分户编码</t>
  </si>
  <si>
    <t xml:space="preserve">分户名称</t>
  </si>
  <si>
    <t xml:space="preserve">对方公司</t>
  </si>
  <si>
    <t xml:space="preserve">国家编码</t>
  </si>
  <si>
    <t xml:space="preserve">国家名称</t>
  </si>
  <si>
    <t xml:space="preserve">调整类型</t>
  </si>
  <si>
    <t xml:space="preserve">三级公司分类编码</t>
  </si>
  <si>
    <t xml:space="preserve">渠道分组编码</t>
  </si>
  <si>
    <t xml:space="preserve">利润中心编码</t>
  </si>
  <si>
    <t xml:space="preserve">业务范围编码</t>
  </si>
  <si>
    <t xml:space="preserve">业务管理单元编码</t>
  </si>
  <si>
    <t xml:space="preserve">本位币币种</t>
  </si>
  <si>
    <t xml:space="preserve">期末应收账款占用</t>
  </si>
  <si>
    <t xml:space="preserve">收入金额</t>
  </si>
  <si>
    <t xml:space="preserve">因素1-超期款金额</t>
  </si>
  <si>
    <t xml:space="preserve">因素2-提前回款金额</t>
  </si>
  <si>
    <t xml:space="preserve">因素3-电商零售销售节奏</t>
  </si>
  <si>
    <t xml:space="preserve">因素4-已确认未兑现返利余额</t>
  </si>
  <si>
    <t xml:space="preserve">因素5-已账扣未报账的欠付费用</t>
  </si>
  <si>
    <t xml:space="preserve">因素6-开票样机额度</t>
  </si>
  <si>
    <t xml:space="preserve">因素7-国补未回款影响金额</t>
  </si>
  <si>
    <t xml:space="preserve">因素8手工导入因素</t>
  </si>
  <si>
    <t xml:space="preserve">COD_SCENARIO</t>
  </si>
  <si>
    <t xml:space="preserve">COD_PERIODO</t>
  </si>
  <si>
    <t xml:space="preserve">D_BG</t>
  </si>
  <si>
    <t xml:space="preserve">COD_AZIENDA</t>
  </si>
  <si>
    <t xml:space="preserve">COD_CONTO</t>
  </si>
  <si>
    <t xml:space="preserve">COD_CATEGORIA</t>
  </si>
  <si>
    <t xml:space="preserve">CUST_CODE</t>
  </si>
  <si>
    <t xml:space="preserve">CUST_NAME</t>
  </si>
  <si>
    <t xml:space="preserve">CUST_HEAD_CODE</t>
  </si>
  <si>
    <t xml:space="preserve">CUST_HEAD_NAME</t>
  </si>
  <si>
    <t xml:space="preserve">CUST_BRANCH_CODE</t>
  </si>
  <si>
    <t xml:space="preserve">CUST_BRANCH_NAME</t>
  </si>
  <si>
    <t xml:space="preserve">COD_AZI_CTP</t>
  </si>
  <si>
    <t xml:space="preserve">COUNTRY_CODE</t>
  </si>
  <si>
    <t xml:space="preserve">COUNTRY_NAME</t>
  </si>
  <si>
    <t xml:space="preserve">D_ADJ_TYPE</t>
  </si>
  <si>
    <t xml:space="preserve">D_CHANNEL</t>
  </si>
  <si>
    <t xml:space="preserve">D_ONOFFLINE</t>
  </si>
  <si>
    <t xml:space="preserve">COD_DEST2</t>
  </si>
  <si>
    <t xml:space="preserve">COD_DEST3</t>
  </si>
  <si>
    <t xml:space="preserve">D_SALE_DEPT</t>
  </si>
  <si>
    <t xml:space="preserve">COD_VALUTA</t>
  </si>
  <si>
    <t xml:space="preserve">AR_AMT</t>
  </si>
  <si>
    <t xml:space="preserve">REV_AMT</t>
  </si>
  <si>
    <t xml:space="preserve">F1_ODUE_AMT</t>
  </si>
  <si>
    <t xml:space="preserve">F2_EPAY_AMT</t>
  </si>
  <si>
    <t xml:space="preserve">F3_ECR_AMT</t>
  </si>
  <si>
    <t xml:space="preserve">F4_UREB_AMT</t>
  </si>
  <si>
    <t xml:space="preserve">F5_UFEE_AMT</t>
  </si>
  <si>
    <t xml:space="preserve">F6_INVSM_AMT</t>
  </si>
  <si>
    <t xml:space="preserve">F7_GSUB_AMT</t>
  </si>
  <si>
    <t xml:space="preserve">F8_ADJ_AMT</t>
  </si>
  <si>
    <t xml:space="preserve">1、周转设计ADS的表单，期初占用、本期占用、累计占用、收入、累计收入等都在列上铺开</t>
  </si>
  <si>
    <t xml:space="preserve">2、账龄和坏账设计ADS的表单，同1.0的表样设计</t>
  </si>
  <si>
    <t xml:space="preserve">3、所有的配置表整理在规则库中，明确在哪里配置</t>
  </si>
  <si>
    <t xml:space="preserve">往来账龄ADS表</t>
  </si>
  <si>
    <t xml:space="preserve">原始科目编码</t>
  </si>
  <si>
    <t xml:space="preserve">法人单体账龄标识</t>
  </si>
  <si>
    <t xml:space="preserve">是否重分类_法人</t>
  </si>
  <si>
    <t xml:space="preserve">管理单体账龄标识</t>
  </si>
  <si>
    <t xml:space="preserve">是否重分类_管理</t>
  </si>
  <si>
    <t xml:space="preserve">管理分公司账龄标识</t>
  </si>
  <si>
    <t xml:space="preserve">是否重分类_管理分公司</t>
  </si>
  <si>
    <t xml:space="preserve">集团归属范围（
子公司/集团内/集团外）</t>
  </si>
  <si>
    <t xml:space="preserve">一级性质</t>
  </si>
  <si>
    <t xml:space="preserve">二级性质</t>
  </si>
  <si>
    <t xml:space="preserve">三级性质</t>
  </si>
  <si>
    <t xml:space="preserve">税率</t>
  </si>
  <si>
    <t xml:space="preserve">交易币币种</t>
  </si>
  <si>
    <t xml:space="preserve">年初-本位币余额</t>
  </si>
  <si>
    <t xml:space="preserve">上月-本位币余额</t>
  </si>
  <si>
    <t xml:space="preserve">本位币金额-本月账龄</t>
  </si>
  <si>
    <t xml:space="preserve">本位币金额-账龄区间段1</t>
  </si>
  <si>
    <t xml:space="preserve">本位币金额-账龄区间段2</t>
  </si>
  <si>
    <t xml:space="preserve">本位币金额-账龄区间段3</t>
  </si>
  <si>
    <t xml:space="preserve">本位币金额-账龄区间段4</t>
  </si>
  <si>
    <t xml:space="preserve">本位币金额-账龄区间段5</t>
  </si>
  <si>
    <t xml:space="preserve">本位币金额-账龄区间段6</t>
  </si>
  <si>
    <t xml:space="preserve">本位币金额-账龄区间段7</t>
  </si>
  <si>
    <t xml:space="preserve">本位币金额-账龄区间段8</t>
  </si>
  <si>
    <t xml:space="preserve">本位币金额-账龄区间段9</t>
  </si>
  <si>
    <t xml:space="preserve">本位币金额-账龄区间段10</t>
  </si>
  <si>
    <t xml:space="preserve">本位币金额-账龄区间段11</t>
  </si>
  <si>
    <t xml:space="preserve">本位币金额-账龄区间段12</t>
  </si>
  <si>
    <t xml:space="preserve">本位币金额-账龄区间段13</t>
  </si>
  <si>
    <t xml:space="preserve">本位币金额-账龄区间段14</t>
  </si>
  <si>
    <t xml:space="preserve">本位币金额-账龄区间段15</t>
  </si>
  <si>
    <t xml:space="preserve">交易币金额-本月账龄</t>
  </si>
  <si>
    <t xml:space="preserve">交易币金额-账龄区间段1</t>
  </si>
  <si>
    <t xml:space="preserve">交易币金额-账龄区间段2</t>
  </si>
  <si>
    <t xml:space="preserve">交易币金额-账龄区间段3</t>
  </si>
  <si>
    <t xml:space="preserve">交易币金额-账龄区间段4</t>
  </si>
  <si>
    <t xml:space="preserve">交易币金额-账龄区间段5</t>
  </si>
  <si>
    <t xml:space="preserve">交易币金额-账龄区间段6</t>
  </si>
  <si>
    <t xml:space="preserve">交易币金额-账龄区间段7</t>
  </si>
  <si>
    <t xml:space="preserve">交易币金额-账龄区间段8</t>
  </si>
  <si>
    <t xml:space="preserve">交易币金额-账龄区间段9</t>
  </si>
  <si>
    <t xml:space="preserve">交易币金额-账龄区间段10</t>
  </si>
  <si>
    <t xml:space="preserve">交易币金额-账龄区间段11</t>
  </si>
  <si>
    <t xml:space="preserve">交易币金额-账龄区间段12</t>
  </si>
  <si>
    <t xml:space="preserve">交易币金额-账龄区间段13</t>
  </si>
  <si>
    <t xml:space="preserve">交易币金额-账龄区间段14</t>
  </si>
  <si>
    <t xml:space="preserve">交易币金额-账龄区间段15</t>
  </si>
  <si>
    <t xml:space="preserve">出库未开金额</t>
  </si>
  <si>
    <t xml:space="preserve">退货未办退税金额</t>
  </si>
  <si>
    <t xml:space="preserve">本位币金额-调整后含税-本月账龄</t>
  </si>
  <si>
    <t xml:space="preserve">本位币金额-调整后含税-账龄区间段1</t>
  </si>
  <si>
    <t xml:space="preserve">本位币金额-调整后含税-账龄区间段2</t>
  </si>
  <si>
    <t xml:space="preserve">本位币金额-调整后含税-账龄区间段3</t>
  </si>
  <si>
    <t xml:space="preserve">本位币金额-调整后含税-账龄区间段4</t>
  </si>
  <si>
    <t xml:space="preserve">本位币金额-调整后含税-账龄区间段5</t>
  </si>
  <si>
    <t xml:space="preserve">本位币金额-调整后含税-账龄区间段6</t>
  </si>
  <si>
    <t xml:space="preserve">本位币金额-调整后含税-账龄区间段7</t>
  </si>
  <si>
    <t xml:space="preserve">本位币金额-调整后含税-账龄区间段8</t>
  </si>
  <si>
    <t xml:space="preserve">本位币金额-调整后含税-账龄区间段9</t>
  </si>
  <si>
    <t xml:space="preserve">本位币金额-调整后含税-账龄区间段10</t>
  </si>
  <si>
    <t xml:space="preserve">本位币金额-调整后含税-账龄区间段11</t>
  </si>
  <si>
    <t xml:space="preserve">本位币金额-调整后含税-账龄区间段12</t>
  </si>
  <si>
    <t xml:space="preserve">本位币金额-调整后含税-账龄区间段13</t>
  </si>
  <si>
    <t xml:space="preserve">本位币金额-调整后含税-账龄区间段14</t>
  </si>
  <si>
    <t xml:space="preserve">本位币金额-调整后含税-账龄区间段15</t>
  </si>
  <si>
    <t xml:space="preserve">本位币金额-调整后不含税-本月账龄</t>
  </si>
  <si>
    <t xml:space="preserve">超期款金额</t>
  </si>
  <si>
    <t xml:space="preserve">超期款金额-1个月以内</t>
  </si>
  <si>
    <t xml:space="preserve">超期款金额-2-3个月</t>
  </si>
  <si>
    <t xml:space="preserve">超期款金额-4-6个月</t>
  </si>
  <si>
    <t xml:space="preserve">超期款金额-7-12个月</t>
  </si>
  <si>
    <t xml:space="preserve">超期款金额-1-2年</t>
  </si>
  <si>
    <t xml:space="preserve">超期款金额-2-3年</t>
  </si>
  <si>
    <t xml:space="preserve">超期款金额-3-4年</t>
  </si>
  <si>
    <t xml:space="preserve">超期款金额-4-5年</t>
  </si>
  <si>
    <t xml:space="preserve">超期款金额-5年以上</t>
  </si>
  <si>
    <t xml:space="preserve">开票样机金额</t>
  </si>
  <si>
    <t xml:space="preserve">提前回款金额</t>
  </si>
  <si>
    <t xml:space="preserve">电商零售金额</t>
  </si>
  <si>
    <t xml:space="preserve">欠付返利余额</t>
  </si>
  <si>
    <t xml:space="preserve">欠付费用金额</t>
  </si>
  <si>
    <t xml:space="preserve">付款条件代码</t>
  </si>
  <si>
    <t xml:space="preserve">付款条件描述</t>
  </si>
  <si>
    <t xml:space="preserve">期末汇率余额</t>
  </si>
  <si>
    <t xml:space="preserve">记账汇率余额</t>
  </si>
  <si>
    <t xml:space="preserve">汇率评估标识</t>
  </si>
  <si>
    <t xml:space="preserve">理论汇兑评估</t>
  </si>
  <si>
    <t xml:space="preserve">币种科目构成明细</t>
  </si>
  <si>
    <t xml:space="preserve">调整后返利金额</t>
  </si>
  <si>
    <t xml:space="preserve">调整后退货金额</t>
  </si>
  <si>
    <t xml:space="preserve">呆死金额</t>
  </si>
  <si>
    <t xml:space="preserve">风险金额</t>
  </si>
  <si>
    <t xml:space="preserve">付款方式</t>
  </si>
  <si>
    <t xml:space="preserve">是否长账龄</t>
  </si>
  <si>
    <t xml:space="preserve">长账龄原因-大类</t>
  </si>
  <si>
    <t xml:space="preserve">是否异常</t>
  </si>
  <si>
    <t xml:space="preserve">是否存续</t>
  </si>
  <si>
    <t xml:space="preserve">挂账原因</t>
  </si>
  <si>
    <t xml:space="preserve">清理措施</t>
  </si>
  <si>
    <t xml:space="preserve">预计清理时间</t>
  </si>
  <si>
    <t xml:space="preserve">清理进度</t>
  </si>
  <si>
    <t xml:space="preserve">责任人</t>
  </si>
  <si>
    <t xml:space="preserve">本月应计提坏账余额</t>
  </si>
  <si>
    <t xml:space="preserve">上月应计提坏账余额</t>
  </si>
  <si>
    <t xml:space="preserve">核销金额</t>
  </si>
  <si>
    <t xml:space="preserve">本月应计提坏账发生额</t>
  </si>
  <si>
    <t xml:space="preserve">是否调整</t>
  </si>
  <si>
    <t xml:space="preserve">调整原因</t>
  </si>
  <si>
    <t xml:space="preserve">计提方法</t>
  </si>
  <si>
    <t xml:space="preserve">ACCT_SRC_CODE</t>
  </si>
  <si>
    <t xml:space="preserve">LE_AGE_FLG</t>
  </si>
  <si>
    <t xml:space="preserve">IS_REC_LG</t>
  </si>
  <si>
    <t xml:space="preserve">ME_AGE_FLG</t>
  </si>
  <si>
    <t xml:space="preserve">IS_REC_ME</t>
  </si>
  <si>
    <t xml:space="preserve">MB_AGE_FLG</t>
  </si>
  <si>
    <t xml:space="preserve">IS_REC_MB</t>
  </si>
  <si>
    <t xml:space="preserve">GRP_SCOPE</t>
  </si>
  <si>
    <t xml:space="preserve">NATURE_L1_NAME</t>
  </si>
  <si>
    <t xml:space="preserve">NATURE_L2_NAME</t>
  </si>
  <si>
    <t xml:space="preserve">NATURE_L3_NAME</t>
  </si>
  <si>
    <t xml:space="preserve">TAX_RATE</t>
  </si>
  <si>
    <t xml:space="preserve">COD_VALUTA_ORIGINARIA</t>
  </si>
  <si>
    <t xml:space="preserve">BY_BCY_0_AMT</t>
  </si>
  <si>
    <t xml:space="preserve">LM_BCY_0_AMT</t>
  </si>
  <si>
    <t xml:space="preserve">BCY_0_AMT</t>
  </si>
  <si>
    <t xml:space="preserve">BCY_1_AMT</t>
  </si>
  <si>
    <t xml:space="preserve">BCY_2_AMT</t>
  </si>
  <si>
    <t xml:space="preserve">BCY_3_AMT</t>
  </si>
  <si>
    <t xml:space="preserve">BCY_4_AMT</t>
  </si>
  <si>
    <t xml:space="preserve">BCY_5_AMT</t>
  </si>
  <si>
    <t xml:space="preserve">BCY_6_AMT</t>
  </si>
  <si>
    <t xml:space="preserve">BCY_7_AMT</t>
  </si>
  <si>
    <t xml:space="preserve">BCY_8_AMT</t>
  </si>
  <si>
    <t xml:space="preserve">BCY_9_AMT</t>
  </si>
  <si>
    <t xml:space="preserve">BCY_10_AMT</t>
  </si>
  <si>
    <t xml:space="preserve">BCY_11_AMT</t>
  </si>
  <si>
    <t xml:space="preserve">BCY_12_AMT</t>
  </si>
  <si>
    <t xml:space="preserve">BCY_13_AMT</t>
  </si>
  <si>
    <t xml:space="preserve">BCY_14_AMT</t>
  </si>
  <si>
    <t xml:space="preserve">BCY_15_AMT</t>
  </si>
  <si>
    <t xml:space="preserve">QCY_0_AMT</t>
  </si>
  <si>
    <t xml:space="preserve">QCY_1_AMT</t>
  </si>
  <si>
    <t xml:space="preserve">QCY_2_AMT</t>
  </si>
  <si>
    <t xml:space="preserve">QCY_3_AMT</t>
  </si>
  <si>
    <t xml:space="preserve">QCY_4_AMT</t>
  </si>
  <si>
    <t xml:space="preserve">QCY_5_AMT</t>
  </si>
  <si>
    <t xml:space="preserve">QCY_6_AMT</t>
  </si>
  <si>
    <t xml:space="preserve">QCY_7_AMT</t>
  </si>
  <si>
    <t xml:space="preserve">QCY_8_AMT</t>
  </si>
  <si>
    <t xml:space="preserve">QCY_9_AMT</t>
  </si>
  <si>
    <t xml:space="preserve">QCY_10_AMT</t>
  </si>
  <si>
    <t xml:space="preserve">QCY_11_AMT</t>
  </si>
  <si>
    <t xml:space="preserve">QCY_12_AMT</t>
  </si>
  <si>
    <t xml:space="preserve">QCY_13_AMT</t>
  </si>
  <si>
    <t xml:space="preserve">QCY_14_AMT</t>
  </si>
  <si>
    <t xml:space="preserve">QCY_15_AMT</t>
  </si>
  <si>
    <t xml:space="preserve">SHP_NINV_AMT</t>
  </si>
  <si>
    <t xml:space="preserve">RET_NTRF_AMT</t>
  </si>
  <si>
    <t xml:space="preserve">BCY_ADJ_INCL_0_AMT</t>
  </si>
  <si>
    <t xml:space="preserve">BCY_ADJ_INCL_1_AMT</t>
  </si>
  <si>
    <t xml:space="preserve">BCY_ADJ_INCL_2_AMT</t>
  </si>
  <si>
    <t xml:space="preserve">BCY_ADJ_INCL_3_AMT</t>
  </si>
  <si>
    <t xml:space="preserve">BCY_ADJ_INCL_4_AMT</t>
  </si>
  <si>
    <t xml:space="preserve">BCY_ADJ_INCL_5_AMT</t>
  </si>
  <si>
    <t xml:space="preserve">BCY_ADJ_INCL_6_AMT</t>
  </si>
  <si>
    <t xml:space="preserve">BCY_ADJ_INCL_7_AMT</t>
  </si>
  <si>
    <t xml:space="preserve">BCY_ADJ_INCL_8_AMT</t>
  </si>
  <si>
    <t xml:space="preserve">BCY_ADJ_INCL_9_AMT</t>
  </si>
  <si>
    <t xml:space="preserve">BCY_ADJ_INCL_10_AMT</t>
  </si>
  <si>
    <t xml:space="preserve">BCY_ADJ_INCL_11_AMT</t>
  </si>
  <si>
    <t xml:space="preserve">BCY_ADJ_INCL_12_AMT</t>
  </si>
  <si>
    <t xml:space="preserve">BCY_ADJ_INCL_13_AMT</t>
  </si>
  <si>
    <t xml:space="preserve">BCY_ADJ_INCL_14_AMT</t>
  </si>
  <si>
    <t xml:space="preserve">BCY_ADJ_INCL_15_AMT</t>
  </si>
  <si>
    <t xml:space="preserve">BCY_ADJ_EXCL_0_AMT</t>
  </si>
  <si>
    <t xml:space="preserve">OVERDUE_AMT0</t>
  </si>
  <si>
    <t xml:space="preserve">OVERDUE_AMT1</t>
  </si>
  <si>
    <t xml:space="preserve">OVERDUE_AMT2</t>
  </si>
  <si>
    <t xml:space="preserve">OVERDUE_AMT3</t>
  </si>
  <si>
    <t xml:space="preserve">OVERDUE_AMT4</t>
  </si>
  <si>
    <t xml:space="preserve">OVERDUE_AMT5</t>
  </si>
  <si>
    <t xml:space="preserve">OVERDUE_AMT6</t>
  </si>
  <si>
    <t xml:space="preserve">OVERDUE_AMT7</t>
  </si>
  <si>
    <t xml:space="preserve">OVERDUE_AMT8</t>
  </si>
  <si>
    <t xml:space="preserve">OVERDUE_AMT9</t>
  </si>
  <si>
    <t xml:space="preserve">INV_SAMPLE_AMT</t>
  </si>
  <si>
    <t xml:space="preserve">EPAY_AMT</t>
  </si>
  <si>
    <t xml:space="preserve">ECLS_AMT</t>
  </si>
  <si>
    <t xml:space="preserve">UREB_AMT</t>
  </si>
  <si>
    <t xml:space="preserve">UFEE_AMT</t>
  </si>
  <si>
    <t xml:space="preserve">PAY_TERM_CODE</t>
  </si>
  <si>
    <t xml:space="preserve">PAY_TERM_DESC</t>
  </si>
  <si>
    <t xml:space="preserve">CLOSING_RATE_BCY_AMT</t>
  </si>
  <si>
    <t xml:space="preserve">POSTING_RATE_BCY_AMT</t>
  </si>
  <si>
    <t xml:space="preserve">EXCHANGE_RATE_EVAL_FLAG</t>
  </si>
  <si>
    <t xml:space="preserve">TH_FX_EVAL</t>
  </si>
  <si>
    <t xml:space="preserve">CURRENCY_ACCT_DETAIL</t>
  </si>
  <si>
    <t xml:space="preserve">ADJ_REB_AMT</t>
  </si>
  <si>
    <t xml:space="preserve">ADJ_RET_AMT</t>
  </si>
  <si>
    <t xml:space="preserve">DEAD_AMT</t>
  </si>
  <si>
    <t xml:space="preserve">RISK_AMT</t>
  </si>
  <si>
    <t xml:space="preserve">PAY_METHOD</t>
  </si>
  <si>
    <t xml:space="preserve">IS_LN_AGE</t>
  </si>
  <si>
    <t xml:space="preserve">LN_AGE_RSN</t>
  </si>
  <si>
    <t xml:space="preserve">IS_ABN</t>
  </si>
  <si>
    <t xml:space="preserve">IS_EXS</t>
  </si>
  <si>
    <t xml:space="preserve">SUSP_RSN</t>
  </si>
  <si>
    <t xml:space="preserve">CLR_MEA</t>
  </si>
  <si>
    <t xml:space="preserve">EST_CLR_DT</t>
  </si>
  <si>
    <t xml:space="preserve">CLR_PROG</t>
  </si>
  <si>
    <t xml:space="preserve">RSP_PSN</t>
  </si>
  <si>
    <t xml:space="preserve">MTD_BD_PROV_AMT</t>
  </si>
  <si>
    <t xml:space="preserve">PM_BD_PROV_AMT</t>
  </si>
  <si>
    <t xml:space="preserve">WRITEOFF_AMT</t>
  </si>
  <si>
    <t xml:space="preserve">MTD_BD_PROV_OCUR_AMT</t>
  </si>
  <si>
    <t xml:space="preserve">IS_ADJ</t>
  </si>
  <si>
    <t xml:space="preserve">ADJ_RSN</t>
  </si>
  <si>
    <t xml:space="preserve">PROV_METHOD</t>
  </si>
  <si>
    <t xml:space="preserve">周转明细表ADS表</t>
  </si>
  <si>
    <t xml:space="preserve">计划</t>
  </si>
  <si>
    <t xml:space="preserve">实际</t>
  </si>
  <si>
    <t xml:space="preserve">同期</t>
  </si>
  <si>
    <t xml:space="preserve">计划-期初应收占用金额</t>
  </si>
  <si>
    <t xml:space="preserve">计划-上月应收占用金额</t>
  </si>
  <si>
    <t xml:space="preserve">计划-期末应收占用金额</t>
  </si>
  <si>
    <t xml:space="preserve">计划-累计应收占用金额</t>
  </si>
  <si>
    <t xml:space="preserve">计划-本月收入金额</t>
  </si>
  <si>
    <t xml:space="preserve">计划-累计收入金额</t>
  </si>
  <si>
    <t xml:space="preserve">实际-期初应收占用金额</t>
  </si>
  <si>
    <t xml:space="preserve">实际-上月应收占用金额</t>
  </si>
  <si>
    <t xml:space="preserve">实际-期末应收占用金额</t>
  </si>
  <si>
    <t xml:space="preserve">实际-累计应收占用金额</t>
  </si>
  <si>
    <t xml:space="preserve">实际-本月收入金额</t>
  </si>
  <si>
    <t xml:space="preserve">实际-累计收入金额</t>
  </si>
  <si>
    <t xml:space="preserve">同期-期初应收占用金额</t>
  </si>
  <si>
    <t xml:space="preserve">同期-上月应收占用金额</t>
  </si>
  <si>
    <t xml:space="preserve">同期-期末应收占用金额</t>
  </si>
  <si>
    <t xml:space="preserve">同期-累计应收占用金额</t>
  </si>
  <si>
    <t xml:space="preserve">同期-本月收入金额</t>
  </si>
  <si>
    <t xml:space="preserve">同期-累计收入金额</t>
  </si>
  <si>
    <t xml:space="preserve">实际-期初-因素1-超期款金额</t>
  </si>
  <si>
    <t xml:space="preserve">实际-上月-因素1-超期款金额</t>
  </si>
  <si>
    <t xml:space="preserve">实际-期末-因素1-超期款金额</t>
  </si>
  <si>
    <t xml:space="preserve">实际-累计-因素1-超期款金额</t>
  </si>
  <si>
    <t xml:space="preserve">同期-期初-因素1-超期款金额</t>
  </si>
  <si>
    <t xml:space="preserve">同期-上月-因素1-超期款金额</t>
  </si>
  <si>
    <t xml:space="preserve">同期-期末-因素1-超期款金额</t>
  </si>
  <si>
    <t xml:space="preserve">同期-累计-因素1-超期款金额</t>
  </si>
  <si>
    <t xml:space="preserve">实际-期初-因素2-提前回款金额</t>
  </si>
  <si>
    <t xml:space="preserve">实际-上月-因素2-提前回款金额</t>
  </si>
  <si>
    <t xml:space="preserve">实际-期末-因素2-提前回款金额</t>
  </si>
  <si>
    <t xml:space="preserve">实际-累计-因素2-提前回款金额</t>
  </si>
  <si>
    <t xml:space="preserve">同期-期初-因素2-提前回款金额</t>
  </si>
  <si>
    <t xml:space="preserve">同期-上月-因素2-提前回款金额</t>
  </si>
  <si>
    <t xml:space="preserve">同期-期末-因素2-提前回款金额</t>
  </si>
  <si>
    <t xml:space="preserve">同期-累计-因素2-提前回款金额</t>
  </si>
  <si>
    <t xml:space="preserve">实际-期初-因素3-电商零售销售节奏</t>
  </si>
  <si>
    <t xml:space="preserve">实际-上月-因素3-电商零售销售节奏</t>
  </si>
  <si>
    <t xml:space="preserve">实际-期末-因素3-电商零售销售节奏</t>
  </si>
  <si>
    <t xml:space="preserve">实际-累计-因素3-电商零售销售节奏</t>
  </si>
  <si>
    <t xml:space="preserve">同期-期初-因素3-电商零售销售节奏</t>
  </si>
  <si>
    <t xml:space="preserve">同期-上月-因素3-电商零售销售节奏</t>
  </si>
  <si>
    <t xml:space="preserve">同期-期末-因素3-电商零售销售节奏</t>
  </si>
  <si>
    <t xml:space="preserve">同期-累计-因素3-电商零售销售节奏</t>
  </si>
  <si>
    <t xml:space="preserve">实际-期初-因素4-已确认未兑现返利余额</t>
  </si>
  <si>
    <t xml:space="preserve">实际-上月-因素4-已确认未兑现返利余额</t>
  </si>
  <si>
    <t xml:space="preserve">实际-期末-因素4-已确认未兑现返利余额</t>
  </si>
  <si>
    <t xml:space="preserve">实际-累计-因素4-已确认未兑现返利余额</t>
  </si>
  <si>
    <t xml:space="preserve">同期-期初-因素4-已确认未兑现返利余额</t>
  </si>
  <si>
    <t xml:space="preserve">同期-上月-因素4-已确认未兑现返利余额</t>
  </si>
  <si>
    <t xml:space="preserve">同期-期末-因素4-已确认未兑现返利余额</t>
  </si>
  <si>
    <t xml:space="preserve">同期-累计-因素4-已确认未兑现返利余额</t>
  </si>
  <si>
    <t xml:space="preserve">实际-期初-因素5-已账扣未报账的欠付费用</t>
  </si>
  <si>
    <t xml:space="preserve">实际-上月-因素5-已账扣未报账的欠付费用</t>
  </si>
  <si>
    <t xml:space="preserve">实际-期末-因素5-已账扣未报账的欠付费用</t>
  </si>
  <si>
    <t xml:space="preserve">累计-因素5-已账扣未报账的欠付费用</t>
  </si>
  <si>
    <t xml:space="preserve">同期-期初-因素5-已账扣未报账的欠付费用</t>
  </si>
  <si>
    <t xml:space="preserve">同期-上月-因素5-已账扣未报账的欠付费用</t>
  </si>
  <si>
    <t xml:space="preserve">同期-期末-因素5-已账扣未报账的欠付费用</t>
  </si>
  <si>
    <t xml:space="preserve">同期-累计-因素5-已账扣未报账的欠付费用</t>
  </si>
  <si>
    <t xml:space="preserve">实际-期初-因素6-开票样机额度</t>
  </si>
  <si>
    <t xml:space="preserve">实际-上月-因素6-开票样机额度</t>
  </si>
  <si>
    <t xml:space="preserve">实际-期末-因素6-开票样机额度</t>
  </si>
  <si>
    <t xml:space="preserve">实际-累计-因素6-开票样机额度</t>
  </si>
  <si>
    <t xml:space="preserve">同期-期初-因素6-开票样机额度</t>
  </si>
  <si>
    <t xml:space="preserve">同期-上月-因素6-开票样机额度</t>
  </si>
  <si>
    <t xml:space="preserve">同期-期末-因素6-开票样机额度</t>
  </si>
  <si>
    <t xml:space="preserve">同期-累计-因素6-开票样机额度</t>
  </si>
  <si>
    <t xml:space="preserve">实际-期初-因素7-国补未回款影响金额</t>
  </si>
  <si>
    <t xml:space="preserve">实际-上月-因素7-国补未回款影响金额</t>
  </si>
  <si>
    <t xml:space="preserve">实际-期末-因素7-国补未回款影响金额</t>
  </si>
  <si>
    <t xml:space="preserve">实际-累计-因素7-国补未回款影响金额</t>
  </si>
  <si>
    <t xml:space="preserve">同期-期初-因素7-国补未回款影响金额</t>
  </si>
  <si>
    <t xml:space="preserve">同期-上月-因素7-国补未回款影响金额</t>
  </si>
  <si>
    <t xml:space="preserve">同期-期末-因素7-国补未回款影响金额</t>
  </si>
  <si>
    <t xml:space="preserve">同期-累计-因素7-国补未回款影响金额</t>
  </si>
  <si>
    <t xml:space="preserve">实际-期初-因素8手工导入因素</t>
  </si>
  <si>
    <t xml:space="preserve">实际-上月-因素8手工导入因素</t>
  </si>
  <si>
    <t xml:space="preserve">实际-期末-因素8手工导入因素</t>
  </si>
  <si>
    <t xml:space="preserve">实际-累计-因素8手工导入因素</t>
  </si>
  <si>
    <t xml:space="preserve">同期-期初-因素8手工导入因素</t>
  </si>
  <si>
    <t xml:space="preserve">同期-上月-因素8手工导入因素</t>
  </si>
  <si>
    <t xml:space="preserve">同期-期末-因素8手工导入因素</t>
  </si>
  <si>
    <t xml:space="preserve">同期-累计-因素8手工导入因素</t>
  </si>
  <si>
    <t xml:space="preserve">PLN_BEG_AR_AMT</t>
  </si>
  <si>
    <t xml:space="preserve">PLN_LM_AR_AMT</t>
  </si>
  <si>
    <t xml:space="preserve">PLN_END_AR_AMT</t>
  </si>
  <si>
    <t xml:space="preserve">PLN_YTD_AR_AMT</t>
  </si>
  <si>
    <t xml:space="preserve">PLN_MTD_REV_AMT</t>
  </si>
  <si>
    <t xml:space="preserve">PLN_YTD_REV_AMT</t>
  </si>
  <si>
    <t xml:space="preserve">ACT_BEG_AR_AMT</t>
  </si>
  <si>
    <t xml:space="preserve">ACT_LM_AR_AMT</t>
  </si>
  <si>
    <t xml:space="preserve">ACT_END_AR_AMT</t>
  </si>
  <si>
    <t xml:space="preserve">ACT_YTD_AR_AMT</t>
  </si>
  <si>
    <t xml:space="preserve">ACT_MTD_REV_AMT</t>
  </si>
  <si>
    <t xml:space="preserve">ACT_YTD_REV_AMT</t>
  </si>
  <si>
    <t xml:space="preserve">LY_BEG_AR_AMT</t>
  </si>
  <si>
    <t xml:space="preserve">LY_LM_AR_AMT</t>
  </si>
  <si>
    <t xml:space="preserve">LY_END_AR_AMT</t>
  </si>
  <si>
    <t xml:space="preserve">LY_YTD_AR_AMT</t>
  </si>
  <si>
    <t xml:space="preserve">LY_MTD_REV_AMT</t>
  </si>
  <si>
    <t xml:space="preserve">LY_YTD_REV_AMT</t>
  </si>
  <si>
    <t xml:space="preserve">ACT_BEG_F1_ODUE_AMT</t>
  </si>
  <si>
    <t xml:space="preserve">ACT_LM_F1_ODUE_AMT</t>
  </si>
  <si>
    <t xml:space="preserve">ACT_END_F1_ODUE_AMT</t>
  </si>
  <si>
    <t xml:space="preserve">ACT_YTD_F1_ODUE_AMT</t>
  </si>
  <si>
    <t xml:space="preserve">LY_BEG_F1_ODUE_AMT</t>
  </si>
  <si>
    <t xml:space="preserve">LY_LM_F1_ODUE_AMT</t>
  </si>
  <si>
    <t xml:space="preserve">LY_END_F1_ODUE_AMT</t>
  </si>
  <si>
    <t xml:space="preserve">LY_YTD_F1_ODUE_AMT</t>
  </si>
  <si>
    <t xml:space="preserve">ACT_BEG_F2_EPAY_AMT</t>
  </si>
  <si>
    <t xml:space="preserve">ACT_LM_F2_EPAY_AMT</t>
  </si>
  <si>
    <t xml:space="preserve">ACT_END_F2_EPAY_AMT</t>
  </si>
  <si>
    <t xml:space="preserve">ACT_YTD_F2_EPAY_AMT</t>
  </si>
  <si>
    <t xml:space="preserve">LY_BEG_F2_EPAY_AMT</t>
  </si>
  <si>
    <t xml:space="preserve">LY_LM_F2_EPAY_AMT</t>
  </si>
  <si>
    <t xml:space="preserve">LY_END_F2_EPAY_AMT</t>
  </si>
  <si>
    <t xml:space="preserve">LY_YTD_F2_EPAY_AMT</t>
  </si>
  <si>
    <t xml:space="preserve">ACT_BEG_F3_ECR_AMT</t>
  </si>
  <si>
    <t xml:space="preserve">ACT_LM_F3_ECR_AMT</t>
  </si>
  <si>
    <t xml:space="preserve">ACT_END_F3_ECR_AMT</t>
  </si>
  <si>
    <t xml:space="preserve">ACT_YTD_F3_ECR_AMT</t>
  </si>
  <si>
    <t xml:space="preserve">LY_BEG_F3_ECR_AMT</t>
  </si>
  <si>
    <t xml:space="preserve">LY_LM_F3_ECR_AMT</t>
  </si>
  <si>
    <t xml:space="preserve">LY_END_F3_ECR_AMT</t>
  </si>
  <si>
    <t xml:space="preserve">LY_YTD_F3_ECR_AMT</t>
  </si>
  <si>
    <t xml:space="preserve">ACT_BEG_F4_UREB_AMT</t>
  </si>
  <si>
    <t xml:space="preserve">ACT_LM_F4_UREB_AMT</t>
  </si>
  <si>
    <t xml:space="preserve">ACT_END_F4_UREB_AMT</t>
  </si>
  <si>
    <t xml:space="preserve">ACT_YTD_F4_UREB_AMT</t>
  </si>
  <si>
    <t xml:space="preserve">LY_BEG_F4_UREB_AMT</t>
  </si>
  <si>
    <t xml:space="preserve">LY_LM_F4_UREB_AMT</t>
  </si>
  <si>
    <t xml:space="preserve">LY_END_F4_UREB_AMT</t>
  </si>
  <si>
    <t xml:space="preserve">LY_YTD_F4_UREB_AMT</t>
  </si>
  <si>
    <t xml:space="preserve">ACT_BEG_F5_UFEE_AMT</t>
  </si>
  <si>
    <t xml:space="preserve">ACT_LM_F5_UFEE_AMT</t>
  </si>
  <si>
    <t xml:space="preserve">ACT_END_F5_UFEE_AMT</t>
  </si>
  <si>
    <t xml:space="preserve">ACT_YTD_F5_UFEE_AMT</t>
  </si>
  <si>
    <t xml:space="preserve">LY_BEG_F5_UFEE_AMT</t>
  </si>
  <si>
    <t xml:space="preserve">LY_LM_F5_UFEE_AMT</t>
  </si>
  <si>
    <t xml:space="preserve">LY_END_F5_UFEE_AMT</t>
  </si>
  <si>
    <t xml:space="preserve">LY_YTD_F5_UFEE_AMT</t>
  </si>
  <si>
    <t xml:space="preserve">ACT_BEG_F6_INVSM_AMT</t>
  </si>
  <si>
    <t xml:space="preserve">ACT_LM_F6_INVSM_AMT</t>
  </si>
  <si>
    <t xml:space="preserve">ACT_END_F6_INVSM_AMT</t>
  </si>
  <si>
    <t xml:space="preserve">ACT_YTD_F6_INVSM_AMT</t>
  </si>
  <si>
    <t xml:space="preserve">LY_BEG_F6_INVSM_AMT</t>
  </si>
  <si>
    <t xml:space="preserve">LY_LM_F6_INVSM_AMT</t>
  </si>
  <si>
    <t xml:space="preserve">LY_END_F6_INVSM_AMT</t>
  </si>
  <si>
    <t xml:space="preserve">LY_YTD_F6_INVSM_AMT</t>
  </si>
  <si>
    <t xml:space="preserve">ACT_BEG_F7_GSUB_AMT</t>
  </si>
  <si>
    <t xml:space="preserve">ACT_LM_F7_GSUB_AMT</t>
  </si>
  <si>
    <t xml:space="preserve">ACT_END_F7_GSUB_AMT</t>
  </si>
  <si>
    <t xml:space="preserve">ACT_YTD_F7_GSUB_AMT</t>
  </si>
  <si>
    <t xml:space="preserve">LY_BEG_F7_GSUB_AMT</t>
  </si>
  <si>
    <t xml:space="preserve">LY_LM_F7_GSUB_AMT</t>
  </si>
  <si>
    <t xml:space="preserve">LY_END_F7_GSUB_AMT</t>
  </si>
  <si>
    <t xml:space="preserve">LY_YTD_F7_GSUB_AMT</t>
  </si>
  <si>
    <t xml:space="preserve">ACT_BEG_F8_ADJ_AMT</t>
  </si>
  <si>
    <t xml:space="preserve">ACT_LM_F8_ADJ_AMT</t>
  </si>
  <si>
    <t xml:space="preserve">ACT_END_F8_ADJ_AMT</t>
  </si>
  <si>
    <t xml:space="preserve">ACT_YTD_F8_ADJ_AMT</t>
  </si>
  <si>
    <t xml:space="preserve">LY_BEG_F8_ADJ_AMT</t>
  </si>
  <si>
    <t xml:space="preserve">LY_LM_F8_ADJ_AMT</t>
  </si>
  <si>
    <t xml:space="preserve">LY_END_F8_ADJ_AMT</t>
  </si>
  <si>
    <t xml:space="preserve">LY_YTD_F8_ADJ_AMT</t>
  </si>
  <si>
    <t xml:space="preserve">字段名</t>
  </si>
  <si>
    <t xml:space="preserve">字段类型</t>
  </si>
  <si>
    <t xml:space="preserve">字段描述</t>
  </si>
  <si>
    <t xml:space="preserve">acct_cert_no</t>
  </si>
  <si>
    <t xml:space="preserve">varchar(200)</t>
  </si>
  <si>
    <t xml:space="preserve">凭证编号</t>
  </si>
  <si>
    <t xml:space="preserve">acct_cert_type</t>
  </si>
  <si>
    <t xml:space="preserve">varchar(20)</t>
  </si>
  <si>
    <t xml:space="preserve">凭证类型</t>
  </si>
  <si>
    <t xml:space="preserve">acct_map_code</t>
  </si>
  <si>
    <t xml:space="preserve">varchar(30)</t>
  </si>
  <si>
    <t xml:space="preserve">映射后科目编码</t>
  </si>
  <si>
    <t xml:space="preserve">acct_map_name</t>
  </si>
  <si>
    <t xml:space="preserve">varchar(850)</t>
  </si>
  <si>
    <t xml:space="preserve">映射后科目名称</t>
  </si>
  <si>
    <t xml:space="preserve">acct_src_code</t>
  </si>
  <si>
    <t xml:space="preserve">原始科目编码</t>
  </si>
  <si>
    <t xml:space="preserve">acct_src_name</t>
  </si>
  <si>
    <t xml:space="preserve">原始科目名称</t>
  </si>
  <si>
    <t xml:space="preserve">acct_type_code</t>
  </si>
  <si>
    <t xml:space="preserve">科目类型</t>
  </si>
  <si>
    <t xml:space="preserve">aging_days</t>
  </si>
  <si>
    <t xml:space="preserve">decimalv3(27,9)</t>
  </si>
  <si>
    <t xml:space="preserve">账龄天数</t>
  </si>
  <si>
    <t xml:space="preserve">baseline_dt</t>
  </si>
  <si>
    <t xml:space="preserve">date</t>
  </si>
  <si>
    <t xml:space="preserve">基准日期</t>
  </si>
  <si>
    <t xml:space="preserve">bcy_amt</t>
  </si>
  <si>
    <t xml:space="preserve">本位币金额</t>
  </si>
  <si>
    <t xml:space="preserve">bcy_code</t>
  </si>
  <si>
    <t xml:space="preserve">varchar(5)</t>
  </si>
  <si>
    <t xml:space="preserve">本位币币种</t>
  </si>
  <si>
    <t xml:space="preserve">inv_sample_amt</t>
  </si>
  <si>
    <t xml:space="preserve">开票样机金额</t>
  </si>
  <si>
    <t xml:space="preserve">bus_range_code</t>
  </si>
  <si>
    <t xml:space="preserve">业务范围编码</t>
  </si>
  <si>
    <t xml:space="preserve">bus_range_name</t>
  </si>
  <si>
    <t xml:space="preserve">业务范围名称</t>
  </si>
  <si>
    <t xml:space="preserve">channel_l1_code</t>
  </si>
  <si>
    <t xml:space="preserve">一级公司分类编码</t>
  </si>
  <si>
    <t xml:space="preserve">channel_l1_name</t>
  </si>
  <si>
    <t xml:space="preserve">一级公司分类名称</t>
  </si>
  <si>
    <t xml:space="preserve">channel_l2_code</t>
  </si>
  <si>
    <t xml:space="preserve">二级公司分类编码</t>
  </si>
  <si>
    <t xml:space="preserve">channel_l2_name</t>
  </si>
  <si>
    <t xml:space="preserve">二级公司分类名称</t>
  </si>
  <si>
    <t xml:space="preserve">channel_l3_code</t>
  </si>
  <si>
    <t xml:space="preserve">三级公司分类编码</t>
  </si>
  <si>
    <t xml:space="preserve">channel_l3_name</t>
  </si>
  <si>
    <t xml:space="preserve">三级公司分类名称</t>
  </si>
  <si>
    <t xml:space="preserve">clearing_dt</t>
  </si>
  <si>
    <t xml:space="preserve">清账日期</t>
  </si>
  <si>
    <t xml:space="preserve">closing_rate_bcy_amt</t>
  </si>
  <si>
    <t xml:space="preserve">期末汇率余额</t>
  </si>
  <si>
    <t xml:space="preserve">company_code</t>
  </si>
  <si>
    <t xml:space="preserve">varchar(8)</t>
  </si>
  <si>
    <t xml:space="preserve">组织</t>
  </si>
  <si>
    <t xml:space="preserve">country_code</t>
  </si>
  <si>
    <t xml:space="preserve">国家编码</t>
  </si>
  <si>
    <t xml:space="preserve">country_name</t>
  </si>
  <si>
    <t xml:space="preserve">国家名称</t>
  </si>
  <si>
    <t xml:space="preserve">cp_company_code</t>
  </si>
  <si>
    <t xml:space="preserve">对方公司</t>
  </si>
  <si>
    <t xml:space="preserve">currency_acct_detail</t>
  </si>
  <si>
    <t xml:space="preserve">币种科目构成明细</t>
  </si>
  <si>
    <t xml:space="preserve">cust_branch_code</t>
  </si>
  <si>
    <t xml:space="preserve">分户编码</t>
  </si>
  <si>
    <t xml:space="preserve">cust_branch_name</t>
  </si>
  <si>
    <t xml:space="preserve">分户名称</t>
  </si>
  <si>
    <t xml:space="preserve">cust_code</t>
  </si>
  <si>
    <t xml:space="preserve">客商编码</t>
  </si>
  <si>
    <t xml:space="preserve">cust_head_code</t>
  </si>
  <si>
    <t xml:space="preserve">主户编码</t>
  </si>
  <si>
    <t xml:space="preserve">cust_head_name</t>
  </si>
  <si>
    <t xml:space="preserve">主户名称</t>
  </si>
  <si>
    <t xml:space="preserve">cust_name</t>
  </si>
  <si>
    <t xml:space="preserve">客商名称</t>
  </si>
  <si>
    <t xml:space="preserve">dt_month</t>
  </si>
  <si>
    <t xml:space="preserve">varchar(6)</t>
  </si>
  <si>
    <t xml:space="preserve">年月</t>
  </si>
  <si>
    <t xml:space="preserve">exchange_rate_eval_flag</t>
  </si>
  <si>
    <t xml:space="preserve">汇率评估标识</t>
  </si>
  <si>
    <t xml:space="preserve">ledger_status</t>
  </si>
  <si>
    <t xml:space="preserve">varchar(50)</t>
  </si>
  <si>
    <t xml:space="preserve">台账状态</t>
  </si>
  <si>
    <t xml:space="preserve">load_dt</t>
  </si>
  <si>
    <t xml:space="preserve">更新时间</t>
  </si>
  <si>
    <t xml:space="preserve">marketing_dept_code</t>
  </si>
  <si>
    <t xml:space="preserve">业务管理单元编码</t>
  </si>
  <si>
    <t xml:space="preserve">marketing_dept_name</t>
  </si>
  <si>
    <t xml:space="preserve">业务管理单元名称</t>
  </si>
  <si>
    <t xml:space="preserve">month</t>
  </si>
  <si>
    <t xml:space="preserve">varchar(2)</t>
  </si>
  <si>
    <t xml:space="preserve">月份</t>
  </si>
  <si>
    <t xml:space="preserve">ods_src</t>
  </si>
  <si>
    <t xml:space="preserve">数据来源</t>
  </si>
  <si>
    <t xml:space="preserve">overdue_0_amt</t>
  </si>
  <si>
    <t xml:space="preserve">超期款金额</t>
  </si>
  <si>
    <t xml:space="preserve">onoffline_code</t>
  </si>
  <si>
    <t xml:space="preserve">渠道分组编码</t>
  </si>
  <si>
    <t xml:space="preserve">onoffline_name</t>
  </si>
  <si>
    <t xml:space="preserve">渠道分组名称</t>
  </si>
  <si>
    <t xml:space="preserve">pay_reason_code</t>
  </si>
  <si>
    <t xml:space="preserve">付款原因代码</t>
  </si>
  <si>
    <t xml:space="preserve">pay_term_code</t>
  </si>
  <si>
    <t xml:space="preserve">varchar(24)</t>
  </si>
  <si>
    <t xml:space="preserve">付款条件代码</t>
  </si>
  <si>
    <t xml:space="preserve">pay_term_desc</t>
  </si>
  <si>
    <t xml:space="preserve">varchar(300)</t>
  </si>
  <si>
    <t xml:space="preserve">付款条件描述</t>
  </si>
  <si>
    <t xml:space="preserve">posting_dt</t>
  </si>
  <si>
    <t xml:space="preserve">凭证过账日期</t>
  </si>
  <si>
    <t xml:space="preserve">posting_rate_bcy_amt</t>
  </si>
  <si>
    <t xml:space="preserve">记账汇率余额</t>
  </si>
  <si>
    <t xml:space="preserve">profitcenter_code</t>
  </si>
  <si>
    <t xml:space="preserve">利润中心编码</t>
  </si>
  <si>
    <t xml:space="preserve">profitcenter_name</t>
  </si>
  <si>
    <t xml:space="preserve">利润中心名称</t>
  </si>
  <si>
    <t xml:space="preserve">qcy_amt</t>
  </si>
  <si>
    <t xml:space="preserve">交易币金额</t>
  </si>
  <si>
    <t xml:space="preserve">qcy_code</t>
  </si>
  <si>
    <t xml:space="preserve">交易币币种</t>
  </si>
  <si>
    <t xml:space="preserve">reb_type</t>
  </si>
  <si>
    <t xml:space="preserve">返利性质</t>
  </si>
  <si>
    <t xml:space="preserve">src_profitcenter_code</t>
  </si>
  <si>
    <t xml:space="preserve">原始利润中心编码</t>
  </si>
  <si>
    <t xml:space="preserve">src_profitcenter_name</t>
  </si>
  <si>
    <t xml:space="preserve">原始利润中心名称</t>
  </si>
  <si>
    <t xml:space="preserve">system_src</t>
  </si>
  <si>
    <t xml:space="preserve">varchar(150)</t>
  </si>
  <si>
    <t xml:space="preserve">来源系统</t>
  </si>
  <si>
    <t xml:space="preserve">ureb_amt</t>
  </si>
  <si>
    <t xml:space="preserve">欠付返利余额</t>
  </si>
  <si>
    <t xml:space="preserve">year</t>
  </si>
  <si>
    <t xml:space="preserve">varchar(4)</t>
  </si>
  <si>
    <t xml:space="preserve">年份</t>
  </si>
  <si>
    <t xml:space="preserve">overdue_1_amt</t>
  </si>
  <si>
    <t xml:space="preserve">超期款金额-1个月以内</t>
  </si>
  <si>
    <t xml:space="preserve">overdue_2_amt</t>
  </si>
  <si>
    <t xml:space="preserve">超期款金额-2-3个月</t>
  </si>
  <si>
    <t xml:space="preserve">overdue_3_amt</t>
  </si>
  <si>
    <t xml:space="preserve">超期款金额-4-6个月</t>
  </si>
  <si>
    <t xml:space="preserve">overdue_4_amt</t>
  </si>
  <si>
    <t xml:space="preserve">超期款金额-7-12个月</t>
  </si>
  <si>
    <t xml:space="preserve">overdue_5_amt</t>
  </si>
  <si>
    <t xml:space="preserve">超期款金额-1-2年</t>
  </si>
  <si>
    <t xml:space="preserve">overdue_6_amt</t>
  </si>
  <si>
    <t xml:space="preserve">超期款金额-2-3年</t>
  </si>
  <si>
    <t xml:space="preserve">overdue_7_amt</t>
  </si>
  <si>
    <t xml:space="preserve">超期款金额-3-4年</t>
  </si>
  <si>
    <t xml:space="preserve">overdue_8_amt</t>
  </si>
  <si>
    <t xml:space="preserve">超期款金额-4-5年</t>
  </si>
  <si>
    <t xml:space="preserve">overdue_9_amt</t>
  </si>
  <si>
    <t xml:space="preserve">超期款金额-5年以上</t>
  </si>
  <si>
    <t xml:space="preserve">cod_scenario</t>
  </si>
  <si>
    <t xml:space="preserve">varchar(15)</t>
  </si>
  <si>
    <t xml:space="preserve">场景</t>
  </si>
  <si>
    <t xml:space="preserve">cod_periodo</t>
  </si>
  <si>
    <t xml:space="preserve">期间</t>
  </si>
  <si>
    <t xml:space="preserve">cod_azienda</t>
  </si>
  <si>
    <t xml:space="preserve">公司</t>
  </si>
  <si>
    <t xml:space="preserve">cod_conto</t>
  </si>
  <si>
    <t xml:space="preserve">科目</t>
  </si>
  <si>
    <t xml:space="preserve">cod_categoria</t>
  </si>
  <si>
    <t xml:space="preserve">类别</t>
  </si>
  <si>
    <t xml:space="preserve">src_detail</t>
  </si>
  <si>
    <t xml:space="preserve">varchar(100)</t>
  </si>
  <si>
    <t xml:space="preserve">数据分类</t>
  </si>
  <si>
    <t xml:space="preserve">le_age_flag</t>
  </si>
  <si>
    <t xml:space="preserve">varchar(10)</t>
  </si>
  <si>
    <t xml:space="preserve">法人单体账龄标识</t>
  </si>
  <si>
    <t xml:space="preserve">me_age_flag</t>
  </si>
  <si>
    <t xml:space="preserve">管理单体账龄标识</t>
  </si>
  <si>
    <t xml:space="preserve">mb_age_flag</t>
  </si>
  <si>
    <t xml:space="preserve">管理分公司账龄标识</t>
  </si>
  <si>
    <t xml:space="preserve">grp_scope</t>
  </si>
  <si>
    <t xml:space="preserve">集团归属范围（
子公司/集团内/集团外）</t>
  </si>
  <si>
    <t xml:space="preserve">d_channel</t>
  </si>
  <si>
    <t xml:space="preserve">d_onoffline</t>
  </si>
  <si>
    <t xml:space="preserve">cod_dest2</t>
  </si>
  <si>
    <t xml:space="preserve">cod_dest3</t>
  </si>
  <si>
    <t xml:space="preserve">d_sale_dept</t>
  </si>
  <si>
    <t xml:space="preserve">cod_valuta</t>
  </si>
  <si>
    <t xml:space="preserve">cod_valuta_originaria</t>
  </si>
  <si>
    <t xml:space="preserve">bcy_0_amt</t>
  </si>
  <si>
    <t xml:space="preserve">number(27,9)</t>
  </si>
  <si>
    <t xml:space="preserve">本位币金额-本月账龄</t>
  </si>
  <si>
    <t xml:space="preserve">bcy_1_amt</t>
  </si>
  <si>
    <t xml:space="preserve">本位币金额-账龄区间段1</t>
  </si>
  <si>
    <t xml:space="preserve">bcy_2_amt</t>
  </si>
  <si>
    <t xml:space="preserve">本位币金额-账龄区间段2</t>
  </si>
  <si>
    <t xml:space="preserve">bcy_3_amt</t>
  </si>
  <si>
    <t xml:space="preserve">本位币金额-账龄区间段3</t>
  </si>
  <si>
    <t xml:space="preserve">bcy_4_amt</t>
  </si>
  <si>
    <t xml:space="preserve">本位币金额-账龄区间段4</t>
  </si>
  <si>
    <t xml:space="preserve">bcy_5_amt</t>
  </si>
  <si>
    <t xml:space="preserve">本位币金额-账龄区间段5</t>
  </si>
  <si>
    <t xml:space="preserve">bcy_6_amt</t>
  </si>
  <si>
    <t xml:space="preserve">本位币金额-账龄区间段6</t>
  </si>
  <si>
    <t xml:space="preserve">bcy_7_amt</t>
  </si>
  <si>
    <t xml:space="preserve">本位币金额-账龄区间段7</t>
  </si>
  <si>
    <t xml:space="preserve">bcy_8_amt</t>
  </si>
  <si>
    <t xml:space="preserve">本位币金额-账龄区间段8</t>
  </si>
  <si>
    <t xml:space="preserve">bcy_9_amt</t>
  </si>
  <si>
    <t xml:space="preserve">本位币金额-账龄区间段9</t>
  </si>
  <si>
    <t xml:space="preserve">bcy_10_amt</t>
  </si>
  <si>
    <t xml:space="preserve">本位币金额-账龄区间段10</t>
  </si>
  <si>
    <t xml:space="preserve">bcy_11_amt</t>
  </si>
  <si>
    <t xml:space="preserve">本位币金额-账龄区间段11</t>
  </si>
  <si>
    <t xml:space="preserve">bcy_12_amt</t>
  </si>
  <si>
    <t xml:space="preserve">本位币金额-账龄区间段12</t>
  </si>
  <si>
    <t xml:space="preserve">bcy_13_amt</t>
  </si>
  <si>
    <t xml:space="preserve">本位币金额-账龄区间段13</t>
  </si>
  <si>
    <t xml:space="preserve">bcy_14_amt</t>
  </si>
  <si>
    <t xml:space="preserve">本位币金额-账龄区间段14</t>
  </si>
  <si>
    <t xml:space="preserve">bcy_15_amt</t>
  </si>
  <si>
    <t xml:space="preserve">本位币金额-账龄区间段15</t>
  </si>
  <si>
    <t xml:space="preserve">qcy_0_amt</t>
  </si>
  <si>
    <t xml:space="preserve">交易币金额-本月账龄</t>
  </si>
  <si>
    <t xml:space="preserve">qcy_1_amt</t>
  </si>
  <si>
    <t xml:space="preserve">交易币金额-账龄区间段1</t>
  </si>
  <si>
    <t xml:space="preserve">qcy_2_amt</t>
  </si>
  <si>
    <t xml:space="preserve">交易币金额-账龄区间段2</t>
  </si>
  <si>
    <t xml:space="preserve">qcy_3_amt</t>
  </si>
  <si>
    <t xml:space="preserve">交易币金额-账龄区间段3</t>
  </si>
  <si>
    <t xml:space="preserve">qcy_4_amt</t>
  </si>
  <si>
    <t xml:space="preserve">交易币金额-账龄区间段4</t>
  </si>
  <si>
    <t xml:space="preserve">qcy_5_amt</t>
  </si>
  <si>
    <t xml:space="preserve">交易币金额-账龄区间段5</t>
  </si>
  <si>
    <t xml:space="preserve">qcy_6_amt</t>
  </si>
  <si>
    <t xml:space="preserve">交易币金额-账龄区间段6</t>
  </si>
  <si>
    <t xml:space="preserve">qcy_7_amt</t>
  </si>
  <si>
    <t xml:space="preserve">交易币金额-账龄区间段7</t>
  </si>
  <si>
    <t xml:space="preserve">qcy_8_amt</t>
  </si>
  <si>
    <t xml:space="preserve">交易币金额-账龄区间段8</t>
  </si>
  <si>
    <t xml:space="preserve">qcy_9_amt</t>
  </si>
  <si>
    <t xml:space="preserve">交易币金额-账龄区间段9</t>
  </si>
  <si>
    <t xml:space="preserve">qcy_10_amt</t>
  </si>
  <si>
    <t xml:space="preserve">交易币金额-账龄区间段10</t>
  </si>
  <si>
    <t xml:space="preserve">qcy_11_amt</t>
  </si>
  <si>
    <t xml:space="preserve">交易币金额-账龄区间段11</t>
  </si>
  <si>
    <t xml:space="preserve">qcy_12_amt</t>
  </si>
  <si>
    <t xml:space="preserve">交易币金额-账龄区间段12</t>
  </si>
  <si>
    <t xml:space="preserve">qcy_13_amt</t>
  </si>
  <si>
    <t xml:space="preserve">交易币金额-账龄区间段13</t>
  </si>
  <si>
    <t xml:space="preserve">qcy_14_amt</t>
  </si>
  <si>
    <t xml:space="preserve">交易币金额-账龄区间段14</t>
  </si>
  <si>
    <t xml:space="preserve">qcy_15_amt</t>
  </si>
  <si>
    <t xml:space="preserve">交易币金额-账龄区间段15</t>
  </si>
  <si>
    <t xml:space="preserve">th_fx_eval_amt</t>
  </si>
  <si>
    <t xml:space="preserve">理论汇兑评估金额</t>
  </si>
  <si>
    <t xml:space="preserve">adj_reb_amt</t>
  </si>
  <si>
    <t xml:space="preserve">调整后返利金额</t>
  </si>
  <si>
    <t xml:space="preserve">adj_ret_amt</t>
  </si>
  <si>
    <t xml:space="preserve">调整后退货金额</t>
  </si>
  <si>
    <t xml:space="preserve">cod_azi_ctp</t>
  </si>
  <si>
    <t xml:space="preserve">imocc_1m_amt</t>
  </si>
  <si>
    <t xml:space="preserve">国际营销应收占用-1个月以内</t>
  </si>
  <si>
    <t xml:space="preserve">imocc_2-3m_amt</t>
  </si>
  <si>
    <t xml:space="preserve">国际营销应收占用-2-3个月</t>
  </si>
  <si>
    <t xml:space="preserve">imocc_4-6m_amt</t>
  </si>
  <si>
    <t xml:space="preserve">国际营销应收占用-4-6个月</t>
  </si>
  <si>
    <t xml:space="preserve">imocc_7-12m_amt</t>
  </si>
  <si>
    <t xml:space="preserve">国际营销应收占用-7-12个月</t>
  </si>
  <si>
    <t xml:space="preserve">imocc_1-2y_amt</t>
  </si>
  <si>
    <t xml:space="preserve">国际营销应收占用-1-2年</t>
  </si>
  <si>
    <t xml:space="preserve">imocc_2-3y_amt</t>
  </si>
  <si>
    <t xml:space="preserve">国际营销应收占用-2-3年</t>
  </si>
  <si>
    <t xml:space="preserve">imocc_3-4y_amt</t>
  </si>
  <si>
    <t xml:space="preserve">国际营销应收占用-3-4年</t>
  </si>
  <si>
    <t xml:space="preserve">imocc_4-5y_amt</t>
  </si>
  <si>
    <t xml:space="preserve">国际营销应收占用-4-5年</t>
  </si>
  <si>
    <t xml:space="preserve">imocc_over5y_amt</t>
  </si>
  <si>
    <t xml:space="preserve">国际营销应收占用-5年以上</t>
  </si>
  <si>
    <t xml:space="preserve">imocc_amt</t>
  </si>
  <si>
    <t xml:space="preserve">国际营销应收占用金额</t>
  </si>
  <si>
    <t xml:space="preserve">imocc_cny_amt</t>
  </si>
  <si>
    <t xml:space="preserve">国际营销应收占用金额-人民币</t>
  </si>
  <si>
    <t xml:space="preserve">imocc_con_amt</t>
  </si>
  <si>
    <t xml:space="preserve">国际营销应收占用金额-美元</t>
  </si>
  <si>
    <t xml:space="preserve">imocc_usd_amt</t>
  </si>
  <si>
    <t xml:space="preserve">国际营销应收占用金额-本位币</t>
  </si>
  <si>
    <t xml:space="preserve">shp_ninv_amt</t>
  </si>
  <si>
    <t xml:space="preserve">出库未开金额</t>
  </si>
  <si>
    <t xml:space="preserve">ret_ntrf_amt</t>
  </si>
  <si>
    <t xml:space="preserve">退货未办退税金额</t>
  </si>
  <si>
    <t xml:space="preserve">欠付返利金额</t>
  </si>
  <si>
    <t xml:space="preserve">ufee_amt</t>
  </si>
  <si>
    <t xml:space="preserve">欠付费用金额</t>
  </si>
  <si>
    <t xml:space="preserve">开票样机额度金额</t>
  </si>
  <si>
    <t xml:space="preserve">epay_amt</t>
  </si>
  <si>
    <t xml:space="preserve">提前回款金额</t>
  </si>
  <si>
    <t xml:space="preserve">nature_l1_name</t>
  </si>
  <si>
    <t xml:space="preserve">一级性质</t>
  </si>
  <si>
    <t xml:space="preserve">nature_l2_name</t>
  </si>
  <si>
    <t xml:space="preserve">二级性质</t>
  </si>
  <si>
    <t xml:space="preserve">nature_l3_name</t>
  </si>
  <si>
    <t xml:space="preserve">三级性质</t>
  </si>
  <si>
    <t xml:space="preserve">tax_rate</t>
  </si>
  <si>
    <t xml:space="preserve">税率</t>
  </si>
  <si>
    <t xml:space="preserve">is_rec_lg</t>
  </si>
  <si>
    <t xml:space="preserve">是否重分类_法人</t>
  </si>
  <si>
    <t xml:space="preserve">is_rec_me</t>
  </si>
  <si>
    <t xml:space="preserve">是否重分类_管理</t>
  </si>
  <si>
    <t xml:space="preserve">is_rec_mb</t>
  </si>
  <si>
    <t xml:space="preserve">是否重分类_管理分公司</t>
  </si>
  <si>
    <t xml:space="preserve">bcy_adj_incl_0_amt</t>
  </si>
  <si>
    <t xml:space="preserve">本位币金额-调整后含税-本月账龄</t>
  </si>
  <si>
    <t xml:space="preserve">bcy_adj_incl_1_amt</t>
  </si>
  <si>
    <t xml:space="preserve">本位币金额-调整后含税-账龄区间段1</t>
  </si>
  <si>
    <t xml:space="preserve">bcy_adj_incl_2_amt</t>
  </si>
  <si>
    <t xml:space="preserve">本位币金额-调整后含税-账龄区间段2</t>
  </si>
  <si>
    <t xml:space="preserve">bcy_adj_incl_3_amt</t>
  </si>
  <si>
    <t xml:space="preserve">本位币金额-调整后含税-账龄区间段3</t>
  </si>
  <si>
    <t xml:space="preserve">bcy_adj_incl_4_amt</t>
  </si>
  <si>
    <t xml:space="preserve">本位币金额-调整后含税-账龄区间段4</t>
  </si>
  <si>
    <t xml:space="preserve">bcy_adj_incl_5_amt</t>
  </si>
  <si>
    <t xml:space="preserve">本位币金额-调整后含税-账龄区间段5</t>
  </si>
  <si>
    <t xml:space="preserve">bcy_adj_incl_6_amt</t>
  </si>
  <si>
    <t xml:space="preserve">本位币金额-调整后含税-账龄区间段6</t>
  </si>
  <si>
    <t xml:space="preserve">bcy_adj_incl_7_amt</t>
  </si>
  <si>
    <t xml:space="preserve">本位币金额-调整后含税-账龄区间段7</t>
  </si>
  <si>
    <t xml:space="preserve">bcy_adj_incl_8_amt</t>
  </si>
  <si>
    <t xml:space="preserve">本位币金额-调整后含税-账龄区间段8</t>
  </si>
  <si>
    <t xml:space="preserve">bcy_adj_incl_9_amt</t>
  </si>
  <si>
    <t xml:space="preserve">本位币金额-调整后含税-账龄区间段9</t>
  </si>
  <si>
    <t xml:space="preserve">bcy_adj_incl_10_amt</t>
  </si>
  <si>
    <t xml:space="preserve">本位币金额-调整后含税-账龄区间段10</t>
  </si>
  <si>
    <t xml:space="preserve">bcy_adj_incl_11_amt</t>
  </si>
  <si>
    <t xml:space="preserve">本位币金额-调整后含税-账龄区间段11</t>
  </si>
  <si>
    <t xml:space="preserve">bcy_adj_incl_12_amt</t>
  </si>
  <si>
    <t xml:space="preserve">本位币金额-调整后含税-账龄区间段12</t>
  </si>
  <si>
    <t xml:space="preserve">bcy_adj_incl_13_amt</t>
  </si>
  <si>
    <t xml:space="preserve">本位币金额-调整后含税-账龄区间段13</t>
  </si>
  <si>
    <t xml:space="preserve">bcy_adj_incl_14_amt</t>
  </si>
  <si>
    <t xml:space="preserve">本位币金额-调整后含税-账龄区间段14</t>
  </si>
  <si>
    <t xml:space="preserve">bcy_adj_incl_15_amt</t>
  </si>
  <si>
    <t xml:space="preserve">本位币金额-调整后含税-账龄区间段15</t>
  </si>
  <si>
    <t xml:space="preserve">bcy_adj_excl_0_amt</t>
  </si>
  <si>
    <t xml:space="preserve">本位币金额-调整后不含税-本月账龄</t>
  </si>
  <si>
    <t xml:space="preserve">spc_dsv_ded_amt</t>
  </si>
  <si>
    <t xml:space="preserve">特殊调整项-直销垫资扣减金额</t>
  </si>
  <si>
    <t xml:space="preserve">spc_c2e_ded_amt</t>
  </si>
  <si>
    <t xml:space="preserve">特殊调整项-煤改电扣减金额</t>
  </si>
  <si>
    <t xml:space="preserve">spc_ins_ded_amt</t>
  </si>
  <si>
    <t xml:space="preserve">特殊调整项-投保扣减金额</t>
  </si>
  <si>
    <t xml:space="preserve">bd_base_0_amt</t>
  </si>
  <si>
    <t xml:space="preserve">坏账计提基数金额</t>
  </si>
  <si>
    <t xml:space="preserve">bd_base_1_amt</t>
  </si>
  <si>
    <t xml:space="preserve">坏账计提基数金额-账龄区间段1</t>
  </si>
  <si>
    <t xml:space="preserve">bd_base_2_amt</t>
  </si>
  <si>
    <t xml:space="preserve">坏账计提基数金额-账龄区间段2</t>
  </si>
  <si>
    <t xml:space="preserve">bd_base_3_amt</t>
  </si>
  <si>
    <t xml:space="preserve">坏账计提基数金额-账龄区间段3</t>
  </si>
  <si>
    <t xml:space="preserve">bd_base_4_amt</t>
  </si>
  <si>
    <t xml:space="preserve">坏账计提基数金额-账龄区间段4</t>
  </si>
  <si>
    <t xml:space="preserve">bd_base_5_amt</t>
  </si>
  <si>
    <t xml:space="preserve">坏账计提基数金额-账龄区间段5</t>
  </si>
  <si>
    <t xml:space="preserve">bd_base_6_amt</t>
  </si>
  <si>
    <t xml:space="preserve">坏账计提基数金额-账龄区间段6</t>
  </si>
  <si>
    <t xml:space="preserve">bd_base_7_amt</t>
  </si>
  <si>
    <t xml:space="preserve">坏账计提基数金额-账龄区间段7</t>
  </si>
  <si>
    <t xml:space="preserve">bd_base_8_amt</t>
  </si>
  <si>
    <t xml:space="preserve">坏账计提基数金额-账龄区间段8</t>
  </si>
  <si>
    <t xml:space="preserve">bd_base_9_amt</t>
  </si>
  <si>
    <t xml:space="preserve">坏账计提基数金额-账龄区间段9</t>
  </si>
  <si>
    <t xml:space="preserve">bd_base_10_amt</t>
  </si>
  <si>
    <t xml:space="preserve">坏账计提基数金额-账龄区间段10</t>
  </si>
  <si>
    <t xml:space="preserve">bd_base_11_amt</t>
  </si>
  <si>
    <t xml:space="preserve">坏账计提基数金额-账龄区间段11</t>
  </si>
  <si>
    <t xml:space="preserve">bd_base_12_amt</t>
  </si>
  <si>
    <t xml:space="preserve">坏账计提基数金额-账龄区间段12</t>
  </si>
  <si>
    <t xml:space="preserve">bd_base_13_amt</t>
  </si>
  <si>
    <t xml:space="preserve">坏账计提基数金额-账龄区间段13</t>
  </si>
  <si>
    <t xml:space="preserve">bd_base_14_amt</t>
  </si>
  <si>
    <t xml:space="preserve">坏账计提基数金额-账龄区间段14</t>
  </si>
  <si>
    <t xml:space="preserve">bd_base_15_amt</t>
  </si>
  <si>
    <t xml:space="preserve">坏账计提基数金额-账龄区间段15</t>
  </si>
  <si>
    <t xml:space="preserve">bd_0_amt</t>
  </si>
  <si>
    <t xml:space="preserve">坏账计提金额</t>
  </si>
  <si>
    <t xml:space="preserve">bd_1_amt</t>
  </si>
  <si>
    <t xml:space="preserve">坏账计提金额-账龄区间段1</t>
  </si>
  <si>
    <t xml:space="preserve">bd_2_amt</t>
  </si>
  <si>
    <t xml:space="preserve">坏账计提金额-账龄区间段2</t>
  </si>
  <si>
    <t xml:space="preserve">bd_3_amt</t>
  </si>
  <si>
    <t xml:space="preserve">坏账计提金额-账龄区间段3</t>
  </si>
  <si>
    <t xml:space="preserve">bd_4_amt</t>
  </si>
  <si>
    <t xml:space="preserve">坏账计提金额-账龄区间段4</t>
  </si>
  <si>
    <t xml:space="preserve">bd_5_amt</t>
  </si>
  <si>
    <t xml:space="preserve">坏账计提金额-账龄区间段5</t>
  </si>
  <si>
    <t xml:space="preserve">bd_6_amt</t>
  </si>
  <si>
    <t xml:space="preserve">坏账计提金额-账龄区间段6</t>
  </si>
  <si>
    <t xml:space="preserve">bd_7_amt</t>
  </si>
  <si>
    <t xml:space="preserve">坏账计提金额-账龄区间段7</t>
  </si>
  <si>
    <t xml:space="preserve">bd_8_amt</t>
  </si>
  <si>
    <t xml:space="preserve">坏账计提金额-账龄区间段8</t>
  </si>
  <si>
    <t xml:space="preserve">bd_9_amt</t>
  </si>
  <si>
    <t xml:space="preserve">坏账计提金额-账龄区间段9</t>
  </si>
  <si>
    <t xml:space="preserve">bd_10_amt</t>
  </si>
  <si>
    <t xml:space="preserve">坏账计提金额-账龄区间段10</t>
  </si>
  <si>
    <t xml:space="preserve">bd_11_amt</t>
  </si>
  <si>
    <t xml:space="preserve">坏账计提金额-账龄区间段11</t>
  </si>
  <si>
    <t xml:space="preserve">bd_12_amt</t>
  </si>
  <si>
    <t xml:space="preserve">坏账计提金额-账龄区间段12</t>
  </si>
  <si>
    <t xml:space="preserve">bd_13_amt</t>
  </si>
  <si>
    <t xml:space="preserve">坏账计提金额-账龄区间段13</t>
  </si>
  <si>
    <t xml:space="preserve">bd_14_amt</t>
  </si>
  <si>
    <t xml:space="preserve">坏账计提金额-账龄区间段14</t>
  </si>
  <si>
    <t xml:space="preserve">bd_15_amt</t>
  </si>
  <si>
    <t xml:space="preserve">坏账计提金额-账龄区间段15</t>
  </si>
  <si>
    <t xml:space="preserve">bd_alloc_ratio</t>
  </si>
  <si>
    <t xml:space="preserve">坏账分摊比例</t>
  </si>
  <si>
    <t xml:space="preserve">age_alloc_amt</t>
  </si>
  <si>
    <t xml:space="preserve">负账龄分摊金额</t>
  </si>
  <si>
    <t xml:space="preserve">bd_afal_0_amt</t>
  </si>
  <si>
    <t xml:space="preserve">分摊后坏账金额</t>
  </si>
  <si>
    <t xml:space="preserve">bd_afal_1_amt</t>
  </si>
  <si>
    <t xml:space="preserve">分摊后坏账金额-账龄区间段1</t>
  </si>
  <si>
    <t xml:space="preserve">bd_afal_2_amt</t>
  </si>
  <si>
    <t xml:space="preserve">分摊后坏账金额-账龄区间段2</t>
  </si>
  <si>
    <t xml:space="preserve">bd_afal_3_amt</t>
  </si>
  <si>
    <t xml:space="preserve">分摊后坏账金额-账龄区间段3</t>
  </si>
  <si>
    <t xml:space="preserve">bd_afal_4_amt</t>
  </si>
  <si>
    <t xml:space="preserve">分摊后坏账金额-账龄区间段4</t>
  </si>
  <si>
    <t xml:space="preserve">bd_afal_5_amt</t>
  </si>
  <si>
    <t xml:space="preserve">分摊后坏账金额-账龄区间段5</t>
  </si>
  <si>
    <t xml:space="preserve">bd_afal_6_amt</t>
  </si>
  <si>
    <t xml:space="preserve">分摊后坏账金额-账龄区间段6</t>
  </si>
  <si>
    <t xml:space="preserve">bd_afal_7_amt</t>
  </si>
  <si>
    <t xml:space="preserve">分摊后坏账金额-账龄区间段7</t>
  </si>
  <si>
    <t xml:space="preserve">bd_afal_8_amt</t>
  </si>
  <si>
    <t xml:space="preserve">分摊后坏账金额-账龄区间段8</t>
  </si>
  <si>
    <t xml:space="preserve">bd_afal_9_amt</t>
  </si>
  <si>
    <t xml:space="preserve">分摊后坏账金额-账龄区间段9</t>
  </si>
  <si>
    <t xml:space="preserve">bd_afal_10_amt</t>
  </si>
  <si>
    <t xml:space="preserve">分摊后坏账金额-账龄区间段10</t>
  </si>
  <si>
    <t xml:space="preserve">bd_afal_11_amt</t>
  </si>
  <si>
    <t xml:space="preserve">分摊后坏账金额-账龄区间段11</t>
  </si>
  <si>
    <t xml:space="preserve">bd_afal_12_amt</t>
  </si>
  <si>
    <t xml:space="preserve">分摊后坏账金额-账龄区间段12</t>
  </si>
  <si>
    <t xml:space="preserve">bd_afal_13_amt</t>
  </si>
  <si>
    <t xml:space="preserve">分摊后坏账金额-账龄区间段13</t>
  </si>
  <si>
    <t xml:space="preserve">bd_afal_14_amt</t>
  </si>
  <si>
    <t xml:space="preserve">分摊后坏账金额-账龄区间段14</t>
  </si>
  <si>
    <t xml:space="preserve">bd_afal_15_amt</t>
  </si>
  <si>
    <t xml:space="preserve">分摊后坏账金额-账龄区间段15</t>
  </si>
  <si>
    <t xml:space="preserve">age_alloc_0_amt</t>
  </si>
  <si>
    <t xml:space="preserve">age_alloc_1_amt</t>
  </si>
  <si>
    <t xml:space="preserve">负账龄分摊金额-账龄区间段1</t>
  </si>
  <si>
    <t xml:space="preserve">age_alloc_2_amt</t>
  </si>
  <si>
    <t xml:space="preserve">负账龄分摊金额-账龄区间段2</t>
  </si>
  <si>
    <t xml:space="preserve">age_alloc_3_amt</t>
  </si>
  <si>
    <t xml:space="preserve">负账龄分摊金额-账龄区间段3</t>
  </si>
  <si>
    <t xml:space="preserve">age_alloc_4_amt</t>
  </si>
  <si>
    <t xml:space="preserve">负账龄分摊金额-账龄区间段4</t>
  </si>
  <si>
    <t xml:space="preserve">age_alloc_5_amt</t>
  </si>
  <si>
    <t xml:space="preserve">负账龄分摊金额-账龄区间段5</t>
  </si>
  <si>
    <t xml:space="preserve">age_alloc_6_amt</t>
  </si>
  <si>
    <t xml:space="preserve">负账龄分摊金额-账龄区间段6</t>
  </si>
  <si>
    <t xml:space="preserve">age_alloc_7_amt</t>
  </si>
  <si>
    <t xml:space="preserve">负账龄分摊金额-账龄区间段7</t>
  </si>
  <si>
    <t xml:space="preserve">age_alloc_8_amt</t>
  </si>
  <si>
    <t xml:space="preserve">负账龄分摊金额-账龄区间段8</t>
  </si>
  <si>
    <t xml:space="preserve">age_alloc_9_amt</t>
  </si>
  <si>
    <t xml:space="preserve">负账龄分摊金额-账龄区间段9</t>
  </si>
  <si>
    <t xml:space="preserve">age_alloc_10_amt</t>
  </si>
  <si>
    <t xml:space="preserve">负账龄分摊金额-账龄区间段10</t>
  </si>
  <si>
    <t xml:space="preserve">age_alloc_11_amt</t>
  </si>
  <si>
    <t xml:space="preserve">负账龄分摊金额-账龄区间段11</t>
  </si>
  <si>
    <t xml:space="preserve">age_alloc_12_amt</t>
  </si>
  <si>
    <t xml:space="preserve">负账龄分摊金额-账龄区间段12</t>
  </si>
  <si>
    <t xml:space="preserve">age_alloc_13_amt</t>
  </si>
  <si>
    <t xml:space="preserve">负账龄分摊金额-账龄区间段13</t>
  </si>
  <si>
    <t xml:space="preserve">age_alloc_14_amt</t>
  </si>
  <si>
    <t xml:space="preserve">负账龄分摊金额-账龄区间段14</t>
  </si>
  <si>
    <t xml:space="preserve">age_alloc_15_amt</t>
  </si>
  <si>
    <t xml:space="preserve">负账龄分摊金额-账龄区间段15</t>
  </si>
  <si>
    <t xml:space="preserve">spid_0_amt</t>
  </si>
  <si>
    <t xml:space="preserve">个别认定金额</t>
  </si>
  <si>
    <t xml:space="preserve">spid_1_amt</t>
  </si>
  <si>
    <t xml:space="preserve">个别认定金额-账龄区间段1</t>
  </si>
  <si>
    <t xml:space="preserve">spid_2_amt</t>
  </si>
  <si>
    <t xml:space="preserve">个别认定金额-账龄区间段2</t>
  </si>
  <si>
    <t xml:space="preserve">spid_3_amt</t>
  </si>
  <si>
    <t xml:space="preserve">个别认定金额-账龄区间段3</t>
  </si>
  <si>
    <t xml:space="preserve">spid_4_amt</t>
  </si>
  <si>
    <t xml:space="preserve">个别认定金额-账龄区间段4</t>
  </si>
  <si>
    <t xml:space="preserve">spid_5_amt</t>
  </si>
  <si>
    <t xml:space="preserve">个别认定金额-账龄区间段5</t>
  </si>
  <si>
    <t xml:space="preserve">spid_6_amt</t>
  </si>
  <si>
    <t xml:space="preserve">个别认定金额-账龄区间段6</t>
  </si>
  <si>
    <t xml:space="preserve">spid_7_amt</t>
  </si>
  <si>
    <t xml:space="preserve">个别认定金额-账龄区间段7</t>
  </si>
  <si>
    <t xml:space="preserve">spid_8_amt</t>
  </si>
  <si>
    <t xml:space="preserve">个别认定金额-账龄区间段8</t>
  </si>
  <si>
    <t xml:space="preserve">spid_9_amt</t>
  </si>
  <si>
    <t xml:space="preserve">个别认定金额-账龄区间段9</t>
  </si>
  <si>
    <t xml:space="preserve">spid_10_amt</t>
  </si>
  <si>
    <t xml:space="preserve">个别认定金额-账龄区间段10</t>
  </si>
  <si>
    <t xml:space="preserve">spid_11_amt</t>
  </si>
  <si>
    <t xml:space="preserve">个别认定金额-账龄区间段11</t>
  </si>
  <si>
    <t xml:space="preserve">spid_12_amt</t>
  </si>
  <si>
    <t xml:space="preserve">个别认定金额-账龄区间段12</t>
  </si>
  <si>
    <t xml:space="preserve">spid_13_amt</t>
  </si>
  <si>
    <t xml:space="preserve">个别认定金额-账龄区间段13</t>
  </si>
  <si>
    <t xml:space="preserve">spid_14_amt</t>
  </si>
  <si>
    <t xml:space="preserve">个别认定金额-账龄区间段14</t>
  </si>
  <si>
    <t xml:space="preserve">spid_15_amt</t>
  </si>
  <si>
    <t xml:space="preserve">个别认定金额-账龄区间段15</t>
  </si>
  <si>
    <t xml:space="preserve">lm_bd_afal_0_amt</t>
  </si>
  <si>
    <t xml:space="preserve">上月-分摊后坏账金额</t>
  </si>
  <si>
    <t xml:space="preserve">bd_prov_method</t>
  </si>
  <si>
    <t xml:space="preserve">坏账计提方法</t>
  </si>
  <si>
    <t xml:space="preserve">by_bcy_0_amt</t>
  </si>
  <si>
    <t xml:space="preserve">年初-本位币余额</t>
  </si>
  <si>
    <t xml:space="preserve">lm_bcy_0_amt</t>
  </si>
  <si>
    <t xml:space="preserve">上月-本位币余额</t>
  </si>
  <si>
    <t xml:space="preserve">ar_amt</t>
  </si>
  <si>
    <t xml:space="preserve">期末应收账款占用</t>
  </si>
  <si>
    <t xml:space="preserve">f1_odue_amt</t>
  </si>
  <si>
    <t xml:space="preserve">因素1-超期款金额</t>
  </si>
  <si>
    <t xml:space="preserve">f2_epay_amt</t>
  </si>
  <si>
    <t xml:space="preserve">因素2-提前回款金额</t>
  </si>
  <si>
    <t xml:space="preserve">f3_ecr_amt</t>
  </si>
  <si>
    <t xml:space="preserve">因素3-电商零售销售节奏</t>
  </si>
  <si>
    <t xml:space="preserve">f4_ureb_amt</t>
  </si>
  <si>
    <t xml:space="preserve">因素4-已确认未兑现返利余额</t>
  </si>
  <si>
    <t xml:space="preserve">f5_ufee_amt</t>
  </si>
  <si>
    <t xml:space="preserve">因素5-已账扣未报账的欠付费用</t>
  </si>
  <si>
    <t xml:space="preserve">f6_invsm_amt</t>
  </si>
  <si>
    <t xml:space="preserve">因素6-开票样机额度</t>
  </si>
  <si>
    <t xml:space="preserve">f7_gsub_amt</t>
  </si>
  <si>
    <t xml:space="preserve">因素7-国补未回款影响金额</t>
  </si>
  <si>
    <t xml:space="preserve">f8_adj_amt</t>
  </si>
  <si>
    <t xml:space="preserve">因素8手工导入因素</t>
  </si>
  <si>
    <t xml:space="preserve">d_adj_type</t>
  </si>
  <si>
    <t xml:space="preserve">调整类型</t>
  </si>
  <si>
    <t xml:space="preserve">rev_amt</t>
  </si>
  <si>
    <t xml:space="preserve">收入金额</t>
  </si>
  <si>
    <t xml:space="preserve">writeoff_amt</t>
  </si>
  <si>
    <t xml:space="preserve">核销金额</t>
  </si>
  <si>
    <t xml:space="preserve">pays_tran</t>
  </si>
  <si>
    <t xml:space="preserve">付款服务商的付款编号</t>
  </si>
  <si>
    <t xml:space="preserve">region_code</t>
  </si>
  <si>
    <t xml:space="preserve">大区编码</t>
  </si>
  <si>
    <t xml:space="preserve">region_name</t>
  </si>
  <si>
    <t xml:space="preserve">大区名称</t>
  </si>
  <si>
    <t xml:space="preserve">area_group_code</t>
  </si>
  <si>
    <t xml:space="preserve">区组编码</t>
  </si>
  <si>
    <t xml:space="preserve">area_group_name</t>
  </si>
  <si>
    <t xml:space="preserve">区组名称</t>
  </si>
  <si>
    <t xml:space="preserve">bus_model_code</t>
  </si>
  <si>
    <t xml:space="preserve">业务模式</t>
  </si>
  <si>
    <t xml:space="preserve">product_big_class_code</t>
  </si>
  <si>
    <t xml:space="preserve">产品大类编码</t>
  </si>
  <si>
    <t xml:space="preserve">product_big_class_name</t>
  </si>
  <si>
    <t xml:space="preserve">产品大类名称</t>
  </si>
  <si>
    <t xml:space="preserve">product_line_code</t>
  </si>
  <si>
    <t xml:space="preserve">产品线编码</t>
  </si>
  <si>
    <t xml:space="preserve">product_line_name</t>
  </si>
  <si>
    <t xml:space="preserve">产品线名称</t>
  </si>
  <si>
    <t xml:space="preserve">cust_pay_term</t>
  </si>
  <si>
    <t xml:space="preserve">客户账期编码</t>
  </si>
  <si>
    <t xml:space="preserve">data_scope_code</t>
  </si>
  <si>
    <t xml:space="preserve">范围</t>
  </si>
  <si>
    <t xml:space="preserve">voucher_dt</t>
  </si>
  <si>
    <t xml:space="preserve">凭证日期</t>
  </si>
  <si>
    <t xml:space="preserve">ecls_amt</t>
  </si>
  <si>
    <t xml:space="preserve">电商零售金额</t>
  </si>
  <si>
    <t xml:space="preserve">ins_cov_days</t>
  </si>
  <si>
    <t xml:space="preserve">投保-保障天数</t>
  </si>
  <si>
    <t xml:space="preserve">ins_uncov_rate</t>
  </si>
  <si>
    <t xml:space="preserve">投保-未覆盖比例</t>
  </si>
  <si>
    <t xml:space="preserve">tov_channel_code</t>
  </si>
  <si>
    <t xml:space="preserve">周转分析渠道编码</t>
  </si>
  <si>
    <t xml:space="preserve">tov_channel_name</t>
  </si>
  <si>
    <t xml:space="preserve">周转分析渠道名称</t>
  </si>
  <si>
    <t xml:space="preserve">dead_amt</t>
  </si>
  <si>
    <t xml:space="preserve">呆死金额</t>
  </si>
  <si>
    <t xml:space="preserve">risk_amt</t>
  </si>
  <si>
    <t xml:space="preserve">风险金额</t>
  </si>
  <si>
    <t xml:space="preserve">pay_method</t>
  </si>
  <si>
    <t xml:space="preserve">付款方式</t>
  </si>
  <si>
    <t xml:space="preserve">is_ln_age</t>
  </si>
  <si>
    <t xml:space="preserve">是否长账龄</t>
  </si>
  <si>
    <t xml:space="preserve">ln_age_rsn</t>
  </si>
  <si>
    <t xml:space="preserve">长账龄原因-大类</t>
  </si>
  <si>
    <t xml:space="preserve">is_abn</t>
  </si>
  <si>
    <t xml:space="preserve">是否异常</t>
  </si>
  <si>
    <t xml:space="preserve">is_exs</t>
  </si>
  <si>
    <t xml:space="preserve">是否存续</t>
  </si>
  <si>
    <t xml:space="preserve">susp_rsn</t>
  </si>
  <si>
    <t xml:space="preserve">varchar(2000)</t>
  </si>
  <si>
    <t xml:space="preserve">挂账原因</t>
  </si>
  <si>
    <t xml:space="preserve">clr_mea</t>
  </si>
  <si>
    <t xml:space="preserve">清理措施</t>
  </si>
  <si>
    <t xml:space="preserve">est_clr_dt</t>
  </si>
  <si>
    <t xml:space="preserve">预计清理时间</t>
  </si>
  <si>
    <t xml:space="preserve">clr_prog</t>
  </si>
  <si>
    <t xml:space="preserve">清理进度</t>
  </si>
  <si>
    <t xml:space="preserve">rsp_psn</t>
  </si>
  <si>
    <t xml:space="preserve">责任人</t>
  </si>
  <si>
    <t xml:space="preserve">mtd_bd_prov_amt</t>
  </si>
  <si>
    <t xml:space="preserve">本月应计提坏账余额</t>
  </si>
  <si>
    <t xml:space="preserve">pm_bd_prov_amt</t>
  </si>
  <si>
    <t xml:space="preserve">上月应计提坏账余额</t>
  </si>
  <si>
    <t xml:space="preserve">mtd_bd_prov_ocur_amt</t>
  </si>
  <si>
    <t xml:space="preserve">本月应计提坏账发生额</t>
  </si>
  <si>
    <t xml:space="preserve">is_adj</t>
  </si>
  <si>
    <t xml:space="preserve">是否调整</t>
  </si>
  <si>
    <t xml:space="preserve">adj_rsn</t>
  </si>
  <si>
    <t xml:space="preserve">调整原因</t>
  </si>
  <si>
    <t xml:space="preserve">prov_method</t>
  </si>
  <si>
    <t xml:space="preserve">计提方法</t>
  </si>
  <si>
    <t xml:space="preserve">d_bg</t>
  </si>
  <si>
    <t xml:space="preserve">事业部编码</t>
  </si>
  <si>
    <t xml:space="preserve">pln_beg_ar_amt</t>
  </si>
  <si>
    <t xml:space="preserve">计划-期初应收占用金额</t>
  </si>
  <si>
    <t xml:space="preserve">pln_lm_ar_amt</t>
  </si>
  <si>
    <t xml:space="preserve">计划-上月应收占用金额</t>
  </si>
  <si>
    <t xml:space="preserve">pln_end_ar_amt</t>
  </si>
  <si>
    <t xml:space="preserve">计划-期末应收占用金额</t>
  </si>
  <si>
    <t xml:space="preserve">pln_ytd_ar_amt</t>
  </si>
  <si>
    <t xml:space="preserve">计划-累计应收占用金额</t>
  </si>
  <si>
    <t xml:space="preserve">pln_mtd_rev_amt</t>
  </si>
  <si>
    <t xml:space="preserve">计划-本月收入金额</t>
  </si>
  <si>
    <t xml:space="preserve">pln_ytd_rev_amt</t>
  </si>
  <si>
    <t xml:space="preserve">计划-累计收入金额</t>
  </si>
  <si>
    <t xml:space="preserve">act_beg_ar_amt</t>
  </si>
  <si>
    <t xml:space="preserve">实际-期初应收占用金额</t>
  </si>
  <si>
    <t xml:space="preserve">act_lm_ar_amt</t>
  </si>
  <si>
    <t xml:space="preserve">实际-上月应收占用金额</t>
  </si>
  <si>
    <t xml:space="preserve">act_end_ar_amt</t>
  </si>
  <si>
    <t xml:space="preserve">实际-期末应收占用金额</t>
  </si>
  <si>
    <t xml:space="preserve">act_ytd_ar_amt</t>
  </si>
  <si>
    <t xml:space="preserve">实际-累计应收占用金额</t>
  </si>
  <si>
    <t xml:space="preserve">act_mtd_rev_amt</t>
  </si>
  <si>
    <t xml:space="preserve">实际-本月收入金额</t>
  </si>
  <si>
    <t xml:space="preserve">act_ytd_rev_amt</t>
  </si>
  <si>
    <t xml:space="preserve">实际-累计收入金额</t>
  </si>
  <si>
    <t xml:space="preserve">ly_beg_ar_amt</t>
  </si>
  <si>
    <t xml:space="preserve">同期-期初应收占用金额</t>
  </si>
  <si>
    <t xml:space="preserve">ly_lm_ar_amt</t>
  </si>
  <si>
    <t xml:space="preserve">同期-上月应收占用金额</t>
  </si>
  <si>
    <t xml:space="preserve">ly_end_ar_amt</t>
  </si>
  <si>
    <t xml:space="preserve">同期-期末应收占用金额</t>
  </si>
  <si>
    <t xml:space="preserve">ly_ytd_ar_amt</t>
  </si>
  <si>
    <t xml:space="preserve">同期-累计应收占用金额</t>
  </si>
  <si>
    <t xml:space="preserve">ly_mtd_rev_amt</t>
  </si>
  <si>
    <t xml:space="preserve">同期-本月收入金额</t>
  </si>
  <si>
    <t xml:space="preserve">ly_ytd_rev_amt</t>
  </si>
  <si>
    <t xml:space="preserve">同期-累计收入金额</t>
  </si>
  <si>
    <t xml:space="preserve">act_beg_f1_odue_amt</t>
  </si>
  <si>
    <t xml:space="preserve">实际-期初-因素1-超期款金额</t>
  </si>
  <si>
    <t xml:space="preserve">act_lm_f1_odue_amt</t>
  </si>
  <si>
    <t xml:space="preserve">实际-上月-因素1-超期款金额</t>
  </si>
  <si>
    <t xml:space="preserve">act_end_f1_odue_amt</t>
  </si>
  <si>
    <t xml:space="preserve">实际-期末-因素1-超期款金额</t>
  </si>
  <si>
    <t xml:space="preserve">act_ytd_f1_odue_amt</t>
  </si>
  <si>
    <t xml:space="preserve">实际-累计-因素1-超期款金额</t>
  </si>
  <si>
    <t xml:space="preserve">ly_beg_f1_odue_amt</t>
  </si>
  <si>
    <t xml:space="preserve">同期-期初-因素1-超期款金额</t>
  </si>
  <si>
    <t xml:space="preserve">ly_lm_f1_odue_amt</t>
  </si>
  <si>
    <t xml:space="preserve">同期-上月-因素1-超期款金额</t>
  </si>
  <si>
    <t xml:space="preserve">ly_end_f1_odue_amt</t>
  </si>
  <si>
    <t xml:space="preserve">同期-期末-因素1-超期款金额</t>
  </si>
  <si>
    <t xml:space="preserve">ly_ytd_f1_odue_amt</t>
  </si>
  <si>
    <t xml:space="preserve">同期-累计-因素1-超期款金额</t>
  </si>
  <si>
    <t xml:space="preserve">act_beg_f2_epay_amt</t>
  </si>
  <si>
    <t xml:space="preserve">实际-期初-因素2-提前回款金额</t>
  </si>
  <si>
    <t xml:space="preserve">act_lm_f2_epay_amt</t>
  </si>
  <si>
    <t xml:space="preserve">实际-上月-因素2-提前回款金额</t>
  </si>
  <si>
    <t xml:space="preserve">act_end_f2_epay_amt</t>
  </si>
  <si>
    <t xml:space="preserve">实际-期末-因素2-提前回款金额</t>
  </si>
  <si>
    <t xml:space="preserve">act_ytd_f2_epay_amt</t>
  </si>
  <si>
    <t xml:space="preserve">实际-累计-因素2-提前回款金额</t>
  </si>
  <si>
    <t xml:space="preserve">ly_beg_f2_epay_amt</t>
  </si>
  <si>
    <t xml:space="preserve">同期-期初-因素2-提前回款金额</t>
  </si>
  <si>
    <t xml:space="preserve">ly_lm_f2_epay_amt</t>
  </si>
  <si>
    <t xml:space="preserve">同期-上月-因素2-提前回款金额</t>
  </si>
  <si>
    <t xml:space="preserve">ly_end_f2_epay_amt</t>
  </si>
  <si>
    <t xml:space="preserve">同期-期末-因素2-提前回款金额</t>
  </si>
  <si>
    <t xml:space="preserve">ly_ytd_f2_epay_amt</t>
  </si>
  <si>
    <t xml:space="preserve">同期-累计-因素2-提前回款金额</t>
  </si>
  <si>
    <t xml:space="preserve">act_beg_f3_ecr_amt</t>
  </si>
  <si>
    <t xml:space="preserve">实际-期初-因素3-电商零售销售节奏</t>
  </si>
  <si>
    <t xml:space="preserve">act_lm_f3_ecr_amt</t>
  </si>
  <si>
    <t xml:space="preserve">实际-上月-因素3-电商零售销售节奏</t>
  </si>
  <si>
    <t xml:space="preserve">act_end_f3_ecr_amt</t>
  </si>
  <si>
    <t xml:space="preserve">实际-期末-因素3-电商零售销售节奏</t>
  </si>
  <si>
    <t xml:space="preserve">act_ytd_f3_ecr_amt</t>
  </si>
  <si>
    <t xml:space="preserve">实际-累计-因素3-电商零售销售节奏</t>
  </si>
  <si>
    <t xml:space="preserve">ly_beg_f3_ecr_amt</t>
  </si>
  <si>
    <t xml:space="preserve">同期-期初-因素3-电商零售销售节奏</t>
  </si>
  <si>
    <t xml:space="preserve">ly_lm_f3_ecr_amt</t>
  </si>
  <si>
    <t xml:space="preserve">同期-上月-因素3-电商零售销售节奏</t>
  </si>
  <si>
    <t xml:space="preserve">ly_end_f3_ecr_amt</t>
  </si>
  <si>
    <t xml:space="preserve">同期-期末-因素3-电商零售销售节奏</t>
  </si>
  <si>
    <t xml:space="preserve">ly_ytd_f3_ecr_amt</t>
  </si>
  <si>
    <t xml:space="preserve">同期-累计-因素3-电商零售销售节奏</t>
  </si>
  <si>
    <t xml:space="preserve">act_beg_f4_ureb_amt</t>
  </si>
  <si>
    <t xml:space="preserve">实际-期初-因素4-已确认未兑现返利余额</t>
  </si>
  <si>
    <t xml:space="preserve">act_lm_f4_ureb_amt</t>
  </si>
  <si>
    <t xml:space="preserve">实际-上月-因素4-已确认未兑现返利余额</t>
  </si>
  <si>
    <t xml:space="preserve">act_end_f4_ureb_amt</t>
  </si>
  <si>
    <t xml:space="preserve">实际-期末-因素4-已确认未兑现返利余额</t>
  </si>
  <si>
    <t xml:space="preserve">act_ytd_f4_ureb_amt</t>
  </si>
  <si>
    <t xml:space="preserve">实际-累计-因素4-已确认未兑现返利余额</t>
  </si>
  <si>
    <t xml:space="preserve">ly_beg_f4_ureb_amt</t>
  </si>
  <si>
    <t xml:space="preserve">同期-期初-因素4-已确认未兑现返利余额</t>
  </si>
  <si>
    <t xml:space="preserve">ly_lm_f4_ureb_amt</t>
  </si>
  <si>
    <t xml:space="preserve">同期-上月-因素4-已确认未兑现返利余额</t>
  </si>
  <si>
    <t xml:space="preserve">ly_end_f4_ureb_amt</t>
  </si>
  <si>
    <t xml:space="preserve">同期-期末-因素4-已确认未兑现返利余额</t>
  </si>
  <si>
    <t xml:space="preserve">ly_ytd_f4_ureb_amt</t>
  </si>
  <si>
    <t xml:space="preserve">同期-累计-因素4-已确认未兑现返利余额</t>
  </si>
  <si>
    <t xml:space="preserve">act_beg_f5_ufee_amt</t>
  </si>
  <si>
    <t xml:space="preserve">实际-期初-因素5-已账扣未报账的欠付费用</t>
  </si>
  <si>
    <t xml:space="preserve">act_lm_f5_ufee_amt</t>
  </si>
  <si>
    <t xml:space="preserve">实际-上月-因素5-已账扣未报账的欠付费用</t>
  </si>
  <si>
    <t xml:space="preserve">act_end_f5_ufee_amt</t>
  </si>
  <si>
    <t xml:space="preserve">实际-期末-因素5-已账扣未报账的欠付费用</t>
  </si>
  <si>
    <t xml:space="preserve">act_ytd_f5_ufee_amt</t>
  </si>
  <si>
    <t xml:space="preserve">累计-因素5-已账扣未报账的欠付费用</t>
  </si>
  <si>
    <t xml:space="preserve">ly_beg_f5_ufee_amt</t>
  </si>
  <si>
    <t xml:space="preserve">同期-期初-因素5-已账扣未报账的欠付费用</t>
  </si>
  <si>
    <t xml:space="preserve">ly_lm_f5_ufee_amt</t>
  </si>
  <si>
    <t xml:space="preserve">同期-上月-因素5-已账扣未报账的欠付费用</t>
  </si>
  <si>
    <t xml:space="preserve">ly_end_f5_ufee_amt</t>
  </si>
  <si>
    <t xml:space="preserve">同期-期末-因素5-已账扣未报账的欠付费用</t>
  </si>
  <si>
    <t xml:space="preserve">ly_ytd_f5_ufee_amt</t>
  </si>
  <si>
    <t xml:space="preserve">同期-累计-因素5-已账扣未报账的欠付费用</t>
  </si>
  <si>
    <t xml:space="preserve">act_beg_f6_invsm_amt</t>
  </si>
  <si>
    <t xml:space="preserve">实际-期初-因素6-开票样机额度</t>
  </si>
  <si>
    <t xml:space="preserve">act_lm_f6_invsm_amt</t>
  </si>
  <si>
    <t xml:space="preserve">实际-上月-因素6-开票样机额度</t>
  </si>
  <si>
    <t xml:space="preserve">act_end_f6_invsm_amt</t>
  </si>
  <si>
    <t xml:space="preserve">实际-期末-因素6-开票样机额度</t>
  </si>
  <si>
    <t xml:space="preserve">act_ytd_f6_invsm_amt</t>
  </si>
  <si>
    <t xml:space="preserve">实际-累计-因素6-开票样机额度</t>
  </si>
  <si>
    <t xml:space="preserve">ly_beg_f6_invsm_amt</t>
  </si>
  <si>
    <t xml:space="preserve">同期-期初-因素6-开票样机额度</t>
  </si>
  <si>
    <t xml:space="preserve">ly_lm_f6_invsm_amt</t>
  </si>
  <si>
    <t xml:space="preserve">同期-上月-因素6-开票样机额度</t>
  </si>
  <si>
    <t xml:space="preserve">ly_end_f6_invsm_amt</t>
  </si>
  <si>
    <t xml:space="preserve">同期-期末-因素6-开票样机额度</t>
  </si>
  <si>
    <t xml:space="preserve">ly_ytd_f6_invsm_amt</t>
  </si>
  <si>
    <t xml:space="preserve">同期-累计-因素6-开票样机额度</t>
  </si>
  <si>
    <t xml:space="preserve">act_beg_f7_gsub_amt</t>
  </si>
  <si>
    <t xml:space="preserve">实际-期初-因素7-国补未回款影响金额</t>
  </si>
  <si>
    <t xml:space="preserve">act_lm_f7_gsub_amt</t>
  </si>
  <si>
    <t xml:space="preserve">实际-上月-因素7-国补未回款影响金额</t>
  </si>
  <si>
    <t xml:space="preserve">act_end_f7_gsub_amt</t>
  </si>
  <si>
    <t xml:space="preserve">实际-期末-因素7-国补未回款影响金额</t>
  </si>
  <si>
    <t xml:space="preserve">act_ytd_f7_gsub_amt</t>
  </si>
  <si>
    <t xml:space="preserve">实际-累计-因素7-国补未回款影响金额</t>
  </si>
  <si>
    <t xml:space="preserve">ly_beg_f7_gsub_amt</t>
  </si>
  <si>
    <t xml:space="preserve">同期-期初-因素7-国补未回款影响金额</t>
  </si>
  <si>
    <t xml:space="preserve">ly_lm_f7_gsub_amt</t>
  </si>
  <si>
    <t xml:space="preserve">同期-上月-因素7-国补未回款影响金额</t>
  </si>
  <si>
    <t xml:space="preserve">ly_end_f7_gsub_amt</t>
  </si>
  <si>
    <t xml:space="preserve">同期-期末-因素7-国补未回款影响金额</t>
  </si>
  <si>
    <t xml:space="preserve">ly_ytd_f7_gsub_amt</t>
  </si>
  <si>
    <t xml:space="preserve">同期-累计-因素7-国补未回款影响金额</t>
  </si>
  <si>
    <t xml:space="preserve">act_beg_f8_adj_amt</t>
  </si>
  <si>
    <t xml:space="preserve">实际-期初-因素8手工导入因素</t>
  </si>
  <si>
    <t xml:space="preserve">act_lm_f8_adj_amt</t>
  </si>
  <si>
    <t xml:space="preserve">实际-上月-因素8手工导入因素</t>
  </si>
  <si>
    <t xml:space="preserve">act_end_f8_adj_amt</t>
  </si>
  <si>
    <t xml:space="preserve">实际-期末-因素8手工导入因素</t>
  </si>
  <si>
    <t xml:space="preserve">act_ytd_f8_adj_amt</t>
  </si>
  <si>
    <t xml:space="preserve">实际-累计-因素8手工导入因素</t>
  </si>
  <si>
    <t xml:space="preserve">ly_beg_f8_adj_amt</t>
  </si>
  <si>
    <t xml:space="preserve">同期-期初-因素8手工导入因素</t>
  </si>
  <si>
    <t xml:space="preserve">ly_lm_f8_adj_amt</t>
  </si>
  <si>
    <t xml:space="preserve">同期-上月-因素8手工导入因素</t>
  </si>
  <si>
    <t xml:space="preserve">ly_end_f8_adj_amt</t>
  </si>
  <si>
    <t xml:space="preserve">同期-期末-因素8手工导入因素</t>
  </si>
  <si>
    <t xml:space="preserve">ly_ytd_f8_adj_amt</t>
  </si>
  <si>
    <t xml:space="preserve">同期-累计-因素8手工导入因素</t>
  </si>
  <si>
    <t xml:space="preserve">cc_cust_group_code</t>
  </si>
  <si>
    <t xml:space="preserve">商冷客户群编码</t>
  </si>
  <si>
    <t xml:space="preserve">cc_cust_group_name</t>
  </si>
  <si>
    <t xml:space="preserve">商冷客户群名称</t>
  </si>
  <si>
    <t xml:space="preserve">aging_seg_code</t>
  </si>
  <si>
    <t xml:space="preserve">账龄段编码</t>
  </si>
  <si>
    <t xml:space="preserve">aging_seg_name</t>
  </si>
  <si>
    <t xml:space="preserve">账龄段名称</t>
  </si>
  <si>
    <t xml:space="preserve">is_apar_flag</t>
  </si>
  <si>
    <t xml:space="preserve">账龄是否进数</t>
  </si>
  <si>
    <t xml:space="preserve">note</t>
  </si>
  <si>
    <t xml:space="preserve">备注</t>
  </si>
  <si>
    <t xml:space="preserve">is_rec</t>
  </si>
  <si>
    <t xml:space="preserve">是否重分类</t>
  </si>
  <si>
    <t xml:space="preserve">rec_flag</t>
  </si>
  <si>
    <t xml:space="preserve">重分类标识</t>
  </si>
  <si>
    <t xml:space="preserve">amt_flag</t>
  </si>
  <si>
    <t xml:space="preserve">金额条件</t>
  </si>
  <si>
    <t xml:space="preserve">acct_cert_status</t>
  </si>
  <si>
    <t xml:space="preserve">凭证状态</t>
  </si>
  <si>
    <t xml:space="preserve">bill_cert_item</t>
  </si>
  <si>
    <t xml:space="preserve">开票凭证行项目</t>
  </si>
  <si>
    <t xml:space="preserve">bill_cert_id</t>
  </si>
  <si>
    <t xml:space="preserve">开票凭证</t>
  </si>
  <si>
    <t xml:space="preserve">acct_cert_id</t>
  </si>
  <si>
    <t xml:space="preserve">凭证号</t>
  </si>
  <si>
    <t xml:space="preserve">acct_cert_item</t>
  </si>
  <si>
    <t xml:space="preserve">凭证行项目</t>
  </si>
  <si>
    <t xml:space="preserve">UFEE_UREB_FLAG</t>
  </si>
  <si>
    <t xml:space="preserve">返利/费用标识</t>
  </si>
  <si>
    <t xml:space="preserve">ECLS_FLAG</t>
  </si>
  <si>
    <t xml:space="preserve">电商零售标识</t>
  </si>
  <si>
    <t xml:space="preserve">cust_unity_code</t>
  </si>
  <si>
    <t xml:space="preserve">统一客户组编码</t>
  </si>
  <si>
    <t xml:space="preserve">cust_unity_name</t>
  </si>
  <si>
    <t xml:space="preserve">统一客户组名称</t>
  </si>
  <si>
    <t xml:space="preserve">region_flag</t>
  </si>
  <si>
    <t xml:space="preserve">大区标识</t>
  </si>
  <si>
    <t xml:space="preserve">area_group_flag</t>
  </si>
  <si>
    <t xml:space="preserve">区组标识</t>
  </si>
  <si>
    <t xml:space="preserve">company_src_code</t>
  </si>
  <si>
    <t xml:space="preserve">原始组织编码</t>
  </si>
  <si>
    <t xml:space="preserve">ACCT_REC_CODE</t>
  </si>
  <si>
    <t xml:space="preserve">重分类科目编码</t>
  </si>
  <si>
    <t xml:space="preserve">netrcp_dt</t>
  </si>
  <si>
    <t xml:space="preserve">净收付日期</t>
  </si>
  <si>
    <t xml:space="preserve">D_CC_CUSTGRP</t>
  </si>
  <si>
    <t xml:space="preserve">商冷客户群</t>
  </si>
  <si>
    <t xml:space="preserve">D_TOV_CHAN</t>
  </si>
  <si>
    <t xml:space="preserve">周转分析渠道</t>
  </si>
  <si>
    <t xml:space="preserve">QCY_INS_CODE</t>
  </si>
  <si>
    <t xml:space="preserve">投保币种</t>
  </si>
  <si>
    <t xml:space="preserve">QCY_INS_AMT</t>
  </si>
  <si>
    <t xml:space="preserve">投保金额-交易币</t>
  </si>
  <si>
    <t xml:space="preserve">INS_CLM_RATIO</t>
  </si>
  <si>
    <t xml:space="preserve">赔付比例</t>
  </si>
  <si>
    <t xml:space="preserve">QCY_INS_DDBL_AMT</t>
  </si>
  <si>
    <t xml:space="preserve">免赔额（自负额）-交易币</t>
  </si>
  <si>
    <t xml:space="preserve">VALID_FR</t>
  </si>
  <si>
    <t xml:space="preserve">开始时间</t>
  </si>
  <si>
    <t xml:space="preserve">VALID_TO</t>
  </si>
  <si>
    <t xml:space="preserve">结束时间</t>
  </si>
  <si>
    <t xml:space="preserve">BCY_INS_AMT</t>
  </si>
  <si>
    <t xml:space="preserve">投保金额-本位币</t>
  </si>
  <si>
    <t xml:space="preserve">BCY_INS_DDBL_AMT</t>
  </si>
  <si>
    <t xml:space="preserve">免赔额（自负额）-本位币</t>
  </si>
  <si>
    <t xml:space="preserve">MTD_END_RATE</t>
  </si>
  <si>
    <t xml:space="preserve">本月期末汇率</t>
  </si>
  <si>
    <t xml:space="preserve">INS_UNCOV_RATIO</t>
  </si>
  <si>
    <t xml:space="preserve">未覆盖比例</t>
  </si>
  <si>
    <t xml:space="preserve">调整数据</t>
  </si>
  <si>
    <t xml:space="preserve">调整涉及表单</t>
  </si>
  <si>
    <t xml:space="preserve">调整方案</t>
  </si>
  <si>
    <t xml:space="preserve">场景</t>
  </si>
  <si>
    <t xml:space="preserve">期间</t>
  </si>
  <si>
    <t xml:space="preserve">公司</t>
  </si>
  <si>
    <t xml:space="preserve">科目</t>
  </si>
  <si>
    <t xml:space="preserve">数据分类</t>
  </si>
  <si>
    <t xml:space="preserve">客商编码</t>
  </si>
  <si>
    <t xml:space="preserve">客商名称</t>
  </si>
  <si>
    <t xml:space="preserve">利润中心编码</t>
  </si>
  <si>
    <t xml:space="preserve">本位币金额-本月账龄</t>
  </si>
  <si>
    <t xml:space="preserve">维度类的、原始账面应收余额及账龄段、出库未开退货未办</t>
  </si>
  <si>
    <t xml:space="preserve">不允许修改</t>
  </si>
  <si>
    <t xml:space="preserve">超期款
提前回款
欠付费用
欠付返利
开票样机额度
国补未回款
手工导入影响因素
坏账计提调整项-直销垫资
坏账计提调整项-煤改电扣减
坏账计提调整项-投保扣减</t>
  </si>
  <si>
    <t xml:space="preserve">超期款金额、提前回款、欠付费用、欠付返利、开票样机额度允许调整</t>
  </si>
  <si>
    <t xml:space="preserve">往来账龄表</t>
  </si>
  <si>
    <t xml:space="preserve">在《往来账龄计算底稿》中加行调整，通过数据分类区分</t>
  </si>
  <si>
    <t xml:space="preserve">应收占用影响因素-国补未回款、手工导入影响因素</t>
  </si>
  <si>
    <t xml:space="preserve">应收占用明细表</t>
  </si>
  <si>
    <t xml:space="preserve">往来账龄表手工列信息补充-比如呆死金额、账龄原因等</t>
  </si>
  <si>
    <t xml:space="preserve">在《往来账龄结果表》原行调整</t>
  </si>
  <si>
    <t xml:space="preserve">坏账计提表-直销垫资、煤改电、投保扣减</t>
  </si>
  <si>
    <t xml:space="preserve">坏账计提表</t>
  </si>
  <si>
    <t xml:space="preserve">坏账计提表-个别认定金额</t>
  </si>
  <si>
    <t xml:space="preserve">单独调整个别认定的表单</t>
  </si>
  <si>
    <t xml:space="preserve">渠道的周转和整体的周转计划导入表</t>
  </si>
  <si>
    <t xml:space="preserve">周转分析表-整体、渠道</t>
  </si>
  <si>
    <t xml:space="preserve">单独做计划模版的导入</t>
  </si>
  <si>
    <t xml:space="preserve">行标签</t>
  </si>
  <si>
    <t xml:space="preserve">求和项:期末余额</t>
  </si>
  <si>
    <t xml:space="preserve">6917640577036791617</t>
  </si>
  <si>
    <t xml:space="preserve">6917642981880639446</t>
  </si>
  <si>
    <t xml:space="preserve">6917643322270822311</t>
  </si>
  <si>
    <t xml:space="preserve">6917645898185387036</t>
  </si>
  <si>
    <t xml:space="preserve">6917647644735254422</t>
  </si>
  <si>
    <t xml:space="preserve">6917654319076486256</t>
  </si>
  <si>
    <t xml:space="preserve">6928680108262325881</t>
  </si>
  <si>
    <t xml:space="preserve">6928769367875288262</t>
  </si>
  <si>
    <t xml:space="preserve">6928775664482353035</t>
  </si>
  <si>
    <t xml:space="preserve">6928785645768638162</t>
  </si>
  <si>
    <t xml:space="preserve">6928790794374512578</t>
  </si>
  <si>
    <t xml:space="preserve">6928791365314576244</t>
  </si>
  <si>
    <t xml:space="preserve">6928792240672767519</t>
  </si>
  <si>
    <t xml:space="preserve">6928793094901038452</t>
  </si>
  <si>
    <t xml:space="preserve">6928798658666724449</t>
  </si>
  <si>
    <t xml:space="preserve">6928800801206271101</t>
  </si>
  <si>
    <t xml:space="preserve">6928811591500595064</t>
  </si>
  <si>
    <t xml:space="preserve">6928813655055171511</t>
  </si>
  <si>
    <t xml:space="preserve">6928820686075690911</t>
  </si>
  <si>
    <t xml:space="preserve">6928824059301494212</t>
  </si>
  <si>
    <t xml:space="preserve">6928834631213415847</t>
  </si>
  <si>
    <t xml:space="preserve">6928835245833092630</t>
  </si>
  <si>
    <t xml:space="preserve">6928836718303870180</t>
  </si>
  <si>
    <t xml:space="preserve">6928842771505380971</t>
  </si>
  <si>
    <t xml:space="preserve">6928847240650194416</t>
  </si>
  <si>
    <t xml:space="preserve">6928847648745684206</t>
  </si>
  <si>
    <t xml:space="preserve">6928848859075738637</t>
  </si>
  <si>
    <t xml:space="preserve">6928852270969158701</t>
  </si>
  <si>
    <t xml:space="preserve">6928866686596120172</t>
  </si>
  <si>
    <t xml:space="preserve">6928868959832145758</t>
  </si>
  <si>
    <t xml:space="preserve">6928870817426669333</t>
  </si>
  <si>
    <t xml:space="preserve">6928873181337910897</t>
  </si>
  <si>
    <t xml:space="preserve">6928879063029021965</t>
  </si>
  <si>
    <t xml:space="preserve">6928879651322363756</t>
  </si>
  <si>
    <t xml:space="preserve">6928884369481367024</t>
  </si>
  <si>
    <t xml:space="preserve">6928885570522152578</t>
  </si>
  <si>
    <t xml:space="preserve">6928889945743523663</t>
  </si>
  <si>
    <t xml:space="preserve">6928890517059435805</t>
  </si>
  <si>
    <t xml:space="preserve">6928897195219124069</t>
  </si>
  <si>
    <t xml:space="preserve">6928898917031902726</t>
  </si>
  <si>
    <t xml:space="preserve">6928900133855722919</t>
  </si>
  <si>
    <t xml:space="preserve">6928901452705136405</t>
  </si>
  <si>
    <t xml:space="preserve">6928908779901517315</t>
  </si>
  <si>
    <t xml:space="preserve">6928909605188107597</t>
  </si>
  <si>
    <t xml:space="preserve">6928912719298133867</t>
  </si>
  <si>
    <t xml:space="preserve">6928914491748089338</t>
  </si>
  <si>
    <t xml:space="preserve">6928918795521588853</t>
  </si>
  <si>
    <t xml:space="preserve">6928928050070191867</t>
  </si>
  <si>
    <t xml:space="preserve">6928931372749651745</t>
  </si>
  <si>
    <t xml:space="preserve">6928934951747746826</t>
  </si>
  <si>
    <t xml:space="preserve">6928941150683692393</t>
  </si>
  <si>
    <t xml:space="preserve">6928942280984985124</t>
  </si>
  <si>
    <t xml:space="preserve">6928944881642798196</t>
  </si>
  <si>
    <t xml:space="preserve">6928945810921913760</t>
  </si>
  <si>
    <t xml:space="preserve">6928945844690124449</t>
  </si>
  <si>
    <t xml:space="preserve">6928948323585851220</t>
  </si>
  <si>
    <t xml:space="preserve">6928950431463275811</t>
  </si>
  <si>
    <t xml:space="preserve">6928950888962227386</t>
  </si>
  <si>
    <t xml:space="preserve">6928952860169633186</t>
  </si>
  <si>
    <t xml:space="preserve">6928953536705756204</t>
  </si>
  <si>
    <t xml:space="preserve">6928956141214137812</t>
  </si>
  <si>
    <t xml:space="preserve">6928958216164179106</t>
  </si>
  <si>
    <t xml:space="preserve">6928958989086063710</t>
  </si>
  <si>
    <t xml:space="preserve">6928959514475724722</t>
  </si>
  <si>
    <t xml:space="preserve">6928963130848607996</t>
  </si>
  <si>
    <t xml:space="preserve">6928963995259731219</t>
  </si>
  <si>
    <t xml:space="preserve">6928970177661468452</t>
  </si>
  <si>
    <t xml:space="preserve">6928971995034451383</t>
  </si>
  <si>
    <t xml:space="preserve">6928982796481625952</t>
  </si>
  <si>
    <t xml:space="preserve">6928984348039151111</t>
  </si>
  <si>
    <t xml:space="preserve">6928984768172293525</t>
  </si>
  <si>
    <t xml:space="preserve">6928990905633570578</t>
  </si>
  <si>
    <t xml:space="preserve">6928991109396922327</t>
  </si>
  <si>
    <t xml:space="preserve">6928997616229252363</t>
  </si>
  <si>
    <t xml:space="preserve">6929000025840451469</t>
  </si>
  <si>
    <t xml:space="preserve">6929002019057532035</t>
  </si>
  <si>
    <t xml:space="preserve">6929010562165079560</t>
  </si>
  <si>
    <t xml:space="preserve">6929021260513312571</t>
  </si>
  <si>
    <t xml:space="preserve">6929021498821082486</t>
  </si>
  <si>
    <t xml:space="preserve">6929022707456966286</t>
  </si>
  <si>
    <t xml:space="preserve">6929025997031570998</t>
  </si>
  <si>
    <t xml:space="preserve">6929026878491360682</t>
  </si>
  <si>
    <t xml:space="preserve">6929034902485368013</t>
  </si>
  <si>
    <t xml:space="preserve">6929039895096950579</t>
  </si>
  <si>
    <t xml:space="preserve">6929040037545540927</t>
  </si>
  <si>
    <t xml:space="preserve">6929040520607334017</t>
  </si>
  <si>
    <t xml:space="preserve">6929045602873474984</t>
  </si>
  <si>
    <t xml:space="preserve">6945076242421454252</t>
  </si>
  <si>
    <t xml:space="preserve">6955212702352807907</t>
  </si>
  <si>
    <t xml:space="preserve">6955227659339896357</t>
  </si>
  <si>
    <t xml:space="preserve">6955248043895297651</t>
  </si>
  <si>
    <t xml:space="preserve">6955255133529053061</t>
  </si>
  <si>
    <t xml:space="preserve">6955265927289312398</t>
  </si>
  <si>
    <t xml:space="preserve">6955269914075534916</t>
  </si>
  <si>
    <t xml:space="preserve">6955279813184787705</t>
  </si>
  <si>
    <t xml:space="preserve">6955284253129905911</t>
  </si>
  <si>
    <t xml:space="preserve">6955294006385841604</t>
  </si>
  <si>
    <t xml:space="preserve">6955300598821164612</t>
  </si>
  <si>
    <t xml:space="preserve">6955302786016155055</t>
  </si>
  <si>
    <t xml:space="preserve">6955309831005411202</t>
  </si>
  <si>
    <t xml:space="preserve">6955311763656283797</t>
  </si>
  <si>
    <t xml:space="preserve">6955315887915275780</t>
  </si>
  <si>
    <t xml:space="preserve">6955320460898145830</t>
  </si>
  <si>
    <t xml:space="preserve">6955321330698097772</t>
  </si>
  <si>
    <t xml:space="preserve">6955328958008530692</t>
  </si>
  <si>
    <t xml:space="preserve">6955329267271407226</t>
  </si>
  <si>
    <t xml:space="preserve">6955332023193835276</t>
  </si>
  <si>
    <t xml:space="preserve">6955337586503128147</t>
  </si>
  <si>
    <t xml:space="preserve">6955346571469199052</t>
  </si>
  <si>
    <t xml:space="preserve">6955349057113822217</t>
  </si>
  <si>
    <t xml:space="preserve">6955353578500265074</t>
  </si>
  <si>
    <t xml:space="preserve">6955361201976645252</t>
  </si>
  <si>
    <t xml:space="preserve">6955364057739629638</t>
  </si>
  <si>
    <t xml:space="preserve">6955370214812554986</t>
  </si>
  <si>
    <t xml:space="preserve">6955374218808727306</t>
  </si>
  <si>
    <t xml:space="preserve">6955374891157755148</t>
  </si>
  <si>
    <t xml:space="preserve">6955387135193913175</t>
  </si>
  <si>
    <t xml:space="preserve">6955387284497503293</t>
  </si>
  <si>
    <t xml:space="preserve">6955388730479089515</t>
  </si>
  <si>
    <t xml:space="preserve">6955391724758635779</t>
  </si>
  <si>
    <t xml:space="preserve">6955393728906204537</t>
  </si>
  <si>
    <t xml:space="preserve">6955394921768555834</t>
  </si>
  <si>
    <t xml:space="preserve">6955396467159602204</t>
  </si>
  <si>
    <t xml:space="preserve">6955400831421584431</t>
  </si>
  <si>
    <t xml:space="preserve">6955401764064007925</t>
  </si>
  <si>
    <t xml:space="preserve">6955401974519437229</t>
  </si>
  <si>
    <t xml:space="preserve">6955402928727725566</t>
  </si>
  <si>
    <t xml:space="preserve">6955403761339143941</t>
  </si>
  <si>
    <t xml:space="preserve">6955404454278797215</t>
  </si>
  <si>
    <t xml:space="preserve">6955406807417296131</t>
  </si>
  <si>
    <t xml:space="preserve">6955408013438227835</t>
  </si>
  <si>
    <t xml:space="preserve">6955408111999456984</t>
  </si>
  <si>
    <t xml:space="preserve">6955410185444136030</t>
  </si>
  <si>
    <t xml:space="preserve">6955411693337253823</t>
  </si>
  <si>
    <t xml:space="preserve">6955412452236072378</t>
  </si>
  <si>
    <t xml:space="preserve">6955416910304056392</t>
  </si>
  <si>
    <t xml:space="preserve">6955427798783367102</t>
  </si>
  <si>
    <t xml:space="preserve">6955429085395883657</t>
  </si>
  <si>
    <t xml:space="preserve">6955432282828904060</t>
  </si>
  <si>
    <t xml:space="preserve">6955433874667017981</t>
  </si>
  <si>
    <t xml:space="preserve">6955438251796141636</t>
  </si>
  <si>
    <t xml:space="preserve">6955442926360597706</t>
  </si>
  <si>
    <t xml:space="preserve">6955444330755855527</t>
  </si>
  <si>
    <t xml:space="preserve">6955446069854607307</t>
  </si>
  <si>
    <t xml:space="preserve">6955446890749302317</t>
  </si>
  <si>
    <t xml:space="preserve">6955447012058142607</t>
  </si>
  <si>
    <t xml:space="preserve">6955447878837344214</t>
  </si>
  <si>
    <t xml:space="preserve">6955448115591714372</t>
  </si>
  <si>
    <t xml:space="preserve">6955448521258177849</t>
  </si>
  <si>
    <t xml:space="preserve">6955448629464078195</t>
  </si>
  <si>
    <t xml:space="preserve">6955450958760121989</t>
  </si>
  <si>
    <t xml:space="preserve">6955453709923653012</t>
  </si>
  <si>
    <t xml:space="preserve">6955455223388706414</t>
  </si>
  <si>
    <t xml:space="preserve">6955455399808144567</t>
  </si>
  <si>
    <t xml:space="preserve">6955456253562722259</t>
  </si>
  <si>
    <t xml:space="preserve">6955456262358635877</t>
  </si>
  <si>
    <t xml:space="preserve">6955457593500702138</t>
  </si>
  <si>
    <t xml:space="preserve">6955458920272041896</t>
  </si>
  <si>
    <t xml:space="preserve">6955459824109950901</t>
  </si>
  <si>
    <t xml:space="preserve">6955460998774462327</t>
  </si>
  <si>
    <t xml:space="preserve">6955463691445933260</t>
  </si>
  <si>
    <t xml:space="preserve">6955467942026090122</t>
  </si>
  <si>
    <t xml:space="preserve">6955470758261298784</t>
  </si>
  <si>
    <t xml:space="preserve">6955471947043968814</t>
  </si>
  <si>
    <t xml:space="preserve">6955472374004782729</t>
  </si>
  <si>
    <t xml:space="preserve">6955472397438687050</t>
  </si>
  <si>
    <t xml:space="preserve">6955473802602157963</t>
  </si>
  <si>
    <t xml:space="preserve">6955475572583568644</t>
  </si>
  <si>
    <t xml:space="preserve">6955478612953339426</t>
  </si>
  <si>
    <t xml:space="preserve">6955478843670074507</t>
  </si>
  <si>
    <t xml:space="preserve">6955484924713113301</t>
  </si>
  <si>
    <t xml:space="preserve">6955488523702768762</t>
  </si>
  <si>
    <t xml:space="preserve">6955492166093772410</t>
  </si>
  <si>
    <t xml:space="preserve">6955500595718198616</t>
  </si>
  <si>
    <t xml:space="preserve">6955504385216222991</t>
  </si>
  <si>
    <t xml:space="preserve">6955507018971878539</t>
  </si>
  <si>
    <t xml:space="preserve">6955513878898415473</t>
  </si>
  <si>
    <t xml:space="preserve">6955539393357419618</t>
  </si>
  <si>
    <t xml:space="preserve">6955547115490973547</t>
  </si>
  <si>
    <t xml:space="preserve">6955547910783374697</t>
  </si>
  <si>
    <t xml:space="preserve">A01042</t>
  </si>
  <si>
    <t xml:space="preserve">A01186</t>
  </si>
  <si>
    <t xml:space="preserve">A01201</t>
  </si>
  <si>
    <t xml:space="preserve">A01202</t>
  </si>
  <si>
    <t xml:space="preserve">A01203</t>
  </si>
  <si>
    <t xml:space="preserve">A01204</t>
  </si>
  <si>
    <t xml:space="preserve">A01205</t>
  </si>
  <si>
    <t xml:space="preserve">A01206</t>
  </si>
  <si>
    <t xml:space="preserve">A01207</t>
  </si>
  <si>
    <t xml:space="preserve">A01208</t>
  </si>
  <si>
    <t xml:space="preserve">A01209</t>
  </si>
  <si>
    <t xml:space="preserve">A01210</t>
  </si>
  <si>
    <t xml:space="preserve">A01211</t>
  </si>
  <si>
    <t xml:space="preserve">A01213</t>
  </si>
  <si>
    <t xml:space="preserve">A01214</t>
  </si>
  <si>
    <t xml:space="preserve">A01215</t>
  </si>
  <si>
    <t xml:space="preserve">A01216</t>
  </si>
  <si>
    <t xml:space="preserve">A01217</t>
  </si>
  <si>
    <t xml:space="preserve">A01218</t>
  </si>
  <si>
    <t xml:space="preserve">A01219</t>
  </si>
  <si>
    <t xml:space="preserve">A01220</t>
  </si>
  <si>
    <t xml:space="preserve">A01221</t>
  </si>
  <si>
    <t xml:space="preserve">A01222</t>
  </si>
  <si>
    <t xml:space="preserve">A01223</t>
  </si>
  <si>
    <t xml:space="preserve">A01224</t>
  </si>
  <si>
    <t xml:space="preserve">A01225</t>
  </si>
  <si>
    <t xml:space="preserve">A01226</t>
  </si>
  <si>
    <t xml:space="preserve">A01227</t>
  </si>
  <si>
    <t xml:space="preserve">A01228</t>
  </si>
  <si>
    <t xml:space="preserve">A01230</t>
  </si>
  <si>
    <t xml:space="preserve">A01231</t>
  </si>
  <si>
    <t xml:space="preserve">A01232</t>
  </si>
  <si>
    <t xml:space="preserve">A01233</t>
  </si>
  <si>
    <t xml:space="preserve">A01234</t>
  </si>
  <si>
    <t xml:space="preserve">A01801</t>
  </si>
  <si>
    <t xml:space="preserve">A04005</t>
  </si>
  <si>
    <t xml:space="preserve">A04008</t>
  </si>
  <si>
    <t xml:space="preserve">A06005</t>
  </si>
  <si>
    <t xml:space="preserve">A06008</t>
  </si>
  <si>
    <t xml:space="preserve">A06840</t>
  </si>
  <si>
    <t xml:space="preserve">A06852</t>
  </si>
  <si>
    <t xml:space="preserve">A06853</t>
  </si>
  <si>
    <t xml:space="preserve">A06854</t>
  </si>
  <si>
    <t xml:space="preserve">A06855</t>
  </si>
  <si>
    <t xml:space="preserve">A06856</t>
  </si>
  <si>
    <t xml:space="preserve">CVCODE</t>
  </si>
  <si>
    <t xml:space="preserve">E20112955</t>
  </si>
  <si>
    <t xml:space="preserve">E20125262</t>
  </si>
  <si>
    <t xml:space="preserve">E20181222</t>
  </si>
  <si>
    <t xml:space="preserve">E20192115</t>
  </si>
  <si>
    <t xml:space="preserve">E60197580</t>
  </si>
  <si>
    <t xml:space="preserve">E60213078</t>
  </si>
  <si>
    <t xml:space="preserve">E94149620</t>
  </si>
  <si>
    <t xml:space="preserve">E94157666</t>
  </si>
  <si>
    <t xml:space="preserve">E94163772</t>
  </si>
  <si>
    <t xml:space="preserve">E94369730</t>
  </si>
  <si>
    <t xml:space="preserve">总计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</si>
</sst>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6">
    <numFmt numFmtId="164" formatCode="yyyy/m/d"/>
    <numFmt numFmtId="165" formatCode="yyyy/m/d"/>
    <numFmt numFmtId="166" formatCode="yyyy/m/d"/>
    <numFmt numFmtId="167" formatCode="yyyy/m/d"/>
    <numFmt numFmtId="168" formatCode="yyyy/m/d"/>
    <numFmt numFmtId="169" formatCode="yyyy/m/d"/>
    <numFmt numFmtId="170" formatCode="yyyy/m/d"/>
    <numFmt numFmtId="171" formatCode="yyyy/m/d"/>
    <numFmt numFmtId="172" formatCode="yyyy/m/d"/>
    <numFmt numFmtId="173" formatCode="yyyy/m/d"/>
    <numFmt numFmtId="174" formatCode="yyyy/m/d"/>
    <numFmt numFmtId="175" formatCode="yyyy/m/d"/>
    <numFmt numFmtId="176" formatCode="yyyy/m/d"/>
    <numFmt numFmtId="177" formatCode="yyyy/m/d"/>
    <numFmt numFmtId="178" formatCode="yyyy/m/d"/>
    <numFmt numFmtId="179" formatCode="yyyy/m/d"/>
    <numFmt numFmtId="180" formatCode="yyyy/m/d"/>
    <numFmt numFmtId="181" formatCode="yyyy/m/d"/>
    <numFmt numFmtId="182" formatCode="yyyy/m/d"/>
    <numFmt numFmtId="183" formatCode="yyyy/m/d"/>
    <numFmt numFmtId="184" formatCode="yyyy/m/d"/>
    <numFmt numFmtId="185" formatCode="0%"/>
    <numFmt numFmtId="186" formatCode="0.00%"/>
    <numFmt numFmtId="187" formatCode="0%"/>
    <numFmt numFmtId="188" formatCode="0.00"/>
    <numFmt numFmtId="189" formatCode="0.00E+00"/>
  </numFmts>
  <fonts count="59">
    <font>
      <sz val="11"/>
      <color theme="1"/>
      <name val="Calibri"/>
      <family val="2"/>
      <scheme val="minor"/>
    </font>
    <font>
      <b val="true"/>
      <sz val="12"/>
      <color rgb="FF000000"/>
      <name val="Calibri"/>
      <family val="2"/>
      <scheme val="minor"/>
    </font>
    <font>
      <b val="true"/>
      <sz val="12"/>
      <color rgb="FFFFFFFF"/>
      <name val="Calibri"/>
      <family val="2"/>
      <scheme val="minor"/>
    </font>
    <font>
      <sz val="11"/>
      <color rgb="FF000000"/>
      <name val="Calibri"/>
      <family val="2"/>
      <scheme val="minor"/>
    </font>
    <font>
      <sz val="12"/>
      <color rgb="FF000000"/>
      <name val="Calibri"/>
      <family val="2"/>
      <scheme val="minor"/>
    </font>
    <font>
      <sz val="11"/>
      <color rgb="FF000000"/>
      <name val="Calibri"/>
      <family val="2"/>
      <scheme val="minor"/>
    </font>
    <font>
      <sz val="11"/>
      <color rgb="FFF54A45"/>
      <name val="Calibri"/>
      <family val="2"/>
      <scheme val="minor"/>
    </font>
    <font>
      <sz val="12"/>
      <color rgb="FF1F2329"/>
      <name val="Calibri"/>
      <family val="2"/>
      <scheme val="minor"/>
    </font>
    <font>
      <u val="single"/>
      <sz val="11"/>
      <color rgb="FF0000EE"/>
      <name val="微软雅黑"/>
      <family val="2"/>
    </font>
    <font>
      <sz val="11"/>
      <color rgb="FF000000"/>
      <name val="微软雅黑"/>
      <family val="2"/>
    </font>
    <font>
      <sz val="11"/>
      <color rgb="FF000000"/>
      <name val="微软雅黑"/>
      <family val="2"/>
    </font>
    <font>
      <b val="true"/>
      <sz val="11"/>
      <color rgb="FFFFFFFF"/>
      <name val="微软雅黑"/>
      <family val="2"/>
    </font>
    <font>
      <sz val="11"/>
      <color rgb="FF000000"/>
      <name val="等线"/>
      <family val="2"/>
    </font>
    <font>
      <sz val="11"/>
      <color rgb="FF000000"/>
      <name val="宋体"/>
      <family val="2"/>
    </font>
    <font>
      <sz val="11"/>
      <color rgb="FF1D2129"/>
      <name val="Calibri"/>
      <family val="2"/>
      <scheme val="minor"/>
    </font>
    <font>
      <sz val="11"/>
      <color rgb="FF000000"/>
      <name val="Times New Roman"/>
      <family val="2"/>
    </font>
    <font>
      <sz val="11"/>
      <color rgb="FF000000"/>
      <name val="等线"/>
      <family val="2"/>
    </font>
    <font>
      <sz val="12"/>
      <color rgb="FF000000"/>
      <name val="微软雅黑"/>
      <family val="2"/>
    </font>
    <font>
      <strike val="true"/>
      <sz val="12"/>
      <color rgb="FF1F2329"/>
      <name val="Calibri"/>
      <family val="2"/>
      <scheme val="minor"/>
    </font>
    <font>
      <strike val="true"/>
      <sz val="12"/>
      <color rgb="FF000000"/>
      <name val="Calibri"/>
      <family val="2"/>
      <scheme val="minor"/>
    </font>
    <font>
      <strike val="true"/>
      <sz val="12"/>
      <color rgb="FF000000"/>
      <name val="微软雅黑"/>
      <family val="2"/>
    </font>
    <font>
      <sz val="10"/>
      <color rgb="FF000000"/>
      <name val="微软雅黑"/>
      <family val="2"/>
    </font>
    <font>
      <b val="true"/>
      <sz val="11"/>
      <color rgb="FF000000"/>
      <name val="Calibri"/>
      <family val="2"/>
      <scheme val="minor"/>
    </font>
    <font>
      <sz val="10"/>
      <color rgb="FF000000"/>
      <name val="Calibri"/>
      <family val="2"/>
      <scheme val="minor"/>
    </font>
    <font>
      <b val="true"/>
      <sz val="10"/>
      <color rgb="FF000000"/>
      <name val="Calibri"/>
      <family val="2"/>
      <scheme val="minor"/>
    </font>
    <font>
      <b val="true"/>
      <u val="single"/>
      <sz val="11"/>
      <color rgb="FF0000FF"/>
      <name val="Calibri"/>
      <family val="2"/>
      <scheme val="minor"/>
    </font>
    <font>
      <b val="true"/>
      <sz val="11"/>
      <color rgb="FFFFFFFF"/>
      <name val="Calibri"/>
      <family val="2"/>
      <scheme val="minor"/>
    </font>
    <font>
      <sz val="10"/>
      <color rgb="FF373C43"/>
      <name val="Calibri"/>
      <family val="2"/>
      <scheme val="minor"/>
    </font>
    <font>
      <sz val="11"/>
      <color rgb="FF373C43"/>
      <name val="Calibri"/>
      <family val="2"/>
      <scheme val="minor"/>
    </font>
    <font>
      <b val="true"/>
      <sz val="11"/>
      <color rgb="FF373C43"/>
      <name val="Calibri"/>
      <family val="2"/>
      <scheme val="minor"/>
    </font>
    <font>
      <strike val="true"/>
      <sz val="11"/>
      <color rgb="FF373C43"/>
      <name val="Calibri"/>
      <family val="2"/>
      <scheme val="minor"/>
    </font>
    <font>
      <sz val="11"/>
      <color rgb="FF1F2329"/>
      <name val="Calibri"/>
      <family val="2"/>
      <scheme val="minor"/>
    </font>
    <font>
      <sz val="10"/>
      <color rgb="FFF54A45"/>
      <name val="Calibri"/>
      <family val="2"/>
      <scheme val="minor"/>
    </font>
    <font>
      <strike val="true"/>
      <sz val="10"/>
      <color rgb="FFF54A45"/>
      <name val="Calibri"/>
      <family val="2"/>
      <scheme val="minor"/>
    </font>
    <font>
      <strike val="true"/>
      <sz val="10"/>
      <color rgb="FF373C43"/>
      <name val="Calibri"/>
      <family val="2"/>
      <scheme val="minor"/>
    </font>
    <font>
      <strike val="true"/>
      <sz val="11"/>
      <color rgb="FF000000"/>
      <name val="Calibri"/>
      <family val="2"/>
      <scheme val="minor"/>
    </font>
    <font>
      <strike val="true"/>
      <sz val="11"/>
      <color rgb="FF000000"/>
      <name val="Calibri"/>
      <family val="2"/>
      <scheme val="minor"/>
    </font>
    <font>
      <strike val="true"/>
      <sz val="11"/>
      <color rgb="FF1F2329"/>
      <name val="Calibri"/>
      <family val="2"/>
      <scheme val="minor"/>
    </font>
    <font>
      <sz val="11"/>
      <color rgb="FF2EA121"/>
      <name val="Calibri"/>
      <family val="2"/>
      <scheme val="minor"/>
    </font>
    <font>
      <strike val="true"/>
      <sz val="10"/>
      <color rgb="FF000000"/>
      <name val="Calibri"/>
      <family val="2"/>
      <scheme val="minor"/>
    </font>
    <font>
      <b val="true"/>
      <sz val="11"/>
      <color rgb="FF000000"/>
      <name val="微软雅黑"/>
      <family val="2"/>
    </font>
    <font>
      <b val="true"/>
      <sz val="11"/>
      <color rgb="FF1F2329"/>
      <name val="Calibri"/>
      <family val="2"/>
      <scheme val="minor"/>
    </font>
    <font>
      <strike val="true"/>
      <sz val="11"/>
      <color rgb="FFF54A45"/>
      <name val="Calibri"/>
      <family val="2"/>
      <scheme val="minor"/>
    </font>
    <font>
      <b val="true"/>
      <sz val="11"/>
      <color rgb="FF000000"/>
      <name val="Calibri"/>
      <family val="2"/>
      <scheme val="minor"/>
    </font>
    <font>
      <b val="true"/>
      <u val="single"/>
      <sz val="11"/>
      <color rgb="FF0000EE"/>
      <name val="微软雅黑"/>
      <family val="2"/>
    </font>
    <font>
      <sz val="10"/>
      <color rgb="FF1F2329"/>
      <name val="Calibri"/>
      <family val="2"/>
      <scheme val="minor"/>
    </font>
    <font>
      <sz val="10"/>
      <color rgb="FFD83931"/>
      <name val="Calibri"/>
      <family val="2"/>
      <scheme val="minor"/>
    </font>
    <font>
      <b val="true"/>
      <sz val="11"/>
      <color rgb="FFF54A45"/>
      <name val="Calibri"/>
      <family val="2"/>
      <scheme val="minor"/>
    </font>
    <font>
      <b val="true"/>
      <sz val="10"/>
      <color rgb="FFFFFFFF"/>
      <name val="Calibri"/>
      <family val="2"/>
      <scheme val="minor"/>
    </font>
    <font>
      <b val="true"/>
      <strike val="true"/>
      <sz val="11"/>
      <color rgb="FFF54A45"/>
      <name val="Calibri"/>
      <family val="2"/>
      <scheme val="minor"/>
    </font>
    <font>
      <b val="true"/>
      <strike val="true"/>
      <sz val="11"/>
      <color rgb="FFFFFFFF"/>
      <name val="Calibri"/>
      <family val="2"/>
      <scheme val="minor"/>
    </font>
    <font>
      <strike val="true"/>
      <sz val="10"/>
      <color rgb="FF000000"/>
      <name val="微软雅黑"/>
      <family val="2"/>
    </font>
    <font>
      <b val="true"/>
      <sz val="11"/>
      <color rgb="FF000000"/>
      <name val="等线"/>
      <family val="2"/>
    </font>
    <font>
      <b val="true"/>
      <sz val="9"/>
      <color rgb="FFFFFFFF"/>
      <name val="Calibri"/>
      <family val="2"/>
      <scheme val="minor"/>
    </font>
    <font>
      <b val="true"/>
      <sz val="10"/>
      <color rgb="FFFFFFFF"/>
      <name val="微软雅黑"/>
      <family val="2"/>
    </font>
    <font>
      <sz val="8"/>
      <color rgb="FF000000"/>
      <name val="Calibri"/>
      <family val="2"/>
      <scheme val="minor"/>
    </font>
    <font>
      <b val="true"/>
      <sz val="12"/>
      <color rgb="FFFFFFFF"/>
      <name val="微软雅黑"/>
      <family val="2"/>
    </font>
    <font>
      <sz val="12"/>
      <color rgb="FF000000"/>
      <name val="Calibri"/>
      <family val="2"/>
      <scheme val="minor"/>
    </font>
    <font>
      <sz val="12"/>
      <color rgb="FF000000"/>
      <name val="微软雅黑"/>
      <family val="2"/>
    </font>
  </fonts>
  <fills count="127">
    <fill>
      <patternFill patternType="none">
        <fgColor/>
        <bgColor/>
      </patternFill>
    </fill>
    <fill>
      <patternFill patternType="gray125">
        <fgColor/>
        <bgColor/>
      </patternFill>
    </fill>
    <fill>
      <patternFill patternType="solid">
        <fgColor rgb="FF00AAA6"/>
        <bgColor/>
      </patternFill>
    </fill>
    <fill>
      <patternFill patternType="solid">
        <fgColor rgb="FF00AAA6"/>
        <bgColor/>
      </patternFill>
    </fill>
    <fill>
      <patternFill patternType="solid">
        <fgColor rgb="FFFFF258"/>
        <bgColor/>
      </patternFill>
    </fill>
    <fill>
      <patternFill patternType="solid">
        <fgColor rgb="FF4472C4"/>
        <bgColor/>
      </patternFill>
    </fill>
    <fill>
      <patternFill patternType="solid">
        <fgColor rgb="FFF7F8FA"/>
        <bgColor/>
      </patternFill>
    </fill>
    <fill>
      <patternFill patternType="solid">
        <fgColor rgb="FF8EE085"/>
        <bgColor/>
      </patternFill>
    </fill>
    <fill>
      <patternFill patternType="solid">
        <fgColor rgb="FF8F959E"/>
        <bgColor/>
      </patternFill>
    </fill>
    <fill>
      <patternFill patternType="solid">
        <fgColor rgb="FF4472C4"/>
        <bgColor/>
      </patternFill>
    </fill>
    <fill>
      <patternFill patternType="solid">
        <fgColor rgb="FFFFF258"/>
        <bgColor/>
      </patternFill>
    </fill>
    <fill>
      <patternFill patternType="solid">
        <fgColor rgb="FF00AAA6"/>
        <bgColor/>
      </patternFill>
    </fill>
    <fill>
      <patternFill patternType="solid">
        <fgColor rgb="FF8F959E"/>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8F959E"/>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8F959E"/>
        <bgColor/>
      </patternFill>
    </fill>
    <fill>
      <patternFill patternType="solid">
        <fgColor rgb="FF00AAA6"/>
        <bgColor/>
      </patternFill>
    </fill>
    <fill>
      <patternFill patternType="solid">
        <fgColor rgb="FFFFFFFF"/>
        <bgColor/>
      </patternFill>
    </fill>
    <fill>
      <patternFill patternType="solid">
        <fgColor rgb="FFDEE0E3"/>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DEE0E3"/>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FFFFFF"/>
        <bgColor/>
      </patternFill>
    </fill>
    <fill>
      <patternFill patternType="solid">
        <fgColor rgb="FFDEE0E3"/>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FFFFFF"/>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00AAA6"/>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FFFFFF"/>
        <bgColor/>
      </patternFill>
    </fill>
    <fill>
      <patternFill patternType="solid">
        <fgColor rgb="FF5B9BD5"/>
        <bgColor/>
      </patternFill>
    </fill>
    <fill>
      <patternFill patternType="solid">
        <fgColor rgb="FFE7E6E6"/>
        <bgColor/>
      </patternFill>
    </fill>
    <fill>
      <patternFill patternType="solid">
        <fgColor rgb="FF00AAA6"/>
        <bgColor/>
      </patternFill>
    </fill>
    <fill>
      <patternFill patternType="solid">
        <fgColor rgb="FFFFFFFF"/>
        <bgColor/>
      </patternFill>
    </fill>
    <fill>
      <patternFill patternType="solid">
        <fgColor rgb="FFFFFFFF"/>
        <bgColor/>
      </patternFill>
    </fill>
    <fill>
      <patternFill patternType="solid">
        <fgColor rgb="FF009EA1"/>
        <bgColor/>
      </patternFill>
    </fill>
    <fill>
      <patternFill patternType="solid">
        <fgColor rgb="FFE2EFDA"/>
        <bgColor/>
      </patternFill>
    </fill>
    <fill>
      <patternFill patternType="solid">
        <fgColor rgb="FFFFF2CC"/>
        <bgColor/>
      </patternFill>
    </fill>
    <fill>
      <patternFill patternType="solid">
        <fgColor rgb="FF009EA1"/>
        <bgColor/>
      </patternFill>
    </fill>
    <fill>
      <patternFill patternType="solid">
        <fgColor rgb="FF009EA1"/>
        <bgColor/>
      </patternFill>
    </fill>
    <fill>
      <patternFill patternType="solid">
        <fgColor rgb="FF009BA1"/>
        <bgColor/>
      </patternFill>
    </fill>
    <fill>
      <patternFill patternType="solid">
        <fgColor rgb="FF009EA1"/>
        <bgColor/>
      </patternFill>
    </fill>
    <fill>
      <patternFill patternType="solid">
        <fgColor rgb="FF009EA1"/>
        <bgColor/>
      </patternFill>
    </fill>
    <fill>
      <patternFill patternType="solid">
        <fgColor rgb="FF009EA1"/>
        <bgColor/>
      </patternFill>
    </fill>
    <fill>
      <patternFill patternType="solid">
        <fgColor rgb="FFFFFFFF"/>
        <bgColor/>
      </patternFill>
    </fill>
    <fill>
      <patternFill patternType="solid">
        <fgColor rgb="FFFFF258"/>
        <bgColor/>
      </patternFill>
    </fill>
    <fill>
      <patternFill patternType="solid">
        <fgColor rgb="FF009EA1"/>
        <bgColor/>
      </patternFill>
    </fill>
  </fills>
  <borders count="453">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top style="thin">
        <color rgb="FF1F2329"/>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BFBFBF"/>
      </left>
      <right style="thin">
        <color rgb="FFBFBFBF"/>
      </right>
      <top style="thin">
        <color rgb="FFBFBFBF"/>
      </top>
      <bottom style="thin">
        <color rgb="FFBFBFBF"/>
      </bottom>
      <diagonal/>
    </border>
    <border>
      <left style="thin">
        <color rgb="FF1F2329"/>
      </left>
      <right style="thin">
        <color rgb="FF1F2329"/>
      </right>
      <top style="thin">
        <color rgb="FF1F2329"/>
      </top>
      <bottom style="thin">
        <color rgb="FF1F2329"/>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diagonal/>
    </border>
    <border>
      <left/>
      <right style="thin">
        <color rgb="FF1F2329"/>
      </right>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style="thin">
        <color rgb="FF1F2329"/>
      </left>
      <right/>
      <top style="thin">
        <color rgb="FF1F2329"/>
      </top>
      <bottom/>
      <diagonal/>
    </border>
    <border>
      <left/>
      <right/>
      <top style="thin">
        <color rgb="FF1F2329"/>
      </top>
      <bottom style="thin">
        <color rgb="FF1F2329"/>
      </bottom>
      <diagonal/>
    </border>
    <border>
      <left/>
      <right style="thin">
        <color rgb="FF1F2329"/>
      </right>
      <top/>
      <bottom/>
      <diagonal/>
    </border>
    <border>
      <left style="thin">
        <color rgb="FF1F2329"/>
      </left>
      <right style="thin">
        <color rgb="FF1F2329"/>
      </right>
      <top/>
      <bottom/>
      <diagonal/>
    </border>
    <border>
      <left/>
      <right style="thin">
        <color rgb="FF1F2329"/>
      </right>
      <top style="thin">
        <color rgb="FF1F2329"/>
      </top>
      <bottom/>
      <diagonal/>
    </border>
    <border>
      <left/>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diagonal/>
    </border>
    <border>
      <left style="thin">
        <color rgb="FF000000"/>
      </left>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diagonal/>
    </border>
    <border>
      <left/>
      <right style="thin">
        <color rgb="FF1F2329"/>
      </right>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diagonal/>
    </border>
    <border>
      <left style="thin">
        <color rgb="FF1F2329"/>
      </left>
      <right/>
      <top style="thin">
        <color rgb="FF1F2329"/>
      </top>
      <bottom style="thin">
        <color rgb="FF1F2329"/>
      </bottom>
      <diagonal/>
    </border>
    <border>
      <left style="thin">
        <color rgb="FF373C43"/>
      </left>
      <right style="thin">
        <color rgb="FF373C43"/>
      </right>
      <top style="thin">
        <color rgb="FF373C43"/>
      </top>
      <bottom style="thin">
        <color rgb="FF373C43"/>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diagonal/>
    </border>
    <border>
      <left/>
      <right style="thin">
        <color rgb="FF1F2329"/>
      </right>
      <top/>
      <bottom style="thin">
        <color rgb="FF1F2329"/>
      </bottom>
      <diagonal/>
    </border>
    <border>
      <left style="thin">
        <color rgb="FF373C43"/>
      </left>
      <right style="thin">
        <color rgb="FF373C43"/>
      </right>
      <top style="thin">
        <color rgb="FF373C43"/>
      </top>
      <bottom style="thin">
        <color rgb="FF373C43"/>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373C43"/>
      </left>
      <right style="thin">
        <color rgb="FF373C43"/>
      </right>
      <top style="thin">
        <color rgb="FF373C43"/>
      </top>
      <bottom/>
      <diagonal/>
    </border>
    <border>
      <left/>
      <right style="thin">
        <color rgb="FF1F2329"/>
      </right>
      <top style="thin">
        <color rgb="FF1F2329"/>
      </top>
      <bottom/>
      <diagonal/>
    </border>
    <border>
      <left style="thin">
        <color rgb="FF373C43"/>
      </left>
      <right style="thin">
        <color rgb="FF373C43"/>
      </right>
      <top style="thin">
        <color rgb="FF373C43"/>
      </top>
      <bottom style="thin">
        <color rgb="FF373C43"/>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373C43"/>
      </left>
      <right style="thin">
        <color rgb="FF373C43"/>
      </right>
      <top style="thin">
        <color rgb="FF373C43"/>
      </top>
      <bottom style="thin">
        <color rgb="FF373C43"/>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373C43"/>
      </left>
      <right/>
      <top style="thin">
        <color rgb="FF373C43"/>
      </top>
      <bottom style="thin">
        <color rgb="FF373C43"/>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373C43"/>
      </left>
      <right style="thin">
        <color rgb="FF373C43"/>
      </right>
      <top style="thin">
        <color rgb="FF373C43"/>
      </top>
      <bottom style="thin">
        <color rgb="FF373C43"/>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373C43"/>
      </left>
      <right/>
      <top style="thin">
        <color rgb="FF373C43"/>
      </top>
      <bottom style="thin">
        <color rgb="FF373C43"/>
      </bottom>
      <diagonal/>
    </border>
    <border>
      <left style="thin">
        <color rgb="FF1F2329"/>
      </left>
      <right style="thin">
        <color rgb="FF1F2329"/>
      </right>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373C43"/>
      </left>
      <right style="thin">
        <color rgb="FF373C43"/>
      </right>
      <top style="thin">
        <color rgb="FF373C43"/>
      </top>
      <bottom style="thin">
        <color rgb="FF373C43"/>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top style="thin">
        <color rgb="FF000000"/>
      </top>
      <bottom style="thin">
        <color rgb="FF000000"/>
      </bottom>
      <diagonal/>
    </border>
    <border>
      <left style="thin">
        <color rgb="FF1F2329"/>
      </left>
      <right/>
      <top style="thin">
        <color rgb="FF1F2329"/>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top style="thin">
        <color rgb="FF000000"/>
      </top>
      <bottom style="thin">
        <color rgb="FF000000"/>
      </bottom>
      <diagonal/>
    </border>
    <border>
      <left style="thin">
        <color rgb="FF1F2329"/>
      </left>
      <right/>
      <top style="thin">
        <color rgb="FF1F2329"/>
      </top>
      <bottom style="thin">
        <color rgb="FF1F2329"/>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style="thin">
        <color rgb="FF1F2329"/>
      </top>
      <bottom style="thin">
        <color rgb="FF1F2329"/>
      </bottom>
      <diagonal/>
    </border>
    <border>
      <left style="thin">
        <color rgb="FF373C43"/>
      </left>
      <right style="thin">
        <color rgb="FF373C43"/>
      </right>
      <top style="thin">
        <color rgb="FF373C43"/>
      </top>
      <bottom style="thin">
        <color rgb="FF373C43"/>
      </bottom>
      <diagonal/>
    </border>
    <border>
      <left/>
      <right style="thin">
        <color rgb="FF1F2329"/>
      </right>
      <top style="thin">
        <color rgb="FF1F2329"/>
      </top>
      <bottom/>
      <diagonal/>
    </border>
    <border>
      <left/>
      <right style="thin">
        <color rgb="FF1F2329"/>
      </right>
      <top/>
      <bottom style="thin">
        <color rgb="FF1F2329"/>
      </bottom>
      <diagonal/>
    </border>
    <border>
      <left/>
      <right style="thin">
        <color rgb="FF1F2329"/>
      </right>
      <top style="thin">
        <color rgb="FF1F2329"/>
      </top>
      <bottom/>
      <diagonal/>
    </border>
    <border>
      <left style="thin">
        <color rgb="FFB0B0B0"/>
      </left>
      <right style="thin">
        <color rgb="FFB0B0B0"/>
      </right>
      <top style="thin">
        <color rgb="FFB0B0B0"/>
      </top>
      <bottom style="thin">
        <color rgb="FFB0B0B0"/>
      </bottom>
      <diagonal/>
    </border>
    <border>
      <left style="thin">
        <color rgb="FFBFBFBF"/>
      </left>
      <right/>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style="thin">
        <color rgb="FF000000"/>
      </bottom>
      <diagonal/>
    </border>
    <border>
      <left style="thin">
        <color rgb="FFB0B0B0"/>
      </left>
      <right style="thin">
        <color rgb="FFB0B0B0"/>
      </right>
      <top style="thin">
        <color rgb="FFB0B0B0"/>
      </top>
      <bottom style="thin">
        <color rgb="FFB0B0B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B0B0B0"/>
      </left>
      <right style="thin">
        <color rgb="FFB0B0B0"/>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
      <left style="thin">
        <color rgb="FFB0B0B0"/>
      </left>
      <right style="thin">
        <color rgb="FFB0B0B0"/>
      </right>
      <top style="thin">
        <color rgb="FFB0B0B0"/>
      </top>
      <bottom style="thin">
        <color rgb="FFB0B0B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0B0B0"/>
      </left>
      <right style="thin">
        <color rgb="FFB0B0B0"/>
      </right>
      <top style="thin">
        <color rgb="FFB0B0B0"/>
      </top>
      <bottom style="thin">
        <color rgb="FFB0B0B0"/>
      </bottom>
      <diagonal/>
    </border>
    <border>
      <left style="thin">
        <color rgb="FF1F2329"/>
      </left>
      <right style="thin">
        <color rgb="FF1F2329"/>
      </right>
      <top style="thin">
        <color rgb="FF1F2329"/>
      </top>
      <bottom/>
      <diagonal/>
    </border>
    <border>
      <left style="thin">
        <color rgb="FFB0B0B0"/>
      </left>
      <right/>
      <top style="thin">
        <color rgb="FFB0B0B0"/>
      </top>
      <bottom style="thin">
        <color rgb="FFB0B0B0"/>
      </bottom>
      <diagonal/>
    </border>
    <border>
      <left style="thin">
        <color rgb="FF000000"/>
      </left>
      <right style="thin">
        <color rgb="FF000000"/>
      </right>
      <top style="thin">
        <color rgb="FF000000"/>
      </top>
      <bottom style="thin">
        <color rgb="FF000000"/>
      </bottom>
      <diagonal/>
    </border>
    <border>
      <left style="thin">
        <color rgb="FFB0B0B0"/>
      </left>
      <right style="thin">
        <color rgb="FFB0B0B0"/>
      </right>
      <top style="thin">
        <color rgb="FFB0B0B0"/>
      </top>
      <bottom style="thin">
        <color rgb="FFB0B0B0"/>
      </bottom>
      <diagonal/>
    </border>
    <border>
      <left style="thin">
        <color rgb="FF373C43"/>
      </left>
      <right style="thin">
        <color rgb="FF373C43"/>
      </right>
      <top style="thin">
        <color rgb="FF373C43"/>
      </top>
      <bottom style="thin">
        <color rgb="FF373C43"/>
      </bottom>
      <diagonal/>
    </border>
    <border>
      <left style="thin">
        <color rgb="FF000000"/>
      </left>
      <right/>
      <top style="thin">
        <color rgb="FF000000"/>
      </top>
      <bottom style="thin">
        <color rgb="FF000000"/>
      </bottom>
      <diagonal/>
    </border>
    <border>
      <left style="thin">
        <color rgb="FF373C43"/>
      </left>
      <right style="thin">
        <color rgb="FF373C43"/>
      </right>
      <top style="thin">
        <color rgb="FF373C43"/>
      </top>
      <bottom/>
      <diagonal/>
    </border>
    <border>
      <left style="thin">
        <color rgb="FF1F2329"/>
      </left>
      <right style="thin">
        <color rgb="FF1F2329"/>
      </right>
      <top style="thin">
        <color rgb="FF1F2329"/>
      </top>
      <bottom style="thin">
        <color rgb="FF1F2329"/>
      </bottom>
      <diagonal/>
    </border>
    <border>
      <left/>
      <right style="thin">
        <color rgb="FFEBEBEB"/>
      </right>
      <top/>
      <bottom style="thin">
        <color rgb="FFEBEBEB"/>
      </bottom>
      <diagonal/>
    </border>
    <border>
      <left/>
      <right style="thin">
        <color rgb="FFEBEBEB"/>
      </right>
      <top/>
      <bottom/>
      <diagonal/>
    </border>
    <border>
      <left style="thin">
        <color rgb="FF1F2329"/>
      </left>
      <right style="thin">
        <color rgb="FF1F2329"/>
      </right>
      <top style="thin">
        <color rgb="FF1F2329"/>
      </top>
      <bottom style="thin">
        <color rgb="FF1F2329"/>
      </bottom>
      <diagonal/>
    </border>
    <border>
      <left style="thin">
        <color rgb="FF808080"/>
      </left>
      <right style="thin">
        <color rgb="FF808080"/>
      </right>
      <top/>
      <bottom style="thin">
        <color rgb="FF80808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201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1" fillId="2" fontId="2"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 fillId="0" fontId="4" numFmtId="0" xfId="0">
      <alignment horizontal="center" vertical="center" wrapText="true"/>
    </xf>
    <xf applyAlignment="true" applyBorder="false" applyFill="false" applyFont="true" applyNumberFormat="false" applyProtection="false" borderId="2" fillId="0" fontId="4" numFmtId="0" xfId="0">
      <alignment vertical="center" wrapText="true"/>
    </xf>
    <xf applyAlignment="true" applyBorder="false" applyFill="false" applyFont="true" applyNumberFormat="false" applyProtection="false" borderId="2" fillId="0" fontId="4" numFmtId="0" xfId="0">
      <alignmen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3" fillId="3" fontId="2" numFmtId="0" xfId="0">
      <alignment horizontal="center" vertical="center"/>
    </xf>
    <xf applyAlignment="true" applyBorder="false" applyFill="true" applyFont="true" applyNumberFormat="false" applyProtection="false" borderId="3" fillId="3" fontId="2" numFmtId="0" xfId="0">
      <alignment horizontal="center" vertical="center" wrapText="true"/>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4" fillId="0" fontId="4" numFmtId="0" xfId="0">
      <alignment horizontal="center" vertical="center" wrapText="true"/>
    </xf>
    <xf applyAlignment="true" applyBorder="false" applyFill="false" applyFont="true" applyNumberFormat="false" applyProtection="false" borderId="4" fillId="0" fontId="4" numFmtId="0" xfId="0">
      <alignment vertical="center" wrapText="true"/>
    </xf>
    <xf applyAlignment="true" applyBorder="false" applyFill="false" applyFont="true" applyNumberFormat="false" applyProtection="false" borderId="4" fillId="0" fontId="4" numFmtId="0" xfId="0">
      <alignment vertical="center" wrapText="true"/>
    </xf>
    <xf applyAlignment="true" applyBorder="false" applyFill="false" applyFont="true" applyNumberFormat="false" applyProtection="false" borderId="5" fillId="0" fontId="4" numFmtId="0" xfId="0">
      <alignment horizontal="center" vertical="center" wrapText="true"/>
    </xf>
    <xf applyAlignment="true" applyBorder="false" applyFill="false" applyFont="true" applyNumberFormat="false" applyProtection="false" borderId="4" fillId="0" fontId="7" numFmtId="0" xfId="0">
      <alignment horizontal="center" vertical="center"/>
    </xf>
    <xf applyAlignment="true" applyBorder="false" applyFill="false" applyFont="true" applyNumberFormat="false" applyProtection="false" borderId="6" fillId="0" fontId="7" numFmtId="0" xfId="0">
      <alignment horizontal="left" vertical="center" wrapText="true"/>
    </xf>
    <xf applyAlignment="true" applyBorder="false" applyFill="false" applyFont="true" applyNumberFormat="false" applyProtection="false" borderId="4" fillId="0" fontId="4" numFmtId="0" xfId="0">
      <alignment horizontal="center" vertical="center"/>
    </xf>
    <xf applyAlignment="true" applyBorder="false" applyFill="false" applyFont="true" applyNumberFormat="false" applyProtection="false" borderId="4" fillId="0" fontId="5" numFmtId="0" xfId="0">
      <alignment vertical="center"/>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7" fillId="0" fontId="7" numFmtId="0" xfId="0">
      <alignment horizontal="center" vertical="center"/>
    </xf>
    <xf applyAlignment="true" applyBorder="false" applyFill="false" applyFont="true" applyNumberFormat="false" applyProtection="false" borderId="6" fillId="0" fontId="5" numFmtId="0" xfId="0">
      <alignment horizontal="left" vertical="center" wrapText="true"/>
    </xf>
    <xf applyAlignment="true" applyBorder="false" applyFill="false" applyFont="true" applyNumberFormat="false" applyProtection="false" borderId="8" fillId="0" fontId="7" numFmtId="0" xfId="0">
      <alignment horizontal="left" vertical="center" wrapText="true"/>
    </xf>
    <xf applyAlignment="true" applyBorder="false" applyFill="false" applyFont="true" applyNumberFormat="false" applyProtection="false" borderId="5" fillId="0" fontId="8" numFmtId="0" xfId="0">
      <alignment horizontal="center" vertical="center"/>
    </xf>
    <xf applyAlignment="true" applyBorder="false" applyFill="false" applyFont="true" applyNumberFormat="false" applyProtection="false" borderId="7" fillId="0" fontId="7" numFmtId="0" xfId="0">
      <alignment horizontal="left" vertical="center" wrapText="true"/>
    </xf>
    <xf applyAlignment="true" applyBorder="false" applyFill="false" applyFont="true" applyNumberFormat="false" applyProtection="false" borderId="6" fillId="0" fontId="5" numFmtId="0" xfId="0">
      <alignment vertical="center"/>
    </xf>
    <xf applyAlignment="true" applyBorder="false" applyFill="false" applyFont="true" applyNumberFormat="false" applyProtection="false" borderId="5" fillId="0" fontId="7" numFmtId="0" xfId="0">
      <alignment horizontal="center" vertical="center"/>
    </xf>
    <xf applyAlignment="true" applyBorder="false" applyFill="false" applyFont="true" applyNumberFormat="false" applyProtection="false" borderId="4" fillId="0" fontId="4" numFmtId="0" xfId="0">
      <alignment horizontal="left" vertical="center" wrapText="true"/>
    </xf>
    <xf applyAlignment="true" applyBorder="false" applyFill="false" applyFont="true" applyNumberFormat="false" applyProtection="false" borderId="9" fillId="0" fontId="4" numFmtId="0" xfId="0">
      <alignment horizontal="center" vertical="center" wrapText="true"/>
    </xf>
    <xf applyAlignment="true" applyBorder="false" applyFill="false" applyFont="true" applyNumberFormat="false" applyProtection="false" borderId="9" fillId="0" fontId="4" numFmtId="0" xfId="0">
      <alignment horizontal="center" vertical="center" wrapText="true"/>
    </xf>
    <xf applyAlignment="true" applyBorder="false" applyFill="false" applyFont="true" applyNumberFormat="false" applyProtection="false" borderId="5" fillId="0" fontId="4" numFmtId="0" xfId="0">
      <alignment vertical="center" wrapText="true"/>
    </xf>
    <xf applyAlignment="true" applyBorder="false" applyFill="false" applyFont="true" applyNumberFormat="false" applyProtection="false" borderId="4" fillId="0" fontId="4" numFmtId="0" xfId="0">
      <alignment horizontal="center" vertical="center" wrapText="true"/>
    </xf>
    <xf applyAlignment="true" applyBorder="false" applyFill="false" applyFont="true" applyNumberFormat="false" applyProtection="false" borderId="4" fillId="0" fontId="7" numFmtId="0" xfId="0">
      <alignment horizontal="center" vertical="center"/>
    </xf>
    <xf applyAlignment="true" applyBorder="false" applyFill="false" applyFont="true" applyNumberFormat="false" applyProtection="false" borderId="4" fillId="0" fontId="7" numFmtId="0" xfId="0">
      <alignment horizontal="left" vertical="center" wrapText="true"/>
    </xf>
    <xf applyAlignment="true" applyBorder="false" applyFill="false" applyFont="true" applyNumberFormat="false" applyProtection="false" borderId="5" fillId="0" fontId="4" numFmtId="0" xfId="0">
      <alignment vertical="center" wrapText="true"/>
    </xf>
    <xf applyAlignment="true" applyBorder="false" applyFill="false" applyFont="true" applyNumberFormat="false" applyProtection="false" borderId="4" fillId="0" fontId="8" numFmtId="0" xfId="0">
      <alignment horizontal="center" vertical="center"/>
    </xf>
    <xf applyAlignment="true" applyBorder="false" applyFill="false" applyFont="true" applyNumberFormat="false" applyProtection="false" borderId="10" fillId="0" fontId="8" numFmtId="0" xfId="0">
      <alignment horizontal="center" vertical="center"/>
    </xf>
    <xf applyAlignment="true" applyBorder="false" applyFill="false" applyFont="true" applyNumberFormat="false" applyProtection="false" borderId="11" fillId="0" fontId="8" numFmtId="0" xfId="0">
      <alignment horizontal="center" vertical="center"/>
    </xf>
    <xf applyAlignment="true" applyBorder="false" applyFill="false" applyFont="true" applyNumberFormat="false" applyProtection="false" borderId="12" fillId="0" fontId="8" numFmtId="0" xfId="0">
      <alignment horizontal="center" vertical="center"/>
    </xf>
    <xf applyAlignment="true" applyBorder="false" applyFill="false" applyFont="true" applyNumberFormat="false" applyProtection="false" borderId="13" fillId="0" fontId="4" numFmtId="0" xfId="0">
      <alignment vertical="center" wrapText="true"/>
    </xf>
    <xf applyAlignment="true" applyBorder="false" applyFill="false" applyFont="true" applyNumberFormat="false" applyProtection="false" borderId="13" fillId="0" fontId="4" numFmtId="0" xfId="0">
      <alignment vertical="center" wrapText="true"/>
    </xf>
    <xf applyAlignment="true" applyBorder="false" applyFill="false" applyFont="true" applyNumberFormat="false" applyProtection="false" borderId="4" fillId="0" fontId="5" numFmtId="0" xfId="0">
      <alignment horizontal="center" vertical="center"/>
    </xf>
    <xf applyAlignment="true" applyBorder="false" applyFill="false" applyFont="true" applyNumberFormat="false" applyProtection="false" borderId="4" fillId="0" fontId="5" numFmtId="0" xfId="0">
      <alignment horizontal="left"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9" numFmtId="0" xfId="0">
      <alignment horizontal="left" vertical="center"/>
    </xf>
    <xf applyAlignment="true" applyBorder="false" applyFill="false" applyFont="true" applyNumberFormat="false" applyProtection="false" borderId="0" fillId="0" fontId="9" numFmtId="0" xfId="0">
      <alignment horizontal="left" vertical="center"/>
    </xf>
    <xf applyAlignment="true" applyBorder="false" applyFill="false" applyFont="true" applyNumberFormat="false" applyProtection="false" borderId="0" fillId="0" fontId="10" numFmtId="0" xfId="0">
      <alignment horizontal="left" vertical="center"/>
    </xf>
    <xf applyAlignment="true" applyBorder="false" applyFill="true" applyFont="true" applyNumberFormat="false" applyProtection="false" borderId="0" fillId="4" fontId="9" numFmtId="0" xfId="0">
      <alignment horizontal="left" vertical="center"/>
    </xf>
    <xf applyAlignment="true" applyBorder="false" applyFill="true" applyFont="true" applyNumberFormat="false" applyProtection="false" borderId="14" fillId="5" fontId="11" numFmtId="0" xfId="0">
      <alignment horizontal="center" vertical="center"/>
    </xf>
    <xf applyAlignment="true" applyBorder="false" applyFill="true" applyFont="true" applyNumberFormat="false" applyProtection="false" borderId="14" fillId="5" fontId="11" numFmtId="0" xfId="0">
      <alignment horizontal="center" vertical="center"/>
    </xf>
    <xf applyAlignment="true" applyBorder="false" applyFill="false" applyFont="true" applyNumberFormat="false" applyProtection="false" borderId="0" fillId="0" fontId="10" numFmtId="0" xfId="0">
      <alignment horizontal="center" vertical="center"/>
    </xf>
    <xf applyAlignment="true" applyBorder="false" applyFill="false" applyFont="true" applyNumberFormat="false" applyProtection="false" borderId="15" fillId="0" fontId="9" numFmtId="0" xfId="0">
      <alignment horizontal="left" vertical="center"/>
    </xf>
    <xf applyAlignment="true" applyBorder="false" applyFill="false" applyFont="true" applyNumberFormat="false" applyProtection="false" borderId="15" fillId="0" fontId="9" numFmtId="0" xfId="0">
      <alignment horizontal="left" vertical="center"/>
    </xf>
    <xf applyAlignment="true" applyBorder="false" applyFill="false" applyFont="true" applyNumberFormat="false" applyProtection="false" borderId="0" fillId="0" fontId="10" numFmtId="0" xfId="0">
      <alignment horizontal="left" vertical="center"/>
    </xf>
    <xf applyAlignment="true" applyBorder="false" applyFill="false" applyFont="true" applyNumberFormat="false" applyProtection="false" borderId="0" fillId="0" fontId="10" numFmtId="0" xfId="0">
      <alignment horizontal="left" vertical="center"/>
    </xf>
    <xf applyAlignment="true" applyBorder="false" applyFill="true" applyFont="true" applyNumberFormat="false" applyProtection="false" borderId="15" fillId="4" fontId="9" numFmtId="0" xfId="0">
      <alignment horizontal="left" vertical="center"/>
    </xf>
    <xf applyAlignment="true" applyBorder="false" applyFill="false" applyFont="true" applyNumberFormat="false" applyProtection="false" borderId="0" fillId="0" fontId="13" numFmtId="0" xfId="0">
      <alignment vertical="center"/>
    </xf>
    <xf applyAlignment="true" applyBorder="false" applyFill="true" applyFont="true" applyNumberFormat="false" applyProtection="false" borderId="0" fillId="6" fontId="14" numFmtId="0" xfId="0">
      <alignment horizontal="left" vertical="center" wrapText="true"/>
    </xf>
    <xf applyAlignment="true" applyBorder="false" applyFill="true" applyFont="true" applyNumberFormat="false" applyProtection="false" borderId="15" fillId="7" fontId="9" numFmtId="0" xfId="0">
      <alignment horizontal="left" vertical="center"/>
    </xf>
    <xf applyAlignment="true" applyBorder="false" applyFill="true" applyFont="true" applyNumberFormat="false" applyProtection="false" borderId="15" fillId="4" fontId="9" numFmtId="0" xfId="0">
      <alignment horizontal="left"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0" fillId="0" fontId="10" numFmtId="0" xfId="0">
      <alignment horizontal="left" vertical="center"/>
    </xf>
    <xf applyAlignment="true" applyBorder="false" applyFill="true" applyFont="true" applyNumberFormat="false" applyProtection="false" borderId="0" fillId="6" fontId="14" numFmtId="0" xfId="0">
      <alignment horizontal="left" vertical="center" wrapText="true"/>
    </xf>
    <xf applyAlignment="true" applyBorder="false" applyFill="true" applyFont="true" applyNumberFormat="false" applyProtection="false" borderId="15" fillId="8" fontId="9" numFmtId="0" xfId="0">
      <alignment horizontal="left" vertical="center"/>
    </xf>
    <xf applyAlignment="true" applyBorder="false" applyFill="true" applyFont="true" applyNumberFormat="false" applyProtection="false" borderId="15" fillId="8" fontId="9" numFmtId="0" xfId="0">
      <alignment horizontal="left" vertical="center"/>
    </xf>
    <xf applyAlignment="true" applyBorder="false" applyFill="true" applyFont="true" applyNumberFormat="false" applyProtection="false" borderId="0" fillId="8" fontId="10" numFmtId="0" xfId="0">
      <alignment horizontal="left" vertical="center"/>
    </xf>
    <xf applyAlignment="true" applyBorder="false" applyFill="true" applyFont="true" applyNumberFormat="false" applyProtection="false" borderId="16" fillId="9" fontId="11" numFmtId="0" xfId="0">
      <alignment horizontal="center" vertical="center"/>
    </xf>
    <xf applyAlignment="true" applyBorder="false" applyFill="true" applyFont="true" applyNumberFormat="false" applyProtection="false" borderId="16" fillId="9" fontId="11" numFmtId="0" xfId="0">
      <alignment horizontal="center" vertical="center" wrapText="true"/>
    </xf>
    <xf applyAlignment="true" applyBorder="false" applyFill="false" applyFont="true" applyNumberFormat="false" applyProtection="false" borderId="0" fillId="0" fontId="10" numFmtId="0" xfId="0">
      <alignment vertical="bottom"/>
    </xf>
    <xf applyAlignment="true" applyBorder="false" applyFill="false" applyFont="true" applyNumberFormat="false" applyProtection="false" borderId="0" fillId="0" fontId="10" numFmtId="0" xfId="0">
      <alignment vertical="bottom"/>
    </xf>
    <xf applyAlignment="true" applyBorder="false" applyFill="false" applyFont="true" applyNumberFormat="false" applyProtection="false" borderId="16" fillId="0" fontId="10" numFmtId="0" xfId="0">
      <alignment vertical="center"/>
    </xf>
    <xf applyAlignment="true" applyBorder="false" applyFill="false" applyFont="true" applyNumberFormat="false" applyProtection="false" borderId="16" fillId="0" fontId="10" numFmtId="0" xfId="0">
      <alignmen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17" fillId="0" fontId="16" numFmtId="0" xfId="0">
      <alignment vertical="center"/>
    </xf>
    <xf applyAlignment="true" applyBorder="false" applyFill="true" applyFont="true" applyNumberFormat="false" applyProtection="false" borderId="17" fillId="10" fontId="16"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18" fillId="0" fontId="1" numFmtId="0" xfId="0">
      <alignment horizontal="center" vertical="center"/>
    </xf>
    <xf applyAlignment="true" applyBorder="false" applyFill="false" applyFont="true" applyNumberFormat="false" applyProtection="false" borderId="18" fillId="0" fontId="1" numFmtId="0" xfId="0">
      <alignment horizontal="center" vertical="center"/>
    </xf>
    <xf applyAlignment="true" applyBorder="false" applyFill="true" applyFont="true" applyNumberFormat="false" applyProtection="false" borderId="19" fillId="11" fontId="2" numFmtId="0" xfId="0">
      <alignment horizontal="center" vertical="center"/>
    </xf>
    <xf applyAlignment="true" applyBorder="false" applyFill="true" applyFont="true" applyNumberFormat="false" applyProtection="false" borderId="19" fillId="11" fontId="2" numFmtId="0"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0" fillId="0" fontId="7" numFmtId="0" xfId="0">
      <alignment horizontal="center" vertical="center"/>
    </xf>
    <xf applyAlignment="true" applyBorder="false" applyFill="false" applyFont="true" applyNumberFormat="false" applyProtection="false" borderId="18" fillId="0" fontId="4" numFmtId="0" xfId="0">
      <alignment horizontal="left" vertical="center" wrapText="true"/>
    </xf>
    <xf applyAlignment="true" applyBorder="false" applyFill="false" applyFont="true" applyNumberFormat="false" applyProtection="false" borderId="18" fillId="0" fontId="4" numFmtId="0" xfId="0">
      <alignment horizontal="center" vertical="center"/>
    </xf>
    <xf applyAlignment="true" applyBorder="false" applyFill="false" applyFont="true" applyNumberFormat="false" applyProtection="false" borderId="21" fillId="0" fontId="17"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18" fillId="0" fontId="4" numFmtId="0" xfId="0">
      <alignment horizontal="left" vertical="center" wrapText="true"/>
    </xf>
    <xf applyAlignment="true" applyBorder="false" applyFill="false" applyFont="true" applyNumberFormat="false" applyProtection="false" borderId="20" fillId="0" fontId="7" numFmtId="0" xfId="0">
      <alignment horizontal="center" vertical="center"/>
    </xf>
    <xf applyAlignment="true" applyBorder="false" applyFill="true" applyFont="true" applyNumberFormat="false" applyProtection="false" borderId="20" fillId="12" fontId="18" numFmtId="0" xfId="0">
      <alignment horizontal="center" vertical="center"/>
    </xf>
    <xf applyAlignment="true" applyBorder="false" applyFill="true" applyFont="true" applyNumberFormat="false" applyProtection="false" borderId="18" fillId="12" fontId="19" numFmtId="0" xfId="0">
      <alignment horizontal="left" vertical="center" wrapText="true"/>
    </xf>
    <xf applyAlignment="true" applyBorder="false" applyFill="true" applyFont="true" applyNumberFormat="false" applyProtection="false" borderId="18" fillId="12" fontId="19" numFmtId="0" xfId="0">
      <alignment horizontal="center" vertical="center"/>
    </xf>
    <xf applyAlignment="true" applyBorder="false" applyFill="true" applyFont="true" applyNumberFormat="false" applyProtection="false" borderId="21" fillId="12" fontId="20" numFmtId="0" xfId="0">
      <alignment horizontal="left" vertical="center" wrapText="true"/>
    </xf>
    <xf applyAlignment="true" applyBorder="false" applyFill="true" applyFont="true" applyNumberFormat="false" applyProtection="false" borderId="18" fillId="12" fontId="19" numFmtId="0" xfId="0">
      <alignment horizontal="center" vertical="center" wrapText="true"/>
    </xf>
    <xf applyAlignment="true" applyBorder="false" applyFill="false" applyFont="true" applyNumberFormat="false" applyProtection="false" borderId="22" fillId="0" fontId="21" numFmtId="0" xfId="0">
      <alignment horizontal="left" vertical="top" wrapText="true"/>
    </xf>
    <xf applyAlignment="true" applyBorder="false" applyFill="false" applyFont="true" applyNumberFormat="false" applyProtection="false" borderId="23" fillId="0" fontId="22" numFmtId="0" xfId="0">
      <alignment horizontal="left" vertical="center"/>
    </xf>
    <xf applyAlignment="true" applyBorder="false" applyFill="false" applyFont="true" applyNumberFormat="false" applyProtection="false" borderId="23"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true" applyFont="true" applyNumberFormat="false" applyProtection="false" borderId="24" fillId="13" fontId="24" numFmtId="0" xfId="0">
      <alignment horizontal="left" vertical="center"/>
    </xf>
    <xf applyAlignment="true" applyBorder="false" applyFill="false" applyFont="true" applyNumberFormat="false" applyProtection="false" borderId="25" fillId="0" fontId="24" numFmtId="0" xfId="0">
      <alignment horizontal="left" vertical="center"/>
    </xf>
    <xf applyAlignment="true" applyBorder="false" applyFill="false" applyFont="true" applyNumberFormat="false" applyProtection="false" borderId="25" fillId="0" fontId="24" numFmtId="0" xfId="0">
      <alignment horizontal="lef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26" fillId="13" fontId="24" numFmtId="0" xfId="0">
      <alignment horizontal="left" vertical="center"/>
    </xf>
    <xf applyAlignment="true" applyBorder="false" applyFill="false" applyFont="true" applyNumberFormat="false" applyProtection="false" borderId="27" fillId="0" fontId="24" numFmtId="0" xfId="0">
      <alignment horizontal="left" vertical="center"/>
    </xf>
    <xf applyAlignment="true" applyBorder="false" applyFill="true" applyFont="true" applyNumberFormat="false" applyProtection="false" borderId="27" fillId="13"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27" fillId="0" fontId="24" numFmtId="0" xfId="0">
      <alignment horizontal="left" vertical="center"/>
    </xf>
    <xf applyAlignment="true" applyBorder="false" applyFill="true" applyFont="true" applyNumberFormat="false" applyProtection="false" borderId="26" fillId="13" fontId="24" numFmtId="0" xfId="0">
      <alignment vertical="center"/>
    </xf>
    <xf applyAlignment="true" applyBorder="false" applyFill="false" applyFont="true" applyNumberFormat="false" applyProtection="false" borderId="28" fillId="0" fontId="24" numFmtId="0" xfId="0">
      <alignment vertical="center"/>
    </xf>
    <xf applyAlignment="true" applyBorder="false" applyFill="false" applyFont="true" applyNumberFormat="false" applyProtection="false" borderId="28" fillId="0" fontId="24" numFmtId="0" xfId="0">
      <alignment horizontal="left" vertical="center"/>
    </xf>
    <xf applyAlignment="true" applyBorder="false" applyFill="false" applyFont="true" applyNumberFormat="true" applyProtection="false" borderId="27" fillId="0" fontId="24" numFmtId="164" xfId="0">
      <alignment horizontal="left" vertical="center"/>
    </xf>
    <xf applyAlignment="true" applyBorder="false" applyFill="true" applyFont="true" applyNumberFormat="false" applyProtection="false" borderId="29" fillId="13" fontId="24" numFmtId="0" xfId="0">
      <alignment vertical="center"/>
    </xf>
    <xf applyAlignment="true" applyBorder="false" applyFill="false" applyFont="true" applyNumberFormat="false" applyProtection="false" borderId="30" fillId="0" fontId="24" numFmtId="0" xfId="0">
      <alignment horizontal="left" vertical="center" wrapText="true"/>
    </xf>
    <xf applyAlignment="true" applyBorder="false" applyFill="false" applyFont="true" applyNumberFormat="false" applyProtection="false" borderId="30"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25" fillId="14" fontId="24" numFmtId="0" xfId="0">
      <alignment horizontal="center" vertical="center"/>
    </xf>
    <xf applyAlignment="true" applyBorder="false" applyFill="true" applyFont="true" applyNumberFormat="false" applyProtection="false" borderId="25" fillId="14" fontId="24" numFmtId="0" xfId="0">
      <alignment horizontal="center" vertical="center"/>
    </xf>
    <xf applyAlignment="true" applyBorder="false" applyFill="true" applyFont="true" applyNumberFormat="false" applyProtection="false" borderId="31" fillId="15" fontId="26" numFmtId="0" xfId="0">
      <alignment horizontal="center" vertical="center"/>
    </xf>
    <xf applyAlignment="true" applyBorder="false" applyFill="true" applyFont="true" applyNumberFormat="false" applyProtection="false" borderId="25" fillId="15" fontId="26" numFmtId="0" xfId="0">
      <alignment horizontal="center" vertical="center"/>
    </xf>
    <xf applyAlignment="true" applyBorder="false" applyFill="false" applyFont="true" applyNumberFormat="false" applyProtection="false" borderId="32" fillId="0" fontId="27" numFmtId="0" xfId="0">
      <alignment vertical="center"/>
    </xf>
    <xf applyAlignment="true" applyBorder="false" applyFill="false" applyFont="true" applyNumberFormat="false" applyProtection="false" borderId="33" fillId="0" fontId="5" numFmtId="0" xfId="0">
      <alignment vertical="center"/>
    </xf>
    <xf applyAlignment="true" applyBorder="false" applyFill="false" applyFont="true" applyNumberFormat="false" applyProtection="false" borderId="25" fillId="0" fontId="28" numFmtId="0" xfId="0">
      <alignment horizontal="left" vertical="center" wrapText="true"/>
    </xf>
    <xf applyAlignment="true" applyBorder="false" applyFill="false" applyFont="true" applyNumberFormat="false" applyProtection="false" borderId="25" fillId="0" fontId="27" numFmtId="0" xfId="0">
      <alignment vertical="center"/>
    </xf>
    <xf applyAlignment="true" applyBorder="false" applyFill="false" applyFont="true" applyNumberFormat="false" applyProtection="false" borderId="25" fillId="0" fontId="28" numFmtId="0" xfId="0">
      <alignment horizontal="left" vertical="center"/>
    </xf>
    <xf applyAlignment="true" applyBorder="false" applyFill="true" applyFont="true" applyNumberFormat="false" applyProtection="false" borderId="25" fillId="16" fontId="3" numFmtId="0" xfId="0">
      <alignment horizontal="center" vertical="center"/>
    </xf>
    <xf applyAlignment="true" applyBorder="false" applyFill="false" applyFont="true" applyNumberFormat="false" applyProtection="false" borderId="25" fillId="0" fontId="28" numFmtId="0" xfId="0">
      <alignment horizontal="left" vertical="center"/>
    </xf>
    <xf applyAlignment="true" applyBorder="false" applyFill="false" applyFont="true" applyNumberFormat="false" applyProtection="false" borderId="25" fillId="0" fontId="28" numFmtId="0" xfId="0">
      <alignment horizontal="center" vertical="center"/>
    </xf>
    <xf applyAlignment="true" applyBorder="false" applyFill="false" applyFont="true" applyNumberFormat="false" applyProtection="false" borderId="25" fillId="0" fontId="28" numFmtId="0" xfId="0">
      <alignment vertical="center"/>
    </xf>
    <xf applyAlignment="true" applyBorder="false" applyFill="false" applyFont="true" applyNumberFormat="false" applyProtection="false" borderId="25" fillId="0" fontId="28" numFmtId="0" xfId="0">
      <alignment horizontal="center" vertical="center"/>
    </xf>
    <xf applyAlignment="true" applyBorder="false" applyFill="false" applyFont="true" applyNumberFormat="false" applyProtection="false" borderId="25" fillId="0" fontId="3" numFmtId="0" xfId="0">
      <alignment vertical="center"/>
    </xf>
    <xf applyAlignment="true" applyBorder="false" applyFill="false" applyFont="true" applyNumberFormat="false" applyProtection="false" borderId="25" fillId="0" fontId="3" numFmtId="0" xfId="0">
      <alignment vertical="center"/>
    </xf>
    <xf applyAlignment="true" applyBorder="false" applyFill="false" applyFont="true" applyNumberFormat="false" applyProtection="false" borderId="34" fillId="0" fontId="27" numFmtId="0" xfId="0">
      <alignment vertical="center"/>
    </xf>
    <xf applyAlignment="true" applyBorder="false" applyFill="false" applyFont="true" applyNumberFormat="false" applyProtection="false" borderId="32" fillId="0" fontId="5" numFmtId="0" xfId="0">
      <alignment vertical="center"/>
    </xf>
    <xf applyAlignment="true" applyBorder="false" applyFill="false" applyFont="true" applyNumberFormat="false" applyProtection="false" borderId="25" fillId="0" fontId="28" numFmtId="0" xfId="0">
      <alignment vertical="center"/>
    </xf>
    <xf applyAlignment="true" applyBorder="false" applyFill="false" applyFont="true" applyNumberFormat="false" applyProtection="false" borderId="25" fillId="0" fontId="27" numFmtId="0" xfId="0">
      <alignment vertical="center"/>
    </xf>
    <xf applyAlignment="true" applyBorder="false" applyFill="false" applyFont="true" applyNumberFormat="false" applyProtection="false" borderId="32" fillId="0" fontId="5" numFmtId="0" xfId="0">
      <alignment vertical="center"/>
    </xf>
    <xf applyAlignment="true" applyBorder="false" applyFill="false" applyFont="true" applyNumberFormat="false" applyProtection="false" borderId="25" fillId="0" fontId="28" numFmtId="0" xfId="0">
      <alignment horizontal="left" vertical="center" wrapText="true"/>
    </xf>
    <xf applyAlignment="true" applyBorder="false" applyFill="false" applyFont="true" applyNumberFormat="false" applyProtection="false" borderId="25" fillId="0" fontId="28" numFmtId="0" xfId="0">
      <alignment vertical="center"/>
    </xf>
    <xf applyAlignment="true" applyBorder="false" applyFill="false" applyFont="true" applyNumberFormat="false" applyProtection="false" borderId="35" fillId="0" fontId="21" numFmtId="0" xfId="0">
      <alignment horizontal="left" vertical="top" wrapText="true"/>
    </xf>
    <xf applyAlignment="true" applyBorder="false" applyFill="false" applyFont="true" applyNumberFormat="false" applyProtection="false" borderId="36" fillId="0" fontId="22" numFmtId="0" xfId="0">
      <alignment horizontal="left" vertical="center"/>
    </xf>
    <xf applyAlignment="true" applyBorder="false" applyFill="false" applyFont="true" applyNumberFormat="false" applyProtection="false" borderId="36"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37" fillId="17" fontId="24" numFmtId="0" xfId="0">
      <alignment horizontal="left" vertical="center"/>
    </xf>
    <xf applyAlignment="true" applyBorder="false" applyFill="false" applyFont="true" applyNumberFormat="false" applyProtection="false" borderId="38" fillId="0" fontId="24" numFmtId="0" xfId="0">
      <alignment horizontal="left" vertical="center"/>
    </xf>
    <xf applyAlignment="true" applyBorder="false" applyFill="false" applyFont="true" applyNumberFormat="false" applyProtection="false" borderId="38" fillId="0" fontId="24" numFmtId="0" xfId="0">
      <alignment horizontal="lef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39" fillId="17" fontId="24" numFmtId="0" xfId="0">
      <alignment horizontal="left" vertical="center"/>
    </xf>
    <xf applyAlignment="true" applyBorder="false" applyFill="false" applyFont="true" applyNumberFormat="false" applyProtection="false" borderId="40" fillId="0" fontId="24" numFmtId="0" xfId="0">
      <alignment horizontal="left" vertical="center"/>
    </xf>
    <xf applyAlignment="true" applyBorder="false" applyFill="true" applyFont="true" applyNumberFormat="false" applyProtection="false" borderId="40" fillId="17"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40" fillId="0" fontId="24" numFmtId="0" xfId="0">
      <alignment horizontal="left" vertical="center"/>
    </xf>
    <xf applyAlignment="true" applyBorder="false" applyFill="true" applyFont="true" applyNumberFormat="false" applyProtection="false" borderId="39" fillId="17" fontId="24" numFmtId="0" xfId="0">
      <alignment vertical="center"/>
    </xf>
    <xf applyAlignment="true" applyBorder="false" applyFill="false" applyFont="true" applyNumberFormat="false" applyProtection="false" borderId="41" fillId="0" fontId="24" numFmtId="0" xfId="0">
      <alignment vertical="center"/>
    </xf>
    <xf applyAlignment="true" applyBorder="false" applyFill="false" applyFont="true" applyNumberFormat="false" applyProtection="false" borderId="41" fillId="0" fontId="24" numFmtId="0" xfId="0">
      <alignment horizontal="left" vertical="center"/>
    </xf>
    <xf applyAlignment="true" applyBorder="false" applyFill="false" applyFont="true" applyNumberFormat="true" applyProtection="false" borderId="40" fillId="0" fontId="24" numFmtId="165" xfId="0">
      <alignment horizontal="left" vertical="center"/>
    </xf>
    <xf applyAlignment="true" applyBorder="false" applyFill="true" applyFont="true" applyNumberFormat="false" applyProtection="false" borderId="42" fillId="17" fontId="24" numFmtId="0" xfId="0">
      <alignment vertical="center"/>
    </xf>
    <xf applyAlignment="true" applyBorder="false" applyFill="false" applyFont="true" applyNumberFormat="false" applyProtection="false" borderId="43" fillId="0" fontId="24" numFmtId="0" xfId="0">
      <alignment horizontal="left" vertical="center" wrapText="true"/>
    </xf>
    <xf applyAlignment="true" applyBorder="false" applyFill="false" applyFont="true" applyNumberFormat="false" applyProtection="false" borderId="43"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38" fillId="18" fontId="24" numFmtId="0" xfId="0">
      <alignment horizontal="center" vertical="center"/>
    </xf>
    <xf applyAlignment="true" applyBorder="false" applyFill="true" applyFont="true" applyNumberFormat="false" applyProtection="false" borderId="38" fillId="18" fontId="24" numFmtId="0" xfId="0">
      <alignment horizontal="center" vertical="center" wrapText="true"/>
    </xf>
    <xf applyAlignment="true" applyBorder="false" applyFill="true" applyFont="true" applyNumberFormat="false" applyProtection="false" borderId="38" fillId="18" fontId="24" numFmtId="0" xfId="0">
      <alignment horizontal="center" vertical="center" wrapText="true"/>
    </xf>
    <xf applyAlignment="true" applyBorder="false" applyFill="true" applyFont="true" applyNumberFormat="false" applyProtection="false" borderId="38" fillId="19" fontId="26" numFmtId="0" xfId="0">
      <alignment horizontal="center" vertical="center"/>
    </xf>
    <xf applyAlignment="true" applyBorder="false" applyFill="true" applyFont="true" applyNumberFormat="false" applyProtection="false" borderId="38" fillId="19" fontId="26" numFmtId="0" xfId="0">
      <alignment horizontal="center" vertical="center" wrapText="true"/>
    </xf>
    <xf applyAlignment="true" applyBorder="false" applyFill="true" applyFont="true" applyNumberFormat="false" applyProtection="false" borderId="44" fillId="19" fontId="26" numFmtId="0" xfId="0">
      <alignment horizontal="center" vertical="center"/>
    </xf>
    <xf applyAlignment="true" applyBorder="false" applyFill="true" applyFont="true" applyNumberFormat="false" applyProtection="false" borderId="44" fillId="19" fontId="26" numFmtId="0" xfId="0">
      <alignment horizontal="center" vertical="center" wrapText="true"/>
    </xf>
    <xf applyAlignment="true" applyBorder="false" applyFill="false" applyFont="true" applyNumberFormat="false" applyProtection="false" borderId="38" fillId="0" fontId="27" numFmtId="0" xfId="0">
      <alignment vertical="center"/>
    </xf>
    <xf applyAlignment="true" applyBorder="false" applyFill="false" applyFont="true" applyNumberFormat="false" applyProtection="false" borderId="45" fillId="0" fontId="5" numFmtId="0" xfId="0">
      <alignment vertical="center"/>
    </xf>
    <xf applyAlignment="true" applyBorder="false" applyFill="false" applyFont="true" applyNumberFormat="false" applyProtection="false" borderId="38" fillId="0" fontId="28" numFmtId="0" xfId="0">
      <alignment horizontal="left" vertical="center" wrapText="true"/>
    </xf>
    <xf applyAlignment="true" applyBorder="false" applyFill="false" applyFont="true" applyNumberFormat="false" applyProtection="false" borderId="38" fillId="0" fontId="27" numFmtId="0" xfId="0">
      <alignment vertical="center"/>
    </xf>
    <xf applyAlignment="true" applyBorder="false" applyFill="false" applyFont="true" applyNumberFormat="false" applyProtection="false" borderId="38" fillId="0" fontId="28" numFmtId="0" xfId="0">
      <alignment horizontal="left" vertical="center"/>
    </xf>
    <xf applyAlignment="true" applyBorder="false" applyFill="true" applyFont="true" applyNumberFormat="false" applyProtection="false" borderId="38" fillId="20" fontId="3" numFmtId="0" xfId="0">
      <alignment horizontal="center" vertical="center"/>
    </xf>
    <xf applyAlignment="true" applyBorder="false" applyFill="false" applyFont="true" applyNumberFormat="false" applyProtection="false" borderId="46" fillId="0" fontId="28" numFmtId="0" xfId="0">
      <alignment horizontal="center" vertical="center"/>
    </xf>
    <xf applyAlignment="true" applyBorder="false" applyFill="false" applyFont="true" applyNumberFormat="false" applyProtection="false" borderId="45" fillId="0" fontId="28" numFmtId="0" xfId="0">
      <alignment vertical="center" wrapText="true"/>
    </xf>
    <xf applyAlignment="true" applyBorder="false" applyFill="false" applyFont="true" applyNumberFormat="false" applyProtection="false" borderId="47" fillId="0" fontId="28" numFmtId="0" xfId="0">
      <alignment horizontal="left" vertical="center" wrapText="true"/>
    </xf>
    <xf applyAlignment="true" applyBorder="false" applyFill="false" applyFont="true" applyNumberFormat="false" applyProtection="false" borderId="38" fillId="0" fontId="3" numFmtId="0" xfId="0">
      <alignment vertical="center" wrapText="true"/>
    </xf>
    <xf applyAlignment="true" applyBorder="false" applyFill="false" applyFont="true" applyNumberFormat="false" applyProtection="false" borderId="38" fillId="0" fontId="3" numFmtId="0" xfId="0">
      <alignment vertical="center"/>
    </xf>
    <xf applyAlignment="true" applyBorder="false" applyFill="false" applyFont="true" applyNumberFormat="false" applyProtection="false" borderId="48" fillId="0" fontId="28" numFmtId="0" xfId="0">
      <alignment horizontal="left" vertical="center" wrapText="true"/>
    </xf>
    <xf applyAlignment="true" applyBorder="false" applyFill="false" applyFont="true" applyNumberFormat="false" applyProtection="false" borderId="45" fillId="0" fontId="28" numFmtId="0" xfId="0">
      <alignment horizontal="center" vertical="center"/>
    </xf>
    <xf applyAlignment="true" applyBorder="false" applyFill="false" applyFont="true" applyNumberFormat="false" applyProtection="false" borderId="49" fillId="0" fontId="28" numFmtId="0" xfId="0">
      <alignment vertical="center" wrapText="true"/>
    </xf>
    <xf applyAlignment="true" applyBorder="false" applyFill="true" applyFont="true" applyNumberFormat="false" applyProtection="false" borderId="50" fillId="20" fontId="3" numFmtId="0" xfId="0">
      <alignment horizontal="center" vertical="center"/>
    </xf>
    <xf applyAlignment="true" applyBorder="false" applyFill="false" applyFont="true" applyNumberFormat="false" applyProtection="false" borderId="51" fillId="0" fontId="28" numFmtId="0" xfId="0">
      <alignment horizontal="left" vertical="center" wrapText="true"/>
    </xf>
    <xf applyAlignment="true" applyBorder="false" applyFill="false" applyFont="true" applyNumberFormat="false" applyProtection="false" borderId="52" fillId="0" fontId="28" numFmtId="0" xfId="0">
      <alignment vertical="center" wrapText="true"/>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45" fillId="0" fontId="28" numFmtId="0" xfId="0">
      <alignment horizontal="center" vertical="center"/>
    </xf>
    <xf applyAlignment="true" applyBorder="false" applyFill="false" applyFont="true" applyNumberFormat="false" applyProtection="false" borderId="38" fillId="0" fontId="28" numFmtId="0" xfId="0">
      <alignment horizontal="left" vertical="center" wrapText="true"/>
    </xf>
    <xf applyAlignment="true" applyBorder="false" applyFill="false" applyFont="true" applyNumberFormat="false" applyProtection="false" borderId="45" fillId="0" fontId="28" numFmtId="0" xfId="0">
      <alignment horizontal="left" vertical="center" wrapText="true"/>
    </xf>
    <xf applyAlignment="true" applyBorder="false" applyFill="false" applyFont="true" applyNumberFormat="false" applyProtection="false" borderId="52" fillId="0" fontId="28" numFmtId="0" xfId="0">
      <alignment horizontal="center" vertical="center"/>
    </xf>
    <xf applyAlignment="true" applyBorder="false" applyFill="false" applyFont="true" applyNumberFormat="false" applyProtection="false" borderId="45" fillId="0" fontId="28" numFmtId="0" xfId="0">
      <alignment vertical="center" wrapText="true"/>
    </xf>
    <xf applyAlignment="true" applyBorder="false" applyFill="false" applyFont="true" applyNumberFormat="false" applyProtection="false" borderId="45" fillId="0" fontId="16" numFmtId="0" xfId="0">
      <alignment horizontal="left" vertical="center" wrapText="true"/>
    </xf>
    <xf applyAlignment="true" applyBorder="false" applyFill="false" applyFont="true" applyNumberFormat="false" applyProtection="false" borderId="45" fillId="0" fontId="16" numFmtId="0" xfId="0">
      <alignment horizontal="left" vertical="center" wrapText="true"/>
    </xf>
    <xf applyAlignment="true" applyBorder="false" applyFill="false" applyFont="true" applyNumberFormat="false" applyProtection="false" borderId="45" fillId="0" fontId="16" numFmtId="0" xfId="0">
      <alignment vertical="center"/>
    </xf>
    <xf applyAlignment="true" applyBorder="false" applyFill="false" applyFont="true" applyNumberFormat="false" applyProtection="false" borderId="38" fillId="0" fontId="28" numFmtId="0" xfId="0">
      <alignment horizontal="center" vertical="center"/>
    </xf>
    <xf applyAlignment="true" applyBorder="false" applyFill="false" applyFont="true" applyNumberFormat="false" applyProtection="false" borderId="0" fillId="0" fontId="28" numFmtId="0" xfId="0">
      <alignment vertical="center"/>
    </xf>
    <xf applyAlignment="true" applyBorder="false" applyFill="false" applyFont="true" applyNumberFormat="false" applyProtection="false" borderId="44" fillId="0" fontId="3" numFmtId="0" xfId="0">
      <alignment vertical="center" wrapText="true"/>
    </xf>
    <xf applyAlignment="true" applyBorder="false" applyFill="false" applyFont="true" applyNumberFormat="false" applyProtection="false" borderId="50" fillId="0" fontId="28" numFmtId="0" xfId="0">
      <alignment horizontal="left" vertical="center" wrapText="true"/>
    </xf>
    <xf applyAlignment="true" applyBorder="false" applyFill="false" applyFont="true" applyNumberFormat="false" applyProtection="false" borderId="47" fillId="0" fontId="3"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45" fillId="0" fontId="3" numFmtId="0" xfId="0">
      <alignment vertical="center" wrapText="true"/>
    </xf>
    <xf applyAlignment="true" applyBorder="false" applyFill="false" applyFont="true" applyNumberFormat="false" applyProtection="false" borderId="45" fillId="0" fontId="3" numFmtId="0" xfId="0">
      <alignment vertical="center"/>
    </xf>
    <xf applyAlignment="true" applyBorder="false" applyFill="false" applyFont="true" applyNumberFormat="false" applyProtection="false" borderId="38" fillId="0" fontId="28" numFmtId="0" xfId="0">
      <alignment vertical="center" wrapText="true"/>
    </xf>
    <xf applyAlignment="true" applyBorder="false" applyFill="false" applyFont="true" applyNumberFormat="false" applyProtection="false" borderId="50" fillId="0" fontId="28" numFmtId="0" xfId="0">
      <alignment horizontal="left" vertical="center" wrapText="true"/>
    </xf>
    <xf applyAlignment="true" applyBorder="false" applyFill="false" applyFont="true" applyNumberFormat="false" applyProtection="false" borderId="38" fillId="0" fontId="28" numFmtId="0" xfId="0">
      <alignment vertical="center" wrapText="true"/>
    </xf>
    <xf applyAlignment="true" applyBorder="false" applyFill="false" applyFont="true" applyNumberFormat="false" applyProtection="false" borderId="53" fillId="0" fontId="28" numFmtId="0" xfId="0">
      <alignment vertical="center" wrapText="true"/>
    </xf>
    <xf applyAlignment="true" applyBorder="false" applyFill="false" applyFont="true" applyNumberFormat="false" applyProtection="false" borderId="54" fillId="0" fontId="28" numFmtId="0" xfId="0">
      <alignment vertical="center" wrapText="true"/>
    </xf>
    <xf applyAlignment="true" applyBorder="false" applyFill="false" applyFont="true" applyNumberFormat="false" applyProtection="false" borderId="38" fillId="0" fontId="31" numFmtId="0" xfId="0">
      <alignment horizontal="left" vertical="center" wrapText="true"/>
    </xf>
    <xf applyAlignment="true" applyBorder="false" applyFill="false" applyFont="true" applyNumberFormat="false" applyProtection="false" borderId="38" fillId="0" fontId="3" numFmtId="0" xfId="0">
      <alignment vertical="center" wrapText="true"/>
    </xf>
    <xf applyAlignment="true" applyBorder="false" applyFill="false" applyFont="true" applyNumberFormat="false" applyProtection="false" borderId="0" fillId="0" fontId="32" numFmtId="0" xfId="0">
      <alignment vertical="center"/>
    </xf>
    <xf applyAlignment="true" applyBorder="false" applyFill="false" applyFont="true" applyNumberFormat="false" applyProtection="false" borderId="38" fillId="0" fontId="28" numFmtId="0" xfId="0">
      <alignment vertical="center"/>
    </xf>
    <xf applyAlignment="true" applyBorder="false" applyFill="false" applyFont="true" applyNumberFormat="false" applyProtection="false" borderId="38" fillId="0" fontId="28" numFmtId="0" xfId="0">
      <alignment vertical="center"/>
    </xf>
    <xf applyAlignment="true" applyBorder="false" applyFill="false" applyFont="true" applyNumberFormat="false" applyProtection="false" borderId="38" fillId="0" fontId="6" numFmtId="0" xfId="0">
      <alignment horizontal="left" vertical="center" wrapText="true"/>
    </xf>
    <xf applyAlignment="true" applyBorder="false" applyFill="false" applyFont="true" applyNumberFormat="false" applyProtection="false" borderId="38" fillId="0" fontId="31" numFmtId="0" xfId="0">
      <alignment vertical="center"/>
    </xf>
    <xf applyAlignment="true" applyBorder="false" applyFill="false" applyFont="true" applyNumberFormat="false" applyProtection="false" borderId="0" fillId="0" fontId="23" numFmtId="0" xfId="0">
      <alignment vertical="center"/>
    </xf>
    <xf applyAlignment="true" applyBorder="false" applyFill="true" applyFont="true" applyNumberFormat="false" applyProtection="false" borderId="0" fillId="21" fontId="33" numFmtId="0" xfId="0">
      <alignment vertical="center"/>
    </xf>
    <xf applyAlignment="true" applyBorder="false" applyFill="true" applyFont="true" applyNumberFormat="false" applyProtection="false" borderId="38" fillId="21" fontId="34" numFmtId="0" xfId="0">
      <alignment vertical="center"/>
    </xf>
    <xf applyAlignment="true" applyBorder="false" applyFill="true" applyFont="true" applyNumberFormat="false" applyProtection="false" borderId="38" fillId="21" fontId="35" numFmtId="0" xfId="0">
      <alignment vertical="center"/>
    </xf>
    <xf applyAlignment="true" applyBorder="false" applyFill="true" applyFont="true" applyNumberFormat="false" applyProtection="false" borderId="38" fillId="21" fontId="30" numFmtId="0" xfId="0">
      <alignment horizontal="left" vertical="center" wrapText="true"/>
    </xf>
    <xf applyAlignment="true" applyBorder="false" applyFill="true" applyFont="true" applyNumberFormat="false" applyProtection="false" borderId="38" fillId="21" fontId="30" numFmtId="0" xfId="0">
      <alignment horizontal="left" vertical="center"/>
    </xf>
    <xf applyAlignment="true" applyBorder="false" applyFill="true" applyFont="true" applyNumberFormat="false" applyProtection="false" borderId="38" fillId="21" fontId="35" numFmtId="0" xfId="0">
      <alignment horizontal="center" vertical="center"/>
    </xf>
    <xf applyAlignment="true" applyBorder="false" applyFill="true" applyFont="true" applyNumberFormat="false" applyProtection="false" borderId="38" fillId="21" fontId="30" numFmtId="0" xfId="0">
      <alignment horizontal="center" vertical="center"/>
    </xf>
    <xf applyAlignment="true" applyBorder="false" applyFill="true" applyFont="true" applyNumberFormat="false" applyProtection="false" borderId="38" fillId="21" fontId="30" numFmtId="0" xfId="0">
      <alignment vertical="center"/>
    </xf>
    <xf applyAlignment="true" applyBorder="false" applyFill="true" applyFont="true" applyNumberFormat="false" applyProtection="false" borderId="38" fillId="21" fontId="35" numFmtId="0" xfId="0">
      <alignment vertical="center" wrapText="true"/>
    </xf>
    <xf applyAlignment="true" applyBorder="false" applyFill="true" applyFont="true" applyNumberFormat="false" applyProtection="false" borderId="0" fillId="21" fontId="36" numFmtId="0" xfId="0">
      <alignment vertical="center"/>
    </xf>
    <xf applyAlignment="true" applyBorder="false" applyFill="true" applyFont="true" applyNumberFormat="false" applyProtection="false" borderId="38" fillId="21" fontId="30" numFmtId="0" xfId="0">
      <alignment vertical="center" wrapText="true"/>
    </xf>
    <xf applyAlignment="true" applyBorder="false" applyFill="true" applyFont="true" applyNumberFormat="false" applyProtection="false" borderId="38" fillId="21" fontId="37" numFmtId="0" xfId="0">
      <alignment vertical="center"/>
    </xf>
    <xf applyAlignment="true" applyBorder="false" applyFill="false" applyFont="true" applyNumberFormat="false" applyProtection="false" borderId="44" fillId="0" fontId="28" numFmtId="0" xfId="0">
      <alignment vertical="center" wrapText="true"/>
    </xf>
    <xf applyAlignment="true" applyBorder="false" applyFill="false" applyFont="true" applyNumberFormat="false" applyProtection="false" borderId="50" fillId="0" fontId="28" numFmtId="0" xfId="0">
      <alignment horizontal="center" vertical="center"/>
    </xf>
    <xf applyAlignment="true" applyBorder="false" applyFill="false" applyFont="true" applyNumberFormat="false" applyProtection="false" borderId="47" fillId="0" fontId="28" numFmtId="0" xfId="0">
      <alignment horizontal="left" vertical="center" wrapText="true"/>
    </xf>
    <xf applyAlignment="true" applyBorder="false" applyFill="false" applyFont="true" applyNumberFormat="false" applyProtection="false" borderId="45" fillId="0" fontId="28" numFmtId="0" xfId="0">
      <alignment vertical="center"/>
    </xf>
    <xf applyAlignment="true" applyBorder="false" applyFill="false" applyFont="true" applyNumberFormat="false" applyProtection="false" borderId="0" fillId="0" fontId="28" numFmtId="0" xfId="0">
      <alignment vertical="center"/>
    </xf>
    <xf applyAlignment="true" applyBorder="false" applyFill="false" applyFont="true" applyNumberFormat="false" applyProtection="false" borderId="45" fillId="0" fontId="38" numFmtId="0" xfId="0">
      <alignment vertical="center" wrapText="true"/>
    </xf>
    <xf applyAlignment="true" applyBorder="false" applyFill="false" applyFont="true" applyNumberFormat="false" applyProtection="false" borderId="38" fillId="0" fontId="38" numFmtId="0" xfId="0">
      <alignment vertical="center" wrapText="true"/>
    </xf>
    <xf applyAlignment="true" applyBorder="false" applyFill="false" applyFont="true" applyNumberFormat="false" applyProtection="false" borderId="44" fillId="0" fontId="28" numFmtId="0" xfId="0">
      <alignment horizontal="left" vertical="center" wrapText="true"/>
    </xf>
    <xf applyAlignment="true" applyBorder="false" applyFill="false" applyFont="true" applyNumberFormat="false" applyProtection="false" borderId="44" fillId="0" fontId="28" numFmtId="0" xfId="0">
      <alignment vertical="center" wrapText="true"/>
    </xf>
    <xf applyAlignment="true" applyBorder="false" applyFill="false" applyFont="true" applyNumberFormat="false" applyProtection="false" borderId="38" fillId="0" fontId="27" numFmtId="0" xfId="0">
      <alignment vertical="center" wrapText="true"/>
    </xf>
    <xf applyAlignment="true" applyBorder="false" applyFill="false" applyFont="true" applyNumberFormat="false" applyProtection="false" borderId="47" fillId="0" fontId="28" numFmtId="0" xfId="0">
      <alignment horizontal="center" vertical="center"/>
    </xf>
    <xf applyAlignment="true" applyBorder="false" applyFill="false" applyFont="true" applyNumberFormat="false" applyProtection="false" borderId="44" fillId="0" fontId="27" numFmtId="0" xfId="0">
      <alignment vertical="center"/>
    </xf>
    <xf applyAlignment="true" applyBorder="false" applyFill="false" applyFont="true" applyNumberFormat="false" applyProtection="false" borderId="44" fillId="0" fontId="28" numFmtId="0" xfId="0">
      <alignment horizontal="left" vertical="center"/>
    </xf>
    <xf applyAlignment="true" applyBorder="false" applyFill="true" applyFont="true" applyNumberFormat="false" applyProtection="false" borderId="44" fillId="20" fontId="3" numFmtId="0" xfId="0">
      <alignment horizontal="center" vertical="center"/>
    </xf>
    <xf applyAlignment="true" applyBorder="false" applyFill="false" applyFont="true" applyNumberFormat="false" applyProtection="false" borderId="55" fillId="0" fontId="3" numFmtId="0" xfId="0">
      <alignment vertical="center" wrapText="true"/>
    </xf>
    <xf applyAlignment="true" applyBorder="false" applyFill="false" applyFont="true" applyNumberFormat="false" applyProtection="false" borderId="45" fillId="0" fontId="3" numFmtId="0" xfId="0">
      <alignment vertical="center" wrapText="true"/>
    </xf>
    <xf applyAlignment="true" applyBorder="false" applyFill="false" applyFont="true" applyNumberFormat="false" applyProtection="false" borderId="48" fillId="0" fontId="28" numFmtId="0" xfId="0">
      <alignment horizontal="center" vertical="center"/>
    </xf>
    <xf applyAlignment="true" applyBorder="false" applyFill="false" applyFont="true" applyNumberFormat="false" applyProtection="false" borderId="46" fillId="0" fontId="28" numFmtId="0" xfId="0">
      <alignment vertical="center" wrapText="true"/>
    </xf>
    <xf applyAlignment="true" applyBorder="false" applyFill="false" applyFont="true" applyNumberFormat="false" applyProtection="false" borderId="52" fillId="0" fontId="3" numFmtId="0" xfId="0">
      <alignment vertical="center" wrapText="true"/>
    </xf>
    <xf applyAlignment="true" applyBorder="false" applyFill="false" applyFont="true" applyNumberFormat="false" applyProtection="false" borderId="49" fillId="0" fontId="28" numFmtId="0" xfId="0">
      <alignment horizontal="left" vertical="center" wrapText="true"/>
    </xf>
    <xf applyAlignment="true" applyBorder="false" applyFill="false" applyFont="true" applyNumberFormat="false" applyProtection="false" borderId="54" fillId="0" fontId="28" numFmtId="0" xfId="0">
      <alignment horizontal="left" vertical="center" wrapText="true"/>
    </xf>
    <xf applyAlignment="true" applyBorder="false" applyFill="false" applyFont="true" applyNumberFormat="false" applyProtection="false" borderId="54" fillId="0" fontId="28" numFmtId="0" xfId="0">
      <alignment horizontal="center" vertical="center"/>
    </xf>
    <xf applyAlignment="true" applyBorder="false" applyFill="false" applyFont="true" applyNumberFormat="false" applyProtection="false" borderId="56" fillId="0" fontId="28" numFmtId="0" xfId="0">
      <alignment vertical="center" wrapText="true"/>
    </xf>
    <xf applyAlignment="true" applyBorder="false" applyFill="false" applyFont="true" applyNumberFormat="false" applyProtection="false" borderId="0" fillId="0" fontId="28" numFmtId="0" xfId="0">
      <alignment vertical="center" wrapText="true"/>
    </xf>
    <xf applyAlignment="true" applyBorder="false" applyFill="false" applyFont="true" applyNumberFormat="false" applyProtection="false" borderId="38" fillId="0" fontId="28" numFmtId="0" xfId="0">
      <alignment horizontal="center" vertical="center"/>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38" fillId="0" fontId="28" numFmtId="0" xfId="0">
      <alignment horizontal="lef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57" fillId="0" fontId="21" numFmtId="0" xfId="0">
      <alignment horizontal="left" vertical="top" wrapText="true"/>
    </xf>
    <xf applyAlignment="true" applyBorder="false" applyFill="false" applyFont="true" applyNumberFormat="false" applyProtection="false" borderId="58" fillId="0" fontId="22" numFmtId="0" xfId="0">
      <alignment horizontal="left" vertical="center"/>
    </xf>
    <xf applyAlignment="true" applyBorder="false" applyFill="false" applyFont="true" applyNumberFormat="false" applyProtection="false" borderId="58"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59" fillId="22" fontId="24" numFmtId="0" xfId="0">
      <alignment horizontal="left" vertical="center"/>
    </xf>
    <xf applyAlignment="true" applyBorder="false" applyFill="false" applyFont="true" applyNumberFormat="false" applyProtection="false" borderId="60" fillId="0" fontId="24" numFmtId="0" xfId="0">
      <alignment horizontal="left" vertical="center"/>
    </xf>
    <xf applyAlignment="true" applyBorder="false" applyFill="false" applyFont="true" applyNumberFormat="false" applyProtection="false" borderId="60" fillId="0" fontId="24" numFmtId="0" xfId="0">
      <alignment horizontal="lef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61" fillId="22" fontId="24" numFmtId="0" xfId="0">
      <alignment horizontal="left" vertical="center"/>
    </xf>
    <xf applyAlignment="true" applyBorder="false" applyFill="false" applyFont="true" applyNumberFormat="false" applyProtection="false" borderId="62" fillId="0" fontId="24" numFmtId="0" xfId="0">
      <alignment horizontal="left" vertical="center"/>
    </xf>
    <xf applyAlignment="true" applyBorder="false" applyFill="true" applyFont="true" applyNumberFormat="false" applyProtection="false" borderId="62" fillId="22"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62" fillId="0" fontId="24" numFmtId="0" xfId="0">
      <alignment horizontal="left" vertical="center"/>
    </xf>
    <xf applyAlignment="true" applyBorder="false" applyFill="true" applyFont="true" applyNumberFormat="false" applyProtection="false" borderId="61" fillId="22" fontId="24" numFmtId="0" xfId="0">
      <alignment vertical="center"/>
    </xf>
    <xf applyAlignment="true" applyBorder="false" applyFill="false" applyFont="true" applyNumberFormat="false" applyProtection="false" borderId="63" fillId="0" fontId="24" numFmtId="0" xfId="0">
      <alignment vertical="center"/>
    </xf>
    <xf applyAlignment="true" applyBorder="false" applyFill="false" applyFont="true" applyNumberFormat="false" applyProtection="false" borderId="63" fillId="0" fontId="24" numFmtId="0" xfId="0">
      <alignment horizontal="left" vertical="center"/>
    </xf>
    <xf applyAlignment="true" applyBorder="false" applyFill="false" applyFont="true" applyNumberFormat="true" applyProtection="false" borderId="62" fillId="0" fontId="24" numFmtId="166" xfId="0">
      <alignment horizontal="left" vertical="center"/>
    </xf>
    <xf applyAlignment="true" applyBorder="false" applyFill="true" applyFont="true" applyNumberFormat="false" applyProtection="false" borderId="64" fillId="22" fontId="24" numFmtId="0" xfId="0">
      <alignment vertical="center"/>
    </xf>
    <xf applyAlignment="true" applyBorder="false" applyFill="false" applyFont="true" applyNumberFormat="false" applyProtection="false" borderId="65" fillId="0" fontId="24" numFmtId="0" xfId="0">
      <alignment horizontal="left" vertical="center" wrapText="true"/>
    </xf>
    <xf applyAlignment="true" applyBorder="false" applyFill="false" applyFont="true" applyNumberFormat="false" applyProtection="false" borderId="65" fillId="0" fontId="24" numFmtId="0" xfId="0">
      <alignment horizontal="left" vertical="center" wrapText="true"/>
    </xf>
    <xf applyAlignment="true" applyBorder="false" applyFill="false" applyFont="true" applyNumberFormat="false" applyProtection="false" borderId="0" fillId="0" fontId="32" numFmtId="0" xfId="0">
      <alignment vertical="center" wrapText="true"/>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60" fillId="23" fontId="24" numFmtId="0" xfId="0">
      <alignment horizontal="center" vertical="center"/>
    </xf>
    <xf applyAlignment="true" applyBorder="false" applyFill="true" applyFont="true" applyNumberFormat="false" applyProtection="false" borderId="60" fillId="23" fontId="24" numFmtId="0" xfId="0">
      <alignment horizontal="center" vertical="center" wrapText="true"/>
    </xf>
    <xf applyAlignment="true" applyBorder="false" applyFill="true" applyFont="true" applyNumberFormat="false" applyProtection="false" borderId="60" fillId="23" fontId="24" numFmtId="0" xfId="0">
      <alignment horizontal="center" vertical="center" wrapText="true"/>
    </xf>
    <xf applyAlignment="true" applyBorder="false" applyFill="true" applyFont="true" applyNumberFormat="false" applyProtection="false" borderId="60" fillId="24" fontId="26" numFmtId="0" xfId="0">
      <alignment horizontal="center" vertical="center"/>
    </xf>
    <xf applyAlignment="true" applyBorder="false" applyFill="true" applyFont="true" applyNumberFormat="false" applyProtection="false" borderId="60" fillId="24" fontId="26" numFmtId="0" xfId="0">
      <alignment horizontal="center" vertical="center" wrapText="true"/>
    </xf>
    <xf applyAlignment="true" applyBorder="false" applyFill="true" applyFont="true" applyNumberFormat="false" applyProtection="false" borderId="66" fillId="24" fontId="26" numFmtId="0" xfId="0">
      <alignment horizontal="center" vertical="center"/>
    </xf>
    <xf applyAlignment="true" applyBorder="false" applyFill="true" applyFont="true" applyNumberFormat="false" applyProtection="false" borderId="66" fillId="24" fontId="26" numFmtId="0" xfId="0">
      <alignment horizontal="center" vertical="center" wrapText="true"/>
    </xf>
    <xf applyAlignment="true" applyBorder="false" applyFill="false" applyFont="true" applyNumberFormat="false" applyProtection="false" borderId="60" fillId="0" fontId="27" numFmtId="0" xfId="0">
      <alignment vertical="center"/>
    </xf>
    <xf applyAlignment="true" applyBorder="false" applyFill="false" applyFont="true" applyNumberFormat="false" applyProtection="false" borderId="67" fillId="0" fontId="5" numFmtId="0" xfId="0">
      <alignment vertical="center"/>
    </xf>
    <xf applyAlignment="true" applyBorder="false" applyFill="false" applyFont="true" applyNumberFormat="false" applyProtection="false" borderId="60" fillId="0" fontId="28" numFmtId="0" xfId="0">
      <alignment horizontal="left" vertical="center" wrapText="true"/>
    </xf>
    <xf applyAlignment="true" applyBorder="false" applyFill="false" applyFont="true" applyNumberFormat="false" applyProtection="false" borderId="60" fillId="0" fontId="27" numFmtId="0" xfId="0">
      <alignment vertical="center"/>
    </xf>
    <xf applyAlignment="true" applyBorder="false" applyFill="false" applyFont="true" applyNumberFormat="false" applyProtection="false" borderId="60" fillId="0" fontId="28" numFmtId="0" xfId="0">
      <alignment horizontal="left" vertical="center"/>
    </xf>
    <xf applyAlignment="true" applyBorder="false" applyFill="true" applyFont="true" applyNumberFormat="false" applyProtection="false" borderId="60" fillId="25" fontId="3" numFmtId="0" xfId="0">
      <alignment horizontal="center" vertical="center"/>
    </xf>
    <xf applyAlignment="true" applyBorder="false" applyFill="false" applyFont="true" applyNumberFormat="false" applyProtection="false" borderId="68" fillId="0" fontId="28" numFmtId="0" xfId="0">
      <alignment horizontal="left" vertical="center" wrapText="true"/>
    </xf>
    <xf applyAlignment="true" applyBorder="false" applyFill="false" applyFont="true" applyNumberFormat="false" applyProtection="false" borderId="68" fillId="0" fontId="28" numFmtId="0" xfId="0">
      <alignment horizontal="center" vertical="center"/>
    </xf>
    <xf applyAlignment="true" applyBorder="false" applyFill="false" applyFont="true" applyNumberFormat="false" applyProtection="false" borderId="68" fillId="0" fontId="28" numFmtId="0" xfId="0">
      <alignment vertical="center" wrapText="true"/>
    </xf>
    <xf applyAlignment="true" applyBorder="false" applyFill="false" applyFont="true" applyNumberFormat="false" applyProtection="false" borderId="67" fillId="0" fontId="28" numFmtId="0" xfId="0">
      <alignment vertical="center" wrapText="true"/>
    </xf>
    <xf applyAlignment="true" applyBorder="false" applyFill="false" applyFont="true" applyNumberFormat="false" applyProtection="false" borderId="60" fillId="0" fontId="3" numFmtId="0" xfId="0">
      <alignment vertical="center" wrapText="true"/>
    </xf>
    <xf applyAlignment="true" applyBorder="false" applyFill="false" applyFont="true" applyNumberFormat="false" applyProtection="false" borderId="60" fillId="0" fontId="3" numFmtId="0" xfId="0">
      <alignment vertical="center"/>
    </xf>
    <xf applyAlignment="true" applyBorder="false" applyFill="false" applyFont="true" applyNumberFormat="false" applyProtection="false" borderId="67" fillId="0" fontId="28" numFmtId="0" xfId="0">
      <alignment horizontal="left" vertical="center" wrapText="true"/>
    </xf>
    <xf applyAlignment="true" applyBorder="false" applyFill="false" applyFont="true" applyNumberFormat="false" applyProtection="false" borderId="69" fillId="0" fontId="28" numFmtId="0" xfId="0">
      <alignment vertical="center" wrapText="true"/>
    </xf>
    <xf applyAlignment="true" applyBorder="false" applyFill="true" applyFont="true" applyNumberFormat="false" applyProtection="false" borderId="70" fillId="25" fontId="3" numFmtId="0" xfId="0">
      <alignment horizontal="center" vertical="center"/>
    </xf>
    <xf applyAlignment="true" applyBorder="false" applyFill="false" applyFont="true" applyNumberFormat="false" applyProtection="false" borderId="67" fillId="0" fontId="28" numFmtId="0" xfId="0">
      <alignment horizontal="center" vertical="center"/>
    </xf>
    <xf applyAlignment="true" applyBorder="false" applyFill="false" applyFont="true" applyNumberFormat="false" applyProtection="false" borderId="67" fillId="0" fontId="28" numFmtId="0" xfId="0">
      <alignment horizontal="center" vertical="center"/>
    </xf>
    <xf applyAlignment="true" applyBorder="false" applyFill="false" applyFont="true" applyNumberFormat="false" applyProtection="false" borderId="71" fillId="0" fontId="28" numFmtId="0" xfId="0">
      <alignment vertical="center" wrapText="true"/>
    </xf>
    <xf applyAlignment="true" applyBorder="false" applyFill="false" applyFont="true" applyNumberFormat="false" applyProtection="false" borderId="72" fillId="0" fontId="28" numFmtId="0" xfId="0">
      <alignment horizontal="left" vertical="center" wrapText="true"/>
    </xf>
    <xf applyAlignment="true" applyBorder="false" applyFill="false" applyFont="true" applyNumberFormat="false" applyProtection="false" borderId="73" fillId="0" fontId="28" numFmtId="0" xfId="0">
      <alignment horizontal="center" vertical="center"/>
    </xf>
    <xf applyAlignment="true" applyBorder="false" applyFill="false" applyFont="true" applyNumberFormat="false" applyProtection="false" borderId="60" fillId="0" fontId="28" numFmtId="0" xfId="0">
      <alignment horizontal="left" vertical="center" wrapText="true"/>
    </xf>
    <xf applyAlignment="true" applyBorder="false" applyFill="false" applyFont="true" applyNumberFormat="false" applyProtection="false" borderId="60" fillId="0" fontId="28" numFmtId="0" xfId="0">
      <alignment horizontal="center" vertical="center"/>
    </xf>
    <xf applyAlignment="true" applyBorder="false" applyFill="false" applyFont="true" applyNumberFormat="false" applyProtection="false" borderId="70" fillId="0" fontId="28" numFmtId="0" xfId="0">
      <alignment vertical="center" wrapText="true"/>
    </xf>
    <xf applyAlignment="true" applyBorder="false" applyFill="false" applyFont="true" applyNumberFormat="false" applyProtection="false" borderId="74" fillId="0" fontId="3" numFmtId="0" xfId="0">
      <alignment vertical="center"/>
    </xf>
    <xf applyAlignment="true" applyBorder="false" applyFill="false" applyFont="true" applyNumberFormat="false" applyProtection="false" borderId="60" fillId="0" fontId="28" numFmtId="0" xfId="0">
      <alignment vertical="center" wrapText="true"/>
    </xf>
    <xf applyAlignment="true" applyBorder="false" applyFill="false" applyFont="true" applyNumberFormat="false" applyProtection="false" borderId="70" fillId="0" fontId="28" numFmtId="0" xfId="0">
      <alignment horizontal="left" vertical="center" wrapText="true"/>
    </xf>
    <xf applyAlignment="true" applyBorder="false" applyFill="false" applyFont="true" applyNumberFormat="false" applyProtection="false" borderId="72" fillId="0" fontId="28" numFmtId="0" xfId="0">
      <alignmen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67" fillId="0" fontId="28" numFmtId="0" xfId="0">
      <alignment vertical="center" wrapText="true"/>
    </xf>
    <xf applyAlignment="true" applyBorder="false" applyFill="false" applyFont="true" applyNumberFormat="false" applyProtection="false" borderId="60" fillId="0" fontId="28"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75" fillId="0" fontId="21" numFmtId="0" xfId="0">
      <alignment horizontal="left" vertical="top" wrapText="true"/>
    </xf>
    <xf applyAlignment="true" applyBorder="false" applyFill="false" applyFont="true" applyNumberFormat="false" applyProtection="false" borderId="76" fillId="0" fontId="22" numFmtId="0" xfId="0">
      <alignment horizontal="left" vertical="center"/>
    </xf>
    <xf applyAlignment="true" applyBorder="false" applyFill="false" applyFont="true" applyNumberFormat="false" applyProtection="false" borderId="76"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77" fillId="26" fontId="24" numFmtId="0" xfId="0">
      <alignment horizontal="left" vertical="center"/>
    </xf>
    <xf applyAlignment="true" applyBorder="false" applyFill="false" applyFont="true" applyNumberFormat="false" applyProtection="false" borderId="78" fillId="0" fontId="24" numFmtId="0" xfId="0">
      <alignment horizontal="left" vertical="center"/>
    </xf>
    <xf applyAlignment="true" applyBorder="false" applyFill="false" applyFont="true" applyNumberFormat="false" applyProtection="false" borderId="78" fillId="0" fontId="24" numFmtId="0" xfId="0">
      <alignment horizontal="lef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79" fillId="26" fontId="24" numFmtId="0" xfId="0">
      <alignment horizontal="left" vertical="center"/>
    </xf>
    <xf applyAlignment="true" applyBorder="false" applyFill="false" applyFont="true" applyNumberFormat="false" applyProtection="false" borderId="80" fillId="0" fontId="24" numFmtId="0" xfId="0">
      <alignment horizontal="left" vertical="center"/>
    </xf>
    <xf applyAlignment="true" applyBorder="false" applyFill="true" applyFont="true" applyNumberFormat="false" applyProtection="false" borderId="80" fillId="26"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80" fillId="0" fontId="24" numFmtId="0" xfId="0">
      <alignment horizontal="left" vertical="center"/>
    </xf>
    <xf applyAlignment="true" applyBorder="false" applyFill="true" applyFont="true" applyNumberFormat="false" applyProtection="false" borderId="79" fillId="26" fontId="24" numFmtId="0" xfId="0">
      <alignment vertical="center"/>
    </xf>
    <xf applyAlignment="true" applyBorder="false" applyFill="false" applyFont="true" applyNumberFormat="false" applyProtection="false" borderId="81" fillId="0" fontId="24" numFmtId="0" xfId="0">
      <alignment vertical="center"/>
    </xf>
    <xf applyAlignment="true" applyBorder="false" applyFill="false" applyFont="true" applyNumberFormat="false" applyProtection="false" borderId="81" fillId="0" fontId="24" numFmtId="0" xfId="0">
      <alignment horizontal="left" vertical="center"/>
    </xf>
    <xf applyAlignment="true" applyBorder="false" applyFill="false" applyFont="true" applyNumberFormat="true" applyProtection="false" borderId="80" fillId="0" fontId="24" numFmtId="167" xfId="0">
      <alignment horizontal="left" vertical="center"/>
    </xf>
    <xf applyAlignment="true" applyBorder="false" applyFill="false" applyFont="true" applyNumberFormat="false" applyProtection="false" borderId="0" fillId="0" fontId="6" numFmtId="0" xfId="0">
      <alignment vertical="center"/>
    </xf>
    <xf applyAlignment="true" applyBorder="false" applyFill="true" applyFont="true" applyNumberFormat="false" applyProtection="false" borderId="82" fillId="26" fontId="24" numFmtId="0" xfId="0">
      <alignment vertical="center"/>
    </xf>
    <xf applyAlignment="true" applyBorder="false" applyFill="false" applyFont="true" applyNumberFormat="false" applyProtection="false" borderId="83" fillId="0" fontId="24" numFmtId="0" xfId="0">
      <alignment horizontal="left" vertical="center" wrapText="true"/>
    </xf>
    <xf applyAlignment="true" applyBorder="false" applyFill="false" applyFont="true" applyNumberFormat="false" applyProtection="false" borderId="83"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78" fillId="27" fontId="24" numFmtId="0" xfId="0">
      <alignment horizontal="center" vertical="center"/>
    </xf>
    <xf applyAlignment="true" applyBorder="false" applyFill="true" applyFont="true" applyNumberFormat="false" applyProtection="false" borderId="78" fillId="27" fontId="24" numFmtId="0" xfId="0">
      <alignment horizontal="center" vertical="center" wrapText="true"/>
    </xf>
    <xf applyAlignment="true" applyBorder="false" applyFill="true" applyFont="true" applyNumberFormat="false" applyProtection="false" borderId="78" fillId="27" fontId="24" numFmtId="0" xfId="0">
      <alignment horizontal="center" vertical="center" wrapText="true"/>
    </xf>
    <xf applyAlignment="true" applyBorder="false" applyFill="true" applyFont="true" applyNumberFormat="false" applyProtection="false" borderId="78" fillId="28" fontId="26" numFmtId="0" xfId="0">
      <alignment horizontal="center" vertical="center"/>
    </xf>
    <xf applyAlignment="true" applyBorder="false" applyFill="true" applyFont="true" applyNumberFormat="false" applyProtection="false" borderId="78" fillId="28" fontId="26" numFmtId="0" xfId="0">
      <alignment horizontal="center" vertical="center" wrapText="true"/>
    </xf>
    <xf applyAlignment="true" applyBorder="false" applyFill="true" applyFont="true" applyNumberFormat="false" applyProtection="false" borderId="84" fillId="28" fontId="26" numFmtId="0" xfId="0">
      <alignment horizontal="center" vertical="center"/>
    </xf>
    <xf applyAlignment="true" applyBorder="false" applyFill="true" applyFont="true" applyNumberFormat="false" applyProtection="false" borderId="84" fillId="28" fontId="26" numFmtId="0" xfId="0">
      <alignment horizontal="center" vertical="center" wrapText="true"/>
    </xf>
    <xf applyAlignment="true" applyBorder="false" applyFill="false" applyFont="true" applyNumberFormat="false" applyProtection="false" borderId="78" fillId="0" fontId="27" numFmtId="0" xfId="0">
      <alignment vertical="center"/>
    </xf>
    <xf applyAlignment="true" applyBorder="false" applyFill="false" applyFont="true" applyNumberFormat="false" applyProtection="false" borderId="85" fillId="0" fontId="5" numFmtId="0" xfId="0">
      <alignment vertical="center"/>
    </xf>
    <xf applyAlignment="true" applyBorder="false" applyFill="false" applyFont="true" applyNumberFormat="false" applyProtection="false" borderId="78" fillId="0" fontId="28" numFmtId="0" xfId="0">
      <alignment horizontal="left" vertical="center" wrapText="true"/>
    </xf>
    <xf applyAlignment="true" applyBorder="false" applyFill="false" applyFont="true" applyNumberFormat="false" applyProtection="false" borderId="78" fillId="0" fontId="27" numFmtId="0" xfId="0">
      <alignment vertical="center"/>
    </xf>
    <xf applyAlignment="true" applyBorder="false" applyFill="false" applyFont="true" applyNumberFormat="false" applyProtection="false" borderId="78" fillId="0" fontId="28" numFmtId="0" xfId="0">
      <alignment horizontal="left" vertical="center"/>
    </xf>
    <xf applyAlignment="true" applyBorder="false" applyFill="true" applyFont="true" applyNumberFormat="false" applyProtection="false" borderId="78" fillId="29" fontId="3" numFmtId="0" xfId="0">
      <alignment horizontal="center" vertical="center"/>
    </xf>
    <xf applyAlignment="true" applyBorder="false" applyFill="false" applyFont="true" applyNumberFormat="false" applyProtection="false" borderId="85" fillId="0" fontId="28" numFmtId="0" xfId="0">
      <alignment horizontal="center" vertical="center"/>
    </xf>
    <xf applyAlignment="true" applyBorder="false" applyFill="false" applyFont="true" applyNumberFormat="false" applyProtection="false" borderId="85" fillId="0" fontId="28" numFmtId="0" xfId="0">
      <alignment horizontal="center" vertical="center"/>
    </xf>
    <xf applyAlignment="true" applyBorder="false" applyFill="false" applyFont="true" applyNumberFormat="false" applyProtection="false" borderId="85" fillId="0" fontId="28" numFmtId="0" xfId="0">
      <alignment vertical="center" wrapText="true"/>
    </xf>
    <xf applyAlignment="true" applyBorder="false" applyFill="false" applyFont="true" applyNumberFormat="false" applyProtection="false" borderId="86" fillId="0" fontId="28" numFmtId="0" xfId="0">
      <alignment horizontal="left" vertical="center"/>
    </xf>
    <xf applyAlignment="true" applyBorder="false" applyFill="false" applyFont="true" applyNumberFormat="false" applyProtection="false" borderId="78" fillId="0" fontId="3" numFmtId="0" xfId="0">
      <alignment vertical="center" wrapText="true"/>
    </xf>
    <xf applyAlignment="true" applyBorder="false" applyFill="false" applyFont="true" applyNumberFormat="false" applyProtection="false" borderId="78" fillId="0" fontId="3" numFmtId="0" xfId="0">
      <alignment vertical="center"/>
    </xf>
    <xf applyAlignment="true" applyBorder="false" applyFill="false" applyFont="true" applyNumberFormat="false" applyProtection="false" borderId="78" fillId="0" fontId="28" numFmtId="0" xfId="0">
      <alignment vertical="center" wrapText="true"/>
    </xf>
    <xf applyAlignment="true" applyBorder="false" applyFill="false" applyFont="true" applyNumberFormat="false" applyProtection="false" borderId="78" fillId="0" fontId="3" numFmtId="0" xfId="0">
      <alignment vertical="center"/>
    </xf>
    <xf applyAlignment="true" applyBorder="false" applyFill="false" applyFont="true" applyNumberFormat="false" applyProtection="false" borderId="87" fillId="0" fontId="28" numFmtId="0" xfId="0">
      <alignment horizontal="center" vertical="center"/>
    </xf>
    <xf applyAlignment="true" applyBorder="false" applyFill="false" applyFont="true" applyNumberFormat="false" applyProtection="false" borderId="78" fillId="0" fontId="28" numFmtId="0" xfId="0">
      <alignment horizontal="center" vertical="center" wrapText="true"/>
    </xf>
    <xf applyAlignment="true" applyBorder="false" applyFill="false" applyFont="true" applyNumberFormat="false" applyProtection="false" borderId="78" fillId="0" fontId="28" numFmtId="0" xfId="0">
      <alignment horizontal="center" vertical="center"/>
    </xf>
    <xf applyAlignment="true" applyBorder="false" applyFill="false" applyFont="true" applyNumberFormat="false" applyProtection="false" borderId="78" fillId="0" fontId="28" numFmtId="0" xfId="0">
      <alignment horizontal="left" vertical="center"/>
    </xf>
    <xf applyAlignment="true" applyBorder="false" applyFill="false" applyFont="true" applyNumberFormat="false" applyProtection="false" borderId="78" fillId="0" fontId="28" numFmtId="0" xfId="0">
      <alignment horizontal="left" vertical="center" wrapText="true"/>
    </xf>
    <xf applyAlignment="true" applyBorder="false" applyFill="false" applyFont="true" applyNumberFormat="false" applyProtection="false" borderId="78" fillId="0" fontId="28" numFmtId="0" xfId="0">
      <alignment vertical="center" wrapText="true"/>
    </xf>
    <xf applyAlignment="true" applyBorder="false" applyFill="false" applyFont="true" applyNumberFormat="false" applyProtection="false" borderId="88" fillId="0" fontId="28" numFmtId="0" xfId="0">
      <alignment horizontal="left" vertical="center" wrapText="true"/>
    </xf>
    <xf applyAlignment="true" applyBorder="false" applyFill="false" applyFont="true" applyNumberFormat="false" applyProtection="false" borderId="85" fillId="0" fontId="3" numFmtId="0" xfId="0">
      <alignment vertical="center"/>
    </xf>
    <xf applyAlignment="true" applyBorder="false" applyFill="false" applyFont="true" applyNumberFormat="false" applyProtection="false" borderId="85" fillId="0" fontId="28"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78" fillId="0" fontId="38" numFmtId="0" xfId="0">
      <alignment vertical="center" wrapText="true"/>
    </xf>
    <xf applyAlignment="true" applyBorder="false" applyFill="false" applyFont="true" applyNumberFormat="false" applyProtection="false" borderId="85" fillId="0" fontId="5" numFmtId="0" xfId="0">
      <alignment vertical="center"/>
    </xf>
    <xf applyAlignment="true" applyBorder="false" applyFill="false" applyFont="true" applyNumberFormat="false" applyProtection="false" borderId="84" fillId="0" fontId="28" numFmtId="0" xfId="0">
      <alignment horizontal="center" vertical="center"/>
    </xf>
    <xf applyAlignment="true" applyBorder="false" applyFill="false" applyFont="true" applyNumberFormat="false" applyProtection="false" borderId="84" fillId="0" fontId="28" numFmtId="0" xfId="0">
      <alignment vertical="center" wrapText="true"/>
    </xf>
    <xf applyAlignment="true" applyBorder="false" applyFill="false" applyFont="true" applyNumberFormat="false" applyProtection="false" borderId="88" fillId="0" fontId="28" numFmtId="0" xfId="0">
      <alignment horizontal="center" vertical="center" wrapText="true"/>
    </xf>
    <xf applyAlignment="true" applyBorder="false" applyFill="false" applyFont="true" applyNumberFormat="false" applyProtection="false" borderId="86" fillId="0" fontId="28" numFmtId="0" xfId="0">
      <alignment horizontal="left" vertical="center"/>
    </xf>
    <xf applyAlignment="true" applyBorder="false" applyFill="false" applyFont="true" applyNumberFormat="false" applyProtection="false" borderId="78" fillId="0" fontId="3" numFmtId="0" xfId="0">
      <alignment vertical="center" wrapText="true"/>
    </xf>
    <xf applyAlignment="true" applyBorder="false" applyFill="false" applyFont="true" applyNumberFormat="false" applyProtection="false" borderId="85" fillId="0" fontId="28" numFmtId="0" xfId="0">
      <alignment horizontal="left" vertical="center"/>
    </xf>
    <xf applyAlignment="true" applyBorder="false" applyFill="false" applyFont="true" applyNumberFormat="false" applyProtection="false" borderId="89" fillId="0" fontId="28" numFmtId="0" xfId="0">
      <alignment horizontal="left" vertical="center" wrapText="true"/>
    </xf>
    <xf applyAlignment="true" applyBorder="false" applyFill="false" applyFont="true" applyNumberFormat="false" applyProtection="false" borderId="85" fillId="0" fontId="3" numFmtId="0" xfId="0">
      <alignment vertical="center" wrapText="true"/>
    </xf>
    <xf applyAlignment="true" applyBorder="false" applyFill="false" applyFont="true" applyNumberFormat="false" applyProtection="false" borderId="86" fillId="0" fontId="3" numFmtId="0" xfId="0">
      <alignment vertical="center"/>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85" fillId="0" fontId="3" numFmtId="0" xfId="0">
      <alignment vertical="center"/>
    </xf>
    <xf applyAlignment="true" applyBorder="false" applyFill="false" applyFont="true" applyNumberFormat="false" applyProtection="false" borderId="85" fillId="0" fontId="3" numFmtId="0" xfId="0">
      <alignment vertical="center" wrapText="true"/>
    </xf>
    <xf applyAlignment="true" applyBorder="false" applyFill="false" applyFont="true" applyNumberFormat="false" applyProtection="false" borderId="85" fillId="0" fontId="3" numFmtId="0" xfId="0">
      <alignment horizontal="left" vertical="center"/>
    </xf>
    <xf applyAlignment="true" applyBorder="false" applyFill="false" applyFont="true" applyNumberFormat="false" applyProtection="false" borderId="85" fillId="0" fontId="6" numFmtId="0" xfId="0">
      <alignment vertical="center" wrapText="true"/>
    </xf>
    <xf applyAlignment="true" applyBorder="false" applyFill="false" applyFont="true" applyNumberFormat="false" applyProtection="false" borderId="90" fillId="0" fontId="28" numFmtId="0" xfId="0">
      <alignment horizontal="left" vertical="center" wrapText="true"/>
    </xf>
    <xf applyAlignment="true" applyBorder="false" applyFill="false" applyFont="true" applyNumberFormat="false" applyProtection="false" borderId="85" fillId="0" fontId="28" numFmtId="0" xfId="0">
      <alignment horizontal="left" vertical="center" wrapText="true"/>
    </xf>
    <xf applyAlignment="true" applyBorder="false" applyFill="false" applyFont="true" applyNumberFormat="false" applyProtection="false" borderId="91" fillId="0" fontId="3" numFmtId="0" xfId="0">
      <alignment vertical="center" wrapText="true"/>
    </xf>
    <xf applyAlignment="true" applyBorder="false" applyFill="false" applyFont="true" applyNumberFormat="false" applyProtection="false" borderId="87" fillId="0" fontId="28" numFmtId="0" xfId="0">
      <alignment vertical="center" wrapText="true"/>
    </xf>
    <xf applyAlignment="true" applyBorder="false" applyFill="false" applyFont="true" applyNumberFormat="false" applyProtection="false" borderId="78" fillId="0" fontId="28" numFmtId="0" xfId="0">
      <alignment horizontal="center" vertical="center"/>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92" fillId="0" fontId="21" numFmtId="0" xfId="0">
      <alignment horizontal="left" vertical="top" wrapText="true"/>
    </xf>
    <xf applyAlignment="true" applyBorder="false" applyFill="false" applyFont="true" applyNumberFormat="false" applyProtection="false" borderId="93" fillId="0" fontId="22" numFmtId="0" xfId="0">
      <alignment horizontal="left" vertical="center"/>
    </xf>
    <xf applyAlignment="true" applyBorder="false" applyFill="false" applyFont="true" applyNumberFormat="false" applyProtection="false" borderId="93"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94" fillId="30" fontId="24" numFmtId="0" xfId="0">
      <alignment horizontal="left" vertical="center"/>
    </xf>
    <xf applyAlignment="true" applyBorder="false" applyFill="false" applyFont="true" applyNumberFormat="false" applyProtection="false" borderId="95" fillId="0" fontId="24" numFmtId="0" xfId="0">
      <alignment horizontal="left" vertical="center"/>
    </xf>
    <xf applyAlignment="true" applyBorder="false" applyFill="false" applyFont="true" applyNumberFormat="false" applyProtection="false" borderId="95" fillId="0" fontId="24" numFmtId="0" xfId="0">
      <alignment horizontal="lef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96" fillId="30" fontId="24" numFmtId="0" xfId="0">
      <alignment horizontal="left" vertical="center"/>
    </xf>
    <xf applyAlignment="true" applyBorder="false" applyFill="false" applyFont="true" applyNumberFormat="false" applyProtection="false" borderId="97" fillId="0" fontId="24" numFmtId="0" xfId="0">
      <alignment horizontal="left" vertical="center"/>
    </xf>
    <xf applyAlignment="true" applyBorder="false" applyFill="true" applyFont="true" applyNumberFormat="false" applyProtection="false" borderId="97" fillId="30"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97" fillId="0" fontId="24" numFmtId="0" xfId="0">
      <alignment horizontal="left" vertical="center"/>
    </xf>
    <xf applyAlignment="true" applyBorder="false" applyFill="true" applyFont="true" applyNumberFormat="false" applyProtection="false" borderId="96" fillId="30" fontId="24" numFmtId="0" xfId="0">
      <alignment vertical="center"/>
    </xf>
    <xf applyAlignment="true" applyBorder="false" applyFill="false" applyFont="true" applyNumberFormat="false" applyProtection="false" borderId="98" fillId="0" fontId="24" numFmtId="0" xfId="0">
      <alignment vertical="center"/>
    </xf>
    <xf applyAlignment="true" applyBorder="false" applyFill="false" applyFont="true" applyNumberFormat="false" applyProtection="false" borderId="98" fillId="0" fontId="24" numFmtId="0" xfId="0">
      <alignment horizontal="left" vertical="center"/>
    </xf>
    <xf applyAlignment="true" applyBorder="false" applyFill="false" applyFont="true" applyNumberFormat="true" applyProtection="false" borderId="97" fillId="0" fontId="24" numFmtId="168" xfId="0">
      <alignment horizontal="left" vertical="center"/>
    </xf>
    <xf applyAlignment="true" applyBorder="false" applyFill="true" applyFont="true" applyNumberFormat="false" applyProtection="false" borderId="99" fillId="30" fontId="24" numFmtId="0" xfId="0">
      <alignment vertical="center"/>
    </xf>
    <xf applyAlignment="true" applyBorder="false" applyFill="false" applyFont="true" applyNumberFormat="false" applyProtection="false" borderId="100" fillId="0" fontId="24" numFmtId="0" xfId="0">
      <alignment horizontal="left" vertical="center" wrapText="true"/>
    </xf>
    <xf applyAlignment="true" applyBorder="false" applyFill="false" applyFont="true" applyNumberFormat="false" applyProtection="false" borderId="100"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95" fillId="31" fontId="24" numFmtId="0" xfId="0">
      <alignment horizontal="center" vertical="center"/>
    </xf>
    <xf applyAlignment="true" applyBorder="false" applyFill="true" applyFont="true" applyNumberFormat="false" applyProtection="false" borderId="95" fillId="31" fontId="24" numFmtId="0" xfId="0">
      <alignment horizontal="center" vertical="center" wrapText="true"/>
    </xf>
    <xf applyAlignment="true" applyBorder="false" applyFill="true" applyFont="true" applyNumberFormat="false" applyProtection="false" borderId="95" fillId="31" fontId="24" numFmtId="0" xfId="0">
      <alignment horizontal="center" vertical="center" wrapText="true"/>
    </xf>
    <xf applyAlignment="true" applyBorder="false" applyFill="true" applyFont="true" applyNumberFormat="false" applyProtection="false" borderId="95" fillId="32" fontId="26" numFmtId="0" xfId="0">
      <alignment horizontal="center" vertical="center"/>
    </xf>
    <xf applyAlignment="true" applyBorder="false" applyFill="true" applyFont="true" applyNumberFormat="false" applyProtection="false" borderId="95" fillId="32" fontId="26" numFmtId="0" xfId="0">
      <alignment horizontal="center" vertical="center" wrapText="true"/>
    </xf>
    <xf applyAlignment="true" applyBorder="false" applyFill="true" applyFont="true" applyNumberFormat="false" applyProtection="false" borderId="101" fillId="32" fontId="26" numFmtId="0" xfId="0">
      <alignment horizontal="center" vertical="center"/>
    </xf>
    <xf applyAlignment="true" applyBorder="false" applyFill="true" applyFont="true" applyNumberFormat="false" applyProtection="false" borderId="101" fillId="32" fontId="26" numFmtId="0" xfId="0">
      <alignment horizontal="center" vertical="center" wrapText="true"/>
    </xf>
    <xf applyAlignment="true" applyBorder="false" applyFill="false" applyFont="true" applyNumberFormat="false" applyProtection="false" borderId="95" fillId="0" fontId="27" numFmtId="0" xfId="0">
      <alignment vertical="center"/>
    </xf>
    <xf applyAlignment="true" applyBorder="false" applyFill="false" applyFont="true" applyNumberFormat="false" applyProtection="false" borderId="102" fillId="0" fontId="5" numFmtId="0" xfId="0">
      <alignment vertical="center"/>
    </xf>
    <xf applyAlignment="true" applyBorder="false" applyFill="false" applyFont="true" applyNumberFormat="false" applyProtection="false" borderId="95" fillId="0" fontId="28" numFmtId="0" xfId="0">
      <alignment horizontal="left" vertical="center" wrapText="true"/>
    </xf>
    <xf applyAlignment="true" applyBorder="false" applyFill="false" applyFont="true" applyNumberFormat="false" applyProtection="false" borderId="95" fillId="0" fontId="27" numFmtId="0" xfId="0">
      <alignment vertical="center"/>
    </xf>
    <xf applyAlignment="true" applyBorder="false" applyFill="false" applyFont="true" applyNumberFormat="false" applyProtection="false" borderId="95" fillId="0" fontId="28" numFmtId="0" xfId="0">
      <alignment horizontal="left" vertical="center"/>
    </xf>
    <xf applyAlignment="true" applyBorder="false" applyFill="true" applyFont="true" applyNumberFormat="false" applyProtection="false" borderId="95" fillId="33" fontId="3" numFmtId="0" xfId="0">
      <alignment horizontal="center" vertical="center"/>
    </xf>
    <xf applyAlignment="true" applyBorder="false" applyFill="false" applyFont="true" applyNumberFormat="false" applyProtection="false" borderId="103" fillId="0" fontId="28" numFmtId="0" xfId="0">
      <alignment horizontal="left" vertical="center" wrapText="true"/>
    </xf>
    <xf applyAlignment="true" applyBorder="false" applyFill="false" applyFont="true" applyNumberFormat="false" applyProtection="false" borderId="103" fillId="0" fontId="28" numFmtId="0" xfId="0">
      <alignment horizontal="center" vertical="center"/>
    </xf>
    <xf applyAlignment="true" applyBorder="false" applyFill="false" applyFont="true" applyNumberFormat="false" applyProtection="false" borderId="103" fillId="0" fontId="28" numFmtId="0" xfId="0">
      <alignment vertical="center" wrapText="true"/>
    </xf>
    <xf applyAlignment="true" applyBorder="false" applyFill="false" applyFont="true" applyNumberFormat="false" applyProtection="false" borderId="102" fillId="0" fontId="28" numFmtId="0" xfId="0">
      <alignment vertical="center" wrapText="true"/>
    </xf>
    <xf applyAlignment="true" applyBorder="false" applyFill="false" applyFont="true" applyNumberFormat="false" applyProtection="false" borderId="95" fillId="0" fontId="3" numFmtId="0" xfId="0">
      <alignment vertical="center" wrapText="true"/>
    </xf>
    <xf applyAlignment="true" applyBorder="false" applyFill="false" applyFont="true" applyNumberFormat="false" applyProtection="false" borderId="95" fillId="0" fontId="3" numFmtId="0" xfId="0">
      <alignment vertical="center"/>
    </xf>
    <xf applyAlignment="true" applyBorder="false" applyFill="true" applyFont="true" applyNumberFormat="false" applyProtection="false" borderId="104" fillId="33" fontId="3" numFmtId="0" xfId="0">
      <alignment horizontal="center" vertical="center"/>
    </xf>
    <xf applyAlignment="true" applyBorder="false" applyFill="false" applyFont="true" applyNumberFormat="false" applyProtection="false" borderId="102" fillId="0" fontId="28" numFmtId="0" xfId="0">
      <alignment horizontal="left" vertical="center" wrapText="true"/>
    </xf>
    <xf applyAlignment="true" applyBorder="false" applyFill="false" applyFont="true" applyNumberFormat="false" applyProtection="false" borderId="102" fillId="0" fontId="28" numFmtId="0" xfId="0">
      <alignment horizontal="center" vertical="center"/>
    </xf>
    <xf applyAlignment="true" applyBorder="false" applyFill="false" applyFont="true" applyNumberFormat="false" applyProtection="false" borderId="105" fillId="0" fontId="28" numFmtId="0" xfId="0">
      <alignment vertical="center" wrapText="true"/>
    </xf>
    <xf applyAlignment="true" applyBorder="false" applyFill="false" applyFont="true" applyNumberFormat="false" applyProtection="false" borderId="106" fillId="0" fontId="28" numFmtId="0" xfId="0">
      <alignment vertical="center" wrapText="true"/>
    </xf>
    <xf applyAlignment="true" applyBorder="false" applyFill="false" applyFont="true" applyNumberFormat="false" applyProtection="false" borderId="107" fillId="0" fontId="28" numFmtId="0" xfId="0">
      <alignment horizontal="center" vertical="center"/>
    </xf>
    <xf applyAlignment="true" applyBorder="false" applyFill="false" applyFont="true" applyNumberFormat="false" applyProtection="false" borderId="108" fillId="0" fontId="3" numFmtId="0" xfId="0">
      <alignment vertical="center" wrapText="true"/>
    </xf>
    <xf applyAlignment="true" applyBorder="false" applyFill="false" applyFont="true" applyNumberFormat="false" applyProtection="false" borderId="0" fillId="0" fontId="32" numFmtId="0" xfId="0">
      <alignment vertical="center"/>
    </xf>
    <xf applyAlignment="true" applyBorder="false" applyFill="false" applyFont="true" applyNumberFormat="false" applyProtection="false" borderId="0" fillId="0" fontId="28" numFmtId="0" xfId="0">
      <alignment vertical="center"/>
    </xf>
    <xf applyAlignment="true" applyBorder="false" applyFill="false" applyFont="true" applyNumberFormat="false" applyProtection="false" borderId="102" fillId="0" fontId="3" numFmtId="0" xfId="0">
      <alignment vertical="center" wrapText="true"/>
    </xf>
    <xf applyAlignment="true" applyBorder="false" applyFill="false" applyFont="true" applyNumberFormat="false" applyProtection="false" borderId="102" fillId="0" fontId="28" numFmtId="0" xfId="0">
      <alignment vertical="center"/>
    </xf>
    <xf applyAlignment="true" applyBorder="false" applyFill="false" applyFont="true" applyNumberFormat="false" applyProtection="false" borderId="108" fillId="0" fontId="3" numFmtId="0" xfId="0">
      <alignment vertical="center" wrapText="true"/>
    </xf>
    <xf applyAlignment="true" applyBorder="false" applyFill="false" applyFont="true" applyNumberFormat="false" applyProtection="false" borderId="95" fillId="0" fontId="3" numFmtId="0" xfId="0">
      <alignment vertical="center"/>
    </xf>
    <xf applyAlignment="true" applyBorder="false" applyFill="false" applyFont="true" applyNumberFormat="false" applyProtection="false" borderId="102" fillId="0" fontId="28" numFmtId="0" xfId="0">
      <alignment horizontal="center" vertical="center"/>
    </xf>
    <xf applyAlignment="true" applyBorder="false" applyFill="false" applyFont="true" applyNumberFormat="false" applyProtection="false" borderId="109" fillId="0" fontId="28" numFmtId="0" xfId="0">
      <alignment vertical="center" wrapText="true"/>
    </xf>
    <xf applyAlignment="true" applyBorder="false" applyFill="false" applyFont="true" applyNumberFormat="false" applyProtection="false" borderId="110" fillId="0" fontId="28" numFmtId="0" xfId="0">
      <alignment vertical="center" wrapText="true"/>
    </xf>
    <xf applyAlignment="true" applyBorder="false" applyFill="false" applyFont="true" applyNumberFormat="false" applyProtection="false" borderId="95" fillId="0" fontId="3" numFmtId="0" xfId="0">
      <alignment vertical="center" wrapText="true"/>
    </xf>
    <xf applyAlignment="true" applyBorder="false" applyFill="false" applyFont="true" applyNumberFormat="false" applyProtection="false" borderId="105" fillId="0" fontId="28" numFmtId="0" xfId="0">
      <alignment horizontal="center" vertical="center"/>
    </xf>
    <xf applyAlignment="true" applyBorder="false" applyFill="false" applyFont="true" applyNumberFormat="false" applyProtection="false" borderId="110" fillId="0" fontId="28" numFmtId="0" xfId="0">
      <alignment horizontal="left" vertical="center" wrapText="true"/>
    </xf>
    <xf applyAlignment="true" applyBorder="false" applyFill="false" applyFont="true" applyNumberFormat="false" applyProtection="false" borderId="110" fillId="0" fontId="28" numFmtId="0" xfId="0">
      <alignment horizontal="left" vertical="center" wrapText="true"/>
    </xf>
    <xf applyAlignment="true" applyBorder="false" applyFill="false" applyFont="true" applyNumberFormat="false" applyProtection="false" borderId="111" fillId="0" fontId="28" numFmtId="0" xfId="0">
      <alignment horizontal="center" vertical="center"/>
    </xf>
    <xf applyAlignment="true" applyBorder="false" applyFill="false" applyFont="true" applyNumberFormat="false" applyProtection="false" borderId="102" fillId="0" fontId="28" numFmtId="0" xfId="0">
      <alignment vertical="center" wrapText="true"/>
    </xf>
    <xf applyAlignment="true" applyBorder="false" applyFill="false" applyFont="true" applyNumberFormat="false" applyProtection="false" borderId="104" fillId="0" fontId="28" numFmtId="0" xfId="0">
      <alignment horizontal="left" vertical="center" wrapText="true"/>
    </xf>
    <xf applyAlignment="true" applyBorder="false" applyFill="false" applyFont="true" applyNumberFormat="false" applyProtection="false" borderId="102" fillId="0" fontId="3" numFmtId="0" xfId="0">
      <alignment vertical="center"/>
    </xf>
    <xf applyAlignment="true" applyBorder="false" applyFill="false" applyFont="true" applyNumberFormat="false" applyProtection="false" borderId="95" fillId="0" fontId="28" numFmtId="0" xfId="0">
      <alignment horizontal="left" vertical="center" wrapText="true"/>
    </xf>
    <xf applyAlignment="true" applyBorder="false" applyFill="false" applyFont="true" applyNumberFormat="false" applyProtection="false" borderId="95" fillId="0" fontId="28" numFmtId="0" xfId="0">
      <alignment horizontal="center" vertical="center"/>
    </xf>
    <xf applyAlignment="true" applyBorder="false" applyFill="false" applyFont="true" applyNumberFormat="false" applyProtection="false" borderId="95" fillId="0" fontId="28" numFmtId="0" xfId="0">
      <alignment vertical="center" wrapText="true"/>
    </xf>
    <xf applyAlignment="true" applyBorder="false" applyFill="false" applyFont="true" applyNumberFormat="false" applyProtection="false" borderId="102" fillId="0" fontId="28" numFmtId="0" xfId="0">
      <alignment vertical="center" wrapText="true"/>
    </xf>
    <xf applyAlignment="true" applyBorder="false" applyFill="false" applyFont="true" applyNumberFormat="false" applyProtection="false" borderId="111" fillId="0" fontId="28" numFmtId="0" xfId="0">
      <alignment vertical="center" wrapText="true"/>
    </xf>
    <xf applyAlignment="true" applyBorder="false" applyFill="false" applyFont="true" applyNumberFormat="false" applyProtection="false" borderId="95" fillId="0" fontId="28" numFmtId="0" xfId="0">
      <alignment vertical="center"/>
    </xf>
    <xf applyAlignment="true" applyBorder="false" applyFill="false" applyFont="true" applyNumberFormat="false" applyProtection="false" borderId="95" fillId="0" fontId="28"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112" fillId="0" fontId="21" numFmtId="0" xfId="0">
      <alignment horizontal="left" vertical="top" wrapText="true"/>
    </xf>
    <xf applyAlignment="true" applyBorder="false" applyFill="false" applyFont="true" applyNumberFormat="false" applyProtection="false" borderId="113" fillId="0" fontId="22" numFmtId="0" xfId="0">
      <alignment horizontal="left" vertical="center"/>
    </xf>
    <xf applyAlignment="true" applyBorder="false" applyFill="false" applyFont="true" applyNumberFormat="false" applyProtection="false" borderId="113"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114" fillId="34" fontId="24" numFmtId="0" xfId="0">
      <alignment horizontal="left" vertical="center"/>
    </xf>
    <xf applyAlignment="true" applyBorder="false" applyFill="false" applyFont="true" applyNumberFormat="false" applyProtection="false" borderId="115" fillId="0" fontId="24" numFmtId="0" xfId="0">
      <alignment horizontal="left" vertical="center"/>
    </xf>
    <xf applyAlignment="true" applyBorder="false" applyFill="false" applyFont="true" applyNumberFormat="false" applyProtection="false" borderId="115" fillId="0" fontId="24" numFmtId="0" xfId="0">
      <alignment horizontal="lef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116" fillId="34" fontId="24" numFmtId="0" xfId="0">
      <alignment horizontal="left" vertical="center"/>
    </xf>
    <xf applyAlignment="true" applyBorder="false" applyFill="false" applyFont="true" applyNumberFormat="false" applyProtection="false" borderId="117" fillId="0" fontId="24" numFmtId="0" xfId="0">
      <alignment horizontal="left" vertical="center"/>
    </xf>
    <xf applyAlignment="true" applyBorder="false" applyFill="true" applyFont="true" applyNumberFormat="false" applyProtection="false" borderId="117" fillId="34"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117" fillId="0" fontId="24" numFmtId="0" xfId="0">
      <alignment horizontal="left" vertical="center"/>
    </xf>
    <xf applyAlignment="true" applyBorder="false" applyFill="true" applyFont="true" applyNumberFormat="false" applyProtection="false" borderId="116" fillId="34" fontId="24" numFmtId="0" xfId="0">
      <alignment vertical="center"/>
    </xf>
    <xf applyAlignment="true" applyBorder="false" applyFill="false" applyFont="true" applyNumberFormat="false" applyProtection="false" borderId="118" fillId="0" fontId="24" numFmtId="0" xfId="0">
      <alignment vertical="center"/>
    </xf>
    <xf applyAlignment="true" applyBorder="false" applyFill="false" applyFont="true" applyNumberFormat="false" applyProtection="false" borderId="118" fillId="0" fontId="24" numFmtId="0" xfId="0">
      <alignment horizontal="left" vertical="center"/>
    </xf>
    <xf applyAlignment="true" applyBorder="false" applyFill="false" applyFont="true" applyNumberFormat="true" applyProtection="false" borderId="117" fillId="0" fontId="24" numFmtId="169" xfId="0">
      <alignment horizontal="left" vertical="center"/>
    </xf>
    <xf applyAlignment="true" applyBorder="false" applyFill="true" applyFont="true" applyNumberFormat="false" applyProtection="false" borderId="119" fillId="34" fontId="24" numFmtId="0" xfId="0">
      <alignment vertical="center"/>
    </xf>
    <xf applyAlignment="true" applyBorder="false" applyFill="false" applyFont="true" applyNumberFormat="false" applyProtection="false" borderId="120" fillId="0" fontId="24" numFmtId="0" xfId="0">
      <alignment horizontal="left" vertical="center" wrapText="true"/>
    </xf>
    <xf applyAlignment="true" applyBorder="false" applyFill="false" applyFont="true" applyNumberFormat="false" applyProtection="false" borderId="120"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115" fillId="35" fontId="24" numFmtId="0" xfId="0">
      <alignment horizontal="center" vertical="center"/>
    </xf>
    <xf applyAlignment="true" applyBorder="false" applyFill="true" applyFont="true" applyNumberFormat="false" applyProtection="false" borderId="115" fillId="35" fontId="24" numFmtId="0" xfId="0">
      <alignment horizontal="center" vertical="center" wrapText="true"/>
    </xf>
    <xf applyAlignment="true" applyBorder="false" applyFill="true" applyFont="true" applyNumberFormat="false" applyProtection="false" borderId="115" fillId="35" fontId="24" numFmtId="0" xfId="0">
      <alignment horizontal="center" vertical="center" wrapText="true"/>
    </xf>
    <xf applyAlignment="true" applyBorder="false" applyFill="true" applyFont="true" applyNumberFormat="false" applyProtection="false" borderId="115" fillId="36" fontId="26" numFmtId="0" xfId="0">
      <alignment horizontal="center" vertical="center"/>
    </xf>
    <xf applyAlignment="true" applyBorder="false" applyFill="true" applyFont="true" applyNumberFormat="false" applyProtection="false" borderId="115" fillId="36" fontId="26" numFmtId="0" xfId="0">
      <alignment horizontal="center" vertical="center" wrapText="true"/>
    </xf>
    <xf applyAlignment="true" applyBorder="false" applyFill="true" applyFont="true" applyNumberFormat="false" applyProtection="false" borderId="121" fillId="36" fontId="26" numFmtId="0" xfId="0">
      <alignment horizontal="center" vertical="center"/>
    </xf>
    <xf applyAlignment="true" applyBorder="false" applyFill="true" applyFont="true" applyNumberFormat="false" applyProtection="false" borderId="121" fillId="36" fontId="26" numFmtId="0" xfId="0">
      <alignment horizontal="center" vertical="center" wrapText="true"/>
    </xf>
    <xf applyAlignment="true" applyBorder="false" applyFill="false" applyFont="true" applyNumberFormat="false" applyProtection="false" borderId="115" fillId="0" fontId="27" numFmtId="0" xfId="0">
      <alignment vertical="center"/>
    </xf>
    <xf applyAlignment="true" applyBorder="false" applyFill="false" applyFont="true" applyNumberFormat="false" applyProtection="false" borderId="122" fillId="0" fontId="5" numFmtId="0" xfId="0">
      <alignment vertical="center"/>
    </xf>
    <xf applyAlignment="true" applyBorder="false" applyFill="false" applyFont="true" applyNumberFormat="false" applyProtection="false" borderId="115" fillId="0" fontId="28" numFmtId="0" xfId="0">
      <alignment horizontal="left" vertical="center" wrapText="true"/>
    </xf>
    <xf applyAlignment="true" applyBorder="false" applyFill="false" applyFont="true" applyNumberFormat="false" applyProtection="false" borderId="115" fillId="0" fontId="27" numFmtId="0" xfId="0">
      <alignment vertical="center"/>
    </xf>
    <xf applyAlignment="true" applyBorder="false" applyFill="false" applyFont="true" applyNumberFormat="false" applyProtection="false" borderId="115" fillId="0" fontId="28" numFmtId="0" xfId="0">
      <alignment horizontal="left" vertical="center"/>
    </xf>
    <xf applyAlignment="true" applyBorder="false" applyFill="true" applyFont="true" applyNumberFormat="false" applyProtection="false" borderId="115" fillId="37" fontId="3" numFmtId="0" xfId="0">
      <alignment horizontal="center" vertical="center"/>
    </xf>
    <xf applyAlignment="true" applyBorder="false" applyFill="false" applyFont="true" applyNumberFormat="false" applyProtection="false" borderId="123" fillId="0" fontId="28" numFmtId="0" xfId="0">
      <alignment horizontal="left" vertical="center" wrapText="true"/>
    </xf>
    <xf applyAlignment="true" applyBorder="false" applyFill="false" applyFont="true" applyNumberFormat="false" applyProtection="false" borderId="124" fillId="0" fontId="28" numFmtId="0" xfId="0">
      <alignment horizontal="center" vertical="center"/>
    </xf>
    <xf applyAlignment="true" applyBorder="false" applyFill="false" applyFont="true" applyNumberFormat="false" applyProtection="false" borderId="122" fillId="0" fontId="28" numFmtId="0" xfId="0">
      <alignment vertical="center" wrapText="true"/>
    </xf>
    <xf applyAlignment="true" applyBorder="false" applyFill="false" applyFont="true" applyNumberFormat="false" applyProtection="false" borderId="125" fillId="0" fontId="28" numFmtId="0" xfId="0">
      <alignment vertical="center" wrapText="true"/>
    </xf>
    <xf applyAlignment="true" applyBorder="false" applyFill="false" applyFont="true" applyNumberFormat="false" applyProtection="false" borderId="115" fillId="0" fontId="3" numFmtId="0" xfId="0">
      <alignment vertical="center" wrapText="true"/>
    </xf>
    <xf applyAlignment="true" applyBorder="false" applyFill="false" applyFont="true" applyNumberFormat="false" applyProtection="false" borderId="115" fillId="0" fontId="3" numFmtId="0" xfId="0">
      <alignment vertical="center"/>
    </xf>
    <xf applyAlignment="true" applyBorder="false" applyFill="false" applyFont="true" applyNumberFormat="false" applyProtection="false" borderId="115" fillId="0" fontId="3" numFmtId="0" xfId="0">
      <alignment vertical="center"/>
    </xf>
    <xf applyAlignment="true" applyBorder="false" applyFill="true" applyFont="true" applyNumberFormat="false" applyProtection="false" borderId="126" fillId="37" fontId="3" numFmtId="0" xfId="0">
      <alignment horizontal="center" vertical="center"/>
    </xf>
    <xf applyAlignment="true" applyBorder="false" applyFill="false" applyFont="true" applyNumberFormat="false" applyProtection="false" borderId="122" fillId="0" fontId="28" numFmtId="0" xfId="0">
      <alignment horizontal="left" vertical="center" wrapText="true"/>
    </xf>
    <xf applyAlignment="true" applyBorder="false" applyFill="false" applyFont="true" applyNumberFormat="false" applyProtection="false" borderId="127" fillId="0" fontId="28" numFmtId="0" xfId="0">
      <alignment horizontal="center" vertical="center"/>
    </xf>
    <xf applyAlignment="true" applyBorder="false" applyFill="false" applyFont="true" applyNumberFormat="false" applyProtection="false" borderId="115" fillId="0" fontId="3" numFmtId="0" xfId="0">
      <alignment vertical="center" wrapText="true"/>
    </xf>
    <xf applyAlignment="true" applyBorder="false" applyFill="false" applyFont="true" applyNumberFormat="false" applyProtection="false" borderId="127" fillId="0" fontId="28" numFmtId="0" xfId="0">
      <alignment horizontal="center" vertical="center"/>
    </xf>
    <xf applyAlignment="true" applyBorder="false" applyFill="false" applyFont="true" applyNumberFormat="false" applyProtection="false" borderId="0" fillId="0" fontId="32" numFmtId="0" xfId="0">
      <alignment vertical="center"/>
    </xf>
    <xf applyAlignment="true" applyBorder="false" applyFill="false" applyFont="true" applyNumberFormat="false" applyProtection="false" borderId="115" fillId="0" fontId="28" numFmtId="0" xfId="0">
      <alignment horizontal="left" vertical="center" wrapText="true"/>
    </xf>
    <xf applyAlignment="true" applyBorder="false" applyFill="false" applyFont="true" applyNumberFormat="false" applyProtection="false" borderId="115" fillId="0" fontId="28" numFmtId="0" xfId="0">
      <alignment horizontal="center" vertical="center"/>
    </xf>
    <xf applyAlignment="true" applyBorder="false" applyFill="false" applyFont="true" applyNumberFormat="false" applyProtection="false" borderId="115" fillId="0" fontId="28" numFmtId="0" xfId="0">
      <alignment vertical="center" wrapText="true"/>
    </xf>
    <xf applyAlignment="true" applyBorder="false" applyFill="false" applyFont="true" applyNumberFormat="false" applyProtection="false" borderId="128" fillId="0" fontId="28" numFmtId="0" xfId="0">
      <alignment horizontal="center" vertical="center"/>
    </xf>
    <xf applyAlignment="true" applyBorder="false" applyFill="false" applyFont="true" applyNumberFormat="false" applyProtection="false" borderId="126" fillId="0" fontId="28" numFmtId="0" xfId="0">
      <alignment horizontal="center" vertical="center"/>
    </xf>
    <xf applyAlignment="true" applyBorder="false" applyFill="false" applyFont="true" applyNumberFormat="false" applyProtection="false" borderId="129" fillId="0" fontId="28" numFmtId="0" xfId="0">
      <alignment horizontal="left" vertical="center" wrapText="true"/>
    </xf>
    <xf applyAlignment="true" applyBorder="false" applyFill="false" applyFont="true" applyNumberFormat="false" applyProtection="false" borderId="130" fillId="0" fontId="28" numFmtId="0" xfId="0">
      <alignment horizontal="left" vertical="center" wrapText="true"/>
    </xf>
    <xf applyAlignment="true" applyBorder="false" applyFill="false" applyFont="true" applyNumberFormat="false" applyProtection="false" borderId="131" fillId="0" fontId="28"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115" fillId="0" fontId="27" numFmtId="0" xfId="0">
      <alignment vertical="center"/>
    </xf>
    <xf applyAlignment="true" applyBorder="false" applyFill="false" applyFont="true" applyNumberFormat="false" applyProtection="false" borderId="122" fillId="0" fontId="5" numFmtId="0" xfId="0">
      <alignment vertical="center"/>
    </xf>
    <xf applyAlignment="true" applyBorder="false" applyFill="false" applyFont="true" applyNumberFormat="false" applyProtection="false" borderId="115" fillId="0" fontId="28" numFmtId="0" xfId="0">
      <alignment horizontal="left" vertical="center" wrapText="true"/>
    </xf>
    <xf applyAlignment="true" applyBorder="false" applyFill="false" applyFont="true" applyNumberFormat="false" applyProtection="false" borderId="115" fillId="0" fontId="27" numFmtId="0" xfId="0">
      <alignment vertical="center"/>
    </xf>
    <xf applyAlignment="true" applyBorder="false" applyFill="false" applyFont="true" applyNumberFormat="false" applyProtection="false" borderId="115" fillId="0" fontId="28" numFmtId="0" xfId="0">
      <alignment horizontal="left" vertical="center"/>
    </xf>
    <xf applyAlignment="true" applyBorder="false" applyFill="true" applyFont="true" applyNumberFormat="false" applyProtection="false" borderId="115" fillId="37" fontId="3" numFmtId="0" xfId="0">
      <alignment horizontal="center" vertical="center"/>
    </xf>
    <xf applyAlignment="true" applyBorder="false" applyFill="false" applyFont="true" applyNumberFormat="false" applyProtection="false" borderId="122" fillId="0" fontId="28" numFmtId="0" xfId="0">
      <alignment horizontal="left" vertical="center" wrapText="true"/>
    </xf>
    <xf applyAlignment="true" applyBorder="false" applyFill="false" applyFont="true" applyNumberFormat="false" applyProtection="false" borderId="126" fillId="0" fontId="28" numFmtId="0" xfId="0">
      <alignment horizontal="center" vertical="center"/>
    </xf>
    <xf applyAlignment="true" applyBorder="false" applyFill="false" applyFont="true" applyNumberFormat="false" applyProtection="false" borderId="122" fillId="0" fontId="28" numFmtId="0" xfId="0">
      <alignment vertical="center" wrapText="true"/>
    </xf>
    <xf applyAlignment="true" applyBorder="false" applyFill="false" applyFont="true" applyNumberFormat="false" applyProtection="false" borderId="130" fillId="0" fontId="28" numFmtId="0" xfId="0">
      <alignment horizontal="left" vertical="center" wrapText="true"/>
    </xf>
    <xf applyAlignment="true" applyBorder="false" applyFill="false" applyFont="true" applyNumberFormat="false" applyProtection="false" borderId="115" fillId="0" fontId="3" numFmtId="0" xfId="0">
      <alignment vertical="center" wrapText="true"/>
    </xf>
    <xf applyAlignment="true" applyBorder="false" applyFill="false" applyFont="true" applyNumberFormat="false" applyProtection="false" borderId="115" fillId="0" fontId="3" numFmtId="0" xfId="0">
      <alignment vertical="center"/>
    </xf>
    <xf applyAlignment="true" applyBorder="false" applyFill="false" applyFont="true" applyNumberFormat="false" applyProtection="false" borderId="115" fillId="0" fontId="3"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132" fillId="0" fontId="21" numFmtId="0" xfId="0">
      <alignment horizontal="left" vertical="top" wrapText="true"/>
    </xf>
    <xf applyAlignment="true" applyBorder="false" applyFill="false" applyFont="true" applyNumberFormat="false" applyProtection="false" borderId="133" fillId="0" fontId="22" numFmtId="0" xfId="0">
      <alignment horizontal="left" vertical="center"/>
    </xf>
    <xf applyAlignment="true" applyBorder="false" applyFill="false" applyFont="true" applyNumberFormat="false" applyProtection="false" borderId="133"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134" fillId="38" fontId="24" numFmtId="0" xfId="0">
      <alignment horizontal="left" vertical="center"/>
    </xf>
    <xf applyAlignment="true" applyBorder="false" applyFill="false" applyFont="true" applyNumberFormat="false" applyProtection="false" borderId="135" fillId="0" fontId="24" numFmtId="0" xfId="0">
      <alignment horizontal="left" vertical="center"/>
    </xf>
    <xf applyAlignment="true" applyBorder="false" applyFill="false" applyFont="true" applyNumberFormat="false" applyProtection="false" borderId="135" fillId="0" fontId="24" numFmtId="0" xfId="0">
      <alignment horizontal="lef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136" fillId="38" fontId="24" numFmtId="0" xfId="0">
      <alignment horizontal="left" vertical="center"/>
    </xf>
    <xf applyAlignment="true" applyBorder="false" applyFill="false" applyFont="true" applyNumberFormat="false" applyProtection="false" borderId="137" fillId="0" fontId="24" numFmtId="0" xfId="0">
      <alignment horizontal="left" vertical="center"/>
    </xf>
    <xf applyAlignment="true" applyBorder="false" applyFill="true" applyFont="true" applyNumberFormat="false" applyProtection="false" borderId="137" fillId="38"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137" fillId="0" fontId="24" numFmtId="0" xfId="0">
      <alignment horizontal="left" vertical="center"/>
    </xf>
    <xf applyAlignment="true" applyBorder="false" applyFill="true" applyFont="true" applyNumberFormat="false" applyProtection="false" borderId="136" fillId="38" fontId="24" numFmtId="0" xfId="0">
      <alignment vertical="center"/>
    </xf>
    <xf applyAlignment="true" applyBorder="false" applyFill="false" applyFont="true" applyNumberFormat="false" applyProtection="false" borderId="138" fillId="0" fontId="24" numFmtId="0" xfId="0">
      <alignment vertical="center"/>
    </xf>
    <xf applyAlignment="true" applyBorder="false" applyFill="false" applyFont="true" applyNumberFormat="false" applyProtection="false" borderId="138" fillId="0" fontId="24" numFmtId="0" xfId="0">
      <alignment horizontal="left" vertical="center"/>
    </xf>
    <xf applyAlignment="true" applyBorder="false" applyFill="false" applyFont="true" applyNumberFormat="true" applyProtection="false" borderId="137" fillId="0" fontId="24" numFmtId="170" xfId="0">
      <alignment horizontal="left" vertical="center"/>
    </xf>
    <xf applyAlignment="true" applyBorder="false" applyFill="true" applyFont="true" applyNumberFormat="false" applyProtection="false" borderId="139" fillId="38" fontId="24" numFmtId="0" xfId="0">
      <alignment vertical="center"/>
    </xf>
    <xf applyAlignment="true" applyBorder="false" applyFill="false" applyFont="true" applyNumberFormat="false" applyProtection="false" borderId="140" fillId="0" fontId="24" numFmtId="0" xfId="0">
      <alignment horizontal="left" vertical="center" wrapText="true"/>
    </xf>
    <xf applyAlignment="true" applyBorder="false" applyFill="false" applyFont="true" applyNumberFormat="false" applyProtection="false" borderId="0" fillId="0" fontId="27" numFmtId="0" xfId="0">
      <alignment vertical="center" wrapText="true"/>
    </xf>
    <xf applyAlignment="true" applyBorder="false" applyFill="false" applyFont="true" applyNumberFormat="false" applyProtection="false" borderId="0" fillId="0" fontId="27" numFmtId="0" xfId="0">
      <alignmen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135" fillId="39" fontId="24" numFmtId="0" xfId="0">
      <alignment horizontal="center" vertical="center"/>
    </xf>
    <xf applyAlignment="true" applyBorder="false" applyFill="true" applyFont="true" applyNumberFormat="false" applyProtection="false" borderId="135" fillId="39" fontId="24" numFmtId="0" xfId="0">
      <alignment horizontal="center" vertical="center" wrapText="true"/>
    </xf>
    <xf applyAlignment="true" applyBorder="false" applyFill="true" applyFont="true" applyNumberFormat="false" applyProtection="false" borderId="135" fillId="39" fontId="24"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141" fillId="39" fontId="24" numFmtId="0" xfId="0">
      <alignment horizontal="center" vertical="center" wrapText="true"/>
    </xf>
    <xf applyAlignment="true" applyBorder="false" applyFill="true" applyFont="true" applyNumberFormat="false" applyProtection="false" borderId="135" fillId="40" fontId="26" numFmtId="0" xfId="0">
      <alignment horizontal="center" vertical="center"/>
    </xf>
    <xf applyAlignment="true" applyBorder="false" applyFill="true" applyFont="true" applyNumberFormat="false" applyProtection="false" borderId="135" fillId="40" fontId="26" numFmtId="0" xfId="0">
      <alignment horizontal="center" vertical="center" wrapText="true"/>
    </xf>
    <xf applyAlignment="true" applyBorder="false" applyFill="true" applyFont="true" applyNumberFormat="false" applyProtection="false" borderId="142" fillId="40" fontId="26" numFmtId="0" xfId="0">
      <alignment horizontal="center" vertical="center"/>
    </xf>
    <xf applyAlignment="true" applyBorder="false" applyFill="true" applyFont="true" applyNumberFormat="false" applyProtection="false" borderId="142" fillId="40" fontId="26" numFmtId="0" xfId="0">
      <alignment horizontal="center" vertical="center" wrapText="true"/>
    </xf>
    <xf applyAlignment="true" applyBorder="false" applyFill="true" applyFont="true" applyNumberFormat="false" applyProtection="false" borderId="141" fillId="40" fontId="26" numFmtId="0" xfId="0">
      <alignment horizontal="center" vertical="center" wrapText="true"/>
    </xf>
    <xf applyAlignment="true" applyBorder="false" applyFill="true" applyFont="true" applyNumberFormat="false" applyProtection="false" borderId="141" fillId="40" fontId="26" numFmtId="0" xfId="0">
      <alignment horizontal="center" vertical="center"/>
    </xf>
    <xf applyAlignment="true" applyBorder="false" applyFill="false" applyFont="true" applyNumberFormat="false" applyProtection="false" borderId="135" fillId="0" fontId="27" numFmtId="0" xfId="0">
      <alignment vertical="center"/>
    </xf>
    <xf applyAlignment="true" applyBorder="false" applyFill="false" applyFont="true" applyNumberFormat="false" applyProtection="false" borderId="141" fillId="0" fontId="5" numFmtId="0" xfId="0">
      <alignment vertical="center"/>
    </xf>
    <xf applyAlignment="true" applyBorder="false" applyFill="false" applyFont="true" applyNumberFormat="false" applyProtection="false" borderId="135" fillId="0" fontId="28" numFmtId="0" xfId="0">
      <alignment horizontal="left" vertical="center" wrapText="true"/>
    </xf>
    <xf applyAlignment="true" applyBorder="false" applyFill="false" applyFont="true" applyNumberFormat="false" applyProtection="false" borderId="135" fillId="0" fontId="27" numFmtId="0" xfId="0">
      <alignment vertical="center"/>
    </xf>
    <xf applyAlignment="true" applyBorder="false" applyFill="false" applyFont="true" applyNumberFormat="false" applyProtection="false" borderId="135" fillId="0" fontId="28" numFmtId="0" xfId="0">
      <alignment horizontal="left" vertical="center"/>
    </xf>
    <xf applyAlignment="true" applyBorder="false" applyFill="true" applyFont="true" applyNumberFormat="false" applyProtection="false" borderId="135" fillId="41" fontId="3" numFmtId="0" xfId="0">
      <alignment horizontal="center" vertical="center"/>
    </xf>
    <xf applyAlignment="true" applyBorder="false" applyFill="false" applyFont="true" applyNumberFormat="false" applyProtection="false" borderId="143" fillId="0" fontId="28" numFmtId="0" xfId="0">
      <alignment horizontal="left" vertical="center" wrapText="true"/>
    </xf>
    <xf applyAlignment="true" applyBorder="false" applyFill="false" applyFont="true" applyNumberFormat="false" applyProtection="false" borderId="144" fillId="0" fontId="28" numFmtId="0" xfId="0">
      <alignment horizontal="center" vertical="center"/>
    </xf>
    <xf applyAlignment="true" applyBorder="false" applyFill="false" applyFont="true" applyNumberFormat="false" applyProtection="false" borderId="141" fillId="0" fontId="28" numFmtId="0" xfId="0">
      <alignment vertical="center" wrapText="true"/>
    </xf>
    <xf applyAlignment="true" applyBorder="false" applyFill="false" applyFont="true" applyNumberFormat="false" applyProtection="false" borderId="145" fillId="0" fontId="28" numFmtId="0" xfId="0">
      <alignment horizontal="left" vertical="center" wrapText="true"/>
    </xf>
    <xf applyAlignment="true" applyBorder="false" applyFill="false" applyFont="true" applyNumberFormat="false" applyProtection="false" borderId="135" fillId="0" fontId="3" numFmtId="0" xfId="0">
      <alignment vertical="center" wrapText="true"/>
    </xf>
    <xf applyAlignment="true" applyBorder="false" applyFill="false" applyFont="true" applyNumberFormat="false" applyProtection="false" borderId="135" fillId="0" fontId="3" numFmtId="0" xfId="0">
      <alignment vertical="center"/>
    </xf>
    <xf applyAlignment="true" applyBorder="false" applyFill="false" applyFont="true" applyNumberFormat="false" applyProtection="false" borderId="141" fillId="0" fontId="28" numFmtId="0" xfId="0">
      <alignment horizontal="left" vertical="center" wrapText="true"/>
    </xf>
    <xf applyAlignment="true" applyBorder="false" applyFill="false" applyFont="true" applyNumberFormat="false" applyProtection="false" borderId="141" fillId="0" fontId="28" numFmtId="0" xfId="0">
      <alignment horizontal="center" vertical="center"/>
    </xf>
    <xf applyAlignment="true" applyBorder="false" applyFill="false" applyFont="true" applyNumberFormat="false" applyProtection="false" borderId="141" fillId="0" fontId="28" numFmtId="0" xfId="0">
      <alignment horizontal="left" vertical="center" wrapText="true"/>
    </xf>
    <xf applyAlignment="true" applyBorder="false" applyFill="false" applyFont="true" applyNumberFormat="false" applyProtection="false" borderId="141" fillId="0" fontId="3" numFmtId="0" xfId="0">
      <alignment vertical="center" wrapText="true"/>
    </xf>
    <xf applyAlignment="true" applyBorder="false" applyFill="false" applyFont="true" applyNumberFormat="false" applyProtection="false" borderId="141" fillId="0" fontId="3" numFmtId="0" xfId="0">
      <alignment vertical="center"/>
    </xf>
    <xf applyAlignment="true" applyBorder="false" applyFill="false" applyFont="true" applyNumberFormat="false" applyProtection="false" borderId="144" fillId="0" fontId="28" numFmtId="0" xfId="0">
      <alignment horizontal="left" vertical="center" wrapText="true"/>
    </xf>
    <xf applyAlignment="true" applyBorder="false" applyFill="false" applyFont="true" applyNumberFormat="false" applyProtection="false" borderId="144" fillId="0" fontId="28" numFmtId="0" xfId="0">
      <alignment vertical="center" wrapText="true"/>
    </xf>
    <xf applyAlignment="true" applyBorder="false" applyFill="false" applyFont="true" applyNumberFormat="false" applyProtection="false" borderId="141" fillId="0" fontId="28" numFmtId="0" xfId="0">
      <alignment vertical="center" wrapText="true"/>
    </xf>
    <xf applyAlignment="true" applyBorder="false" applyFill="false" applyFont="true" applyNumberFormat="false" applyProtection="false" borderId="135" fillId="0" fontId="28" numFmtId="0" xfId="0">
      <alignment horizontal="center" vertical="center"/>
    </xf>
    <xf applyAlignment="true" applyBorder="false" applyFill="false" applyFont="true" applyNumberFormat="false" applyProtection="false" borderId="135" fillId="0" fontId="28" numFmtId="0" xfId="0">
      <alignment vertical="center" wrapText="true"/>
    </xf>
    <xf applyAlignment="true" applyBorder="false" applyFill="false" applyFont="true" applyNumberFormat="false" applyProtection="false" borderId="141" fillId="0" fontId="28" numFmtId="0" xfId="0">
      <alignment horizontal="center" vertical="center"/>
    </xf>
    <xf applyAlignment="true" applyBorder="false" applyFill="false" applyFont="true" applyNumberFormat="false" applyProtection="false" borderId="135" fillId="0" fontId="3" numFmtId="0" xfId="0">
      <alignment vertical="center"/>
    </xf>
    <xf applyAlignment="true" applyBorder="false" applyFill="false" applyFont="true" applyNumberFormat="false" applyProtection="false" borderId="141" fillId="0" fontId="5" numFmtId="0" xfId="0">
      <alignment vertical="center" wrapText="true"/>
    </xf>
    <xf applyAlignment="true" applyBorder="false" applyFill="false" applyFont="true" applyNumberFormat="false" applyProtection="false" borderId="146" fillId="0" fontId="28" numFmtId="0" xfId="0">
      <alignment horizontal="center" vertical="center"/>
    </xf>
    <xf applyAlignment="true" applyBorder="false" applyFill="false" applyFont="true" applyNumberFormat="false" applyProtection="false" borderId="147" fillId="0" fontId="28" numFmtId="0" xfId="0">
      <alignment horizontal="center" vertical="center"/>
    </xf>
    <xf applyAlignment="true" applyBorder="false" applyFill="false" applyFont="true" applyNumberFormat="false" applyProtection="false" borderId="146" fillId="0" fontId="28" numFmtId="0" xfId="0">
      <alignment vertical="center" wrapText="true"/>
    </xf>
    <xf applyAlignment="true" applyBorder="false" applyFill="false" applyFont="true" applyNumberFormat="false" applyProtection="false" borderId="143" fillId="0" fontId="28" numFmtId="0" xfId="0">
      <alignment horizontal="center" vertical="center"/>
    </xf>
    <xf applyAlignment="true" applyBorder="false" applyFill="true" applyFont="true" applyNumberFormat="false" applyProtection="false" borderId="148" fillId="41" fontId="3" numFmtId="0" xfId="0">
      <alignment horizontal="center" vertical="center"/>
    </xf>
    <xf applyAlignment="true" applyBorder="false" applyFill="false" applyFont="true" applyNumberFormat="false" applyProtection="false" borderId="149" fillId="0" fontId="28" numFmtId="0" xfId="0">
      <alignment vertical="center" wrapText="true"/>
    </xf>
    <xf applyAlignment="true" applyBorder="false" applyFill="false" applyFont="true" applyNumberFormat="false" applyProtection="false" borderId="150" fillId="0" fontId="28" numFmtId="0" xfId="0">
      <alignment horizontal="center" vertical="center"/>
    </xf>
    <xf applyAlignment="true" applyBorder="false" applyFill="false" applyFont="true" applyNumberFormat="false" applyProtection="false" borderId="144" fillId="0" fontId="3" numFmtId="0" xfId="0">
      <alignment vertical="center" wrapText="true"/>
    </xf>
    <xf applyAlignment="true" applyBorder="false" applyFill="false" applyFont="true" applyNumberFormat="false" applyProtection="false" borderId="144" fillId="0" fontId="3" numFmtId="0" xfId="0">
      <alignment vertical="center"/>
    </xf>
    <xf applyAlignment="true" applyBorder="false" applyFill="false" applyFont="true" applyNumberFormat="false" applyProtection="false" borderId="135" fillId="0" fontId="28" numFmtId="0" xfId="0">
      <alignment horizontal="left" vertical="center" wrapText="true"/>
    </xf>
    <xf applyAlignment="true" applyBorder="false" applyFill="false" applyFont="true" applyNumberFormat="false" applyProtection="false" borderId="135" fillId="0" fontId="28" numFmtId="0" xfId="0">
      <alignment horizontal="center" vertical="center" wrapText="true"/>
    </xf>
    <xf applyAlignment="true" applyBorder="false" applyFill="false" applyFont="true" applyNumberFormat="false" applyProtection="false" borderId="146" fillId="0" fontId="3" numFmtId="0" xfId="0">
      <alignment vertical="center" wrapText="true"/>
    </xf>
    <xf applyAlignment="true" applyBorder="false" applyFill="false" applyFont="true" applyNumberFormat="false" applyProtection="false" borderId="143" fillId="0" fontId="28" numFmtId="0" xfId="0">
      <alignment horizontal="center" vertical="center"/>
    </xf>
    <xf applyAlignment="true" applyBorder="false" applyFill="false" applyFont="true" applyNumberFormat="false" applyProtection="false" borderId="135" fillId="0" fontId="28" numFmtId="0" xfId="0">
      <alignment horizontal="left" vertical="center"/>
    </xf>
    <xf applyAlignment="true" applyBorder="false" applyFill="false" applyFont="true" applyNumberFormat="false" applyProtection="false" borderId="151" fillId="0" fontId="3" numFmtId="0" xfId="0">
      <alignment vertical="center" wrapText="true"/>
    </xf>
    <xf applyAlignment="true" applyBorder="false" applyFill="false" applyFont="true" applyNumberFormat="false" applyProtection="false" borderId="152" fillId="0" fontId="28" numFmtId="0" xfId="0">
      <alignment horizontal="left" vertical="center" wrapText="true"/>
    </xf>
    <xf applyAlignment="true" applyBorder="false" applyFill="false" applyFont="true" applyNumberFormat="false" applyProtection="false" borderId="144" fillId="0" fontId="5" numFmtId="0" xfId="0">
      <alignment vertical="center"/>
    </xf>
    <xf applyAlignment="true" applyBorder="false" applyFill="false" applyFont="true" applyNumberFormat="false" applyProtection="false" borderId="141" fillId="0" fontId="5" numFmtId="0" xfId="0">
      <alignment vertical="center"/>
    </xf>
    <xf applyAlignment="true" applyBorder="false" applyFill="false" applyFont="true" applyNumberFormat="false" applyProtection="false" borderId="146" fillId="0" fontId="3" numFmtId="0" xfId="0">
      <alignment vertical="center"/>
    </xf>
    <xf applyAlignment="true" applyBorder="false" applyFill="false" applyFont="true" applyNumberFormat="false" applyProtection="false" borderId="153" fillId="0" fontId="28"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48" fillId="0" fontId="3" numFmtId="0" xfId="0">
      <alignment vertical="center"/>
    </xf>
    <xf applyAlignment="true" applyBorder="false" applyFill="false" applyFont="true" applyNumberFormat="false" applyProtection="false" borderId="141" fillId="0" fontId="3" numFmtId="0" xfId="0">
      <alignment vertical="center"/>
    </xf>
    <xf applyAlignment="true" applyBorder="false" applyFill="false" applyFont="true" applyNumberFormat="false" applyProtection="false" borderId="145" fillId="0" fontId="3" numFmtId="0" xfId="0">
      <alignment vertical="center"/>
    </xf>
    <xf applyAlignment="true" applyBorder="false" applyFill="false" applyFont="true" applyNumberFormat="false" applyProtection="false" borderId="152" fillId="0" fontId="3" numFmtId="0" xfId="0">
      <alignment vertical="center" wrapText="true"/>
    </xf>
    <xf applyAlignment="true" applyBorder="false" applyFill="false" applyFont="true" applyNumberFormat="false" applyProtection="false" borderId="152" fillId="0" fontId="3" numFmtId="0" xfId="0">
      <alignment vertical="center"/>
    </xf>
    <xf applyAlignment="true" applyBorder="false" applyFill="false" applyFont="true" applyNumberFormat="false" applyProtection="false" borderId="148" fillId="0" fontId="28" numFmtId="0" xfId="0">
      <alignment horizontal="left" vertical="center" wrapText="true"/>
    </xf>
    <xf applyAlignment="true" applyBorder="false" applyFill="false" applyFont="true" applyNumberFormat="false" applyProtection="false" borderId="152" fillId="0" fontId="5" numFmtId="0" xfId="0">
      <alignment vertical="center"/>
    </xf>
    <xf applyAlignment="true" applyBorder="false" applyFill="false" applyFont="true" applyNumberFormat="false" applyProtection="false" borderId="148" fillId="0" fontId="28" numFmtId="0" xfId="0">
      <alignment horizontal="left" vertical="center" wrapText="true"/>
    </xf>
    <xf applyAlignment="true" applyBorder="false" applyFill="false" applyFont="true" applyNumberFormat="false" applyProtection="false" borderId="148" fillId="0" fontId="28" numFmtId="0" xfId="0">
      <alignment vertical="center" wrapText="true"/>
    </xf>
    <xf applyAlignment="true" applyBorder="false" applyFill="false" applyFont="true" applyNumberFormat="false" applyProtection="false" borderId="135" fillId="0" fontId="28" numFmtId="0" xfId="0">
      <alignment vertical="center" wrapText="true"/>
    </xf>
    <xf applyAlignment="true" applyBorder="false" applyFill="false" applyFont="true" applyNumberFormat="false" applyProtection="false" borderId="152" fillId="0" fontId="28" numFmtId="0" xfId="0">
      <alignment vertical="center" wrapText="true"/>
    </xf>
    <xf applyAlignment="true" applyBorder="false" applyFill="false" applyFont="true" applyNumberFormat="false" applyProtection="false" borderId="142" fillId="0" fontId="28" numFmtId="0" xfId="0">
      <alignment horizontal="left" vertical="center" wrapText="true"/>
    </xf>
    <xf applyAlignment="true" applyBorder="false" applyFill="false" applyFont="true" applyNumberFormat="false" applyProtection="false" borderId="142" fillId="0" fontId="28" numFmtId="0" xfId="0">
      <alignment horizontal="center" vertical="center"/>
    </xf>
    <xf applyAlignment="true" applyBorder="false" applyFill="false" applyFont="true" applyNumberFormat="false" applyProtection="false" borderId="142" fillId="0" fontId="28" numFmtId="0" xfId="0">
      <alignment vertical="center" wrapText="true"/>
    </xf>
    <xf applyAlignment="true" applyBorder="false" applyFill="false" applyFont="true" applyNumberFormat="false" applyProtection="false" borderId="154" fillId="0" fontId="28" numFmtId="0" xfId="0">
      <alignment horizontal="left" vertical="center" wrapText="true"/>
    </xf>
    <xf applyAlignment="true" applyBorder="false" applyFill="false" applyFont="true" applyNumberFormat="false" applyProtection="false" borderId="145" fillId="0" fontId="3" numFmtId="0" xfId="0">
      <alignment vertical="center" wrapText="true"/>
    </xf>
    <xf applyAlignment="true" applyBorder="false" applyFill="false" applyFont="true" applyNumberFormat="false" applyProtection="false" borderId="150" fillId="0" fontId="28" numFmtId="0" xfId="0">
      <alignment horizontal="left" vertical="center" wrapText="true"/>
    </xf>
    <xf applyAlignment="true" applyBorder="false" applyFill="false" applyFont="true" applyNumberFormat="false" applyProtection="false" borderId="150" fillId="0" fontId="28" numFmtId="0" xfId="0">
      <alignment vertical="center" wrapText="true"/>
    </xf>
    <xf applyAlignment="true" applyBorder="false" applyFill="false" applyFont="true" applyNumberFormat="false" applyProtection="false" borderId="150" fillId="0" fontId="27" numFmtId="0" xfId="0">
      <alignment vertical="center"/>
    </xf>
    <xf applyAlignment="true" applyBorder="false" applyFill="false" applyFont="true" applyNumberFormat="false" applyProtection="false" borderId="141" fillId="0" fontId="3" numFmtId="0" xfId="0">
      <alignment vertical="center" wrapText="true"/>
    </xf>
    <xf applyAlignment="true" applyBorder="false" applyFill="false" applyFont="true" applyNumberFormat="false" applyProtection="false" borderId="141" fillId="0" fontId="5" numFmtId="0" xfId="0">
      <alignment horizontal="lef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135" fillId="0" fontId="31" numFmtId="0" xfId="0">
      <alignment vertical="center"/>
    </xf>
    <xf applyAlignment="true" applyBorder="false" applyFill="false" applyFont="true" applyNumberFormat="false" applyProtection="false" borderId="148" fillId="0" fontId="28" numFmtId="0" xfId="0">
      <alignment horizontal="center" vertical="center"/>
    </xf>
    <xf applyAlignment="true" applyBorder="false" applyFill="false" applyFont="true" applyNumberFormat="false" applyProtection="false" borderId="155" fillId="0" fontId="28" numFmtId="0" xfId="0">
      <alignment horizontal="left" vertical="center" wrapText="true"/>
    </xf>
    <xf applyAlignment="true" applyBorder="false" applyFill="false" applyFont="true" applyNumberFormat="false" applyProtection="false" borderId="156" fillId="0" fontId="28" numFmtId="0" xfId="0">
      <alignment vertical="center" wrapText="true"/>
    </xf>
    <xf applyAlignment="true" applyBorder="false" applyFill="false" applyFont="true" applyNumberFormat="false" applyProtection="false" borderId="145" fillId="0" fontId="28" numFmtId="0" xfId="0">
      <alignment horizontal="left" vertical="center" wrapText="true"/>
    </xf>
    <xf applyAlignment="true" applyBorder="false" applyFill="false" applyFont="true" applyNumberFormat="false" applyProtection="false" borderId="135" fillId="0" fontId="31" numFmtId="0" xfId="0">
      <alignment vertical="center" wrapText="true"/>
    </xf>
    <xf applyAlignment="true" applyBorder="false" applyFill="false" applyFont="true" applyNumberFormat="false" applyProtection="false" borderId="150" fillId="0" fontId="3" numFmtId="0" xfId="0">
      <alignment vertical="center"/>
    </xf>
    <xf applyAlignment="true" applyBorder="false" applyFill="false" applyFont="true" applyNumberFormat="false" applyProtection="false" borderId="150" fillId="0" fontId="3" numFmtId="0" xfId="0">
      <alignment vertical="center" wrapText="true"/>
    </xf>
    <xf applyAlignment="true" applyBorder="false" applyFill="false" applyFont="true" applyNumberFormat="false" applyProtection="false" borderId="147" fillId="0" fontId="28" numFmtId="0" xfId="0">
      <alignment horizontal="left" vertical="center" wrapText="true"/>
    </xf>
    <xf applyAlignment="true" applyBorder="false" applyFill="false" applyFont="true" applyNumberFormat="false" applyProtection="false" borderId="154" fillId="0" fontId="28" numFmtId="0" xfId="0">
      <alignment horizontal="center" vertical="center"/>
    </xf>
    <xf applyAlignment="true" applyBorder="false" applyFill="false" applyFont="true" applyNumberFormat="false" applyProtection="false" borderId="145" fillId="0" fontId="3" numFmtId="0" xfId="0">
      <alignment vertical="center" wrapText="true"/>
    </xf>
    <xf applyAlignment="true" applyBorder="false" applyFill="false" applyFont="true" applyNumberFormat="false" applyProtection="false" borderId="157" fillId="0" fontId="28" numFmtId="0" xfId="0">
      <alignment vertical="center" wrapText="true"/>
    </xf>
    <xf applyAlignment="true" applyBorder="false" applyFill="false" applyFont="true" applyNumberFormat="false" applyProtection="false" borderId="145" fillId="0" fontId="28" numFmtId="0" xfId="0">
      <alignment vertical="center" wrapText="true"/>
    </xf>
    <xf applyAlignment="true" applyBorder="false" applyFill="false" applyFont="true" applyNumberFormat="false" applyProtection="false" borderId="158" fillId="0" fontId="3" numFmtId="0" xfId="0">
      <alignment vertical="center" wrapText="true"/>
    </xf>
    <xf applyAlignment="true" applyBorder="false" applyFill="false" applyFont="true" applyNumberFormat="false" applyProtection="false" borderId="141" fillId="0" fontId="16" numFmtId="0" xfId="0">
      <alignment horizontal="left" vertical="center" wrapText="true"/>
    </xf>
    <xf applyAlignment="true" applyBorder="false" applyFill="false" applyFont="true" applyNumberFormat="false" applyProtection="false" borderId="146" fillId="0" fontId="3" numFmtId="0" xfId="0">
      <alignment vertical="center" wrapText="true"/>
    </xf>
    <xf applyAlignment="true" applyBorder="false" applyFill="false" applyFont="true" applyNumberFormat="false" applyProtection="false" borderId="141" fillId="0" fontId="28" numFmtId="0" xfId="0">
      <alignment horizontal="left" vertical="center"/>
    </xf>
    <xf applyAlignment="true" applyBorder="false" applyFill="false" applyFont="true" applyNumberFormat="false" applyProtection="false" borderId="159" fillId="0" fontId="28" numFmtId="0" xfId="0">
      <alignment horizontal="left" vertical="center" wrapText="true"/>
    </xf>
    <xf applyAlignment="true" applyBorder="false" applyFill="false" applyFont="true" applyNumberFormat="false" applyProtection="false" borderId="149" fillId="0" fontId="28" numFmtId="0" xfId="0">
      <alignment horizontal="left" vertical="center" wrapText="true"/>
    </xf>
    <xf applyAlignment="true" applyBorder="false" applyFill="false" applyFont="true" applyNumberFormat="false" applyProtection="false" borderId="152" fillId="0" fontId="28" numFmtId="0" xfId="0">
      <alignment vertical="center" wrapText="true"/>
    </xf>
    <xf applyAlignment="true" applyBorder="false" applyFill="false" applyFont="true" applyNumberFormat="false" applyProtection="false" borderId="160" fillId="0" fontId="28" numFmtId="0" xfId="0">
      <alignment horizontal="left" vertical="center" wrapText="true"/>
    </xf>
    <xf applyAlignment="true" applyBorder="false" applyFill="false" applyFont="true" applyNumberFormat="false" applyProtection="false" borderId="149" fillId="0" fontId="3" numFmtId="0" xfId="0">
      <alignment vertical="center" wrapText="true"/>
    </xf>
    <xf applyAlignment="true" applyBorder="false" applyFill="false" applyFont="true" applyNumberFormat="false" applyProtection="false" borderId="145" fillId="0" fontId="28" numFmtId="0" xfId="0">
      <alignment horizontal="left" vertical="center"/>
    </xf>
    <xf applyAlignment="true" applyBorder="false" applyFill="false" applyFont="true" applyNumberFormat="false" applyProtection="false" borderId="146" fillId="0" fontId="28" numFmtId="0" xfId="0">
      <alignment horizontal="center" vertical="center"/>
    </xf>
    <xf applyAlignment="true" applyBorder="false" applyFill="false" applyFont="true" applyNumberFormat="false" applyProtection="false" borderId="141" fillId="0" fontId="28" numFmtId="0" xfId="0">
      <alignment vertical="center"/>
    </xf>
    <xf applyAlignment="true" applyBorder="false" applyFill="false" applyFont="true" applyNumberFormat="false" applyProtection="false" borderId="145" fillId="0" fontId="28" numFmtId="0" xfId="0">
      <alignment horizontal="center" vertical="center"/>
    </xf>
    <xf applyAlignment="true" applyBorder="false" applyFill="false" applyFont="true" applyNumberFormat="false" applyProtection="false" borderId="135" fillId="0" fontId="3" numFmtId="0" xfId="0">
      <alignment vertical="center" wrapText="true"/>
    </xf>
    <xf applyAlignment="true" applyBorder="false" applyFill="true" applyFont="true" applyNumberFormat="false" applyProtection="false" borderId="0" fillId="42" fontId="39" numFmtId="0" xfId="0">
      <alignment vertical="center"/>
    </xf>
    <xf applyAlignment="true" applyBorder="false" applyFill="true" applyFont="true" applyNumberFormat="false" applyProtection="false" borderId="135" fillId="42" fontId="34" numFmtId="0" xfId="0">
      <alignment vertical="center"/>
    </xf>
    <xf applyAlignment="true" applyBorder="false" applyFill="true" applyFont="true" applyNumberFormat="false" applyProtection="false" borderId="141" fillId="42" fontId="36" numFmtId="0" xfId="0">
      <alignment vertical="center"/>
    </xf>
    <xf applyAlignment="true" applyBorder="false" applyFill="true" applyFont="true" applyNumberFormat="false" applyProtection="false" borderId="135" fillId="42" fontId="30" numFmtId="0" xfId="0">
      <alignment horizontal="left" vertical="center" wrapText="true"/>
    </xf>
    <xf applyAlignment="true" applyBorder="false" applyFill="true" applyFont="true" applyNumberFormat="false" applyProtection="false" borderId="135" fillId="42" fontId="30" numFmtId="0" xfId="0">
      <alignment horizontal="left" vertical="center"/>
    </xf>
    <xf applyAlignment="true" applyBorder="false" applyFill="true" applyFont="true" applyNumberFormat="false" applyProtection="false" borderId="148" fillId="42" fontId="35" numFmtId="0" xfId="0">
      <alignment horizontal="center" vertical="center"/>
    </xf>
    <xf applyAlignment="true" applyBorder="false" applyFill="true" applyFont="true" applyNumberFormat="false" applyProtection="false" borderId="141" fillId="42" fontId="30" numFmtId="0" xfId="0">
      <alignment vertical="center"/>
    </xf>
    <xf applyAlignment="true" applyBorder="false" applyFill="true" applyFont="true" applyNumberFormat="false" applyProtection="false" borderId="145" fillId="42" fontId="30" numFmtId="0" xfId="0">
      <alignment horizontal="center" vertical="center"/>
    </xf>
    <xf applyAlignment="true" applyBorder="false" applyFill="true" applyFont="true" applyNumberFormat="false" applyProtection="false" borderId="149" fillId="42" fontId="30" numFmtId="0" xfId="0">
      <alignment vertical="center" wrapText="true"/>
    </xf>
    <xf applyAlignment="true" applyBorder="false" applyFill="true" applyFont="true" applyNumberFormat="false" applyProtection="false" borderId="135" fillId="42" fontId="35" numFmtId="0" xfId="0">
      <alignment vertical="center" wrapText="true"/>
    </xf>
    <xf applyAlignment="true" applyBorder="false" applyFill="true" applyFont="true" applyNumberFormat="false" applyProtection="false" borderId="135" fillId="42" fontId="35" numFmtId="0" xfId="0">
      <alignment vertical="center"/>
    </xf>
    <xf applyAlignment="true" applyBorder="false" applyFill="true" applyFont="true" applyNumberFormat="false" applyProtection="false" borderId="0" fillId="42" fontId="36" numFmtId="0" xfId="0">
      <alignment vertical="center"/>
    </xf>
    <xf applyAlignment="true" applyBorder="false" applyFill="true" applyFont="true" applyNumberFormat="false" applyProtection="false" borderId="144" fillId="42" fontId="30" numFmtId="0" xfId="0">
      <alignment horizontal="left" vertical="center" wrapText="true"/>
    </xf>
    <xf applyAlignment="true" applyBorder="false" applyFill="true" applyFont="true" applyNumberFormat="false" applyProtection="false" borderId="141" fillId="42" fontId="30" numFmtId="0" xfId="0">
      <alignment horizontal="center" vertical="center"/>
    </xf>
    <xf applyAlignment="true" applyBorder="false" applyFill="true" applyFont="true" applyNumberFormat="false" applyProtection="false" borderId="141" fillId="42" fontId="30" numFmtId="0" xfId="0">
      <alignment vertical="center" wrapText="true"/>
    </xf>
    <xf applyAlignment="true" applyBorder="false" applyFill="true" applyFont="true" applyNumberFormat="false" applyProtection="false" borderId="141" fillId="42" fontId="30" numFmtId="0" xfId="0">
      <alignment horizontal="left" vertical="center" wrapText="true"/>
    </xf>
    <xf applyAlignment="true" applyBorder="false" applyFill="true" applyFont="true" applyNumberFormat="false" applyProtection="false" borderId="141" fillId="42" fontId="35" numFmtId="0" xfId="0">
      <alignment vertical="center" wrapText="true"/>
    </xf>
    <xf applyAlignment="true" applyBorder="false" applyFill="true" applyFont="true" applyNumberFormat="false" applyProtection="false" borderId="141" fillId="42" fontId="35" numFmtId="0" xfId="0">
      <alignment vertical="center"/>
    </xf>
    <xf applyAlignment="true" applyBorder="false" applyFill="true" applyFont="true" applyNumberFormat="false" applyProtection="false" borderId="135" fillId="42" fontId="30" numFmtId="0" xfId="0">
      <alignment horizontal="center" vertical="center"/>
    </xf>
    <xf applyAlignment="true" applyBorder="false" applyFill="true" applyFont="true" applyNumberFormat="false" applyProtection="false" borderId="135" fillId="42" fontId="30" numFmtId="0" xfId="0">
      <alignment vertical="center" wrapText="true"/>
    </xf>
    <xf applyAlignment="true" applyBorder="false" applyFill="false" applyFont="true" applyNumberFormat="false" applyProtection="false" borderId="141" fillId="0" fontId="28" numFmtId="0" xfId="0">
      <alignment vertical="center"/>
    </xf>
    <xf applyAlignment="true" applyBorder="false" applyFill="false" applyFont="true" applyNumberFormat="false" applyProtection="false" borderId="141" fillId="0" fontId="5" numFmtId="0" xfId="0">
      <alignment vertical="center" wrapText="true"/>
    </xf>
    <xf applyAlignment="true" applyBorder="false" applyFill="false" applyFont="true" applyNumberFormat="false" applyProtection="false" borderId="142" fillId="0" fontId="28" numFmtId="0" xfId="0">
      <alignment vertical="center" wrapText="true"/>
    </xf>
    <xf applyAlignment="true" applyBorder="false" applyFill="false" applyFont="true" applyNumberFormat="false" applyProtection="false" borderId="135" fillId="0" fontId="27" numFmtId="0" xfId="0">
      <alignment vertical="center" wrapText="true"/>
    </xf>
    <xf applyAlignment="true" applyBorder="false" applyFill="false" applyFont="true" applyNumberFormat="false" applyProtection="false" borderId="135" fillId="0" fontId="27" numFmtId="0" xfId="0">
      <alignment vertical="center" wrapText="true"/>
    </xf>
    <xf applyAlignment="true" applyBorder="false" applyFill="false" applyFont="true" applyNumberFormat="false" applyProtection="false" borderId="142" fillId="0" fontId="27" numFmtId="0" xfId="0">
      <alignment vertical="center"/>
    </xf>
    <xf applyAlignment="true" applyBorder="false" applyFill="false" applyFont="true" applyNumberFormat="false" applyProtection="false" borderId="142" fillId="0" fontId="28" numFmtId="0" xfId="0">
      <alignment horizontal="left" vertical="center"/>
    </xf>
    <xf applyAlignment="true" applyBorder="false" applyFill="true" applyFont="true" applyNumberFormat="false" applyProtection="false" borderId="142" fillId="41" fontId="3" numFmtId="0" xfId="0">
      <alignment horizontal="center" vertical="center"/>
    </xf>
    <xf applyAlignment="true" applyBorder="false" applyFill="false" applyFont="true" applyNumberFormat="false" applyProtection="false" borderId="148" fillId="0" fontId="27" numFmtId="0" xfId="0">
      <alignment vertical="center" wrapText="true"/>
    </xf>
    <xf applyAlignment="true" applyBorder="false" applyFill="false" applyFont="true" applyNumberFormat="false" applyProtection="false" borderId="141" fillId="0" fontId="27" numFmtId="0" xfId="0">
      <alignment vertical="center"/>
    </xf>
    <xf applyAlignment="true" applyBorder="false" applyFill="false" applyFont="true" applyNumberFormat="false" applyProtection="false" borderId="141" fillId="0" fontId="28" numFmtId="0" xfId="0">
      <alignment horizontal="left" vertical="center"/>
    </xf>
    <xf applyAlignment="true" applyBorder="false" applyFill="true" applyFont="true" applyNumberFormat="false" applyProtection="false" borderId="141" fillId="41" fontId="3" numFmtId="0" xfId="0">
      <alignment horizontal="center" vertical="center"/>
    </xf>
    <xf applyAlignment="true" applyBorder="false" applyFill="false" applyFont="true" applyNumberFormat="false" applyProtection="false" borderId="146" fillId="0" fontId="28" numFmtId="0" xfId="0">
      <alignment horizontal="center" vertical="center" wrapText="true"/>
    </xf>
    <xf applyAlignment="true" applyBorder="false" applyFill="false" applyFont="true" applyNumberFormat="false" applyProtection="false" borderId="148" fillId="0" fontId="27" numFmtId="0" xfId="0">
      <alignment vertical="center"/>
    </xf>
    <xf applyAlignment="true" applyBorder="false" applyFill="false" applyFont="true" applyNumberFormat="false" applyProtection="false" borderId="150" fillId="0" fontId="28" numFmtId="0" xfId="0">
      <alignment horizontal="left" vertical="center"/>
    </xf>
    <xf applyAlignment="true" applyBorder="false" applyFill="true" applyFont="true" applyNumberFormat="false" applyProtection="false" borderId="153" fillId="41" fontId="3" numFmtId="0" xfId="0">
      <alignment horizontal="center" vertical="center"/>
    </xf>
    <xf applyAlignment="true" applyBorder="false" applyFill="false" applyFont="true" applyNumberFormat="false" applyProtection="false" borderId="152" fillId="0" fontId="28" numFmtId="0" xfId="0">
      <alignment vertical="center"/>
    </xf>
    <xf applyAlignment="true" applyBorder="false" applyFill="false" applyFont="true" applyNumberFormat="false" applyProtection="false" borderId="142" fillId="0" fontId="27" numFmtId="0" xfId="0">
      <alignment vertical="center" wrapText="true"/>
    </xf>
    <xf applyAlignment="true" applyBorder="false" applyFill="false" applyFont="true" applyNumberFormat="false" applyProtection="false" borderId="144" fillId="0" fontId="5" numFmtId="0" xfId="0">
      <alignment vertical="center"/>
    </xf>
    <xf applyAlignment="true" applyBorder="false" applyFill="false" applyFont="true" applyNumberFormat="false" applyProtection="false" borderId="146" fillId="0" fontId="28" numFmtId="0" xfId="0">
      <alignment horizontal="left" vertical="center" wrapText="true"/>
    </xf>
    <xf applyAlignment="true" applyBorder="false" applyFill="false" applyFont="true" applyNumberFormat="false" applyProtection="false" borderId="141" fillId="0" fontId="27" numFmtId="0" xfId="0">
      <alignment vertical="center" wrapText="true"/>
    </xf>
    <xf applyAlignment="true" applyBorder="false" applyFill="false" applyFont="true" applyNumberFormat="false" applyProtection="false" borderId="145" fillId="0" fontId="27" numFmtId="0" xfId="0">
      <alignmen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true" applyFont="true" applyNumberFormat="false" applyProtection="false" borderId="161" fillId="43" fontId="26" numFmtId="0" xfId="0">
      <alignment horizontal="center" vertical="center"/>
    </xf>
    <xf applyAlignment="true" applyBorder="false" applyFill="false" applyFont="true" applyNumberFormat="false" applyProtection="false" borderId="162" fillId="0" fontId="9" numFmtId="0" xfId="0">
      <alignment horizontal="center" vertical="center"/>
    </xf>
    <xf applyAlignment="true" applyBorder="false" applyFill="false" applyFont="true" applyNumberFormat="false" applyProtection="false" borderId="163" fillId="0" fontId="9" numFmtId="0" xfId="0">
      <alignment horizontal="center" vertical="center"/>
    </xf>
    <xf applyAlignment="true" applyBorder="false" applyFill="false" applyFont="true" applyNumberFormat="false" applyProtection="false" borderId="162" fillId="0" fontId="9" numFmtId="0" xfId="0">
      <alignment horizontal="center" vertical="center"/>
    </xf>
    <xf applyAlignment="true" applyBorder="false" applyFill="true" applyFont="true" applyNumberFormat="false" applyProtection="false" borderId="161" fillId="44" fontId="41" numFmtId="0" xfId="0">
      <alignment horizontal="center" vertical="center"/>
    </xf>
    <xf applyAlignment="true" applyBorder="false" applyFill="true" applyFont="true" applyNumberFormat="false" applyProtection="false" borderId="164" fillId="44" fontId="41" numFmtId="0" xfId="0">
      <alignment horizontal="center" vertical="center"/>
    </xf>
    <xf applyAlignment="true" applyBorder="false" applyFill="true" applyFont="true" applyNumberFormat="false" applyProtection="false" borderId="164" fillId="44" fontId="41" numFmtId="0" xfId="0">
      <alignment horizontal="center" vertical="center"/>
    </xf>
    <xf applyAlignment="true" applyBorder="false" applyFill="false" applyFont="true" applyNumberFormat="false" applyProtection="false" borderId="165" fillId="0" fontId="9" numFmtId="0" xfId="0">
      <alignment horizontal="center" vertical="center"/>
    </xf>
    <xf applyAlignment="true" applyBorder="false" applyFill="false" applyFont="true" applyNumberFormat="false" applyProtection="false" borderId="163" fillId="0" fontId="8" numFmtId="0" xfId="0">
      <alignment horizontal="center" vertical="center"/>
    </xf>
    <xf applyAlignment="true" applyBorder="false" applyFill="false" applyFont="true" applyNumberFormat="false" applyProtection="false" borderId="166" fillId="0" fontId="9" numFmtId="0" xfId="0">
      <alignment horizontal="center" vertical="center"/>
    </xf>
    <xf applyAlignment="true" applyBorder="false" applyFill="false" applyFont="true" applyNumberFormat="false" applyProtection="false" borderId="167" fillId="0" fontId="9" numFmtId="0" xfId="0">
      <alignment horizontal="center" vertical="center"/>
    </xf>
    <xf applyAlignment="true" applyBorder="false" applyFill="false" applyFont="true" applyNumberFormat="false" applyProtection="false" borderId="167" fillId="0" fontId="9" numFmtId="0" xfId="0">
      <alignment horizontal="left" vertical="center" wrapText="true"/>
    </xf>
    <xf applyAlignment="true" applyBorder="false" applyFill="false" applyFont="true" applyNumberFormat="false" applyProtection="false" borderId="168" fillId="0" fontId="9" numFmtId="0" xfId="0">
      <alignment horizontal="center" vertical="center"/>
    </xf>
    <xf applyAlignment="true" applyBorder="false" applyFill="false" applyFont="true" applyNumberFormat="false" applyProtection="false" borderId="169" fillId="0" fontId="8" numFmtId="0" xfId="0">
      <alignment horizontal="center" vertical="center"/>
    </xf>
    <xf applyAlignment="true" applyBorder="false" applyFill="false" applyFont="true" applyNumberFormat="false" applyProtection="false" borderId="167" fillId="0" fontId="9" numFmtId="0" xfId="0">
      <alignment horizontal="center" vertical="center"/>
    </xf>
    <xf applyAlignment="true" applyBorder="false" applyFill="false" applyFont="true" applyNumberFormat="false" applyProtection="false" borderId="170" fillId="0" fontId="8" numFmtId="0" xfId="0">
      <alignment horizontal="center" vertical="center"/>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171" fillId="0" fontId="21" numFmtId="0" xfId="0">
      <alignment horizontal="left" vertical="top" wrapText="true"/>
    </xf>
    <xf applyAlignment="true" applyBorder="false" applyFill="false" applyFont="true" applyNumberFormat="false" applyProtection="false" borderId="172" fillId="0" fontId="22" numFmtId="0" xfId="0">
      <alignment horizontal="left" vertical="center"/>
    </xf>
    <xf applyAlignment="true" applyBorder="false" applyFill="false" applyFont="true" applyNumberFormat="false" applyProtection="false" borderId="172"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0" fillId="45" fontId="23" numFmtId="0" xfId="0">
      <alignment vertical="center" wrapText="true"/>
    </xf>
    <xf applyAlignment="true" applyBorder="false" applyFill="true" applyFont="true" applyNumberFormat="false" applyProtection="false" borderId="0" fillId="45" fontId="3" numFmtId="0" xfId="0">
      <alignment horizontal="center" vertical="center"/>
    </xf>
    <xf applyAlignment="true" applyBorder="false" applyFill="true" applyFont="true" applyNumberFormat="false" applyProtection="false" borderId="0" fillId="45" fontId="3" numFmtId="0" xfId="0">
      <alignment vertical="center" wrapText="true"/>
    </xf>
    <xf applyAlignment="true" applyBorder="false" applyFill="true" applyFont="true" applyNumberFormat="false" applyProtection="false" borderId="0" fillId="45" fontId="3" numFmtId="0" xfId="0">
      <alignment vertical="center"/>
    </xf>
    <xf applyAlignment="true" applyBorder="false" applyFill="true" applyFont="true" applyNumberFormat="false" applyProtection="false" borderId="0" fillId="45" fontId="5" numFmtId="0" xfId="0">
      <alignment vertical="center"/>
    </xf>
    <xf applyAlignment="true" applyBorder="false" applyFill="true" applyFont="true" applyNumberFormat="false" applyProtection="false" borderId="173" fillId="46" fontId="24" numFmtId="0" xfId="0">
      <alignment horizontal="left" vertical="center"/>
    </xf>
    <xf applyAlignment="true" applyBorder="false" applyFill="false" applyFont="true" applyNumberFormat="false" applyProtection="false" borderId="174" fillId="0" fontId="24" numFmtId="0" xfId="0">
      <alignment horizontal="left" vertical="center"/>
    </xf>
    <xf applyAlignment="true" applyBorder="false" applyFill="false" applyFont="true" applyNumberFormat="false" applyProtection="false" borderId="174" fillId="0" fontId="24" numFmtId="0" xfId="0">
      <alignment horizontal="lef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175" fillId="46" fontId="24" numFmtId="0" xfId="0">
      <alignment horizontal="left" vertical="center"/>
    </xf>
    <xf applyAlignment="true" applyBorder="false" applyFill="false" applyFont="true" applyNumberFormat="false" applyProtection="false" borderId="176" fillId="0" fontId="24" numFmtId="0" xfId="0">
      <alignment horizontal="left" vertical="center"/>
    </xf>
    <xf applyAlignment="true" applyBorder="false" applyFill="true" applyFont="true" applyNumberFormat="false" applyProtection="false" borderId="176" fillId="46"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176" fillId="0" fontId="24" numFmtId="0" xfId="0">
      <alignment horizontal="left" vertical="center"/>
    </xf>
    <xf applyAlignment="true" applyBorder="false" applyFill="true" applyFont="true" applyNumberFormat="false" applyProtection="false" borderId="175" fillId="46" fontId="24" numFmtId="0" xfId="0">
      <alignment vertical="center"/>
    </xf>
    <xf applyAlignment="true" applyBorder="false" applyFill="false" applyFont="true" applyNumberFormat="false" applyProtection="false" borderId="177" fillId="0" fontId="24" numFmtId="0" xfId="0">
      <alignment vertical="center"/>
    </xf>
    <xf applyAlignment="true" applyBorder="false" applyFill="false" applyFont="true" applyNumberFormat="false" applyProtection="false" borderId="177" fillId="0" fontId="24" numFmtId="0" xfId="0">
      <alignment horizontal="left" vertical="center"/>
    </xf>
    <xf applyAlignment="true" applyBorder="false" applyFill="false" applyFont="true" applyNumberFormat="true" applyProtection="false" borderId="176" fillId="0" fontId="24" numFmtId="171" xfId="0">
      <alignment horizontal="left" vertical="center"/>
    </xf>
    <xf applyAlignment="true" applyBorder="false" applyFill="true" applyFont="true" applyNumberFormat="false" applyProtection="false" borderId="178" fillId="46" fontId="24" numFmtId="0" xfId="0">
      <alignment vertical="center"/>
    </xf>
    <xf applyAlignment="true" applyBorder="false" applyFill="false" applyFont="true" applyNumberFormat="false" applyProtection="false" borderId="179" fillId="0" fontId="24" numFmtId="0" xfId="0">
      <alignment horizontal="left" vertical="center" wrapText="true"/>
    </xf>
    <xf applyAlignment="true" applyBorder="false" applyFill="false" applyFont="true" applyNumberFormat="false" applyProtection="false" borderId="179" fillId="0" fontId="24" numFmtId="0" xfId="0">
      <alignment horizontal="left" vertical="center" wrapText="true"/>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174" fillId="47" fontId="24" numFmtId="0" xfId="0">
      <alignment horizontal="center" vertical="center"/>
    </xf>
    <xf applyAlignment="true" applyBorder="false" applyFill="true" applyFont="true" applyNumberFormat="false" applyProtection="false" borderId="174" fillId="47" fontId="24" numFmtId="0" xfId="0">
      <alignment horizontal="center" vertical="center" wrapText="true"/>
    </xf>
    <xf applyAlignment="true" applyBorder="false" applyFill="true" applyFont="true" applyNumberFormat="false" applyProtection="false" borderId="174" fillId="47" fontId="24" numFmtId="0" xfId="0">
      <alignment horizontal="center" vertical="center" wrapText="true"/>
    </xf>
    <xf applyAlignment="true" applyBorder="false" applyFill="true" applyFont="true" applyNumberFormat="false" applyProtection="false" borderId="180" fillId="47" fontId="24" numFmtId="0" xfId="0">
      <alignment horizontal="center" vertical="center" wrapText="true"/>
    </xf>
    <xf applyAlignment="true" applyBorder="false" applyFill="true" applyFont="true" applyNumberFormat="false" applyProtection="false" borderId="180" fillId="45" fontId="24" numFmtId="0" xfId="0">
      <alignment horizontal="center" vertical="center" wrapText="true"/>
    </xf>
    <xf applyAlignment="true" applyBorder="false" applyFill="true" applyFont="true" applyNumberFormat="false" applyProtection="false" borderId="174" fillId="45" fontId="24" numFmtId="0" xfId="0">
      <alignment horizontal="center" vertical="center" wrapText="true"/>
    </xf>
    <xf applyAlignment="true" applyBorder="false" applyFill="true" applyFont="true" applyNumberFormat="false" applyProtection="false" borderId="174" fillId="48" fontId="26" numFmtId="0" xfId="0">
      <alignment horizontal="center" vertical="center"/>
    </xf>
    <xf applyAlignment="true" applyBorder="false" applyFill="true" applyFont="true" applyNumberFormat="false" applyProtection="false" borderId="181" fillId="48" fontId="26" numFmtId="0" xfId="0">
      <alignment horizontal="center" vertical="center" wrapText="true"/>
    </xf>
    <xf applyAlignment="true" applyBorder="false" applyFill="true" applyFont="true" applyNumberFormat="false" applyProtection="false" borderId="181" fillId="48" fontId="26" numFmtId="0" xfId="0">
      <alignment horizontal="center" vertical="center"/>
    </xf>
    <xf applyAlignment="true" applyBorder="false" applyFill="true" applyFont="true" applyNumberFormat="false" applyProtection="false" borderId="174" fillId="48" fontId="26" numFmtId="0" xfId="0">
      <alignment horizontal="center" vertical="center" wrapText="true"/>
    </xf>
    <xf applyAlignment="true" applyBorder="false" applyFill="true" applyFont="true" applyNumberFormat="false" applyProtection="false" borderId="180" fillId="48" fontId="26" numFmtId="0" xfId="0">
      <alignment horizontal="center" vertical="center" wrapText="true"/>
    </xf>
    <xf applyAlignment="true" applyBorder="false" applyFill="true" applyFont="true" applyNumberFormat="false" applyProtection="false" borderId="180" fillId="48" fontId="26" numFmtId="0" xfId="0">
      <alignment horizontal="center" vertical="center"/>
    </xf>
    <xf applyAlignment="true" applyBorder="false" applyFill="true" applyFont="true" applyNumberFormat="false" applyProtection="false" borderId="180" fillId="45" fontId="26" numFmtId="0" xfId="0">
      <alignment horizontal="center" vertical="center" wrapText="true"/>
    </xf>
    <xf applyAlignment="true" applyBorder="false" applyFill="true" applyFont="true" applyNumberFormat="false" applyProtection="false" borderId="180" fillId="45" fontId="26" numFmtId="0" xfId="0">
      <alignment horizontal="center" vertical="center"/>
    </xf>
    <xf applyAlignment="true" applyBorder="false" applyFill="false" applyFont="true" applyNumberFormat="false" applyProtection="false" borderId="174" fillId="0" fontId="27" numFmtId="0" xfId="0">
      <alignment vertical="center"/>
    </xf>
    <xf applyAlignment="true" applyBorder="false" applyFill="false" applyFont="true" applyNumberFormat="false" applyProtection="false" borderId="180" fillId="0" fontId="5" numFmtId="0" xfId="0">
      <alignment vertical="center"/>
    </xf>
    <xf applyAlignment="true" applyBorder="false" applyFill="false" applyFont="true" applyNumberFormat="false" applyProtection="false" borderId="174" fillId="0" fontId="28" numFmtId="0" xfId="0">
      <alignment horizontal="left" vertical="center" wrapText="true"/>
    </xf>
    <xf applyAlignment="true" applyBorder="false" applyFill="false" applyFont="true" applyNumberFormat="false" applyProtection="false" borderId="174" fillId="0" fontId="27" numFmtId="0" xfId="0">
      <alignment vertical="center"/>
    </xf>
    <xf applyAlignment="true" applyBorder="false" applyFill="false" applyFont="true" applyNumberFormat="false" applyProtection="false" borderId="174" fillId="0" fontId="28" numFmtId="0" xfId="0">
      <alignment horizontal="left" vertical="center"/>
    </xf>
    <xf applyAlignment="true" applyBorder="false" applyFill="true" applyFont="true" applyNumberFormat="false" applyProtection="false" borderId="182" fillId="49" fontId="3" numFmtId="0" xfId="0">
      <alignment horizontal="center" vertical="center"/>
    </xf>
    <xf applyAlignment="true" applyBorder="false" applyFill="false" applyFont="true" applyNumberFormat="false" applyProtection="false" borderId="180" fillId="0" fontId="5" numFmtId="0" xfId="0">
      <alignment vertical="center" wrapText="true"/>
    </xf>
    <xf applyAlignment="true" applyBorder="false" applyFill="false" applyFont="true" applyNumberFormat="false" applyProtection="false" borderId="183" fillId="0" fontId="28" numFmtId="0" xfId="0">
      <alignment horizontal="center" vertical="center"/>
    </xf>
    <xf applyAlignment="true" applyBorder="false" applyFill="false" applyFont="true" applyNumberFormat="false" applyProtection="false" borderId="180" fillId="0" fontId="28" numFmtId="0" xfId="0">
      <alignment vertical="center" wrapText="true"/>
    </xf>
    <xf applyAlignment="true" applyBorder="false" applyFill="false" applyFont="true" applyNumberFormat="false" applyProtection="false" borderId="184" fillId="0" fontId="28" numFmtId="0" xfId="0">
      <alignment horizontal="left" vertical="center" wrapText="true"/>
    </xf>
    <xf applyAlignment="true" applyBorder="false" applyFill="false" applyFont="true" applyNumberFormat="false" applyProtection="false" borderId="174" fillId="0" fontId="3" numFmtId="0" xfId="0">
      <alignment vertical="center" wrapText="true"/>
    </xf>
    <xf applyAlignment="true" applyBorder="false" applyFill="false" applyFont="true" applyNumberFormat="false" applyProtection="false" borderId="174" fillId="0" fontId="3" numFmtId="0" xfId="0">
      <alignment vertical="center"/>
    </xf>
    <xf applyAlignment="true" applyBorder="false" applyFill="false" applyFont="true" applyNumberFormat="false" applyProtection="false" borderId="180" fillId="0" fontId="28" numFmtId="0" xfId="0">
      <alignment horizontal="center" vertical="center"/>
    </xf>
    <xf applyAlignment="true" applyBorder="false" applyFill="false" applyFont="true" applyNumberFormat="false" applyProtection="false" borderId="180" fillId="0" fontId="3" numFmtId="0" xfId="0">
      <alignment vertical="center" wrapText="true"/>
    </xf>
    <xf applyAlignment="true" applyBorder="false" applyFill="false" applyFont="true" applyNumberFormat="false" applyProtection="false" borderId="180" fillId="0" fontId="3" numFmtId="0" xfId="0">
      <alignment vertical="center"/>
    </xf>
    <xf applyAlignment="true" applyBorder="false" applyFill="true" applyFont="true" applyNumberFormat="false" applyProtection="false" borderId="180" fillId="45" fontId="5" numFmtId="0" xfId="0">
      <alignment vertical="center" wrapText="true"/>
    </xf>
    <xf applyAlignment="true" applyBorder="false" applyFill="true" applyFont="true" applyNumberFormat="false" applyProtection="false" borderId="180" fillId="45" fontId="28" numFmtId="0" xfId="0">
      <alignment horizontal="center" vertical="center"/>
    </xf>
    <xf applyAlignment="true" applyBorder="false" applyFill="true" applyFont="true" applyNumberFormat="false" applyProtection="false" borderId="180" fillId="45" fontId="28" numFmtId="0" xfId="0">
      <alignment vertical="center" wrapText="true"/>
    </xf>
    <xf applyAlignment="true" applyBorder="false" applyFill="true" applyFont="true" applyNumberFormat="false" applyProtection="false" borderId="180" fillId="45" fontId="28" numFmtId="0" xfId="0">
      <alignment horizontal="left" vertical="center" wrapText="true"/>
    </xf>
    <xf applyAlignment="true" applyBorder="false" applyFill="true" applyFont="true" applyNumberFormat="false" applyProtection="false" borderId="180" fillId="45" fontId="3" numFmtId="0" xfId="0">
      <alignment vertical="center" wrapText="true"/>
    </xf>
    <xf applyAlignment="true" applyBorder="false" applyFill="true" applyFont="true" applyNumberFormat="false" applyProtection="false" borderId="180" fillId="45" fontId="3" numFmtId="0" xfId="0">
      <alignment vertical="center"/>
    </xf>
    <xf applyAlignment="true" applyBorder="false" applyFill="true" applyFont="true" applyNumberFormat="false" applyProtection="false" borderId="183" fillId="45" fontId="28" numFmtId="0" xfId="0">
      <alignment horizontal="center" vertical="center"/>
    </xf>
    <xf applyAlignment="true" applyBorder="false" applyFill="true" applyFont="true" applyNumberFormat="false" applyProtection="false" borderId="180" fillId="45" fontId="5" numFmtId="0" xfId="0">
      <alignment vertical="center"/>
    </xf>
    <xf applyAlignment="true" applyBorder="false" applyFill="true" applyFont="true" applyNumberFormat="false" applyProtection="false" borderId="185" fillId="45" fontId="3" numFmtId="0" xfId="0">
      <alignment vertical="center" wrapText="true"/>
    </xf>
    <xf applyAlignment="true" applyBorder="false" applyFill="true" applyFont="true" applyNumberFormat="false" applyProtection="false" borderId="185" fillId="45" fontId="3" numFmtId="0" xfId="0">
      <alignment vertical="center"/>
    </xf>
    <xf applyAlignment="true" applyBorder="false" applyFill="false" applyFont="true" applyNumberFormat="false" applyProtection="false" borderId="184" fillId="0" fontId="28" numFmtId="0" xfId="0">
      <alignment horizontal="center" vertical="center"/>
    </xf>
    <xf applyAlignment="true" applyBorder="false" applyFill="false" applyFont="true" applyNumberFormat="false" applyProtection="false" borderId="180" fillId="0" fontId="28" numFmtId="0" xfId="0">
      <alignment vertical="center" wrapText="true"/>
    </xf>
    <xf applyAlignment="true" applyBorder="false" applyFill="false" applyFont="true" applyNumberFormat="false" applyProtection="false" borderId="180" fillId="0" fontId="16" numFmtId="0" xfId="0">
      <alignment horizontal="left" vertical="center" wrapText="true"/>
    </xf>
    <xf applyAlignment="true" applyBorder="false" applyFill="true" applyFont="true" applyNumberFormat="false" applyProtection="false" borderId="180" fillId="45" fontId="28" numFmtId="0" xfId="0">
      <alignment horizontal="center" vertical="center"/>
    </xf>
    <xf applyAlignment="true" applyBorder="false" applyFill="true" applyFont="true" applyNumberFormat="false" applyProtection="false" borderId="180" fillId="45" fontId="28" numFmtId="0" xfId="0">
      <alignment vertical="center" wrapText="true"/>
    </xf>
    <xf applyAlignment="true" applyBorder="false" applyFill="true" applyFont="true" applyNumberFormat="false" applyProtection="false" borderId="180" fillId="45" fontId="16" numFmtId="0" xfId="0">
      <alignment horizontal="left" vertical="center" wrapText="true"/>
    </xf>
    <xf applyAlignment="true" applyBorder="false" applyFill="true" applyFont="true" applyNumberFormat="false" applyProtection="false" borderId="186" fillId="45" fontId="16" numFmtId="0" xfId="0">
      <alignment horizontal="left" vertical="center" wrapText="true"/>
    </xf>
    <xf applyAlignment="true" applyBorder="false" applyFill="true" applyFont="true" applyNumberFormat="false" applyProtection="false" borderId="187" fillId="45" fontId="3" numFmtId="0" xfId="0">
      <alignment vertical="center" wrapText="true"/>
    </xf>
    <xf applyAlignment="true" applyBorder="false" applyFill="true" applyFont="true" applyNumberFormat="false" applyProtection="false" borderId="174" fillId="49" fontId="3" numFmtId="0" xfId="0">
      <alignment horizontal="center" vertical="center"/>
    </xf>
    <xf applyAlignment="true" applyBorder="false" applyFill="false" applyFont="true" applyNumberFormat="false" applyProtection="false" borderId="180" fillId="0" fontId="3" numFmtId="0" xfId="0">
      <alignment vertical="center" wrapText="true"/>
    </xf>
    <xf applyAlignment="true" applyBorder="false" applyFill="true" applyFont="true" applyNumberFormat="false" applyProtection="false" borderId="174" fillId="45" fontId="27" numFmtId="0" xfId="0">
      <alignment vertical="center"/>
    </xf>
    <xf applyAlignment="true" applyBorder="false" applyFill="true" applyFont="true" applyNumberFormat="false" applyProtection="false" borderId="180" fillId="45" fontId="3" numFmtId="0" xfId="0">
      <alignment vertical="center" wrapText="true"/>
    </xf>
    <xf applyAlignment="true" applyBorder="false" applyFill="true" applyFont="true" applyNumberFormat="false" applyProtection="false" borderId="182" fillId="45" fontId="27" numFmtId="0" xfId="0">
      <alignment vertical="center"/>
    </xf>
    <xf applyAlignment="true" applyBorder="false" applyFill="true" applyFont="true" applyNumberFormat="false" applyProtection="false" borderId="180" fillId="45" fontId="5" numFmtId="0" xfId="0">
      <alignment vertical="center"/>
    </xf>
    <xf applyAlignment="true" applyBorder="false" applyFill="true" applyFont="true" applyNumberFormat="false" applyProtection="false" borderId="183" fillId="45" fontId="3" numFmtId="0" xfId="0">
      <alignment vertical="center" wrapText="true"/>
    </xf>
    <xf applyAlignment="true" applyBorder="false" applyFill="true" applyFont="true" applyNumberFormat="false" applyProtection="false" borderId="183" fillId="45" fontId="3" numFmtId="0" xfId="0">
      <alignment vertical="center"/>
    </xf>
    <xf applyAlignment="true" applyBorder="false" applyFill="true" applyFont="true" applyNumberFormat="false" applyProtection="false" borderId="180" fillId="45" fontId="27" numFmtId="0" xfId="0">
      <alignment vertical="center"/>
    </xf>
    <xf applyAlignment="true" applyBorder="false" applyFill="true" applyFont="true" applyNumberFormat="false" applyProtection="false" borderId="188" fillId="45" fontId="3" numFmtId="0" xfId="0">
      <alignment vertical="center" wrapText="true"/>
    </xf>
    <xf applyAlignment="true" applyBorder="false" applyFill="true" applyFont="true" applyNumberFormat="false" applyProtection="false" borderId="188" fillId="45" fontId="3" numFmtId="0" xfId="0">
      <alignment vertical="center"/>
    </xf>
    <xf applyAlignment="true" applyBorder="false" applyFill="true" applyFont="true" applyNumberFormat="false" applyProtection="false" borderId="188" fillId="45" fontId="5" numFmtId="0" xfId="0">
      <alignment vertical="center" wrapText="true"/>
    </xf>
    <xf applyAlignment="true" applyBorder="false" applyFill="true" applyFont="true" applyNumberFormat="false" applyProtection="false" borderId="189" fillId="45" fontId="28" numFmtId="0" xfId="0">
      <alignment horizontal="center" vertical="center"/>
    </xf>
    <xf applyAlignment="true" applyBorder="false" applyFill="true" applyFont="true" applyNumberFormat="false" applyProtection="false" borderId="188" fillId="45" fontId="5" numFmtId="0" xfId="0">
      <alignment vertical="center"/>
    </xf>
    <xf applyAlignment="true" applyBorder="false" applyFill="false" applyFont="true" applyNumberFormat="false" applyProtection="false" borderId="180" fillId="0" fontId="28" numFmtId="0" xfId="0">
      <alignment horizontal="left" vertical="center" wrapText="true"/>
    </xf>
    <xf applyAlignment="true" applyBorder="false" applyFill="false" applyFont="true" applyNumberFormat="false" applyProtection="false" borderId="174" fillId="0" fontId="28" numFmtId="0" xfId="0">
      <alignment horizontal="center" vertical="center"/>
    </xf>
    <xf applyAlignment="true" applyBorder="false" applyFill="false" applyFont="true" applyNumberFormat="false" applyProtection="false" borderId="174" fillId="0" fontId="3" numFmtId="0" xfId="0">
      <alignment vertical="center" wrapText="true"/>
    </xf>
    <xf applyAlignment="true" applyBorder="false" applyFill="false" applyFont="true" applyNumberFormat="false" applyProtection="false" borderId="180" fillId="0" fontId="28" numFmtId="0" xfId="0">
      <alignment horizontal="left" vertical="center" wrapText="true"/>
    </xf>
    <xf applyAlignment="true" applyBorder="false" applyFill="true" applyFont="true" applyNumberFormat="false" applyProtection="false" borderId="180" fillId="45" fontId="28" numFmtId="0" xfId="0">
      <alignment horizontal="left" vertical="center" wrapText="true"/>
    </xf>
    <xf applyAlignment="true" applyBorder="false" applyFill="false" applyFont="true" applyNumberFormat="false" applyProtection="false" borderId="174" fillId="0" fontId="28" numFmtId="0" xfId="0">
      <alignment horizontal="center" vertical="center"/>
    </xf>
    <xf applyAlignment="true" applyBorder="false" applyFill="false" applyFont="true" applyNumberFormat="false" applyProtection="false" borderId="182" fillId="0" fontId="28" numFmtId="0" xfId="0">
      <alignment horizontal="left" vertical="center" wrapText="true"/>
    </xf>
    <xf applyAlignment="true" applyBorder="false" applyFill="false" applyFont="true" applyNumberFormat="false" applyProtection="false" borderId="184" fillId="0" fontId="3" numFmtId="0" xfId="0">
      <alignment vertical="center"/>
    </xf>
    <xf applyAlignment="true" applyBorder="false" applyFill="false" applyFont="true" applyNumberFormat="false" applyProtection="false" borderId="180" fillId="0" fontId="28" numFmtId="0" xfId="0">
      <alignment horizontal="center" vertical="center"/>
    </xf>
    <xf applyAlignment="true" applyBorder="false" applyFill="false" applyFont="true" applyNumberFormat="false" applyProtection="false" borderId="180" fillId="0" fontId="3" numFmtId="0" xfId="0">
      <alignment vertical="center"/>
    </xf>
    <xf applyAlignment="true" applyBorder="false" applyFill="true" applyFont="true" applyNumberFormat="false" applyProtection="false" borderId="180" fillId="45" fontId="3" numFmtId="0" xfId="0">
      <alignment vertical="center"/>
    </xf>
    <xf applyAlignment="true" applyBorder="false" applyFill="false" applyFont="true" applyNumberFormat="false" applyProtection="false" borderId="174" fillId="0" fontId="28" numFmtId="0" xfId="0">
      <alignment horizontal="left" vertical="center" wrapText="true"/>
    </xf>
    <xf applyAlignment="true" applyBorder="false" applyFill="false" applyFont="true" applyNumberFormat="false" applyProtection="false" borderId="174" fillId="0" fontId="28" numFmtId="0" xfId="0">
      <alignment vertical="center" wrapText="true"/>
    </xf>
    <xf applyAlignment="true" applyBorder="false" applyFill="false" applyFont="true" applyNumberFormat="false" applyProtection="false" borderId="182" fillId="0" fontId="28" numFmtId="0" xfId="0">
      <alignment horizontal="left" vertical="center" wrapText="true"/>
    </xf>
    <xf applyAlignment="true" applyBorder="false" applyFill="false" applyFont="true" applyNumberFormat="false" applyProtection="false" borderId="190" fillId="0" fontId="28"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174" fillId="0" fontId="28" numFmtId="0" xfId="0">
      <alignment vertical="center" wrapText="true"/>
    </xf>
    <xf applyAlignment="true" applyBorder="false" applyFill="true" applyFont="true" applyNumberFormat="false" applyProtection="false" borderId="188" fillId="45" fontId="28" numFmtId="0" xfId="0">
      <alignment vertical="center" wrapText="true"/>
    </xf>
    <xf applyAlignment="true" applyBorder="false" applyFill="true" applyFont="true" applyNumberFormat="false" applyProtection="false" borderId="190" fillId="45" fontId="28" numFmtId="0" xfId="0">
      <alignment vertical="center" wrapText="true"/>
    </xf>
    <xf applyAlignment="true" applyBorder="false" applyFill="true" applyFont="true" applyNumberFormat="false" applyProtection="false" borderId="190" fillId="45" fontId="3" numFmtId="0" xfId="0">
      <alignment vertical="center"/>
    </xf>
    <xf applyAlignment="true" applyBorder="false" applyFill="true" applyFont="true" applyNumberFormat="false" applyProtection="false" borderId="190" fillId="45" fontId="3" numFmtId="0" xfId="0">
      <alignment vertical="center" wrapText="true"/>
    </xf>
    <xf applyAlignment="true" applyBorder="false" applyFill="true" applyFont="true" applyNumberFormat="false" applyProtection="false" borderId="174" fillId="45" fontId="28" numFmtId="0" xfId="0">
      <alignment horizontal="left" vertical="center" wrapText="true"/>
    </xf>
    <xf applyAlignment="true" applyBorder="false" applyFill="true" applyFont="true" applyNumberFormat="false" applyProtection="false" borderId="174" fillId="45" fontId="28" numFmtId="0" xfId="0">
      <alignment vertical="center" wrapText="true"/>
    </xf>
    <xf applyAlignment="true" applyBorder="false" applyFill="true" applyFont="true" applyNumberFormat="false" applyProtection="false" borderId="174" fillId="45" fontId="3" numFmtId="0" xfId="0">
      <alignment vertical="center"/>
    </xf>
    <xf applyAlignment="true" applyBorder="false" applyFill="true" applyFont="true" applyNumberFormat="false" applyProtection="false" borderId="174" fillId="45" fontId="3" numFmtId="0" xfId="0">
      <alignment vertical="center" wrapText="true"/>
    </xf>
    <xf applyAlignment="true" applyBorder="false" applyFill="true" applyFont="true" applyNumberFormat="false" applyProtection="false" borderId="0" fillId="45" fontId="3" numFmtId="0" xfId="0">
      <alignment vertical="center"/>
    </xf>
    <xf applyAlignment="true" applyBorder="false" applyFill="false" applyFont="true" applyNumberFormat="false" applyProtection="false" borderId="190" fillId="0" fontId="28" numFmtId="0" xfId="0">
      <alignment horizontal="left" vertical="center" wrapText="true"/>
    </xf>
    <xf applyAlignment="true" applyBorder="false" applyFill="false" applyFont="true" applyNumberFormat="false" applyProtection="false" borderId="189" fillId="0" fontId="28" numFmtId="0" xfId="0">
      <alignment horizontal="center" vertical="center"/>
    </xf>
    <xf applyAlignment="true" applyBorder="false" applyFill="false" applyFont="true" applyNumberFormat="false" applyProtection="false" borderId="188" fillId="0" fontId="28" numFmtId="0" xfId="0">
      <alignment vertical="center" wrapText="true"/>
    </xf>
    <xf applyAlignment="true" applyBorder="false" applyFill="false" applyFont="true" applyNumberFormat="false" applyProtection="false" borderId="188" fillId="0" fontId="5" numFmtId="0" xfId="0">
      <alignment vertical="center"/>
    </xf>
    <xf applyAlignment="true" applyBorder="false" applyFill="false" applyFont="true" applyNumberFormat="false" applyProtection="false" borderId="190" fillId="0" fontId="3" numFmtId="0" xfId="0">
      <alignment vertical="center"/>
    </xf>
    <xf applyAlignment="true" applyBorder="false" applyFill="false" applyFont="true" applyNumberFormat="false" applyProtection="false" borderId="190" fillId="0" fontId="3" numFmtId="0" xfId="0">
      <alignment vertical="center" wrapText="true"/>
    </xf>
    <xf applyAlignment="true" applyBorder="false" applyFill="true" applyFont="true" applyNumberFormat="false" applyProtection="false" borderId="174" fillId="45" fontId="3" numFmtId="0" xfId="0">
      <alignment vertical="center" wrapText="true"/>
    </xf>
    <xf applyAlignment="true" applyBorder="false" applyFill="false" applyFont="true" applyNumberFormat="false" applyProtection="false" borderId="191" fillId="0" fontId="3" numFmtId="0" xfId="0">
      <alignment vertical="center" wrapText="true"/>
    </xf>
    <xf applyAlignment="true" applyBorder="false" applyFill="true" applyFont="true" applyNumberFormat="false" applyProtection="false" borderId="191" fillId="45" fontId="3" numFmtId="0" xfId="0">
      <alignment vertical="center" wrapText="true"/>
    </xf>
    <xf applyAlignment="true" applyBorder="false" applyFill="true" applyFont="true" applyNumberFormat="false" applyProtection="false" borderId="184" fillId="45" fontId="3" numFmtId="0" xfId="0">
      <alignment vertical="center"/>
    </xf>
    <xf applyAlignment="true" applyBorder="false" applyFill="false" applyFont="true" applyNumberFormat="false" applyProtection="false" borderId="192" fillId="0" fontId="3" numFmtId="0" xfId="0">
      <alignment vertical="center" wrapText="true"/>
    </xf>
    <xf applyAlignment="true" applyBorder="false" applyFill="true" applyFont="true" applyNumberFormat="false" applyProtection="false" borderId="192" fillId="45" fontId="3"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xf>
    <xf applyAlignment="true" applyBorder="false" applyFill="true" applyFont="true" applyNumberFormat="false" applyProtection="false" borderId="0" fillId="45" fontId="5" numFmtId="0" xfId="0">
      <alignment vertical="center" wrapText="true"/>
    </xf>
    <xf applyAlignment="true" applyBorder="false" applyFill="true" applyFont="true" applyNumberFormat="false" applyProtection="false" borderId="0" fillId="45" fontId="5" numFmtId="0" xfId="0">
      <alignment horizontal="center" vertical="center"/>
    </xf>
    <xf applyAlignment="true" applyBorder="false" applyFill="false" applyFont="true" applyNumberFormat="false" applyProtection="false" borderId="193" fillId="0" fontId="21" numFmtId="0" xfId="0">
      <alignment horizontal="left" vertical="top" wrapText="true"/>
    </xf>
    <xf applyAlignment="true" applyBorder="false" applyFill="false" applyFont="true" applyNumberFormat="false" applyProtection="false" borderId="194" fillId="0" fontId="22" numFmtId="0" xfId="0">
      <alignment horizontal="left" vertical="center"/>
    </xf>
    <xf applyAlignment="true" applyBorder="false" applyFill="false" applyFont="true" applyNumberFormat="false" applyProtection="false" borderId="194"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193" fillId="0" fontId="21" numFmtId="0" xfId="0">
      <alignment horizontal="left" vertical="top" wrapText="true"/>
    </xf>
    <xf applyAlignment="true" applyBorder="false" applyFill="true" applyFont="true" applyNumberFormat="false" applyProtection="false" borderId="195" fillId="50" fontId="24" numFmtId="0" xfId="0">
      <alignment horizontal="left" vertical="center"/>
    </xf>
    <xf applyAlignment="true" applyBorder="false" applyFill="false" applyFont="true" applyNumberFormat="false" applyProtection="false" borderId="196" fillId="0" fontId="24" numFmtId="0" xfId="0">
      <alignment horizontal="left" vertical="center"/>
    </xf>
    <xf applyAlignment="true" applyBorder="false" applyFill="false" applyFont="true" applyNumberFormat="false" applyProtection="false" borderId="196" fillId="0" fontId="24" numFmtId="0" xfId="0">
      <alignment horizontal="lef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197" fillId="50" fontId="24" numFmtId="0" xfId="0">
      <alignment horizontal="left" vertical="center"/>
    </xf>
    <xf applyAlignment="true" applyBorder="false" applyFill="false" applyFont="true" applyNumberFormat="false" applyProtection="false" borderId="198" fillId="0" fontId="24" numFmtId="0" xfId="0">
      <alignment horizontal="left" vertical="center"/>
    </xf>
    <xf applyAlignment="true" applyBorder="false" applyFill="true" applyFont="true" applyNumberFormat="false" applyProtection="false" borderId="198" fillId="50"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198" fillId="0" fontId="24" numFmtId="0" xfId="0">
      <alignment horizontal="left" vertical="center"/>
    </xf>
    <xf applyAlignment="true" applyBorder="false" applyFill="true" applyFont="true" applyNumberFormat="false" applyProtection="false" borderId="197" fillId="50" fontId="24" numFmtId="0" xfId="0">
      <alignment vertical="center"/>
    </xf>
    <xf applyAlignment="true" applyBorder="false" applyFill="false" applyFont="true" applyNumberFormat="false" applyProtection="false" borderId="199" fillId="0" fontId="24" numFmtId="0" xfId="0">
      <alignment vertical="center"/>
    </xf>
    <xf applyAlignment="true" applyBorder="false" applyFill="false" applyFont="true" applyNumberFormat="false" applyProtection="false" borderId="199" fillId="0" fontId="24" numFmtId="0" xfId="0">
      <alignment horizontal="left" vertical="center"/>
    </xf>
    <xf applyAlignment="true" applyBorder="false" applyFill="false" applyFont="true" applyNumberFormat="true" applyProtection="false" borderId="198" fillId="0" fontId="24" numFmtId="172" xfId="0">
      <alignment horizontal="left" vertical="center"/>
    </xf>
    <xf applyAlignment="true" applyBorder="false" applyFill="true" applyFont="true" applyNumberFormat="false" applyProtection="false" borderId="200" fillId="50" fontId="24" numFmtId="0" xfId="0">
      <alignment vertical="center"/>
    </xf>
    <xf applyAlignment="true" applyBorder="false" applyFill="false" applyFont="true" applyNumberFormat="false" applyProtection="false" borderId="201" fillId="0" fontId="24" numFmtId="0" xfId="0">
      <alignment horizontal="left" vertical="center" wrapText="true"/>
    </xf>
    <xf applyAlignment="true" applyBorder="false" applyFill="false" applyFont="true" applyNumberFormat="false" applyProtection="false" borderId="201"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196" fillId="51" fontId="24" numFmtId="0" xfId="0">
      <alignment horizontal="center" vertical="center"/>
    </xf>
    <xf applyAlignment="true" applyBorder="false" applyFill="true" applyFont="true" applyNumberFormat="false" applyProtection="false" borderId="196" fillId="51" fontId="24"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196" fillId="52" fontId="26" numFmtId="0" xfId="0">
      <alignment horizontal="center" vertical="center"/>
    </xf>
    <xf applyAlignment="true" applyBorder="false" applyFill="true" applyFont="true" applyNumberFormat="false" applyProtection="false" borderId="202" fillId="52" fontId="26" numFmtId="0" xfId="0">
      <alignment horizontal="center" vertical="center" wrapText="true"/>
    </xf>
    <xf applyAlignment="true" applyBorder="false" applyFill="true" applyFont="true" applyNumberFormat="false" applyProtection="false" borderId="202" fillId="52" fontId="26" numFmtId="0" xfId="0">
      <alignment horizontal="center" vertical="center"/>
    </xf>
    <xf applyAlignment="true" applyBorder="false" applyFill="true" applyFont="true" applyNumberFormat="false" applyProtection="false" borderId="196" fillId="52" fontId="26" numFmtId="0" xfId="0">
      <alignment horizontal="center" vertical="center" wrapText="true"/>
    </xf>
    <xf applyAlignment="true" applyBorder="false" applyFill="false" applyFont="true" applyNumberFormat="false" applyProtection="false" borderId="196" fillId="0" fontId="27" numFmtId="0" xfId="0">
      <alignment vertical="center"/>
    </xf>
    <xf applyAlignment="true" applyBorder="false" applyFill="false" applyFont="true" applyNumberFormat="false" applyProtection="false" borderId="203" fillId="0" fontId="5" numFmtId="0" xfId="0">
      <alignment vertical="center"/>
    </xf>
    <xf applyAlignment="true" applyBorder="false" applyFill="false" applyFont="true" applyNumberFormat="false" applyProtection="false" borderId="196" fillId="0" fontId="28" numFmtId="0" xfId="0">
      <alignment horizontal="left" vertical="center" wrapText="true"/>
    </xf>
    <xf applyAlignment="true" applyBorder="false" applyFill="false" applyFont="true" applyNumberFormat="false" applyProtection="false" borderId="196" fillId="0" fontId="27" numFmtId="0" xfId="0">
      <alignment vertical="center"/>
    </xf>
    <xf applyAlignment="true" applyBorder="false" applyFill="false" applyFont="true" applyNumberFormat="false" applyProtection="false" borderId="196" fillId="0" fontId="28" numFmtId="0" xfId="0">
      <alignment horizontal="left" vertical="center"/>
    </xf>
    <xf applyAlignment="true" applyBorder="false" applyFill="true" applyFont="true" applyNumberFormat="false" applyProtection="false" borderId="204" fillId="53" fontId="3" numFmtId="0" xfId="0">
      <alignment horizontal="center" vertical="center"/>
    </xf>
    <xf applyAlignment="true" applyBorder="false" applyFill="false" applyFont="true" applyNumberFormat="false" applyProtection="false" borderId="203" fillId="0" fontId="5" numFmtId="0" xfId="0">
      <alignment vertical="center" wrapText="true"/>
    </xf>
    <xf applyAlignment="true" applyBorder="false" applyFill="false" applyFont="true" applyNumberFormat="false" applyProtection="false" borderId="205" fillId="0" fontId="28" numFmtId="0" xfId="0">
      <alignment horizontal="center" vertical="center"/>
    </xf>
    <xf applyAlignment="true" applyBorder="false" applyFill="false" applyFont="true" applyNumberFormat="false" applyProtection="false" borderId="203" fillId="0" fontId="28" numFmtId="0" xfId="0">
      <alignment vertical="center" wrapText="true"/>
    </xf>
    <xf applyAlignment="true" applyBorder="false" applyFill="false" applyFont="true" applyNumberFormat="false" applyProtection="false" borderId="206" fillId="0" fontId="28" numFmtId="0" xfId="0">
      <alignment horizontal="left" vertical="center" wrapText="true"/>
    </xf>
    <xf applyAlignment="true" applyBorder="false" applyFill="false" applyFont="true" applyNumberFormat="false" applyProtection="false" borderId="196" fillId="0" fontId="3" numFmtId="0" xfId="0">
      <alignment vertical="center" wrapText="true"/>
    </xf>
    <xf applyAlignment="true" applyBorder="false" applyFill="false" applyFont="true" applyNumberFormat="false" applyProtection="false" borderId="196" fillId="0" fontId="3" numFmtId="0" xfId="0">
      <alignment vertical="center"/>
    </xf>
    <xf applyAlignment="true" applyBorder="false" applyFill="false" applyFont="true" applyNumberFormat="false" applyProtection="false" borderId="196" fillId="0" fontId="3" numFmtId="0" xfId="0">
      <alignment vertical="center" wrapText="true"/>
    </xf>
    <xf applyAlignment="true" applyBorder="false" applyFill="true" applyFont="true" applyNumberFormat="false" applyProtection="false" borderId="196" fillId="53" fontId="3" numFmtId="0" xfId="0">
      <alignment horizontal="center" vertical="center"/>
    </xf>
    <xf applyAlignment="true" applyBorder="false" applyFill="false" applyFont="true" applyNumberFormat="false" applyProtection="false" borderId="196" fillId="0" fontId="28" numFmtId="0" xfId="0">
      <alignment horizontal="lef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207" fillId="0" fontId="21" numFmtId="0" xfId="0">
      <alignment horizontal="left" vertical="top" wrapText="true"/>
    </xf>
    <xf applyAlignment="true" applyBorder="false" applyFill="false" applyFont="true" applyNumberFormat="false" applyProtection="false" borderId="208" fillId="0" fontId="22" numFmtId="0" xfId="0">
      <alignment horizontal="left" vertical="center"/>
    </xf>
    <xf applyAlignment="true" applyBorder="false" applyFill="false" applyFont="true" applyNumberFormat="false" applyProtection="false" borderId="208"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209" fillId="54" fontId="24" numFmtId="0" xfId="0">
      <alignment horizontal="left" vertical="center"/>
    </xf>
    <xf applyAlignment="true" applyBorder="false" applyFill="false" applyFont="true" applyNumberFormat="false" applyProtection="false" borderId="210" fillId="0" fontId="24" numFmtId="0" xfId="0">
      <alignment horizontal="left" vertical="center"/>
    </xf>
    <xf applyAlignment="true" applyBorder="false" applyFill="false" applyFont="true" applyNumberFormat="false" applyProtection="false" borderId="210" fillId="0" fontId="24" numFmtId="0" xfId="0">
      <alignment horizontal="lef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211" fillId="54" fontId="24" numFmtId="0" xfId="0">
      <alignment horizontal="left" vertical="center"/>
    </xf>
    <xf applyAlignment="true" applyBorder="false" applyFill="false" applyFont="true" applyNumberFormat="false" applyProtection="false" borderId="212" fillId="0" fontId="24" numFmtId="0" xfId="0">
      <alignment horizontal="left" vertical="center"/>
    </xf>
    <xf applyAlignment="true" applyBorder="false" applyFill="true" applyFont="true" applyNumberFormat="false" applyProtection="false" borderId="212" fillId="54"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212" fillId="0" fontId="24" numFmtId="0" xfId="0">
      <alignment horizontal="left" vertical="center"/>
    </xf>
    <xf applyAlignment="true" applyBorder="false" applyFill="true" applyFont="true" applyNumberFormat="false" applyProtection="false" borderId="211" fillId="54" fontId="24" numFmtId="0" xfId="0">
      <alignment vertical="center"/>
    </xf>
    <xf applyAlignment="true" applyBorder="false" applyFill="false" applyFont="true" applyNumberFormat="false" applyProtection="false" borderId="213" fillId="0" fontId="24" numFmtId="0" xfId="0">
      <alignment vertical="center"/>
    </xf>
    <xf applyAlignment="true" applyBorder="false" applyFill="false" applyFont="true" applyNumberFormat="false" applyProtection="false" borderId="213" fillId="0" fontId="24" numFmtId="0" xfId="0">
      <alignment horizontal="left" vertical="center"/>
    </xf>
    <xf applyAlignment="true" applyBorder="false" applyFill="false" applyFont="true" applyNumberFormat="true" applyProtection="false" borderId="212" fillId="0" fontId="24" numFmtId="173" xfId="0">
      <alignment horizontal="left" vertical="center"/>
    </xf>
    <xf applyAlignment="true" applyBorder="false" applyFill="true" applyFont="true" applyNumberFormat="false" applyProtection="false" borderId="214" fillId="54" fontId="24" numFmtId="0" xfId="0">
      <alignment vertical="center"/>
    </xf>
    <xf applyAlignment="true" applyBorder="false" applyFill="false" applyFont="true" applyNumberFormat="false" applyProtection="false" borderId="215" fillId="0" fontId="24" numFmtId="0" xfId="0">
      <alignment horizontal="left" vertical="center" wrapText="true"/>
    </xf>
    <xf applyAlignment="true" applyBorder="false" applyFill="false" applyFont="true" applyNumberFormat="false" applyProtection="false" borderId="215"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210" fillId="55" fontId="24" numFmtId="0" xfId="0">
      <alignment horizontal="center" vertical="center"/>
    </xf>
    <xf applyAlignment="true" applyBorder="false" applyFill="true" applyFont="true" applyNumberFormat="false" applyProtection="false" borderId="210" fillId="55" fontId="24" numFmtId="0" xfId="0">
      <alignment horizontal="center" vertical="center" wrapText="true"/>
    </xf>
    <xf applyAlignment="true" applyBorder="false" applyFill="true" applyFont="true" applyNumberFormat="false" applyProtection="false" borderId="210" fillId="55" fontId="24"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210" fillId="56" fontId="26" numFmtId="0" xfId="0">
      <alignment horizontal="center" vertical="center"/>
    </xf>
    <xf applyAlignment="true" applyBorder="false" applyFill="true" applyFont="true" applyNumberFormat="false" applyProtection="false" borderId="216" fillId="56" fontId="26" numFmtId="0" xfId="0">
      <alignment horizontal="center" vertical="center" wrapText="true"/>
    </xf>
    <xf applyAlignment="true" applyBorder="false" applyFill="true" applyFont="true" applyNumberFormat="false" applyProtection="false" borderId="216" fillId="56" fontId="26" numFmtId="0" xfId="0">
      <alignment horizontal="center" vertical="center"/>
    </xf>
    <xf applyAlignment="true" applyBorder="false" applyFill="true" applyFont="true" applyNumberFormat="false" applyProtection="false" borderId="210" fillId="56" fontId="26" numFmtId="0" xfId="0">
      <alignment horizontal="center" vertical="center" wrapText="true"/>
    </xf>
    <xf applyAlignment="true" applyBorder="false" applyFill="false" applyFont="true" applyNumberFormat="false" applyProtection="false" borderId="210" fillId="0" fontId="27" numFmtId="0" xfId="0">
      <alignment vertical="center"/>
    </xf>
    <xf applyAlignment="true" applyBorder="false" applyFill="false" applyFont="true" applyNumberFormat="false" applyProtection="false" borderId="217" fillId="0" fontId="5" numFmtId="0" xfId="0">
      <alignment vertical="center"/>
    </xf>
    <xf applyAlignment="true" applyBorder="false" applyFill="false" applyFont="true" applyNumberFormat="false" applyProtection="false" borderId="210" fillId="0" fontId="28" numFmtId="0" xfId="0">
      <alignment horizontal="left" vertical="center" wrapText="true"/>
    </xf>
    <xf applyAlignment="true" applyBorder="false" applyFill="false" applyFont="true" applyNumberFormat="false" applyProtection="false" borderId="210" fillId="0" fontId="27" numFmtId="0" xfId="0">
      <alignment vertical="center"/>
    </xf>
    <xf applyAlignment="true" applyBorder="false" applyFill="false" applyFont="true" applyNumberFormat="false" applyProtection="false" borderId="210" fillId="0" fontId="28" numFmtId="0" xfId="0">
      <alignment horizontal="left" vertical="center"/>
    </xf>
    <xf applyAlignment="true" applyBorder="false" applyFill="true" applyFont="true" applyNumberFormat="false" applyProtection="false" borderId="210" fillId="57" fontId="3" numFmtId="0" xfId="0">
      <alignment horizontal="center" vertical="center"/>
    </xf>
    <xf applyAlignment="true" applyBorder="false" applyFill="false" applyFont="true" applyNumberFormat="false" applyProtection="false" borderId="217" fillId="0" fontId="28" numFmtId="0" xfId="0">
      <alignment horizontal="left" vertical="center" wrapText="true"/>
    </xf>
    <xf applyAlignment="true" applyBorder="false" applyFill="false" applyFont="true" applyNumberFormat="false" applyProtection="false" borderId="216" fillId="0" fontId="28" numFmtId="0" xfId="0">
      <alignment horizontal="center" vertical="center"/>
    </xf>
    <xf applyAlignment="true" applyBorder="false" applyFill="false" applyFont="true" applyNumberFormat="false" applyProtection="false" borderId="218" fillId="0" fontId="28" numFmtId="0" xfId="0">
      <alignment vertical="center" wrapText="true"/>
    </xf>
    <xf applyAlignment="true" applyBorder="false" applyFill="false" applyFont="true" applyNumberFormat="false" applyProtection="false" borderId="210" fillId="0" fontId="3" numFmtId="0" xfId="0">
      <alignment vertical="center" wrapText="true"/>
    </xf>
    <xf applyAlignment="true" applyBorder="false" applyFill="false" applyFont="true" applyNumberFormat="false" applyProtection="false" borderId="210" fillId="0" fontId="3" numFmtId="0" xfId="0">
      <alignment vertical="center"/>
    </xf>
    <xf applyAlignment="true" applyBorder="false" applyFill="false" applyFont="true" applyNumberFormat="false" applyProtection="false" borderId="219" fillId="0" fontId="28" numFmtId="0" xfId="0">
      <alignment horizontal="left" vertical="center" wrapText="true"/>
    </xf>
    <xf applyAlignment="true" applyBorder="false" applyFill="false" applyFont="true" applyNumberFormat="false" applyProtection="false" borderId="220" fillId="0" fontId="3" numFmtId="0" xfId="0">
      <alignment vertical="center"/>
    </xf>
    <xf applyAlignment="true" applyBorder="false" applyFill="false" applyFont="true" applyNumberFormat="false" applyProtection="false" borderId="221" fillId="0" fontId="28" numFmtId="0" xfId="0">
      <alignment horizontal="left" vertical="center" wrapText="true"/>
    </xf>
    <xf applyAlignment="true" applyBorder="false" applyFill="false" applyFont="true" applyNumberFormat="false" applyProtection="false" borderId="217" fillId="0" fontId="3" numFmtId="0" xfId="0">
      <alignment vertical="center"/>
    </xf>
    <xf applyAlignment="true" applyBorder="false" applyFill="false" applyFont="true" applyNumberFormat="false" applyProtection="false" borderId="222" fillId="0" fontId="28" numFmtId="0" xfId="0">
      <alignment horizontal="left" vertical="center" wrapText="true"/>
    </xf>
    <xf applyAlignment="true" applyBorder="false" applyFill="true" applyFont="true" applyNumberFormat="false" applyProtection="false" borderId="223" fillId="57" fontId="3" numFmtId="0" xfId="0">
      <alignment horizontal="center" vertical="center"/>
    </xf>
    <xf applyAlignment="true" applyBorder="false" applyFill="false" applyFont="true" applyNumberFormat="false" applyProtection="false" borderId="224" fillId="0" fontId="28" numFmtId="0" xfId="0">
      <alignment horizontal="left" vertical="center" wrapText="true"/>
    </xf>
    <xf applyAlignment="true" applyBorder="false" applyFill="false" applyFont="true" applyNumberFormat="false" applyProtection="false" borderId="224" fillId="0" fontId="28" numFmtId="0" xfId="0">
      <alignment horizontal="center" vertical="center"/>
    </xf>
    <xf applyAlignment="true" applyBorder="false" applyFill="false" applyFont="true" applyNumberFormat="false" applyProtection="false" borderId="224" fillId="0" fontId="28" numFmtId="0" xfId="0">
      <alignment vertical="center" wrapText="true"/>
    </xf>
    <xf applyAlignment="true" applyBorder="false" applyFill="false" applyFont="true" applyNumberFormat="false" applyProtection="false" borderId="219" fillId="0" fontId="28" numFmtId="0" xfId="0">
      <alignment horizontal="lef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225" fillId="0" fontId="21" numFmtId="0" xfId="0">
      <alignment horizontal="left" vertical="top" wrapText="true"/>
    </xf>
    <xf applyAlignment="true" applyBorder="false" applyFill="false" applyFont="true" applyNumberFormat="false" applyProtection="false" borderId="226" fillId="0" fontId="22" numFmtId="0" xfId="0">
      <alignment horizontal="left" vertical="center" wrapText="true"/>
    </xf>
    <xf applyAlignment="true" applyBorder="false" applyFill="false" applyFont="true" applyNumberFormat="false" applyProtection="false" borderId="226"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true" applyFont="true" applyNumberFormat="false" applyProtection="false" borderId="227" fillId="58" fontId="24" numFmtId="0" xfId="0">
      <alignment horizontal="left" vertical="center" wrapText="true"/>
    </xf>
    <xf applyAlignment="true" applyBorder="false" applyFill="false" applyFont="true" applyNumberFormat="false" applyProtection="false" borderId="228" fillId="0" fontId="24" numFmtId="0" xfId="0">
      <alignment horizontal="left" vertical="center"/>
    </xf>
    <xf applyAlignment="true" applyBorder="false" applyFill="false" applyFont="true" applyNumberFormat="false" applyProtection="false" borderId="228" fillId="0" fontId="24" numFmtId="0" xfId="0">
      <alignment horizontal="left" vertical="center"/>
    </xf>
    <xf applyAlignment="true" applyBorder="false" applyFill="false" applyFont="true" applyNumberFormat="false" applyProtection="false" borderId="228" fillId="0" fontId="24" numFmtId="0" xfId="0">
      <alignment horizontal="left" vertical="center" wrapText="true"/>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229" fillId="58" fontId="24" numFmtId="0" xfId="0">
      <alignment horizontal="left" vertical="center" wrapText="true"/>
    </xf>
    <xf applyAlignment="true" applyBorder="false" applyFill="false" applyFont="true" applyNumberFormat="false" applyProtection="false" borderId="230" fillId="0" fontId="24" numFmtId="0" xfId="0">
      <alignment horizontal="left" vertical="center"/>
    </xf>
    <xf applyAlignment="true" applyBorder="false" applyFill="true" applyFont="true" applyNumberFormat="false" applyProtection="false" borderId="230" fillId="58"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230" fillId="0" fontId="24" numFmtId="0" xfId="0">
      <alignment horizontal="left" vertical="center"/>
    </xf>
    <xf applyAlignment="true" applyBorder="false" applyFill="true" applyFont="true" applyNumberFormat="false" applyProtection="false" borderId="229" fillId="58" fontId="24" numFmtId="0" xfId="0">
      <alignment vertical="center"/>
    </xf>
    <xf applyAlignment="true" applyBorder="false" applyFill="false" applyFont="true" applyNumberFormat="false" applyProtection="false" borderId="231" fillId="0" fontId="24" numFmtId="0" xfId="0">
      <alignment vertical="center"/>
    </xf>
    <xf applyAlignment="true" applyBorder="false" applyFill="true" applyFont="true" applyNumberFormat="false" applyProtection="false" borderId="229" fillId="58" fontId="24" numFmtId="0" xfId="0">
      <alignment vertical="center" wrapText="true"/>
    </xf>
    <xf applyAlignment="true" applyBorder="false" applyFill="false" applyFont="true" applyNumberFormat="false" applyProtection="false" borderId="231" fillId="0" fontId="24" numFmtId="0" xfId="0">
      <alignment horizontal="left" vertical="center"/>
    </xf>
    <xf applyAlignment="true" applyBorder="false" applyFill="true" applyFont="true" applyNumberFormat="false" applyProtection="false" borderId="230" fillId="58" fontId="24" numFmtId="0" xfId="0">
      <alignment horizontal="left" vertical="center" wrapText="true"/>
    </xf>
    <xf applyAlignment="true" applyBorder="false" applyFill="false" applyFont="true" applyNumberFormat="true" applyProtection="false" borderId="230" fillId="0" fontId="24" numFmtId="174" xfId="0">
      <alignment horizontal="left" vertical="center"/>
    </xf>
    <xf applyAlignment="true" applyBorder="false" applyFill="true" applyFont="true" applyNumberFormat="false" applyProtection="false" borderId="232" fillId="58" fontId="24" numFmtId="0" xfId="0">
      <alignment vertical="center" wrapText="true"/>
    </xf>
    <xf applyAlignment="true" applyBorder="false" applyFill="false" applyFont="true" applyNumberFormat="false" applyProtection="false" borderId="233" fillId="0" fontId="24" numFmtId="0" xfId="0">
      <alignment horizontal="left" vertical="center" wrapText="true"/>
    </xf>
    <xf applyAlignment="true" applyBorder="false" applyFill="false" applyFont="true" applyNumberFormat="false" applyProtection="false" borderId="233" fillId="0" fontId="24" numFmtId="0" xfId="0">
      <alignment horizontal="lef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228" fillId="59" fontId="24" numFmtId="0" xfId="0">
      <alignment horizontal="center" vertical="center" wrapText="true"/>
    </xf>
    <xf applyAlignment="true" applyBorder="false" applyFill="true" applyFont="true" applyNumberFormat="false" applyProtection="false" borderId="228" fillId="59" fontId="24" numFmtId="0" xfId="0">
      <alignment horizontal="center" vertical="center"/>
    </xf>
    <xf applyAlignment="true" applyBorder="false" applyFill="true" applyFont="true" applyNumberFormat="false" applyProtection="false" borderId="228" fillId="59" fontId="24" numFmtId="0" xfId="0">
      <alignment horizontal="center" vertical="center" wrapText="true"/>
    </xf>
    <xf applyAlignment="true" applyBorder="false" applyFill="true" applyFont="true" applyNumberFormat="false" applyProtection="false" borderId="228" fillId="60" fontId="26" numFmtId="0" xfId="0">
      <alignment horizontal="center" vertical="center" wrapText="true"/>
    </xf>
    <xf applyAlignment="true" applyBorder="false" applyFill="true" applyFont="true" applyNumberFormat="false" applyProtection="false" borderId="228" fillId="60" fontId="26" numFmtId="0" xfId="0">
      <alignment horizontal="center" vertical="center"/>
    </xf>
    <xf applyAlignment="true" applyBorder="false" applyFill="true" applyFont="true" applyNumberFormat="false" applyProtection="false" borderId="234" fillId="60" fontId="26" numFmtId="0" xfId="0">
      <alignment horizontal="center" vertical="center" wrapText="true"/>
    </xf>
    <xf applyAlignment="true" applyBorder="false" applyFill="false" applyFont="true" applyNumberFormat="false" applyProtection="false" borderId="228" fillId="0" fontId="27" numFmtId="0" xfId="0">
      <alignment vertical="center" wrapText="true"/>
    </xf>
    <xf applyAlignment="true" applyBorder="false" applyFill="false" applyFont="true" applyNumberFormat="false" applyProtection="false" borderId="235" fillId="0" fontId="5" numFmtId="0" xfId="0">
      <alignment vertical="center"/>
    </xf>
    <xf applyAlignment="true" applyBorder="false" applyFill="false" applyFont="true" applyNumberFormat="false" applyProtection="false" borderId="228" fillId="0" fontId="28" numFmtId="0" xfId="0">
      <alignment horizontal="left" vertical="center" wrapText="true"/>
    </xf>
    <xf applyAlignment="true" applyBorder="false" applyFill="false" applyFont="true" applyNumberFormat="false" applyProtection="false" borderId="228" fillId="0" fontId="27" numFmtId="0" xfId="0">
      <alignment vertical="center"/>
    </xf>
    <xf applyAlignment="true" applyBorder="false" applyFill="false" applyFont="true" applyNumberFormat="false" applyProtection="false" borderId="228" fillId="0" fontId="27" numFmtId="0" xfId="0">
      <alignment vertical="center" wrapText="true"/>
    </xf>
    <xf applyAlignment="true" applyBorder="false" applyFill="false" applyFont="true" applyNumberFormat="false" applyProtection="false" borderId="228" fillId="0" fontId="28" numFmtId="0" xfId="0">
      <alignment horizontal="left" vertical="center"/>
    </xf>
    <xf applyAlignment="true" applyBorder="false" applyFill="true" applyFont="true" applyNumberFormat="false" applyProtection="false" borderId="236" fillId="61" fontId="3" numFmtId="0" xfId="0">
      <alignment horizontal="center" vertical="center"/>
    </xf>
    <xf applyAlignment="true" applyBorder="false" applyFill="false" applyFont="true" applyNumberFormat="false" applyProtection="false" borderId="235" fillId="0" fontId="5" numFmtId="0" xfId="0">
      <alignment vertical="center" wrapText="true"/>
    </xf>
    <xf applyAlignment="true" applyBorder="false" applyFill="false" applyFont="true" applyNumberFormat="false" applyProtection="false" borderId="237" fillId="0" fontId="28" numFmtId="0" xfId="0">
      <alignment horizontal="center" vertical="center" wrapText="true"/>
    </xf>
    <xf applyAlignment="true" applyBorder="false" applyFill="false" applyFont="true" applyNumberFormat="false" applyProtection="false" borderId="235" fillId="0" fontId="28" numFmtId="0" xfId="0">
      <alignment vertical="center" wrapText="true"/>
    </xf>
    <xf applyAlignment="true" applyBorder="false" applyFill="false" applyFont="true" applyNumberFormat="false" applyProtection="false" borderId="228" fillId="0" fontId="3" numFmtId="0" xfId="0">
      <alignment vertical="center" wrapText="true"/>
    </xf>
    <xf applyAlignment="true" applyBorder="false" applyFill="false" applyFont="true" applyNumberFormat="false" applyProtection="false" borderId="228" fillId="0" fontId="3" numFmtId="0" xfId="0">
      <alignment vertical="center"/>
    </xf>
    <xf applyAlignment="true" applyBorder="false" applyFill="false" applyFont="true" applyNumberFormat="false" applyProtection="false" borderId="238" fillId="0" fontId="28" numFmtId="0" xfId="0">
      <alignment horizontal="center" vertical="center" wrapText="true"/>
    </xf>
    <xf applyAlignment="true" applyBorder="false" applyFill="false" applyFont="true" applyNumberFormat="false" applyProtection="false" borderId="235" fillId="0" fontId="28" numFmtId="0" xfId="0">
      <alignment vertical="center" wrapText="true"/>
    </xf>
    <xf applyAlignment="true" applyBorder="false" applyFill="true" applyFont="true" applyNumberFormat="false" applyProtection="false" borderId="228" fillId="61" fontId="3" numFmtId="0" xfId="0">
      <alignment horizontal="center" vertical="center"/>
    </xf>
    <xf applyAlignment="true" applyBorder="false" applyFill="false" applyFont="true" applyNumberFormat="false" applyProtection="false" borderId="228" fillId="0" fontId="3" numFmtId="0" xfId="0">
      <alignment vertical="center" wrapText="true"/>
    </xf>
    <xf applyAlignment="true" applyBorder="false" applyFill="false" applyFont="true" applyNumberFormat="false" applyProtection="false" borderId="238" fillId="0" fontId="3" numFmtId="0" xfId="0">
      <alignment vertical="center"/>
    </xf>
    <xf applyAlignment="true" applyBorder="false" applyFill="false" applyFont="true" applyNumberFormat="false" applyProtection="false" borderId="235" fillId="0" fontId="3" numFmtId="0" xfId="0">
      <alignment vertical="center"/>
    </xf>
    <xf applyAlignment="true" applyBorder="false" applyFill="false" applyFont="true" applyNumberFormat="false" applyProtection="false" borderId="228" fillId="0" fontId="28" numFmtId="0" xfId="0">
      <alignment horizontal="left" vertical="center" wrapText="true"/>
    </xf>
    <xf applyAlignment="true" applyBorder="false" applyFill="false" applyFont="true" applyNumberFormat="false" applyProtection="false" borderId="239" fillId="0" fontId="28" numFmtId="0" xfId="0">
      <alignment vertical="center" wrapText="true"/>
    </xf>
    <xf applyAlignment="true" applyBorder="false" applyFill="false" applyFont="true" applyNumberFormat="false" applyProtection="false" borderId="240" fillId="0" fontId="5" numFmtId="0" xfId="0">
      <alignment vertical="center" wrapText="true"/>
    </xf>
    <xf applyAlignment="true" applyBorder="false" applyFill="false" applyFont="true" applyNumberFormat="false" applyProtection="false" borderId="241" fillId="0" fontId="28" numFmtId="0" xfId="0">
      <alignment horizontal="center" vertical="center" wrapText="true"/>
    </xf>
    <xf applyAlignment="true" applyBorder="false" applyFill="false" applyFont="true" applyNumberFormat="false" applyProtection="false" borderId="240" fillId="0" fontId="28"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238" fillId="0" fontId="28" numFmtId="0" xfId="0">
      <alignment vertical="center" wrapText="true"/>
    </xf>
    <xf applyAlignment="true" applyBorder="false" applyFill="false" applyFont="true" applyNumberFormat="false" applyProtection="false" borderId="235" fillId="0" fontId="28" numFmtId="0" xfId="0">
      <alignment horizontal="center" vertical="center" wrapText="true"/>
    </xf>
    <xf applyAlignment="true" applyBorder="false" applyFill="true" applyFont="true" applyNumberFormat="false" applyProtection="false" borderId="228" fillId="62" fontId="27" numFmtId="0" xfId="0">
      <alignment vertical="center" wrapText="true"/>
    </xf>
    <xf applyAlignment="true" applyBorder="false" applyFill="true" applyFont="true" applyNumberFormat="false" applyProtection="false" borderId="235" fillId="62" fontId="5" numFmtId="0" xfId="0">
      <alignment vertical="center"/>
    </xf>
    <xf applyAlignment="true" applyBorder="false" applyFill="true" applyFont="true" applyNumberFormat="false" applyProtection="false" borderId="228" fillId="62" fontId="28" numFmtId="0" xfId="0">
      <alignment horizontal="left" vertical="center" wrapText="true"/>
    </xf>
    <xf applyAlignment="true" applyBorder="false" applyFill="true" applyFont="true" applyNumberFormat="false" applyProtection="false" borderId="228" fillId="62" fontId="27" numFmtId="0" xfId="0">
      <alignment vertical="center"/>
    </xf>
    <xf applyAlignment="true" applyBorder="false" applyFill="false" applyFont="true" applyNumberFormat="false" applyProtection="false" borderId="235" fillId="0" fontId="28" numFmtId="0" xfId="0">
      <alignment horizontal="left" vertical="center" wrapText="true"/>
    </xf>
    <xf applyAlignment="true" applyBorder="false" applyFill="false" applyFont="true" applyNumberFormat="false" applyProtection="false" borderId="242" fillId="0" fontId="28" numFmtId="0" xfId="0">
      <alignment horizontal="center" vertical="center" wrapText="true"/>
    </xf>
    <xf applyAlignment="true" applyBorder="false" applyFill="false" applyFont="true" applyNumberFormat="false" applyProtection="false" borderId="243" fillId="0" fontId="28" numFmtId="0" xfId="0">
      <alignment vertical="center" wrapText="true"/>
    </xf>
    <xf applyAlignment="true" applyBorder="false" applyFill="false" applyFont="true" applyNumberFormat="false" applyProtection="false" borderId="243" fillId="0" fontId="5" numFmtId="0" xfId="0">
      <alignment vertical="center" wrapText="true"/>
    </xf>
    <xf applyAlignment="true" applyBorder="false" applyFill="false" applyFont="true" applyNumberFormat="false" applyProtection="false" borderId="244" fillId="0" fontId="3" numFmtId="0" xfId="0">
      <alignment vertical="center" wrapText="true"/>
    </xf>
    <xf applyAlignment="true" applyBorder="false" applyFill="false" applyFont="true" applyNumberFormat="false" applyProtection="false" borderId="235" fillId="0" fontId="3" numFmtId="0" xfId="0">
      <alignment vertical="center" wrapText="true"/>
    </xf>
    <xf applyAlignment="true" applyBorder="false" applyFill="false" applyFont="true" applyNumberFormat="false" applyProtection="false" borderId="245" fillId="0" fontId="3" numFmtId="0" xfId="0">
      <alignment vertical="center" wrapText="true"/>
    </xf>
    <xf applyAlignment="true" applyBorder="false" applyFill="false" applyFont="true" applyNumberFormat="false" applyProtection="false" borderId="228" fillId="0" fontId="28" numFmtId="0" xfId="0">
      <alignment vertical="center" wrapText="true"/>
    </xf>
    <xf applyAlignment="true" applyBorder="false" applyFill="false" applyFont="true" applyNumberFormat="false" applyProtection="false" borderId="228" fillId="0" fontId="28" numFmtId="0" xfId="0">
      <alignment vertical="center" wrapText="true"/>
    </xf>
    <xf applyAlignment="true" applyBorder="false" applyFill="false" applyFont="true" applyNumberFormat="false" applyProtection="false" borderId="235" fillId="0" fontId="5" numFmtId="0" xfId="0">
      <alignment vertical="center" wrapText="true"/>
    </xf>
    <xf applyAlignment="true" applyBorder="false" applyFill="false" applyFont="true" applyNumberFormat="false" applyProtection="false" borderId="228" fillId="0" fontId="28" numFmtId="0" xfId="0">
      <alignment horizontal="left" vertical="center" wrapText="true"/>
    </xf>
    <xf applyAlignment="true" applyBorder="false" applyFill="false" applyFont="true" applyNumberFormat="false" applyProtection="false" borderId="0" fillId="0" fontId="21" numFmtId="0" xfId="0">
      <alignment vertical="center"/>
    </xf>
    <xf applyAlignment="true" applyBorder="false" applyFill="false" applyFont="true" applyNumberFormat="false" applyProtection="false" borderId="235" fillId="0" fontId="5" numFmtId="0" xfId="0">
      <alignment vertical="center"/>
    </xf>
    <xf applyAlignment="true" applyBorder="false" applyFill="true" applyFont="true" applyNumberFormat="false" applyProtection="false" borderId="0" fillId="62" fontId="23" numFmtId="0" xfId="0">
      <alignment vertical="center"/>
    </xf>
    <xf applyAlignment="true" applyBorder="false" applyFill="true" applyFont="true" applyNumberFormat="false" applyProtection="false" borderId="228" fillId="62" fontId="28" numFmtId="0" xfId="0">
      <alignment horizontal="left" vertical="center" wrapText="true"/>
    </xf>
    <xf applyAlignment="true" applyBorder="false" applyFill="true" applyFont="true" applyNumberFormat="false" applyProtection="false" borderId="228" fillId="62" fontId="27" numFmtId="0" xfId="0">
      <alignment vertical="center"/>
    </xf>
    <xf applyAlignment="true" applyBorder="false" applyFill="true" applyFont="true" applyNumberFormat="false" applyProtection="false" borderId="228" fillId="62" fontId="27" numFmtId="0" xfId="0">
      <alignment vertical="center" wrapText="true"/>
    </xf>
    <xf applyAlignment="true" applyBorder="false" applyFill="true" applyFont="true" applyNumberFormat="false" applyProtection="false" borderId="228" fillId="62" fontId="28" numFmtId="0" xfId="0">
      <alignment horizontal="left" vertical="center"/>
    </xf>
    <xf applyAlignment="true" applyBorder="false" applyFill="true" applyFont="true" applyNumberFormat="false" applyProtection="false" borderId="228" fillId="62" fontId="3" numFmtId="0" xfId="0">
      <alignment horizontal="center" vertical="center"/>
    </xf>
    <xf applyAlignment="true" applyBorder="false" applyFill="true" applyFont="true" applyNumberFormat="false" applyProtection="false" borderId="237" fillId="62" fontId="28" numFmtId="0" xfId="0">
      <alignment horizontal="center" vertical="center" wrapText="true"/>
    </xf>
    <xf applyAlignment="true" applyBorder="false" applyFill="true" applyFont="true" applyNumberFormat="false" applyProtection="false" borderId="235" fillId="62" fontId="28" numFmtId="0" xfId="0">
      <alignment vertical="center" wrapText="true"/>
    </xf>
    <xf applyAlignment="true" applyBorder="false" applyFill="true" applyFont="true" applyNumberFormat="false" applyProtection="false" borderId="235" fillId="62" fontId="5" numFmtId="0" xfId="0">
      <alignment vertical="center" wrapText="true"/>
    </xf>
    <xf applyAlignment="true" applyBorder="false" applyFill="true" applyFont="true" applyNumberFormat="false" applyProtection="false" borderId="228" fillId="62" fontId="3" numFmtId="0" xfId="0">
      <alignment vertical="center" wrapText="true"/>
    </xf>
    <xf applyAlignment="true" applyBorder="false" applyFill="true" applyFont="true" applyNumberFormat="false" applyProtection="false" borderId="228" fillId="62" fontId="3" numFmtId="0" xfId="0">
      <alignment vertical="center"/>
    </xf>
    <xf applyAlignment="true" applyBorder="false" applyFill="true" applyFont="true" applyNumberFormat="false" applyProtection="false" borderId="0" fillId="62" fontId="5" numFmtId="0" xfId="0">
      <alignment vertical="center"/>
    </xf>
    <xf applyAlignment="true" applyBorder="false" applyFill="true" applyFont="true" applyNumberFormat="false" applyProtection="false" borderId="236" fillId="62" fontId="3" numFmtId="0" xfId="0">
      <alignment horizontal="center" vertical="center"/>
    </xf>
    <xf applyAlignment="true" applyBorder="false" applyFill="false" applyFont="true" applyNumberFormat="false" applyProtection="false" borderId="246" fillId="0" fontId="5" numFmtId="0" xfId="0">
      <alignment vertical="center" wrapText="true"/>
    </xf>
    <xf applyAlignment="true" applyBorder="false" applyFill="true" applyFont="true" applyNumberFormat="false" applyProtection="false" borderId="246" fillId="62" fontId="28" numFmtId="0" xfId="0">
      <alignment horizontal="center" vertical="center" wrapText="true"/>
    </xf>
    <xf applyAlignment="true" applyBorder="false" applyFill="true" applyFont="true" applyNumberFormat="false" applyProtection="false" borderId="237" fillId="62" fontId="28" numFmtId="0" xfId="0">
      <alignment vertical="center" wrapText="true"/>
    </xf>
    <xf applyAlignment="true" applyBorder="false" applyFill="false" applyFont="true" applyNumberFormat="false" applyProtection="false" borderId="246" fillId="0" fontId="3"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247" fillId="0" fontId="21" numFmtId="0" xfId="0">
      <alignment horizontal="left" vertical="top" wrapText="true"/>
    </xf>
    <xf applyAlignment="true" applyBorder="false" applyFill="false" applyFont="true" applyNumberFormat="false" applyProtection="false" borderId="248" fillId="0" fontId="22" numFmtId="0" xfId="0">
      <alignment horizontal="left" vertical="center" wrapText="true"/>
    </xf>
    <xf applyAlignment="true" applyBorder="false" applyFill="false" applyFont="true" applyNumberFormat="false" applyProtection="false" borderId="248"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true" applyFont="true" applyNumberFormat="false" applyProtection="false" borderId="249" fillId="63" fontId="24" numFmtId="0" xfId="0">
      <alignment horizontal="left" vertical="center" wrapText="true"/>
    </xf>
    <xf applyAlignment="true" applyBorder="false" applyFill="false" applyFont="true" applyNumberFormat="false" applyProtection="false" borderId="250" fillId="0" fontId="24" numFmtId="0" xfId="0">
      <alignment horizontal="left" vertical="center"/>
    </xf>
    <xf applyAlignment="true" applyBorder="false" applyFill="false" applyFont="true" applyNumberFormat="false" applyProtection="false" borderId="250" fillId="0" fontId="24" numFmtId="0" xfId="0">
      <alignment horizontal="left" vertical="center"/>
    </xf>
    <xf applyAlignment="true" applyBorder="false" applyFill="false" applyFont="true" applyNumberFormat="false" applyProtection="false" borderId="250" fillId="0" fontId="24" numFmtId="0" xfId="0">
      <alignment horizontal="left" vertical="center" wrapText="true"/>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251" fillId="63" fontId="24" numFmtId="0" xfId="0">
      <alignment horizontal="left" vertical="center" wrapText="true"/>
    </xf>
    <xf applyAlignment="true" applyBorder="false" applyFill="false" applyFont="true" applyNumberFormat="false" applyProtection="false" borderId="252" fillId="0" fontId="24" numFmtId="0" xfId="0">
      <alignment horizontal="left" vertical="center"/>
    </xf>
    <xf applyAlignment="true" applyBorder="false" applyFill="true" applyFont="true" applyNumberFormat="false" applyProtection="false" borderId="252" fillId="63"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252" fillId="0" fontId="24" numFmtId="0" xfId="0">
      <alignment horizontal="left" vertical="center"/>
    </xf>
    <xf applyAlignment="true" applyBorder="false" applyFill="true" applyFont="true" applyNumberFormat="false" applyProtection="false" borderId="251" fillId="63" fontId="24" numFmtId="0" xfId="0">
      <alignment vertical="center"/>
    </xf>
    <xf applyAlignment="true" applyBorder="false" applyFill="false" applyFont="true" applyNumberFormat="false" applyProtection="false" borderId="253" fillId="0" fontId="24" numFmtId="0" xfId="0">
      <alignment vertical="center"/>
    </xf>
    <xf applyAlignment="true" applyBorder="false" applyFill="true" applyFont="true" applyNumberFormat="false" applyProtection="false" borderId="251" fillId="63" fontId="24" numFmtId="0" xfId="0">
      <alignment vertical="center" wrapText="true"/>
    </xf>
    <xf applyAlignment="true" applyBorder="false" applyFill="false" applyFont="true" applyNumberFormat="false" applyProtection="false" borderId="253" fillId="0" fontId="24" numFmtId="0" xfId="0">
      <alignment horizontal="left" vertical="center"/>
    </xf>
    <xf applyAlignment="true" applyBorder="false" applyFill="true" applyFont="true" applyNumberFormat="false" applyProtection="false" borderId="252" fillId="63" fontId="24" numFmtId="0" xfId="0">
      <alignment horizontal="left" vertical="center" wrapText="true"/>
    </xf>
    <xf applyAlignment="true" applyBorder="false" applyFill="false" applyFont="true" applyNumberFormat="true" applyProtection="false" borderId="252" fillId="0" fontId="24" numFmtId="175" xfId="0">
      <alignment horizontal="left" vertical="center"/>
    </xf>
    <xf applyAlignment="true" applyBorder="false" applyFill="true" applyFont="true" applyNumberFormat="false" applyProtection="false" borderId="254" fillId="63" fontId="24" numFmtId="0" xfId="0">
      <alignment vertical="center" wrapText="true"/>
    </xf>
    <xf applyAlignment="true" applyBorder="false" applyFill="false" applyFont="true" applyNumberFormat="false" applyProtection="false" borderId="255" fillId="0" fontId="24" numFmtId="0" xfId="0">
      <alignment horizontal="left" vertical="center" wrapText="true"/>
    </xf>
    <xf applyAlignment="true" applyBorder="false" applyFill="false" applyFont="true" applyNumberFormat="false" applyProtection="false" borderId="255"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250" fillId="64" fontId="24" numFmtId="0" xfId="0">
      <alignment horizontal="center" vertical="center" wrapText="true"/>
    </xf>
    <xf applyAlignment="true" applyBorder="false" applyFill="true" applyFont="true" applyNumberFormat="false" applyProtection="false" borderId="250" fillId="64" fontId="24" numFmtId="0" xfId="0">
      <alignment horizontal="center" vertical="center"/>
    </xf>
    <xf applyAlignment="true" applyBorder="false" applyFill="true" applyFont="true" applyNumberFormat="false" applyProtection="false" borderId="250" fillId="64" fontId="24"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250" fillId="65" fontId="26" numFmtId="0" xfId="0">
      <alignment horizontal="center" vertical="center" wrapText="true"/>
    </xf>
    <xf applyAlignment="true" applyBorder="false" applyFill="true" applyFont="true" applyNumberFormat="false" applyProtection="false" borderId="250" fillId="65" fontId="26" numFmtId="0" xfId="0">
      <alignment horizontal="center" vertical="center"/>
    </xf>
    <xf applyAlignment="true" applyBorder="false" applyFill="true" applyFont="true" applyNumberFormat="false" applyProtection="false" borderId="256" fillId="65" fontId="26" numFmtId="0" xfId="0">
      <alignment horizontal="center" vertical="center" wrapText="true"/>
    </xf>
    <xf applyAlignment="true" applyBorder="false" applyFill="false" applyFont="true" applyNumberFormat="false" applyProtection="false" borderId="250" fillId="0" fontId="27" numFmtId="0" xfId="0">
      <alignment vertical="center" wrapText="true"/>
    </xf>
    <xf applyAlignment="true" applyBorder="false" applyFill="false" applyFont="true" applyNumberFormat="false" applyProtection="false" borderId="257" fillId="0" fontId="5" numFmtId="0" xfId="0">
      <alignment vertical="center"/>
    </xf>
    <xf applyAlignment="true" applyBorder="false" applyFill="false" applyFont="true" applyNumberFormat="false" applyProtection="false" borderId="250" fillId="0" fontId="28" numFmtId="0" xfId="0">
      <alignment horizontal="left" vertical="center" wrapText="true"/>
    </xf>
    <xf applyAlignment="true" applyBorder="false" applyFill="false" applyFont="true" applyNumberFormat="false" applyProtection="false" borderId="250" fillId="0" fontId="27" numFmtId="0" xfId="0">
      <alignment vertical="center"/>
    </xf>
    <xf applyAlignment="true" applyBorder="false" applyFill="false" applyFont="true" applyNumberFormat="false" applyProtection="false" borderId="250" fillId="0" fontId="27" numFmtId="0" xfId="0">
      <alignment vertical="center" wrapText="true"/>
    </xf>
    <xf applyAlignment="true" applyBorder="false" applyFill="false" applyFont="true" applyNumberFormat="false" applyProtection="false" borderId="250" fillId="0" fontId="28" numFmtId="0" xfId="0">
      <alignment horizontal="left" vertical="center"/>
    </xf>
    <xf applyAlignment="true" applyBorder="false" applyFill="true" applyFont="true" applyNumberFormat="false" applyProtection="false" borderId="258" fillId="66" fontId="3" numFmtId="0" xfId="0">
      <alignment horizontal="center" vertical="center"/>
    </xf>
    <xf applyAlignment="true" applyBorder="false" applyFill="false" applyFont="true" applyNumberFormat="false" applyProtection="false" borderId="259" fillId="0" fontId="5" numFmtId="0" xfId="0">
      <alignment vertical="center" wrapText="true"/>
    </xf>
    <xf applyAlignment="true" applyBorder="false" applyFill="false" applyFont="true" applyNumberFormat="false" applyProtection="false" borderId="260" fillId="0" fontId="28" numFmtId="0" xfId="0">
      <alignment horizontal="center" vertical="center" wrapText="true"/>
    </xf>
    <xf applyAlignment="true" applyBorder="false" applyFill="false" applyFont="true" applyNumberFormat="false" applyProtection="false" borderId="257" fillId="0" fontId="28" numFmtId="0" xfId="0">
      <alignment vertical="center" wrapText="true"/>
    </xf>
    <xf applyAlignment="true" applyBorder="false" applyFill="false" applyFont="true" applyNumberFormat="false" applyProtection="false" borderId="257" fillId="0" fontId="5" numFmtId="0" xfId="0">
      <alignment vertical="center" wrapText="true"/>
    </xf>
    <xf applyAlignment="true" applyBorder="false" applyFill="false" applyFont="true" applyNumberFormat="false" applyProtection="false" borderId="250" fillId="0" fontId="3" numFmtId="0" xfId="0">
      <alignment vertical="center" wrapText="true"/>
    </xf>
    <xf applyAlignment="true" applyBorder="false" applyFill="false" applyFont="true" applyNumberFormat="false" applyProtection="false" borderId="250" fillId="0" fontId="3" numFmtId="0" xfId="0">
      <alignment vertical="center"/>
    </xf>
    <xf applyAlignment="true" applyBorder="false" applyFill="true" applyFont="true" applyNumberFormat="false" applyProtection="false" borderId="258" fillId="66" fontId="3" numFmtId="0" xfId="0">
      <alignment horizontal="center" vertical="center"/>
    </xf>
    <xf applyAlignment="true" applyBorder="false" applyFill="false" applyFont="true" applyNumberFormat="false" applyProtection="false" borderId="257" fillId="0" fontId="5" numFmtId="0" xfId="0">
      <alignment vertical="center" wrapText="true"/>
    </xf>
    <xf applyAlignment="true" applyBorder="false" applyFill="false" applyFont="true" applyNumberFormat="false" applyProtection="false" borderId="260" fillId="0" fontId="28" numFmtId="0" xfId="0">
      <alignment horizontal="center" vertical="center" wrapText="true"/>
    </xf>
    <xf applyAlignment="true" applyBorder="false" applyFill="true" applyFont="true" applyNumberFormat="false" applyProtection="false" borderId="250" fillId="66" fontId="3" numFmtId="0" xfId="0">
      <alignment horizontal="center" vertical="center"/>
    </xf>
    <xf applyAlignment="true" applyBorder="false" applyFill="false" applyFont="true" applyNumberFormat="false" applyProtection="false" borderId="261" fillId="0" fontId="5" numFmtId="0" xfId="0">
      <alignment vertical="center" wrapText="true"/>
    </xf>
    <xf applyAlignment="true" applyBorder="false" applyFill="false" applyFont="true" applyNumberFormat="false" applyProtection="false" borderId="250" fillId="0" fontId="3" numFmtId="0" xfId="0">
      <alignment vertical="center" wrapText="true"/>
    </xf>
    <xf applyAlignment="true" applyBorder="false" applyFill="false" applyFont="true" applyNumberFormat="false" applyProtection="false" borderId="257" fillId="0" fontId="3" numFmtId="0" xfId="0">
      <alignment vertical="center"/>
    </xf>
    <xf applyAlignment="true" applyBorder="false" applyFill="false" applyFont="true" applyNumberFormat="false" applyProtection="false" borderId="262" fillId="0" fontId="3" numFmtId="0" xfId="0">
      <alignment vertical="center"/>
    </xf>
    <xf applyAlignment="true" applyBorder="false" applyFill="false" applyFont="true" applyNumberFormat="false" applyProtection="false" borderId="250" fillId="0" fontId="28" numFmtId="0" xfId="0">
      <alignment horizontal="left" vertical="center" wrapText="true"/>
    </xf>
    <xf applyAlignment="true" applyBorder="false" applyFill="false" applyFont="true" applyNumberFormat="false" applyProtection="false" borderId="257" fillId="0" fontId="28" numFmtId="0" xfId="0">
      <alignment vertical="center" wrapText="true"/>
    </xf>
    <xf applyAlignment="true" applyBorder="false" applyFill="false" applyFont="true" applyNumberFormat="false" applyProtection="false" borderId="263" fillId="0" fontId="28"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250" fillId="0" fontId="28" numFmtId="0" xfId="0">
      <alignment vertical="center" wrapText="true"/>
    </xf>
    <xf applyAlignment="true" applyBorder="false" applyFill="false" applyFont="true" applyNumberFormat="false" applyProtection="false" borderId="250" fillId="0" fontId="28" numFmtId="0" xfId="0">
      <alignment vertical="center" wrapText="true"/>
    </xf>
    <xf applyAlignment="true" applyBorder="false" applyFill="true" applyFont="true" applyNumberFormat="false" applyProtection="false" borderId="0" fillId="67" fontId="33" numFmtId="0" xfId="0">
      <alignment vertical="center"/>
    </xf>
    <xf applyAlignment="true" applyBorder="false" applyFill="true" applyFont="true" applyNumberFormat="false" applyProtection="false" borderId="250" fillId="67" fontId="33" numFmtId="0" xfId="0">
      <alignment vertical="center" wrapText="true"/>
    </xf>
    <xf applyAlignment="true" applyBorder="false" applyFill="true" applyFont="true" applyNumberFormat="false" applyProtection="false" borderId="256" fillId="67" fontId="42" numFmtId="0" xfId="0">
      <alignment vertical="center" wrapText="true"/>
    </xf>
    <xf applyAlignment="true" applyBorder="false" applyFill="true" applyFont="true" applyNumberFormat="false" applyProtection="false" borderId="250" fillId="67" fontId="42" numFmtId="0" xfId="0">
      <alignment horizontal="left" vertical="center" wrapText="true"/>
    </xf>
    <xf applyAlignment="true" applyBorder="false" applyFill="true" applyFont="true" applyNumberFormat="false" applyProtection="false" borderId="250" fillId="67" fontId="33" numFmtId="0" xfId="0">
      <alignment vertical="center"/>
    </xf>
    <xf applyAlignment="true" applyBorder="false" applyFill="true" applyFont="true" applyNumberFormat="false" applyProtection="false" borderId="250" fillId="67" fontId="42" numFmtId="0" xfId="0">
      <alignment horizontal="left" vertical="center"/>
    </xf>
    <xf applyAlignment="true" applyBorder="false" applyFill="true" applyFont="true" applyNumberFormat="false" applyProtection="false" borderId="250" fillId="67" fontId="42" numFmtId="0" xfId="0">
      <alignment horizontal="center" vertical="center"/>
    </xf>
    <xf applyAlignment="true" applyBorder="false" applyFill="true" applyFont="true" applyNumberFormat="false" applyProtection="false" borderId="257" fillId="67" fontId="42" numFmtId="0" xfId="0">
      <alignment vertical="center" wrapText="true"/>
    </xf>
    <xf applyAlignment="true" applyBorder="false" applyFill="true" applyFont="true" applyNumberFormat="false" applyProtection="false" borderId="260" fillId="67" fontId="42" numFmtId="0" xfId="0">
      <alignment horizontal="center" vertical="center" wrapText="true"/>
    </xf>
    <xf applyAlignment="true" applyBorder="false" applyFill="true" applyFont="true" applyNumberFormat="false" applyProtection="false" borderId="264" fillId="67" fontId="42" numFmtId="0" xfId="0">
      <alignment vertical="center" wrapText="true"/>
    </xf>
    <xf applyAlignment="true" applyBorder="false" applyFill="true" applyFont="true" applyNumberFormat="false" applyProtection="false" borderId="257" fillId="67" fontId="42" numFmtId="0" xfId="0">
      <alignment vertical="center"/>
    </xf>
    <xf applyAlignment="true" applyBorder="false" applyFill="true" applyFont="true" applyNumberFormat="false" applyProtection="false" borderId="262" fillId="67" fontId="42" numFmtId="0" xfId="0">
      <alignment vertical="center" wrapText="true"/>
    </xf>
    <xf applyAlignment="true" applyBorder="false" applyFill="true" applyFont="true" applyNumberFormat="false" applyProtection="false" borderId="250" fillId="67" fontId="42" numFmtId="0" xfId="0">
      <alignment vertical="center"/>
    </xf>
    <xf applyAlignment="true" applyBorder="false" applyFill="true" applyFont="true" applyNumberFormat="false" applyProtection="false" borderId="250" fillId="67" fontId="42" numFmtId="0" xfId="0">
      <alignment vertical="center" wrapText="true"/>
    </xf>
    <xf applyAlignment="true" applyBorder="false" applyFill="true" applyFont="true" applyNumberFormat="false" applyProtection="false" borderId="0" fillId="67" fontId="42" numFmtId="0" xfId="0">
      <alignment vertical="center"/>
    </xf>
    <xf applyAlignment="true" applyBorder="false" applyFill="false" applyFont="true" applyNumberFormat="false" applyProtection="false" borderId="265" fillId="0" fontId="28" numFmtId="0" xfId="0">
      <alignment horizontal="center" vertical="center" wrapText="true"/>
    </xf>
    <xf applyAlignment="true" applyBorder="false" applyFill="false" applyFont="true" applyNumberFormat="false" applyProtection="false" borderId="266" fillId="0" fontId="3" numFmtId="0" xfId="0">
      <alignment vertical="center"/>
    </xf>
    <xf applyAlignment="true" applyBorder="false" applyFill="false" applyFont="true" applyNumberFormat="false" applyProtection="false" borderId="257" fillId="0" fontId="3" numFmtId="0" xfId="0">
      <alignment vertical="center"/>
    </xf>
    <xf applyAlignment="true" applyBorder="false" applyFill="false" applyFont="true" applyNumberFormat="false" applyProtection="false" borderId="262" fillId="0" fontId="3" numFmtId="0" xfId="0">
      <alignment vertical="center" wrapText="true"/>
    </xf>
    <xf applyAlignment="true" applyBorder="false" applyFill="false" applyFont="true" applyNumberFormat="false" applyProtection="false" borderId="263" fillId="0" fontId="28" numFmtId="0" xfId="0">
      <alignment vertical="center" wrapText="true"/>
    </xf>
    <xf applyAlignment="true" applyBorder="false" applyFill="false" applyFont="true" applyNumberFormat="false" applyProtection="false" borderId="261" fillId="0" fontId="28" numFmtId="0" xfId="0">
      <alignment vertical="center" wrapText="true"/>
    </xf>
    <xf applyAlignment="true" applyBorder="false" applyFill="false" applyFont="true" applyNumberFormat="false" applyProtection="false" borderId="267" fillId="0" fontId="21" numFmtId="0" xfId="0">
      <alignment horizontal="left" vertical="top" wrapText="true"/>
    </xf>
    <xf applyAlignment="true" applyBorder="false" applyFill="false" applyFont="true" applyNumberFormat="false" applyProtection="false" borderId="268" fillId="0" fontId="2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true" applyFont="true" applyNumberFormat="false" applyProtection="false" borderId="269" fillId="68" fontId="24" numFmtId="0" xfId="0">
      <alignment horizontal="left" vertical="center" wrapText="true"/>
    </xf>
    <xf applyAlignment="true" applyBorder="false" applyFill="false" applyFont="true" applyNumberFormat="false" applyProtection="false" borderId="270" fillId="0" fontId="24" numFmtId="0" xfId="0">
      <alignment horizontal="left" vertical="center"/>
    </xf>
    <xf applyAlignment="true" applyBorder="false" applyFill="false" applyFont="true" applyNumberFormat="false" applyProtection="false" borderId="270" fillId="0" fontId="24" numFmtId="0" xfId="0">
      <alignment horizontal="lef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271" fillId="68" fontId="24" numFmtId="0" xfId="0">
      <alignment horizontal="left" vertical="center" wrapText="true"/>
    </xf>
    <xf applyAlignment="true" applyBorder="false" applyFill="false" applyFont="true" applyNumberFormat="false" applyProtection="false" borderId="272" fillId="0" fontId="24" numFmtId="0" xfId="0">
      <alignment horizontal="left" vertical="center"/>
    </xf>
    <xf applyAlignment="true" applyBorder="false" applyFill="true" applyFont="true" applyNumberFormat="false" applyProtection="false" borderId="272" fillId="68"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272" fillId="0" fontId="24" numFmtId="0" xfId="0">
      <alignment horizontal="left" vertical="center"/>
    </xf>
    <xf applyAlignment="true" applyBorder="false" applyFill="true" applyFont="true" applyNumberFormat="false" applyProtection="false" borderId="271" fillId="68" fontId="24" numFmtId="0" xfId="0">
      <alignment vertical="center"/>
    </xf>
    <xf applyAlignment="true" applyBorder="false" applyFill="false" applyFont="true" applyNumberFormat="false" applyProtection="false" borderId="273" fillId="0" fontId="24" numFmtId="0" xfId="0">
      <alignment vertical="center"/>
    </xf>
    <xf applyAlignment="true" applyBorder="false" applyFill="true" applyFont="true" applyNumberFormat="false" applyProtection="false" borderId="271" fillId="68" fontId="24" numFmtId="0" xfId="0">
      <alignment vertical="center" wrapText="true"/>
    </xf>
    <xf applyAlignment="true" applyBorder="false" applyFill="false" applyFont="true" applyNumberFormat="false" applyProtection="false" borderId="273" fillId="0" fontId="24" numFmtId="0" xfId="0">
      <alignment horizontal="left" vertical="center"/>
    </xf>
    <xf applyAlignment="true" applyBorder="false" applyFill="true" applyFont="true" applyNumberFormat="false" applyProtection="false" borderId="272" fillId="68" fontId="24" numFmtId="0" xfId="0">
      <alignment horizontal="left" vertical="center" wrapText="true"/>
    </xf>
    <xf applyAlignment="true" applyBorder="false" applyFill="false" applyFont="true" applyNumberFormat="true" applyProtection="false" borderId="272" fillId="0" fontId="24" numFmtId="176" xfId="0">
      <alignment horizontal="left" vertical="center"/>
    </xf>
    <xf applyAlignment="true" applyBorder="false" applyFill="true" applyFont="true" applyNumberFormat="false" applyProtection="false" borderId="274" fillId="68" fontId="24" numFmtId="0" xfId="0">
      <alignment vertical="center" wrapText="true"/>
    </xf>
    <xf applyAlignment="true" applyBorder="false" applyFill="false" applyFont="true" applyNumberFormat="false" applyProtection="false" borderId="275" fillId="0" fontId="24" numFmtId="0" xfId="0">
      <alignment horizontal="left" vertical="center" wrapText="true"/>
    </xf>
    <xf applyAlignment="true" applyBorder="false" applyFill="false" applyFont="true" applyNumberFormat="false" applyProtection="false" borderId="275"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270" fillId="69" fontId="24" numFmtId="0" xfId="0">
      <alignment horizontal="center" vertical="center" wrapText="true"/>
    </xf>
    <xf applyAlignment="true" applyBorder="false" applyFill="true" applyFont="true" applyNumberFormat="false" applyProtection="false" borderId="270" fillId="69" fontId="24" numFmtId="0" xfId="0">
      <alignment horizontal="center" vertical="center"/>
    </xf>
    <xf applyAlignment="true" applyBorder="false" applyFill="true" applyFont="true" applyNumberFormat="false" applyProtection="false" borderId="270" fillId="69" fontId="24"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270" fillId="70" fontId="26" numFmtId="0" xfId="0">
      <alignment horizontal="center" vertical="center" wrapText="true"/>
    </xf>
    <xf applyAlignment="true" applyBorder="false" applyFill="true" applyFont="true" applyNumberFormat="false" applyProtection="false" borderId="270" fillId="70" fontId="26" numFmtId="0" xfId="0">
      <alignment horizontal="center" vertical="center"/>
    </xf>
    <xf applyAlignment="true" applyBorder="false" applyFill="true" applyFont="true" applyNumberFormat="false" applyProtection="false" borderId="276" fillId="70" fontId="26" numFmtId="0" xfId="0">
      <alignment horizontal="center" vertical="center" wrapText="true"/>
    </xf>
    <xf applyAlignment="true" applyBorder="false" applyFill="false" applyFont="true" applyNumberFormat="false" applyProtection="false" borderId="270" fillId="0" fontId="27" numFmtId="0" xfId="0">
      <alignment vertical="center" wrapText="true"/>
    </xf>
    <xf applyAlignment="true" applyBorder="false" applyFill="false" applyFont="true" applyNumberFormat="false" applyProtection="false" borderId="270" fillId="0" fontId="3" numFmtId="0" xfId="0">
      <alignment vertical="center"/>
    </xf>
    <xf applyAlignment="true" applyBorder="false" applyFill="false" applyFont="true" applyNumberFormat="false" applyProtection="false" borderId="270" fillId="0" fontId="28" numFmtId="0" xfId="0">
      <alignment horizontal="left" vertical="center" wrapText="true"/>
    </xf>
    <xf applyAlignment="true" applyBorder="false" applyFill="false" applyFont="true" applyNumberFormat="false" applyProtection="false" borderId="270" fillId="0" fontId="27" numFmtId="0" xfId="0">
      <alignment vertical="center"/>
    </xf>
    <xf applyAlignment="true" applyBorder="false" applyFill="false" applyFont="true" applyNumberFormat="false" applyProtection="false" borderId="270" fillId="0" fontId="28" numFmtId="0" xfId="0">
      <alignment horizontal="left" vertical="center"/>
    </xf>
    <xf applyAlignment="true" applyBorder="false" applyFill="true" applyFont="true" applyNumberFormat="false" applyProtection="false" borderId="270" fillId="71" fontId="3" numFmtId="0" xfId="0">
      <alignment horizontal="center" vertical="center"/>
    </xf>
    <xf applyAlignment="true" applyBorder="false" applyFill="false" applyFont="true" applyNumberFormat="false" applyProtection="false" borderId="270" fillId="0" fontId="3" numFmtId="0" xfId="0">
      <alignment vertical="center" wrapText="true"/>
    </xf>
    <xf applyAlignment="true" applyBorder="false" applyFill="false" applyFont="true" applyNumberFormat="false" applyProtection="false" borderId="277" fillId="0" fontId="28" numFmtId="0" xfId="0">
      <alignment horizontal="center" vertical="center" wrapText="true"/>
    </xf>
    <xf applyAlignment="true" applyBorder="false" applyFill="false" applyFont="true" applyNumberFormat="false" applyProtection="false" borderId="270" fillId="0" fontId="28" numFmtId="0" xfId="0">
      <alignment vertical="center" wrapText="true"/>
    </xf>
    <xf applyAlignment="true" applyBorder="false" applyFill="false" applyFont="true" applyNumberFormat="false" applyProtection="false" borderId="270" fillId="0" fontId="27" numFmtId="0" xfId="0">
      <alignment vertical="center" wrapText="true"/>
    </xf>
    <xf applyAlignment="true" applyBorder="false" applyFill="false" applyFont="true" applyNumberFormat="false" applyProtection="false" borderId="270" fillId="0" fontId="28" numFmtId="0" xfId="0">
      <alignment vertical="center" wrapText="true"/>
    </xf>
    <xf applyAlignment="true" applyBorder="false" applyFill="false" applyFont="true" applyNumberFormat="false" applyProtection="false" borderId="278" fillId="0" fontId="5" numFmtId="0" xfId="0">
      <alignment vertical="center" wrapText="true"/>
    </xf>
    <xf applyAlignment="true" applyBorder="false" applyFill="false" applyFont="true" applyNumberFormat="false" applyProtection="false" borderId="279" fillId="0" fontId="28" numFmtId="0" xfId="0">
      <alignment horizontal="center" vertical="center" wrapText="true"/>
    </xf>
    <xf applyAlignment="true" applyBorder="false" applyFill="false" applyFont="true" applyNumberFormat="false" applyProtection="false" borderId="278" fillId="0" fontId="28" numFmtId="0" xfId="0">
      <alignment vertical="center" wrapText="true"/>
    </xf>
    <xf applyAlignment="true" applyBorder="false" applyFill="false" applyFont="true" applyNumberFormat="false" applyProtection="false" borderId="280" fillId="0" fontId="21" numFmtId="0" xfId="0">
      <alignment horizontal="left" vertical="top" wrapText="true"/>
    </xf>
    <xf applyAlignment="true" applyBorder="false" applyFill="false" applyFont="true" applyNumberFormat="false" applyProtection="false" borderId="281" fillId="0" fontId="22"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true" applyFont="true" applyNumberFormat="false" applyProtection="false" borderId="282" fillId="72" fontId="24" numFmtId="0" xfId="0">
      <alignment horizontal="left" vertical="center" wrapText="true"/>
    </xf>
    <xf applyAlignment="true" applyBorder="false" applyFill="false" applyFont="true" applyNumberFormat="false" applyProtection="false" borderId="283" fillId="0" fontId="24" numFmtId="0" xfId="0">
      <alignment horizontal="left" vertical="center"/>
    </xf>
    <xf applyAlignment="true" applyBorder="false" applyFill="false" applyFont="true" applyNumberFormat="false" applyProtection="false" borderId="283" fillId="0" fontId="24" numFmtId="0" xfId="0">
      <alignment horizontal="lef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284" fillId="72" fontId="24" numFmtId="0" xfId="0">
      <alignment horizontal="left" vertical="center" wrapText="true"/>
    </xf>
    <xf applyAlignment="true" applyBorder="false" applyFill="false" applyFont="true" applyNumberFormat="false" applyProtection="false" borderId="285" fillId="0" fontId="24" numFmtId="0" xfId="0">
      <alignment horizontal="left" vertical="center"/>
    </xf>
    <xf applyAlignment="true" applyBorder="false" applyFill="true" applyFont="true" applyNumberFormat="false" applyProtection="false" borderId="285" fillId="72"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285" fillId="0" fontId="24" numFmtId="0" xfId="0">
      <alignment horizontal="left" vertical="center"/>
    </xf>
    <xf applyAlignment="true" applyBorder="false" applyFill="true" applyFont="true" applyNumberFormat="false" applyProtection="false" borderId="284" fillId="72" fontId="24" numFmtId="0" xfId="0">
      <alignment vertical="center"/>
    </xf>
    <xf applyAlignment="true" applyBorder="false" applyFill="false" applyFont="true" applyNumberFormat="false" applyProtection="false" borderId="286" fillId="0" fontId="24" numFmtId="0" xfId="0">
      <alignment vertical="center"/>
    </xf>
    <xf applyAlignment="true" applyBorder="false" applyFill="true" applyFont="true" applyNumberFormat="false" applyProtection="false" borderId="284" fillId="72" fontId="24" numFmtId="0" xfId="0">
      <alignment vertical="center" wrapText="true"/>
    </xf>
    <xf applyAlignment="true" applyBorder="false" applyFill="false" applyFont="true" applyNumberFormat="false" applyProtection="false" borderId="286" fillId="0" fontId="24" numFmtId="0" xfId="0">
      <alignment horizontal="left" vertical="center"/>
    </xf>
    <xf applyAlignment="true" applyBorder="false" applyFill="true" applyFont="true" applyNumberFormat="false" applyProtection="false" borderId="285" fillId="72" fontId="24" numFmtId="0" xfId="0">
      <alignment horizontal="left" vertical="center" wrapText="true"/>
    </xf>
    <xf applyAlignment="true" applyBorder="false" applyFill="false" applyFont="true" applyNumberFormat="true" applyProtection="false" borderId="285" fillId="0" fontId="24" numFmtId="177" xfId="0">
      <alignment horizontal="left" vertical="center"/>
    </xf>
    <xf applyAlignment="true" applyBorder="false" applyFill="true" applyFont="true" applyNumberFormat="false" applyProtection="false" borderId="287" fillId="72" fontId="24" numFmtId="0" xfId="0">
      <alignment vertical="center" wrapText="true"/>
    </xf>
    <xf applyAlignment="true" applyBorder="false" applyFill="false" applyFont="true" applyNumberFormat="false" applyProtection="false" borderId="288" fillId="0" fontId="24" numFmtId="0" xfId="0">
      <alignment horizontal="left" vertical="center" wrapText="true"/>
    </xf>
    <xf applyAlignment="true" applyBorder="false" applyFill="false" applyFont="true" applyNumberFormat="false" applyProtection="false" borderId="288"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283" fillId="73" fontId="24" numFmtId="0" xfId="0">
      <alignment horizontal="center" vertical="center" wrapText="true"/>
    </xf>
    <xf applyAlignment="true" applyBorder="false" applyFill="true" applyFont="true" applyNumberFormat="false" applyProtection="false" borderId="283" fillId="73" fontId="24" numFmtId="0" xfId="0">
      <alignment horizontal="center" vertical="center"/>
    </xf>
    <xf applyAlignment="true" applyBorder="false" applyFill="true" applyFont="true" applyNumberFormat="false" applyProtection="false" borderId="289" fillId="73" fontId="24"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283" fillId="74" fontId="26" numFmtId="0" xfId="0">
      <alignment horizontal="center" vertical="center" wrapText="true"/>
    </xf>
    <xf applyAlignment="true" applyBorder="false" applyFill="true" applyFont="true" applyNumberFormat="false" applyProtection="false" borderId="283" fillId="74" fontId="26" numFmtId="0" xfId="0">
      <alignment horizontal="center" vertical="center"/>
    </xf>
    <xf applyAlignment="true" applyBorder="false" applyFill="true" applyFont="true" applyNumberFormat="false" applyProtection="false" borderId="290" fillId="74" fontId="26" numFmtId="0" xfId="0">
      <alignment horizontal="center" vertical="center"/>
    </xf>
    <xf applyAlignment="true" applyBorder="false" applyFill="true" applyFont="true" applyNumberFormat="false" applyProtection="false" borderId="291" fillId="74" fontId="26" numFmtId="0" xfId="0">
      <alignment horizontal="center" vertical="center" wrapText="true"/>
    </xf>
    <xf applyAlignment="true" applyBorder="false" applyFill="true" applyFont="true" applyNumberFormat="false" applyProtection="false" borderId="292" fillId="74" fontId="26" numFmtId="0" xfId="0">
      <alignment horizontal="center" vertical="center" wrapText="true"/>
    </xf>
    <xf applyAlignment="true" applyBorder="false" applyFill="true" applyFont="true" applyNumberFormat="false" applyProtection="false" borderId="289" fillId="74" fontId="26" numFmtId="0" xfId="0">
      <alignment horizontal="center" vertical="center" wrapText="true"/>
    </xf>
    <xf applyAlignment="true" applyBorder="false" applyFill="false" applyFont="true" applyNumberFormat="false" applyProtection="false" borderId="283" fillId="0" fontId="27" numFmtId="0" xfId="0">
      <alignment vertical="center" wrapText="true"/>
    </xf>
    <xf applyAlignment="true" applyBorder="false" applyFill="false" applyFont="true" applyNumberFormat="false" applyProtection="false" borderId="283" fillId="0" fontId="28" numFmtId="0" xfId="0">
      <alignment vertical="center" wrapText="true"/>
    </xf>
    <xf applyAlignment="true" applyBorder="false" applyFill="false" applyFont="true" applyNumberFormat="false" applyProtection="false" borderId="283" fillId="0" fontId="28" numFmtId="0" xfId="0">
      <alignment horizontal="left" vertical="center" wrapText="true"/>
    </xf>
    <xf applyAlignment="true" applyBorder="false" applyFill="false" applyFont="true" applyNumberFormat="false" applyProtection="false" borderId="283" fillId="0" fontId="27" numFmtId="0" xfId="0">
      <alignment vertical="center"/>
    </xf>
    <xf applyAlignment="true" applyBorder="false" applyFill="false" applyFont="true" applyNumberFormat="false" applyProtection="false" borderId="283" fillId="0" fontId="27" numFmtId="0" xfId="0">
      <alignment vertical="center" wrapText="true"/>
    </xf>
    <xf applyAlignment="true" applyBorder="false" applyFill="false" applyFont="true" applyNumberFormat="false" applyProtection="false" borderId="283" fillId="0" fontId="28" numFmtId="0" xfId="0">
      <alignment horizontal="left" vertical="center"/>
    </xf>
    <xf applyAlignment="true" applyBorder="false" applyFill="true" applyFont="true" applyNumberFormat="false" applyProtection="false" borderId="290" fillId="75" fontId="3" numFmtId="0" xfId="0">
      <alignment horizontal="center" vertical="center"/>
    </xf>
    <xf applyAlignment="true" applyBorder="false" applyFill="false" applyFont="true" applyNumberFormat="false" applyProtection="false" borderId="293" fillId="0" fontId="5" numFmtId="0" xfId="0">
      <alignment vertical="center" wrapText="true"/>
    </xf>
    <xf applyAlignment="true" applyBorder="false" applyFill="false" applyFont="true" applyNumberFormat="false" applyProtection="false" borderId="294" fillId="0" fontId="28" numFmtId="0" xfId="0">
      <alignment horizontal="center" vertical="center" wrapText="true"/>
    </xf>
    <xf applyAlignment="true" applyBorder="false" applyFill="false" applyFont="true" applyNumberFormat="false" applyProtection="false" borderId="295" fillId="0" fontId="28" numFmtId="0" xfId="0">
      <alignment vertical="center" wrapText="true"/>
    </xf>
    <xf applyAlignment="true" applyBorder="false" applyFill="false" applyFont="true" applyNumberFormat="false" applyProtection="false" borderId="283" fillId="0" fontId="3" numFmtId="0" xfId="0">
      <alignment vertical="center" wrapText="true"/>
    </xf>
    <xf applyAlignment="true" applyBorder="false" applyFill="false" applyFont="true" applyNumberFormat="false" applyProtection="false" borderId="283" fillId="0" fontId="3" numFmtId="0" xfId="0">
      <alignment vertical="center"/>
    </xf>
    <xf applyAlignment="true" applyBorder="false" applyFill="false" applyFont="true" applyNumberFormat="false" applyProtection="false" borderId="293" fillId="0" fontId="3" numFmtId="0" xfId="0">
      <alignment vertical="center" wrapText="true"/>
    </xf>
    <xf applyAlignment="true" applyBorder="false" applyFill="true" applyFont="true" applyNumberFormat="false" applyProtection="false" borderId="283" fillId="75" fontId="3" numFmtId="0" xfId="0">
      <alignment horizontal="center" vertical="center"/>
    </xf>
    <xf applyAlignment="true" applyBorder="false" applyFill="false" applyFont="true" applyNumberFormat="false" applyProtection="false" borderId="283" fillId="0" fontId="3" numFmtId="0" xfId="0">
      <alignment vertical="center" wrapText="true"/>
    </xf>
    <xf applyAlignment="true" applyBorder="false" applyFill="false" applyFont="true" applyNumberFormat="false" applyProtection="false" borderId="295" fillId="0" fontId="5" numFmtId="0" xfId="0">
      <alignment vertical="center"/>
    </xf>
    <xf applyAlignment="true" applyBorder="false" applyFill="false" applyFont="true" applyNumberFormat="false" applyProtection="false" borderId="283" fillId="0" fontId="28" numFmtId="0" xfId="0">
      <alignment horizontal="left" vertical="center" wrapText="true"/>
    </xf>
    <xf applyAlignment="true" applyBorder="false" applyFill="false" applyFont="true" applyNumberFormat="false" applyProtection="false" borderId="296" fillId="0" fontId="21" numFmtId="0" xfId="0">
      <alignment horizontal="left" vertical="top" wrapText="true"/>
    </xf>
    <xf applyAlignment="true" applyBorder="false" applyFill="false" applyFont="true" applyNumberFormat="false" applyProtection="false" borderId="297" fillId="0" fontId="22" numFmtId="0" xfId="0">
      <alignment horizontal="left" vertical="center" wrapText="true"/>
    </xf>
    <xf applyAlignment="true" applyBorder="false" applyFill="false" applyFont="true" applyNumberFormat="false" applyProtection="false" borderId="297"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true" applyFont="true" applyNumberFormat="false" applyProtection="false" borderId="298" fillId="76" fontId="24" numFmtId="0" xfId="0">
      <alignment horizontal="left" vertical="center" wrapText="true"/>
    </xf>
    <xf applyAlignment="true" applyBorder="false" applyFill="false" applyFont="true" applyNumberFormat="false" applyProtection="false" borderId="299" fillId="0" fontId="24" numFmtId="0" xfId="0">
      <alignment horizontal="left" vertical="center"/>
    </xf>
    <xf applyAlignment="true" applyBorder="false" applyFill="false" applyFont="true" applyNumberFormat="false" applyProtection="false" borderId="299" fillId="0" fontId="24" numFmtId="0" xfId="0">
      <alignment horizontal="left" vertical="center"/>
    </xf>
    <xf applyAlignment="true" applyBorder="false" applyFill="false" applyFont="true" applyNumberFormat="false" applyProtection="false" borderId="299" fillId="0" fontId="24" numFmtId="0" xfId="0">
      <alignment horizontal="left" vertical="center" wrapText="true"/>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300" fillId="76" fontId="24" numFmtId="0" xfId="0">
      <alignment horizontal="left" vertical="center" wrapText="true"/>
    </xf>
    <xf applyAlignment="true" applyBorder="false" applyFill="false" applyFont="true" applyNumberFormat="false" applyProtection="false" borderId="301" fillId="0" fontId="24" numFmtId="0" xfId="0">
      <alignment horizontal="left" vertical="center"/>
    </xf>
    <xf applyAlignment="true" applyBorder="false" applyFill="true" applyFont="true" applyNumberFormat="false" applyProtection="false" borderId="301" fillId="76"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301" fillId="0" fontId="24" numFmtId="0" xfId="0">
      <alignment horizontal="left" vertical="center"/>
    </xf>
    <xf applyAlignment="true" applyBorder="false" applyFill="true" applyFont="true" applyNumberFormat="false" applyProtection="false" borderId="300" fillId="76" fontId="24" numFmtId="0" xfId="0">
      <alignment vertical="center"/>
    </xf>
    <xf applyAlignment="true" applyBorder="false" applyFill="false" applyFont="true" applyNumberFormat="false" applyProtection="false" borderId="302" fillId="0" fontId="24" numFmtId="0" xfId="0">
      <alignment vertical="center"/>
    </xf>
    <xf applyAlignment="true" applyBorder="false" applyFill="true" applyFont="true" applyNumberFormat="false" applyProtection="false" borderId="300" fillId="76" fontId="24" numFmtId="0" xfId="0">
      <alignment vertical="center" wrapText="true"/>
    </xf>
    <xf applyAlignment="true" applyBorder="false" applyFill="false" applyFont="true" applyNumberFormat="false" applyProtection="false" borderId="302" fillId="0" fontId="24" numFmtId="0" xfId="0">
      <alignment horizontal="left" vertical="center"/>
    </xf>
    <xf applyAlignment="true" applyBorder="false" applyFill="true" applyFont="true" applyNumberFormat="false" applyProtection="false" borderId="301" fillId="76" fontId="24" numFmtId="0" xfId="0">
      <alignment horizontal="left" vertical="center" wrapText="true"/>
    </xf>
    <xf applyAlignment="true" applyBorder="false" applyFill="false" applyFont="true" applyNumberFormat="true" applyProtection="false" borderId="301" fillId="0" fontId="24" numFmtId="178" xfId="0">
      <alignment horizontal="left" vertical="center"/>
    </xf>
    <xf applyAlignment="true" applyBorder="false" applyFill="true" applyFont="true" applyNumberFormat="false" applyProtection="false" borderId="303" fillId="76" fontId="24" numFmtId="0" xfId="0">
      <alignment vertical="center" wrapText="true"/>
    </xf>
    <xf applyAlignment="true" applyBorder="false" applyFill="false" applyFont="true" applyNumberFormat="false" applyProtection="false" borderId="304" fillId="0" fontId="24" numFmtId="0" xfId="0">
      <alignment horizontal="left" vertical="center" wrapText="true"/>
    </xf>
    <xf applyAlignment="true" applyBorder="false" applyFill="false" applyFont="true" applyNumberFormat="false" applyProtection="false" borderId="304"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299" fillId="77" fontId="24" numFmtId="0" xfId="0">
      <alignment horizontal="center" vertical="center" wrapText="true"/>
    </xf>
    <xf applyAlignment="true" applyBorder="false" applyFill="true" applyFont="true" applyNumberFormat="false" applyProtection="false" borderId="299" fillId="77" fontId="24" numFmtId="0" xfId="0">
      <alignment horizontal="center" vertical="center"/>
    </xf>
    <xf applyAlignment="true" applyBorder="false" applyFill="true" applyFont="true" applyNumberFormat="false" applyProtection="false" borderId="299" fillId="77" fontId="24"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299" fillId="78" fontId="26" numFmtId="0" xfId="0">
      <alignment horizontal="center" vertical="center" wrapText="true"/>
    </xf>
    <xf applyAlignment="true" applyBorder="false" applyFill="true" applyFont="true" applyNumberFormat="false" applyProtection="false" borderId="299" fillId="78" fontId="26" numFmtId="0" xfId="0">
      <alignment horizontal="center" vertical="center"/>
    </xf>
    <xf applyAlignment="true" applyBorder="false" applyFill="true" applyFont="true" applyNumberFormat="false" applyProtection="false" borderId="305" fillId="78" fontId="26" numFmtId="0" xfId="0">
      <alignment horizontal="center" vertical="center" wrapText="true"/>
    </xf>
    <xf applyAlignment="true" applyBorder="false" applyFill="false" applyFont="true" applyNumberFormat="false" applyProtection="false" borderId="299" fillId="0" fontId="27" numFmtId="0" xfId="0">
      <alignment vertical="center" wrapText="true"/>
    </xf>
    <xf applyAlignment="true" applyBorder="false" applyFill="false" applyFont="true" applyNumberFormat="false" applyProtection="false" borderId="306" fillId="0" fontId="5" numFmtId="0" xfId="0">
      <alignment vertical="center"/>
    </xf>
    <xf applyAlignment="true" applyBorder="false" applyFill="false" applyFont="true" applyNumberFormat="false" applyProtection="false" borderId="299" fillId="0" fontId="28" numFmtId="0" xfId="0">
      <alignment horizontal="left" vertical="center" wrapText="true"/>
    </xf>
    <xf applyAlignment="true" applyBorder="false" applyFill="false" applyFont="true" applyNumberFormat="false" applyProtection="false" borderId="299" fillId="0" fontId="27" numFmtId="0" xfId="0">
      <alignment vertical="center"/>
    </xf>
    <xf applyAlignment="true" applyBorder="false" applyFill="false" applyFont="true" applyNumberFormat="false" applyProtection="false" borderId="299" fillId="0" fontId="27" numFmtId="0" xfId="0">
      <alignment vertical="center" wrapText="true"/>
    </xf>
    <xf applyAlignment="true" applyBorder="false" applyFill="false" applyFont="true" applyNumberFormat="false" applyProtection="false" borderId="299" fillId="0" fontId="28" numFmtId="0" xfId="0">
      <alignment horizontal="left" vertical="center"/>
    </xf>
    <xf applyAlignment="true" applyBorder="false" applyFill="true" applyFont="true" applyNumberFormat="false" applyProtection="false" borderId="307" fillId="79" fontId="3" numFmtId="0" xfId="0">
      <alignment horizontal="center" vertical="center"/>
    </xf>
    <xf applyAlignment="true" applyBorder="false" applyFill="false" applyFont="true" applyNumberFormat="false" applyProtection="false" borderId="306" fillId="0" fontId="5" numFmtId="0" xfId="0">
      <alignment vertical="center" wrapText="true"/>
    </xf>
    <xf applyAlignment="true" applyBorder="false" applyFill="false" applyFont="true" applyNumberFormat="false" applyProtection="false" borderId="308" fillId="0" fontId="28" numFmtId="0" xfId="0">
      <alignment horizontal="center" vertical="center" wrapText="true"/>
    </xf>
    <xf applyAlignment="true" applyBorder="false" applyFill="false" applyFont="true" applyNumberFormat="false" applyProtection="false" borderId="306" fillId="0" fontId="28" numFmtId="0" xfId="0">
      <alignment vertical="center" wrapText="true"/>
    </xf>
    <xf applyAlignment="true" applyBorder="false" applyFill="false" applyFont="true" applyNumberFormat="false" applyProtection="false" borderId="299" fillId="0" fontId="3" numFmtId="0" xfId="0">
      <alignment vertical="center" wrapText="true"/>
    </xf>
    <xf applyAlignment="true" applyBorder="false" applyFill="false" applyFont="true" applyNumberFormat="false" applyProtection="false" borderId="299" fillId="0" fontId="3" numFmtId="0" xfId="0">
      <alignment vertical="center"/>
    </xf>
    <xf applyAlignment="true" applyBorder="false" applyFill="false" applyFont="true" applyNumberFormat="false" applyProtection="false" borderId="309" fillId="0" fontId="5" numFmtId="0" xfId="0">
      <alignment vertical="center" wrapText="true"/>
    </xf>
    <xf applyAlignment="true" applyBorder="false" applyFill="false" applyFont="true" applyNumberFormat="false" applyProtection="false" borderId="310" fillId="0" fontId="28" numFmtId="0" xfId="0">
      <alignment horizontal="center" vertical="center" wrapText="true"/>
    </xf>
    <xf applyAlignment="true" applyBorder="false" applyFill="false" applyFont="true" applyNumberFormat="false" applyProtection="false" borderId="310" fillId="0" fontId="28" numFmtId="0" xfId="0">
      <alignment vertical="center" wrapText="true"/>
    </xf>
    <xf applyAlignment="true" applyBorder="false" applyFill="false" applyFont="true" applyNumberFormat="false" applyProtection="false" borderId="310" fillId="0" fontId="5" numFmtId="0" xfId="0">
      <alignment vertical="center" wrapText="true"/>
    </xf>
    <xf applyAlignment="true" applyBorder="false" applyFill="false" applyFont="true" applyNumberFormat="false" applyProtection="false" borderId="311" fillId="0" fontId="3" numFmtId="0" xfId="0">
      <alignment vertical="center" wrapText="true"/>
    </xf>
    <xf applyAlignment="true" applyBorder="false" applyFill="false" applyFont="true" applyNumberFormat="false" applyProtection="false" borderId="312" fillId="0" fontId="5" numFmtId="0" xfId="0">
      <alignment vertical="center" wrapText="true"/>
    </xf>
    <xf applyAlignment="true" applyBorder="false" applyFill="false" applyFont="true" applyNumberFormat="false" applyProtection="false" borderId="313" fillId="0" fontId="5" numFmtId="0" xfId="0">
      <alignment vertical="center" wrapText="true"/>
    </xf>
    <xf applyAlignment="true" applyBorder="false" applyFill="false" applyFont="true" applyNumberFormat="false" applyProtection="false" borderId="310" fillId="0" fontId="27" numFmtId="0" xfId="0">
      <alignment vertical="center"/>
    </xf>
    <xf applyAlignment="true" applyBorder="false" applyFill="false" applyFont="true" applyNumberFormat="false" applyProtection="false" borderId="310" fillId="0" fontId="3" numFmtId="0" xfId="0">
      <alignment horizontal="left" vertical="center" wrapText="true"/>
    </xf>
    <xf applyAlignment="true" applyBorder="false" applyFill="false" applyFont="true" applyNumberFormat="false" applyProtection="false" borderId="313" fillId="0" fontId="3" numFmtId="0" xfId="0">
      <alignment horizontal="left" vertical="center" wrapText="true"/>
    </xf>
    <xf applyAlignment="true" applyBorder="false" applyFill="false" applyFont="true" applyNumberFormat="false" applyProtection="false" borderId="310" fillId="0" fontId="5" numFmtId="0" xfId="0">
      <alignment vertical="center"/>
    </xf>
    <xf applyAlignment="true" applyBorder="false" applyFill="false" applyFont="true" applyNumberFormat="false" applyProtection="false" borderId="314" fillId="0" fontId="5" numFmtId="0" xfId="0">
      <alignment vertical="center" wrapText="true"/>
    </xf>
    <xf applyAlignment="true" applyBorder="false" applyFill="false" applyFont="true" applyNumberFormat="false" applyProtection="false" borderId="313" fillId="0" fontId="3" numFmtId="0" xfId="0">
      <alignment vertical="center"/>
    </xf>
    <xf applyAlignment="true" applyBorder="false" applyFill="true" applyFont="true" applyNumberFormat="false" applyProtection="false" borderId="299" fillId="79" fontId="3" numFmtId="0" xfId="0">
      <alignment horizontal="center" vertical="center"/>
    </xf>
    <xf applyAlignment="true" applyBorder="false" applyFill="false" applyFont="true" applyNumberFormat="false" applyProtection="false" borderId="299" fillId="0" fontId="3" numFmtId="0" xfId="0">
      <alignment vertical="center" wrapText="true"/>
    </xf>
    <xf applyAlignment="true" applyBorder="false" applyFill="false" applyFont="true" applyNumberFormat="false" applyProtection="false" borderId="315" fillId="0" fontId="5" numFmtId="0" xfId="0">
      <alignment vertical="center" wrapText="true"/>
    </xf>
    <xf applyAlignment="true" applyBorder="false" applyFill="false" applyFont="true" applyNumberFormat="false" applyProtection="false" borderId="310" fillId="0" fontId="5" numFmtId="0" xfId="0">
      <alignment vertical="center"/>
    </xf>
    <xf applyAlignment="true" applyBorder="false" applyFill="true" applyFont="true" applyNumberFormat="false" applyProtection="false" borderId="0" fillId="80" fontId="23" numFmtId="0" xfId="0">
      <alignment vertical="center"/>
    </xf>
    <xf applyAlignment="true" applyBorder="false" applyFill="true" applyFont="true" applyNumberFormat="false" applyProtection="false" borderId="299" fillId="80" fontId="27" numFmtId="0" xfId="0">
      <alignment vertical="center" wrapText="true"/>
    </xf>
    <xf applyAlignment="true" applyBorder="false" applyFill="true" applyFont="true" applyNumberFormat="false" applyProtection="false" borderId="306" fillId="80" fontId="5" numFmtId="0" xfId="0">
      <alignment vertical="center"/>
    </xf>
    <xf applyAlignment="true" applyBorder="false" applyFill="true" applyFont="true" applyNumberFormat="false" applyProtection="false" borderId="299" fillId="80" fontId="28" numFmtId="0" xfId="0">
      <alignment horizontal="left" vertical="center" wrapText="true"/>
    </xf>
    <xf applyAlignment="true" applyBorder="false" applyFill="true" applyFont="true" applyNumberFormat="false" applyProtection="false" borderId="299" fillId="80" fontId="27" numFmtId="0" xfId="0">
      <alignment vertical="center"/>
    </xf>
    <xf applyAlignment="true" applyBorder="false" applyFill="true" applyFont="true" applyNumberFormat="false" applyProtection="false" borderId="299" fillId="80" fontId="27" numFmtId="0" xfId="0">
      <alignment vertical="center" wrapText="true"/>
    </xf>
    <xf applyAlignment="true" applyBorder="false" applyFill="true" applyFont="true" applyNumberFormat="false" applyProtection="false" borderId="299" fillId="80" fontId="28" numFmtId="0" xfId="0">
      <alignment horizontal="left" vertical="center"/>
    </xf>
    <xf applyAlignment="true" applyBorder="false" applyFill="true" applyFont="true" applyNumberFormat="false" applyProtection="false" borderId="299" fillId="80" fontId="3" numFmtId="0" xfId="0">
      <alignment horizontal="center" vertical="center"/>
    </xf>
    <xf applyAlignment="true" applyBorder="false" applyFill="true" applyFont="true" applyNumberFormat="false" applyProtection="false" borderId="306" fillId="80" fontId="5" numFmtId="0" xfId="0">
      <alignment vertical="center" wrapText="true"/>
    </xf>
    <xf applyAlignment="true" applyBorder="false" applyFill="true" applyFont="true" applyNumberFormat="false" applyProtection="false" borderId="308" fillId="80" fontId="28" numFmtId="0" xfId="0">
      <alignment horizontal="center" vertical="center" wrapText="true"/>
    </xf>
    <xf applyAlignment="true" applyBorder="false" applyFill="true" applyFont="true" applyNumberFormat="false" applyProtection="false" borderId="306" fillId="80" fontId="28" numFmtId="0" xfId="0">
      <alignment vertical="center" wrapText="true"/>
    </xf>
    <xf applyAlignment="true" applyBorder="false" applyFill="true" applyFont="true" applyNumberFormat="false" applyProtection="false" borderId="299" fillId="80" fontId="3" numFmtId="0" xfId="0">
      <alignment vertical="center" wrapText="true"/>
    </xf>
    <xf applyAlignment="true" applyBorder="false" applyFill="true" applyFont="true" applyNumberFormat="false" applyProtection="false" borderId="299" fillId="80" fontId="3" numFmtId="0" xfId="0">
      <alignment vertical="center"/>
    </xf>
    <xf applyAlignment="true" applyBorder="false" applyFill="true" applyFont="true" applyNumberFormat="false" applyProtection="false" borderId="0" fillId="80" fontId="5" numFmtId="0" xfId="0">
      <alignment vertical="center"/>
    </xf>
    <xf applyAlignment="true" applyBorder="false" applyFill="true" applyFont="true" applyNumberFormat="false" applyProtection="false" borderId="311" fillId="80" fontId="3" numFmtId="0" xfId="0">
      <alignment vertical="center" wrapText="true"/>
    </xf>
    <xf applyAlignment="true" applyBorder="false" applyFill="true" applyFont="true" applyNumberFormat="false" applyProtection="false" borderId="0" fillId="81" fontId="23" numFmtId="0" xfId="0">
      <alignment vertical="center"/>
    </xf>
    <xf applyAlignment="true" applyBorder="false" applyFill="true" applyFont="true" applyNumberFormat="false" applyProtection="false" borderId="299" fillId="81" fontId="27" numFmtId="0" xfId="0">
      <alignment vertical="center" wrapText="true"/>
    </xf>
    <xf applyAlignment="true" applyBorder="false" applyFill="true" applyFont="true" applyNumberFormat="false" applyProtection="false" borderId="306" fillId="81" fontId="5" numFmtId="0" xfId="0">
      <alignment vertical="center"/>
    </xf>
    <xf applyAlignment="true" applyBorder="false" applyFill="true" applyFont="true" applyNumberFormat="false" applyProtection="false" borderId="299" fillId="81" fontId="28" numFmtId="0" xfId="0">
      <alignment horizontal="left" vertical="center" wrapText="true"/>
    </xf>
    <xf applyAlignment="true" applyBorder="false" applyFill="true" applyFont="true" applyNumberFormat="false" applyProtection="false" borderId="299" fillId="81" fontId="27" numFmtId="0" xfId="0">
      <alignment vertical="center"/>
    </xf>
    <xf applyAlignment="true" applyBorder="false" applyFill="true" applyFont="true" applyNumberFormat="false" applyProtection="false" borderId="299" fillId="81" fontId="27" numFmtId="0" xfId="0">
      <alignment vertical="center" wrapText="true"/>
    </xf>
    <xf applyAlignment="true" applyBorder="false" applyFill="true" applyFont="true" applyNumberFormat="false" applyProtection="false" borderId="299" fillId="81" fontId="28" numFmtId="0" xfId="0">
      <alignment horizontal="left" vertical="center"/>
    </xf>
    <xf applyAlignment="true" applyBorder="false" applyFill="true" applyFont="true" applyNumberFormat="false" applyProtection="false" borderId="299" fillId="81" fontId="3" numFmtId="0" xfId="0">
      <alignment horizontal="center" vertical="center"/>
    </xf>
    <xf applyAlignment="true" applyBorder="false" applyFill="true" applyFont="true" applyNumberFormat="false" applyProtection="false" borderId="306" fillId="81" fontId="5" numFmtId="0" xfId="0">
      <alignment vertical="center" wrapText="true"/>
    </xf>
    <xf applyAlignment="true" applyBorder="false" applyFill="true" applyFont="true" applyNumberFormat="false" applyProtection="false" borderId="308" fillId="81" fontId="28" numFmtId="0" xfId="0">
      <alignment horizontal="center" vertical="center" wrapText="true"/>
    </xf>
    <xf applyAlignment="true" applyBorder="false" applyFill="true" applyFont="true" applyNumberFormat="false" applyProtection="false" borderId="306" fillId="81" fontId="28" numFmtId="0" xfId="0">
      <alignment vertical="center" wrapText="true"/>
    </xf>
    <xf applyAlignment="true" applyBorder="false" applyFill="true" applyFont="true" applyNumberFormat="false" applyProtection="false" borderId="306" fillId="81" fontId="3" numFmtId="0" xfId="0">
      <alignment vertical="center"/>
    </xf>
    <xf applyAlignment="true" applyBorder="false" applyFill="true" applyFont="true" applyNumberFormat="false" applyProtection="false" borderId="311" fillId="81" fontId="3" numFmtId="0" xfId="0">
      <alignment vertical="center"/>
    </xf>
    <xf applyAlignment="true" applyBorder="false" applyFill="true" applyFont="true" applyNumberFormat="false" applyProtection="false" borderId="299" fillId="81" fontId="3" numFmtId="0" xfId="0">
      <alignment vertical="center" wrapText="true"/>
    </xf>
    <xf applyAlignment="true" applyBorder="false" applyFill="true" applyFont="true" applyNumberFormat="false" applyProtection="false" borderId="299" fillId="81" fontId="3" numFmtId="0" xfId="0">
      <alignment vertical="center"/>
    </xf>
    <xf applyAlignment="true" applyBorder="false" applyFill="true" applyFont="true" applyNumberFormat="false" applyProtection="false" borderId="0" fillId="81" fontId="5" numFmtId="0" xfId="0">
      <alignment vertical="center"/>
    </xf>
    <xf applyAlignment="true" applyBorder="false" applyFill="false" applyFont="true" applyNumberFormat="false" applyProtection="false" borderId="306" fillId="0" fontId="28" numFmtId="0" xfId="0">
      <alignment vertical="center" wrapText="true"/>
    </xf>
    <xf applyAlignment="true" applyBorder="false" applyFill="false" applyFont="true" applyNumberFormat="false" applyProtection="false" borderId="311" fillId="0" fontId="3" numFmtId="0" xfId="0">
      <alignment vertical="center"/>
    </xf>
    <xf applyAlignment="true" applyBorder="false" applyFill="false" applyFont="true" applyNumberFormat="false" applyProtection="false" borderId="316" fillId="0" fontId="28"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299" fillId="0" fontId="28" numFmtId="0" xfId="0">
      <alignment vertical="center" wrapText="true"/>
    </xf>
    <xf applyAlignment="true" applyBorder="false" applyFill="false" applyFont="true" applyNumberFormat="false" applyProtection="false" borderId="299" fillId="0" fontId="28" numFmtId="0" xfId="0">
      <alignment horizontal="left" vertical="center" wrapText="true"/>
    </xf>
    <xf applyAlignment="true" applyBorder="false" applyFill="false" applyFont="true" applyNumberFormat="false" applyProtection="false" borderId="317" fillId="0" fontId="21" numFmtId="0" xfId="0">
      <alignment horizontal="left" vertical="top" wrapText="true"/>
    </xf>
    <xf applyAlignment="true" applyBorder="false" applyFill="false" applyFont="true" applyNumberFormat="false" applyProtection="false" borderId="318" fillId="0" fontId="22" numFmtId="0" xfId="0">
      <alignment horizontal="left" vertical="center" wrapText="true"/>
    </xf>
    <xf applyAlignment="true" applyBorder="false" applyFill="false" applyFont="true" applyNumberFormat="false" applyProtection="false" borderId="318"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true" applyFont="true" applyNumberFormat="false" applyProtection="false" borderId="319" fillId="82" fontId="24" numFmtId="0" xfId="0">
      <alignment horizontal="left" vertical="center" wrapText="true"/>
    </xf>
    <xf applyAlignment="true" applyBorder="false" applyFill="false" applyFont="true" applyNumberFormat="false" applyProtection="false" borderId="320" fillId="0" fontId="24" numFmtId="0" xfId="0">
      <alignment horizontal="left" vertical="center"/>
    </xf>
    <xf applyAlignment="true" applyBorder="false" applyFill="false" applyFont="true" applyNumberFormat="false" applyProtection="false" borderId="320" fillId="0" fontId="24" numFmtId="0" xfId="0">
      <alignment horizontal="left" vertical="center"/>
    </xf>
    <xf applyAlignment="true" applyBorder="false" applyFill="false" applyFont="true" applyNumberFormat="false" applyProtection="false" borderId="320" fillId="0" fontId="24" numFmtId="0" xfId="0">
      <alignment horizontal="left" vertical="center" wrapText="true"/>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321" fillId="82" fontId="24" numFmtId="0" xfId="0">
      <alignment horizontal="left" vertical="center" wrapText="true"/>
    </xf>
    <xf applyAlignment="true" applyBorder="false" applyFill="false" applyFont="true" applyNumberFormat="false" applyProtection="false" borderId="322" fillId="0" fontId="24" numFmtId="0" xfId="0">
      <alignment horizontal="left" vertical="center"/>
    </xf>
    <xf applyAlignment="true" applyBorder="false" applyFill="true" applyFont="true" applyNumberFormat="false" applyProtection="false" borderId="322" fillId="82"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322" fillId="0" fontId="24" numFmtId="0" xfId="0">
      <alignment horizontal="left" vertical="center"/>
    </xf>
    <xf applyAlignment="true" applyBorder="false" applyFill="true" applyFont="true" applyNumberFormat="false" applyProtection="false" borderId="321" fillId="82" fontId="24" numFmtId="0" xfId="0">
      <alignment vertical="center"/>
    </xf>
    <xf applyAlignment="true" applyBorder="false" applyFill="false" applyFont="true" applyNumberFormat="false" applyProtection="false" borderId="323" fillId="0" fontId="24" numFmtId="0" xfId="0">
      <alignment vertical="center"/>
    </xf>
    <xf applyAlignment="true" applyBorder="false" applyFill="true" applyFont="true" applyNumberFormat="false" applyProtection="false" borderId="321" fillId="82" fontId="24" numFmtId="0" xfId="0">
      <alignment vertical="center" wrapText="true"/>
    </xf>
    <xf applyAlignment="true" applyBorder="false" applyFill="false" applyFont="true" applyNumberFormat="false" applyProtection="false" borderId="323" fillId="0" fontId="24" numFmtId="0" xfId="0">
      <alignment horizontal="left" vertical="center"/>
    </xf>
    <xf applyAlignment="true" applyBorder="false" applyFill="true" applyFont="true" applyNumberFormat="false" applyProtection="false" borderId="322" fillId="82" fontId="24" numFmtId="0" xfId="0">
      <alignment horizontal="left" vertical="center" wrapText="true"/>
    </xf>
    <xf applyAlignment="true" applyBorder="false" applyFill="false" applyFont="true" applyNumberFormat="true" applyProtection="false" borderId="322" fillId="0" fontId="24" numFmtId="179" xfId="0">
      <alignment horizontal="left" vertical="center"/>
    </xf>
    <xf applyAlignment="true" applyBorder="false" applyFill="true" applyFont="true" applyNumberFormat="false" applyProtection="false" borderId="324" fillId="82" fontId="24" numFmtId="0" xfId="0">
      <alignment vertical="center" wrapText="true"/>
    </xf>
    <xf applyAlignment="true" applyBorder="false" applyFill="false" applyFont="true" applyNumberFormat="false" applyProtection="false" borderId="325" fillId="0" fontId="24" numFmtId="0" xfId="0">
      <alignment horizontal="left" vertical="center" wrapText="true"/>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320" fillId="83" fontId="24" numFmtId="0" xfId="0">
      <alignment horizontal="center" vertical="center" wrapText="true"/>
    </xf>
    <xf applyAlignment="true" applyBorder="false" applyFill="true" applyFont="true" applyNumberFormat="false" applyProtection="false" borderId="320" fillId="83" fontId="24" numFmtId="0" xfId="0">
      <alignment horizontal="center" vertical="center"/>
    </xf>
    <xf applyAlignment="true" applyBorder="false" applyFill="true" applyFont="true" applyNumberFormat="false" applyProtection="false" borderId="320" fillId="83" fontId="24"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320" fillId="84" fontId="26" numFmtId="0" xfId="0">
      <alignment horizontal="center" vertical="center" wrapText="true"/>
    </xf>
    <xf applyAlignment="true" applyBorder="false" applyFill="true" applyFont="true" applyNumberFormat="false" applyProtection="false" borderId="320" fillId="84" fontId="26" numFmtId="0" xfId="0">
      <alignment horizontal="center" vertical="center"/>
    </xf>
    <xf applyAlignment="true" applyBorder="false" applyFill="true" applyFont="true" applyNumberFormat="false" applyProtection="false" borderId="326" fillId="84" fontId="26" numFmtId="0" xfId="0">
      <alignment horizontal="center" vertical="center" wrapText="true"/>
    </xf>
    <xf applyAlignment="true" applyBorder="false" applyFill="false" applyFont="true" applyNumberFormat="false" applyProtection="false" borderId="320" fillId="0" fontId="27" numFmtId="0" xfId="0">
      <alignment vertical="center" wrapText="true"/>
    </xf>
    <xf applyAlignment="true" applyBorder="false" applyFill="false" applyFont="true" applyNumberFormat="false" applyProtection="false" borderId="327" fillId="0" fontId="5" numFmtId="0" xfId="0">
      <alignment vertical="center"/>
    </xf>
    <xf applyAlignment="true" applyBorder="false" applyFill="false" applyFont="true" applyNumberFormat="false" applyProtection="false" borderId="320" fillId="0" fontId="28" numFmtId="0" xfId="0">
      <alignment horizontal="left" vertical="center" wrapText="true"/>
    </xf>
    <xf applyAlignment="true" applyBorder="false" applyFill="false" applyFont="true" applyNumberFormat="false" applyProtection="false" borderId="320" fillId="0" fontId="27" numFmtId="0" xfId="0">
      <alignment vertical="center"/>
    </xf>
    <xf applyAlignment="true" applyBorder="false" applyFill="false" applyFont="true" applyNumberFormat="false" applyProtection="false" borderId="320" fillId="0" fontId="27" numFmtId="0" xfId="0">
      <alignment vertical="center" wrapText="true"/>
    </xf>
    <xf applyAlignment="true" applyBorder="false" applyFill="false" applyFont="true" applyNumberFormat="false" applyProtection="false" borderId="320" fillId="0" fontId="28" numFmtId="0" xfId="0">
      <alignment horizontal="left" vertical="center"/>
    </xf>
    <xf applyAlignment="true" applyBorder="false" applyFill="true" applyFont="true" applyNumberFormat="false" applyProtection="false" borderId="328" fillId="85" fontId="3" numFmtId="0" xfId="0">
      <alignment horizontal="center" vertical="center"/>
    </xf>
    <xf applyAlignment="true" applyBorder="false" applyFill="false" applyFont="true" applyNumberFormat="false" applyProtection="false" borderId="327" fillId="0" fontId="5" numFmtId="0" xfId="0">
      <alignment vertical="center" wrapText="true"/>
    </xf>
    <xf applyAlignment="true" applyBorder="false" applyFill="false" applyFont="true" applyNumberFormat="false" applyProtection="false" borderId="329" fillId="0" fontId="28" numFmtId="0" xfId="0">
      <alignment horizontal="center" vertical="center" wrapText="true"/>
    </xf>
    <xf applyAlignment="true" applyBorder="false" applyFill="false" applyFont="true" applyNumberFormat="false" applyProtection="false" borderId="330" fillId="0" fontId="5" numFmtId="0" xfId="0">
      <alignment vertical="center"/>
    </xf>
    <xf applyAlignment="true" applyBorder="false" applyFill="false" applyFont="true" applyNumberFormat="false" applyProtection="false" borderId="331" fillId="0" fontId="5" numFmtId="0" xfId="0">
      <alignment vertical="center" wrapText="true"/>
    </xf>
    <xf applyAlignment="true" applyBorder="false" applyFill="false" applyFont="true" applyNumberFormat="false" applyProtection="false" borderId="320" fillId="0" fontId="3" numFmtId="0" xfId="0">
      <alignment vertical="center" wrapText="true"/>
    </xf>
    <xf applyAlignment="true" applyBorder="false" applyFill="false" applyFont="true" applyNumberFormat="false" applyProtection="false" borderId="320" fillId="0" fontId="3" numFmtId="0" xfId="0">
      <alignment vertical="center" wrapText="true"/>
    </xf>
    <xf applyAlignment="true" applyBorder="false" applyFill="false" applyFont="true" applyNumberFormat="false" applyProtection="false" borderId="320" fillId="0" fontId="3" numFmtId="0" xfId="0">
      <alignment vertical="center"/>
    </xf>
    <xf applyAlignment="true" applyBorder="false" applyFill="false" applyFont="true" applyNumberFormat="false" applyProtection="false" borderId="332" fillId="0" fontId="5" numFmtId="0" xfId="0">
      <alignment vertical="center" wrapText="true"/>
    </xf>
    <xf applyAlignment="true" applyBorder="false" applyFill="false" applyFont="true" applyNumberFormat="false" applyProtection="false" borderId="330" fillId="0" fontId="28" numFmtId="0" xfId="0">
      <alignment horizontal="center" vertical="center" wrapText="true"/>
    </xf>
    <xf applyAlignment="true" applyBorder="false" applyFill="false" applyFont="true" applyNumberFormat="false" applyProtection="false" borderId="330" fillId="0" fontId="28" numFmtId="0" xfId="0">
      <alignment vertical="center" wrapText="true"/>
    </xf>
    <xf applyAlignment="true" applyBorder="false" applyFill="false" applyFont="true" applyNumberFormat="false" applyProtection="false" borderId="330" fillId="0" fontId="5" numFmtId="0" xfId="0">
      <alignment vertical="center" wrapText="true"/>
    </xf>
    <xf applyAlignment="true" applyBorder="false" applyFill="false" applyFont="true" applyNumberFormat="false" applyProtection="false" borderId="333" fillId="0" fontId="3" numFmtId="0" xfId="0">
      <alignment vertical="center" wrapText="true"/>
    </xf>
    <xf applyAlignment="true" applyBorder="false" applyFill="false" applyFont="true" applyNumberFormat="false" applyProtection="false" borderId="334" fillId="0" fontId="5" numFmtId="0" xfId="0">
      <alignment vertical="center" wrapText="true"/>
    </xf>
    <xf applyAlignment="true" applyBorder="false" applyFill="false" applyFont="true" applyNumberFormat="false" applyProtection="false" borderId="335" fillId="0" fontId="5" numFmtId="0" xfId="0">
      <alignment vertical="center" wrapText="true"/>
    </xf>
    <xf applyAlignment="true" applyBorder="false" applyFill="false" applyFont="true" applyNumberFormat="false" applyProtection="false" borderId="330" fillId="0" fontId="27" numFmtId="0" xfId="0">
      <alignment vertical="center"/>
    </xf>
    <xf applyAlignment="true" applyBorder="false" applyFill="false" applyFont="true" applyNumberFormat="false" applyProtection="false" borderId="330" fillId="0" fontId="3" numFmtId="0" xfId="0">
      <alignment horizontal="left" vertical="center" wrapText="true"/>
    </xf>
    <xf applyAlignment="true" applyBorder="false" applyFill="false" applyFont="true" applyNumberFormat="false" applyProtection="false" borderId="336" fillId="0" fontId="3" numFmtId="0" xfId="0">
      <alignment horizontal="left" vertical="center" wrapText="true"/>
    </xf>
    <xf applyAlignment="true" applyBorder="false" applyFill="false" applyFont="true" applyNumberFormat="false" applyProtection="false" borderId="337" fillId="0" fontId="5" numFmtId="0" xfId="0">
      <alignment vertical="center" wrapText="true"/>
    </xf>
    <xf applyAlignment="true" applyBorder="false" applyFill="false" applyFont="true" applyNumberFormat="false" applyProtection="false" borderId="336" fillId="0" fontId="3" numFmtId="0" xfId="0">
      <alignment vertical="center"/>
    </xf>
    <xf applyAlignment="true" applyBorder="false" applyFill="true" applyFont="true" applyNumberFormat="false" applyProtection="false" borderId="320" fillId="85" fontId="3" numFmtId="0" xfId="0">
      <alignment horizontal="center" vertical="center"/>
    </xf>
    <xf applyAlignment="true" applyBorder="false" applyFill="false" applyFont="true" applyNumberFormat="false" applyProtection="false" borderId="336" fillId="0" fontId="5" numFmtId="0" xfId="0">
      <alignment vertical="center" wrapText="true"/>
    </xf>
    <xf applyAlignment="true" applyBorder="false" applyFill="false" applyFont="true" applyNumberFormat="false" applyProtection="false" borderId="330" fillId="0" fontId="5" numFmtId="0" xfId="0">
      <alignment vertical="center"/>
    </xf>
    <xf applyAlignment="true" applyBorder="false" applyFill="true" applyFont="true" applyNumberFormat="false" applyProtection="false" borderId="0" fillId="86" fontId="23" numFmtId="0" xfId="0">
      <alignment vertical="center"/>
    </xf>
    <xf applyAlignment="true" applyBorder="false" applyFill="true" applyFont="true" applyNumberFormat="false" applyProtection="false" borderId="320" fillId="86" fontId="27" numFmtId="0" xfId="0">
      <alignment vertical="center" wrapText="true"/>
    </xf>
    <xf applyAlignment="true" applyBorder="false" applyFill="true" applyFont="true" applyNumberFormat="false" applyProtection="false" borderId="327" fillId="86" fontId="5" numFmtId="0" xfId="0">
      <alignment vertical="center"/>
    </xf>
    <xf applyAlignment="true" applyBorder="false" applyFill="true" applyFont="true" applyNumberFormat="false" applyProtection="false" borderId="320" fillId="86" fontId="28" numFmtId="0" xfId="0">
      <alignment horizontal="left" vertical="center" wrapText="true"/>
    </xf>
    <xf applyAlignment="true" applyBorder="false" applyFill="true" applyFont="true" applyNumberFormat="false" applyProtection="false" borderId="320" fillId="86" fontId="27" numFmtId="0" xfId="0">
      <alignment vertical="center"/>
    </xf>
    <xf applyAlignment="true" applyBorder="false" applyFill="true" applyFont="true" applyNumberFormat="false" applyProtection="false" borderId="320" fillId="86" fontId="27" numFmtId="0" xfId="0">
      <alignment vertical="center" wrapText="true"/>
    </xf>
    <xf applyAlignment="true" applyBorder="false" applyFill="true" applyFont="true" applyNumberFormat="false" applyProtection="false" borderId="320" fillId="86" fontId="28" numFmtId="0" xfId="0">
      <alignment horizontal="left" vertical="center"/>
    </xf>
    <xf applyAlignment="true" applyBorder="false" applyFill="true" applyFont="true" applyNumberFormat="false" applyProtection="false" borderId="320" fillId="86" fontId="3" numFmtId="0" xfId="0">
      <alignment horizontal="center" vertical="center"/>
    </xf>
    <xf applyAlignment="true" applyBorder="false" applyFill="true" applyFont="true" applyNumberFormat="false" applyProtection="false" borderId="327" fillId="86" fontId="5" numFmtId="0" xfId="0">
      <alignment vertical="center" wrapText="true"/>
    </xf>
    <xf applyAlignment="true" applyBorder="false" applyFill="true" applyFont="true" applyNumberFormat="false" applyProtection="false" borderId="329" fillId="86" fontId="28" numFmtId="0" xfId="0">
      <alignment horizontal="center" vertical="center" wrapText="true"/>
    </xf>
    <xf applyAlignment="true" applyBorder="false" applyFill="true" applyFont="true" applyNumberFormat="false" applyProtection="false" borderId="330" fillId="86" fontId="5" numFmtId="0" xfId="0">
      <alignment vertical="center"/>
    </xf>
    <xf applyAlignment="true" applyBorder="false" applyFill="true" applyFont="true" applyNumberFormat="false" applyProtection="false" borderId="331" fillId="86" fontId="5" numFmtId="0" xfId="0">
      <alignment vertical="center" wrapText="true"/>
    </xf>
    <xf applyAlignment="true" applyBorder="false" applyFill="true" applyFont="true" applyNumberFormat="false" applyProtection="false" borderId="320" fillId="86" fontId="3" numFmtId="0" xfId="0">
      <alignment vertical="center" wrapText="true"/>
    </xf>
    <xf applyAlignment="true" applyBorder="false" applyFill="true" applyFont="true" applyNumberFormat="false" applyProtection="false" borderId="320" fillId="86" fontId="3" numFmtId="0" xfId="0">
      <alignment vertical="center"/>
    </xf>
    <xf applyAlignment="true" applyBorder="false" applyFill="true" applyFont="true" applyNumberFormat="false" applyProtection="false" borderId="320" fillId="86" fontId="3" numFmtId="0" xfId="0">
      <alignment vertical="center"/>
    </xf>
    <xf applyAlignment="true" applyBorder="false" applyFill="true" applyFont="true" applyNumberFormat="false" applyProtection="false" borderId="0" fillId="86" fontId="5" numFmtId="0" xfId="0">
      <alignment vertical="center"/>
    </xf>
    <xf applyAlignment="true" applyBorder="false" applyFill="true" applyFont="true" applyNumberFormat="false" applyProtection="false" borderId="332" fillId="86" fontId="5" numFmtId="0" xfId="0">
      <alignment vertical="center" wrapText="true"/>
    </xf>
    <xf applyAlignment="true" applyBorder="false" applyFill="true" applyFont="true" applyNumberFormat="false" applyProtection="false" borderId="330" fillId="86" fontId="28" numFmtId="0" xfId="0">
      <alignment horizontal="center" vertical="center" wrapText="true"/>
    </xf>
    <xf applyAlignment="true" applyBorder="false" applyFill="true" applyFont="true" applyNumberFormat="false" applyProtection="false" borderId="330" fillId="86" fontId="28" numFmtId="0" xfId="0">
      <alignment vertical="center" wrapText="true"/>
    </xf>
    <xf applyAlignment="true" applyBorder="false" applyFill="true" applyFont="true" applyNumberFormat="false" applyProtection="false" borderId="330" fillId="86" fontId="5" numFmtId="0" xfId="0">
      <alignment vertical="center" wrapText="true"/>
    </xf>
    <xf applyAlignment="true" applyBorder="false" applyFill="true" applyFont="true" applyNumberFormat="false" applyProtection="false" borderId="333" fillId="86" fontId="3" numFmtId="0" xfId="0">
      <alignment vertical="center" wrapText="true"/>
    </xf>
    <xf applyAlignment="true" applyBorder="false" applyFill="true" applyFont="true" applyNumberFormat="false" applyProtection="false" borderId="338" fillId="86" fontId="28" numFmtId="0" xfId="0">
      <alignment horizontal="center" vertical="center" wrapText="true"/>
    </xf>
    <xf applyAlignment="true" applyBorder="false" applyFill="true" applyFont="true" applyNumberFormat="false" applyProtection="false" borderId="337" fillId="86" fontId="28" numFmtId="0" xfId="0">
      <alignment vertical="center" wrapText="true"/>
    </xf>
    <xf applyAlignment="true" applyBorder="false" applyFill="true" applyFont="true" applyNumberFormat="false" applyProtection="false" borderId="337" fillId="86" fontId="5" numFmtId="0" xfId="0">
      <alignment vertical="center" wrapText="true"/>
    </xf>
    <xf applyAlignment="true" applyBorder="false" applyFill="false" applyFont="true" applyNumberFormat="false" applyProtection="false" borderId="327" fillId="0" fontId="28" numFmtId="0" xfId="0">
      <alignment vertical="center" wrapText="true"/>
    </xf>
    <xf applyAlignment="true" applyBorder="false" applyFill="false" applyFont="true" applyNumberFormat="false" applyProtection="false" borderId="333" fillId="0" fontId="3" numFmtId="0" xfId="0">
      <alignment vertical="center"/>
    </xf>
    <xf applyAlignment="true" applyBorder="false" applyFill="false" applyFont="true" applyNumberFormat="false" applyProtection="false" borderId="331" fillId="0" fontId="28" numFmtId="0" xfId="0">
      <alignment horizontal="center" vertical="center" wrapText="true"/>
    </xf>
    <xf applyAlignment="true" applyBorder="false" applyFill="false" applyFont="true" applyNumberFormat="false" applyProtection="false" borderId="327" fillId="0" fontId="28" numFmtId="0" xfId="0">
      <alignment vertical="center" wrapText="true"/>
    </xf>
    <xf applyAlignment="true" applyBorder="false" applyFill="false" applyFont="true" applyNumberFormat="false" applyProtection="false" borderId="339" fillId="0" fontId="28"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320" fillId="0" fontId="28" numFmtId="0" xfId="0">
      <alignment vertical="center" wrapText="true"/>
    </xf>
    <xf applyAlignment="true" applyBorder="false" applyFill="false" applyFont="true" applyNumberFormat="false" applyProtection="false" borderId="331" fillId="0" fontId="5" numFmtId="0" xfId="0">
      <alignment vertical="center"/>
    </xf>
    <xf applyAlignment="true" applyBorder="false" applyFill="false" applyFont="true" applyNumberFormat="false" applyProtection="false" borderId="340" fillId="0" fontId="21" numFmtId="0" xfId="0">
      <alignment horizontal="left" vertical="top" wrapText="true"/>
    </xf>
    <xf applyAlignment="true" applyBorder="false" applyFill="false" applyFont="true" applyNumberFormat="false" applyProtection="false" borderId="341" fillId="0" fontId="22" numFmtId="0" xfId="0">
      <alignment horizontal="left" vertical="center" wrapText="true"/>
    </xf>
    <xf applyAlignment="true" applyBorder="false" applyFill="false" applyFont="true" applyNumberFormat="false" applyProtection="false" borderId="341"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true" applyFont="true" applyNumberFormat="false" applyProtection="false" borderId="342" fillId="87" fontId="24" numFmtId="0" xfId="0">
      <alignment horizontal="left" vertical="center" wrapText="true"/>
    </xf>
    <xf applyAlignment="true" applyBorder="false" applyFill="false" applyFont="true" applyNumberFormat="false" applyProtection="false" borderId="343" fillId="0" fontId="24" numFmtId="0" xfId="0">
      <alignment horizontal="left" vertical="center"/>
    </xf>
    <xf applyAlignment="true" applyBorder="false" applyFill="false" applyFont="true" applyNumberFormat="false" applyProtection="false" borderId="343" fillId="0" fontId="24" numFmtId="0" xfId="0">
      <alignment horizontal="left" vertical="center"/>
    </xf>
    <xf applyAlignment="true" applyBorder="false" applyFill="false" applyFont="true" applyNumberFormat="false" applyProtection="false" borderId="343" fillId="0" fontId="24" numFmtId="0" xfId="0">
      <alignment horizontal="left" vertical="center" wrapText="true"/>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344" fillId="87" fontId="24" numFmtId="0" xfId="0">
      <alignment horizontal="left" vertical="center" wrapText="true"/>
    </xf>
    <xf applyAlignment="true" applyBorder="false" applyFill="false" applyFont="true" applyNumberFormat="false" applyProtection="false" borderId="345" fillId="0" fontId="24" numFmtId="0" xfId="0">
      <alignment horizontal="left" vertical="center"/>
    </xf>
    <xf applyAlignment="true" applyBorder="false" applyFill="true" applyFont="true" applyNumberFormat="false" applyProtection="false" borderId="345" fillId="87"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345" fillId="0" fontId="24" numFmtId="0" xfId="0">
      <alignment horizontal="left" vertical="center"/>
    </xf>
    <xf applyAlignment="true" applyBorder="false" applyFill="false" applyFont="true" applyNumberFormat="false" applyProtection="false" borderId="345" fillId="0" fontId="24" numFmtId="0" xfId="0">
      <alignment horizontal="left" vertical="center"/>
    </xf>
    <xf applyAlignment="true" applyBorder="false" applyFill="true" applyFont="true" applyNumberFormat="false" applyProtection="false" borderId="344" fillId="87" fontId="24" numFmtId="0" xfId="0">
      <alignment vertical="center"/>
    </xf>
    <xf applyAlignment="true" applyBorder="false" applyFill="false" applyFont="true" applyNumberFormat="false" applyProtection="false" borderId="346" fillId="0" fontId="24" numFmtId="0" xfId="0">
      <alignment vertical="center"/>
    </xf>
    <xf applyAlignment="true" applyBorder="false" applyFill="true" applyFont="true" applyNumberFormat="false" applyProtection="false" borderId="344" fillId="87" fontId="24" numFmtId="0" xfId="0">
      <alignment vertical="center" wrapText="true"/>
    </xf>
    <xf applyAlignment="true" applyBorder="false" applyFill="false" applyFont="true" applyNumberFormat="false" applyProtection="false" borderId="346" fillId="0" fontId="24" numFmtId="0" xfId="0">
      <alignment horizontal="left" vertical="center"/>
    </xf>
    <xf applyAlignment="true" applyBorder="false" applyFill="true" applyFont="true" applyNumberFormat="false" applyProtection="false" borderId="345" fillId="87" fontId="24" numFmtId="0" xfId="0">
      <alignment horizontal="left" vertical="center" wrapText="true"/>
    </xf>
    <xf applyAlignment="true" applyBorder="false" applyFill="false" applyFont="true" applyNumberFormat="true" applyProtection="false" borderId="345" fillId="0" fontId="24" numFmtId="180" xfId="0">
      <alignment horizontal="left" vertical="center"/>
    </xf>
    <xf applyAlignment="true" applyBorder="false" applyFill="true" applyFont="true" applyNumberFormat="false" applyProtection="false" borderId="347" fillId="87" fontId="24" numFmtId="0" xfId="0">
      <alignment vertical="center" wrapText="true"/>
    </xf>
    <xf applyAlignment="true" applyBorder="false" applyFill="false" applyFont="true" applyNumberFormat="false" applyProtection="false" borderId="348" fillId="0" fontId="24" numFmtId="0" xfId="0">
      <alignment horizontal="left" vertical="center" wrapText="true"/>
    </xf>
    <xf applyAlignment="true" applyBorder="false" applyFill="false" applyFont="true" applyNumberFormat="false" applyProtection="false" borderId="348"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343" fillId="88" fontId="24" numFmtId="0" xfId="0">
      <alignment horizontal="center" vertical="center" wrapText="true"/>
    </xf>
    <xf applyAlignment="true" applyBorder="false" applyFill="true" applyFont="true" applyNumberFormat="false" applyProtection="false" borderId="343" fillId="88" fontId="24" numFmtId="0" xfId="0">
      <alignment horizontal="center" vertical="center"/>
    </xf>
    <xf applyAlignment="true" applyBorder="false" applyFill="true" applyFont="true" applyNumberFormat="false" applyProtection="false" borderId="343" fillId="88" fontId="24" numFmtId="0" xfId="0">
      <alignment horizontal="center" vertical="center" wrapText="true"/>
    </xf>
    <xf applyAlignment="true" applyBorder="false" applyFill="true" applyFont="true" applyNumberFormat="false" applyProtection="false" borderId="343" fillId="89" fontId="26" numFmtId="0" xfId="0">
      <alignment horizontal="center" vertical="center" wrapText="true"/>
    </xf>
    <xf applyAlignment="true" applyBorder="false" applyFill="true" applyFont="true" applyNumberFormat="false" applyProtection="false" borderId="343" fillId="89" fontId="26" numFmtId="0" xfId="0">
      <alignment horizontal="center" vertical="center"/>
    </xf>
    <xf applyAlignment="true" applyBorder="false" applyFill="true" applyFont="true" applyNumberFormat="false" applyProtection="false" borderId="349" fillId="89" fontId="26" numFmtId="0" xfId="0">
      <alignment horizontal="center" vertical="center" wrapText="true"/>
    </xf>
    <xf applyAlignment="true" applyBorder="false" applyFill="false" applyFont="true" applyNumberFormat="false" applyProtection="false" borderId="343" fillId="0" fontId="27" numFmtId="0" xfId="0">
      <alignment vertical="center" wrapText="true"/>
    </xf>
    <xf applyAlignment="true" applyBorder="false" applyFill="false" applyFont="true" applyNumberFormat="false" applyProtection="false" borderId="350" fillId="0" fontId="5" numFmtId="0" xfId="0">
      <alignment vertical="center"/>
    </xf>
    <xf applyAlignment="true" applyBorder="false" applyFill="false" applyFont="true" applyNumberFormat="false" applyProtection="false" borderId="343" fillId="0" fontId="28" numFmtId="0" xfId="0">
      <alignment horizontal="left" vertical="center" wrapText="true"/>
    </xf>
    <xf applyAlignment="true" applyBorder="false" applyFill="false" applyFont="true" applyNumberFormat="false" applyProtection="false" borderId="343" fillId="0" fontId="27" numFmtId="0" xfId="0">
      <alignment vertical="center"/>
    </xf>
    <xf applyAlignment="true" applyBorder="false" applyFill="false" applyFont="true" applyNumberFormat="false" applyProtection="false" borderId="343" fillId="0" fontId="27" numFmtId="0" xfId="0">
      <alignment vertical="center" wrapText="true"/>
    </xf>
    <xf applyAlignment="true" applyBorder="false" applyFill="false" applyFont="true" applyNumberFormat="false" applyProtection="false" borderId="343" fillId="0" fontId="28" numFmtId="0" xfId="0">
      <alignment horizontal="left" vertical="center"/>
    </xf>
    <xf applyAlignment="true" applyBorder="false" applyFill="true" applyFont="true" applyNumberFormat="false" applyProtection="false" borderId="351" fillId="90" fontId="3" numFmtId="0" xfId="0">
      <alignment horizontal="center" vertical="center"/>
    </xf>
    <xf applyAlignment="true" applyBorder="false" applyFill="false" applyFont="true" applyNumberFormat="false" applyProtection="false" borderId="350" fillId="0" fontId="5" numFmtId="0" xfId="0">
      <alignment vertical="center" wrapText="true"/>
    </xf>
    <xf applyAlignment="true" applyBorder="false" applyFill="false" applyFont="true" applyNumberFormat="false" applyProtection="false" borderId="352" fillId="0" fontId="28" numFmtId="0" xfId="0">
      <alignment horizontal="center" vertical="center" wrapText="true"/>
    </xf>
    <xf applyAlignment="true" applyBorder="false" applyFill="false" applyFont="true" applyNumberFormat="false" applyProtection="false" borderId="353" fillId="0" fontId="5" numFmtId="0" xfId="0">
      <alignment vertical="center"/>
    </xf>
    <xf applyAlignment="true" applyBorder="false" applyFill="false" applyFont="true" applyNumberFormat="false" applyProtection="false" borderId="354" fillId="0" fontId="5" numFmtId="0" xfId="0">
      <alignment vertical="center" wrapText="true"/>
    </xf>
    <xf applyAlignment="true" applyBorder="false" applyFill="false" applyFont="true" applyNumberFormat="false" applyProtection="false" borderId="343" fillId="0" fontId="3" numFmtId="0" xfId="0">
      <alignment vertical="center" wrapText="true"/>
    </xf>
    <xf applyAlignment="true" applyBorder="false" applyFill="false" applyFont="true" applyNumberFormat="false" applyProtection="false" borderId="343" fillId="0" fontId="3" numFmtId="0" xfId="0">
      <alignment vertical="center" wrapText="true"/>
    </xf>
    <xf applyAlignment="true" applyBorder="false" applyFill="false" applyFont="true" applyNumberFormat="false" applyProtection="false" borderId="343" fillId="0" fontId="3" numFmtId="0" xfId="0">
      <alignment vertical="center"/>
    </xf>
    <xf applyAlignment="true" applyBorder="false" applyFill="false" applyFont="true" applyNumberFormat="false" applyProtection="false" borderId="355" fillId="0" fontId="5" numFmtId="0" xfId="0">
      <alignment vertical="center" wrapText="true"/>
    </xf>
    <xf applyAlignment="true" applyBorder="false" applyFill="false" applyFont="true" applyNumberFormat="false" applyProtection="false" borderId="353" fillId="0" fontId="3" numFmtId="0" xfId="0">
      <alignment horizontal="left" vertical="center" wrapText="true"/>
    </xf>
    <xf applyAlignment="true" applyBorder="false" applyFill="false" applyFont="true" applyNumberFormat="false" applyProtection="false" borderId="356" fillId="0" fontId="5" numFmtId="0" xfId="0">
      <alignment vertical="center" wrapText="true"/>
    </xf>
    <xf applyAlignment="true" applyBorder="false" applyFill="true" applyFont="true" applyNumberFormat="false" applyProtection="false" borderId="343" fillId="90" fontId="3" numFmtId="0" xfId="0">
      <alignment horizontal="center" vertical="center"/>
    </xf>
    <xf applyAlignment="true" applyBorder="false" applyFill="true" applyFont="true" applyNumberFormat="false" applyProtection="false" borderId="0" fillId="91" fontId="23" numFmtId="0" xfId="0">
      <alignment vertical="center"/>
    </xf>
    <xf applyAlignment="true" applyBorder="false" applyFill="true" applyFont="true" applyNumberFormat="false" applyProtection="false" borderId="343" fillId="91" fontId="27" numFmtId="0" xfId="0">
      <alignment vertical="center" wrapText="true"/>
    </xf>
    <xf applyAlignment="true" applyBorder="false" applyFill="true" applyFont="true" applyNumberFormat="false" applyProtection="false" borderId="350" fillId="91" fontId="5" numFmtId="0" xfId="0">
      <alignment vertical="center"/>
    </xf>
    <xf applyAlignment="true" applyBorder="false" applyFill="true" applyFont="true" applyNumberFormat="false" applyProtection="false" borderId="343" fillId="91" fontId="28" numFmtId="0" xfId="0">
      <alignment horizontal="left" vertical="center" wrapText="true"/>
    </xf>
    <xf applyAlignment="true" applyBorder="false" applyFill="true" applyFont="true" applyNumberFormat="false" applyProtection="false" borderId="343" fillId="91" fontId="27" numFmtId="0" xfId="0">
      <alignment vertical="center"/>
    </xf>
    <xf applyAlignment="true" applyBorder="false" applyFill="true" applyFont="true" applyNumberFormat="false" applyProtection="false" borderId="343" fillId="91" fontId="27" numFmtId="0" xfId="0">
      <alignment vertical="center" wrapText="true"/>
    </xf>
    <xf applyAlignment="true" applyBorder="false" applyFill="true" applyFont="true" applyNumberFormat="false" applyProtection="false" borderId="343" fillId="91" fontId="28" numFmtId="0" xfId="0">
      <alignment horizontal="left" vertical="center"/>
    </xf>
    <xf applyAlignment="true" applyBorder="false" applyFill="true" applyFont="true" applyNumberFormat="false" applyProtection="false" borderId="343" fillId="91" fontId="3" numFmtId="0" xfId="0">
      <alignment horizontal="center" vertical="center"/>
    </xf>
    <xf applyAlignment="true" applyBorder="false" applyFill="true" applyFont="true" applyNumberFormat="false" applyProtection="false" borderId="350" fillId="91" fontId="5" numFmtId="0" xfId="0">
      <alignment vertical="center" wrapText="true"/>
    </xf>
    <xf applyAlignment="true" applyBorder="false" applyFill="true" applyFont="true" applyNumberFormat="false" applyProtection="false" borderId="352" fillId="91" fontId="28" numFmtId="0" xfId="0">
      <alignment horizontal="center" vertical="center" wrapText="true"/>
    </xf>
    <xf applyAlignment="true" applyBorder="false" applyFill="true" applyFont="true" applyNumberFormat="false" applyProtection="false" borderId="353" fillId="91" fontId="5" numFmtId="0" xfId="0">
      <alignment vertical="center"/>
    </xf>
    <xf applyAlignment="true" applyBorder="false" applyFill="true" applyFont="true" applyNumberFormat="false" applyProtection="false" borderId="354" fillId="91" fontId="5" numFmtId="0" xfId="0">
      <alignment vertical="center" wrapText="true"/>
    </xf>
    <xf applyAlignment="true" applyBorder="false" applyFill="true" applyFont="true" applyNumberFormat="false" applyProtection="false" borderId="343" fillId="91" fontId="3" numFmtId="0" xfId="0">
      <alignment vertical="center" wrapText="true"/>
    </xf>
    <xf applyAlignment="true" applyBorder="false" applyFill="true" applyFont="true" applyNumberFormat="false" applyProtection="false" borderId="343" fillId="91" fontId="3" numFmtId="0" xfId="0">
      <alignment vertical="center"/>
    </xf>
    <xf applyAlignment="true" applyBorder="false" applyFill="true" applyFont="true" applyNumberFormat="false" applyProtection="false" borderId="343" fillId="91" fontId="3" numFmtId="0" xfId="0">
      <alignment vertical="center"/>
    </xf>
    <xf applyAlignment="true" applyBorder="false" applyFill="false" applyFont="true" applyNumberFormat="false" applyProtection="false" borderId="350" fillId="0" fontId="28" numFmtId="0" xfId="0">
      <alignment vertical="center" wrapText="true"/>
    </xf>
    <xf applyAlignment="true" applyBorder="false" applyFill="false" applyFont="true" applyNumberFormat="false" applyProtection="false" borderId="357" fillId="0" fontId="3" numFmtId="0" xfId="0">
      <alignment vertical="center"/>
    </xf>
    <xf applyAlignment="true" applyBorder="false" applyFill="false" applyFont="true" applyNumberFormat="false" applyProtection="false" borderId="358" fillId="0" fontId="28"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343" fillId="0" fontId="28" numFmtId="0" xfId="0">
      <alignment vertical="center" wrapText="true"/>
    </xf>
    <xf applyAlignment="true" applyBorder="false" applyFill="false" applyFont="true" applyNumberFormat="false" applyProtection="false" borderId="343" fillId="0" fontId="27" numFmtId="0" xfId="0">
      <alignment vertical="center"/>
    </xf>
    <xf applyAlignment="true" applyBorder="false" applyFill="false" applyFont="true" applyNumberFormat="false" applyProtection="false" borderId="354" fillId="0" fontId="5" numFmtId="0" xfId="0">
      <alignment vertical="center"/>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343" fillId="0" fontId="28" numFmtId="0" xfId="0">
      <alignment horizontal="left" vertical="center" wrapText="true"/>
    </xf>
    <xf applyAlignment="true" applyBorder="false" applyFill="false" applyFont="true" applyNumberFormat="false" applyProtection="false" borderId="343" fillId="0" fontId="27" numFmtId="0" xfId="0">
      <alignment vertical="center" wrapText="true"/>
    </xf>
    <xf applyAlignment="true" applyBorder="false" applyFill="false" applyFont="true" applyNumberFormat="false" applyProtection="false" borderId="343" fillId="0" fontId="28" numFmtId="0" xfId="0">
      <alignment horizontal="left" vertical="center"/>
    </xf>
    <xf applyAlignment="true" applyBorder="false" applyFill="true" applyFont="true" applyNumberFormat="false" applyProtection="false" borderId="343" fillId="90" fontId="3" numFmtId="0" xfId="0">
      <alignment horizontal="center" vertical="center"/>
    </xf>
    <xf applyAlignment="true" applyBorder="false" applyFill="false" applyFont="true" applyNumberFormat="false" applyProtection="false" borderId="350" fillId="0" fontId="5" numFmtId="0" xfId="0">
      <alignment vertical="center" wrapText="true"/>
    </xf>
    <xf applyAlignment="true" applyBorder="false" applyFill="false" applyFont="true" applyNumberFormat="false" applyProtection="false" borderId="352" fillId="0" fontId="28" numFmtId="0" xfId="0">
      <alignment horizontal="center" vertical="center" wrapText="true"/>
    </xf>
    <xf applyAlignment="true" applyBorder="false" applyFill="false" applyFont="true" applyNumberFormat="false" applyProtection="false" borderId="353" fillId="0" fontId="5" numFmtId="0" xfId="0">
      <alignment vertical="center"/>
    </xf>
    <xf applyAlignment="true" applyBorder="false" applyFill="false" applyFont="true" applyNumberFormat="false" applyProtection="false" borderId="354" fillId="0" fontId="5" numFmtId="0" xfId="0">
      <alignment vertical="center"/>
    </xf>
    <xf applyAlignment="true" applyBorder="false" applyFill="false" applyFont="true" applyNumberFormat="false" applyProtection="false" borderId="343" fillId="0" fontId="3" numFmtId="0" xfId="0">
      <alignment vertical="center" wrapText="true"/>
    </xf>
    <xf applyAlignment="true" applyBorder="false" applyFill="false" applyFont="true" applyNumberFormat="false" applyProtection="false" borderId="343" fillId="0" fontId="3" numFmtId="0" xfId="0">
      <alignment vertical="center"/>
    </xf>
    <xf applyAlignment="true" applyBorder="false" applyFill="false" applyFont="true" applyNumberFormat="false" applyProtection="false" borderId="343" fillId="0" fontId="3" numFmtId="0" xfId="0">
      <alignment vertical="center" wrapText="true"/>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9" numFmtId="0" xfId="0">
      <alignment vertical="center"/>
    </xf>
    <xf applyAlignment="true" applyBorder="false" applyFill="true" applyFont="true" applyNumberFormat="false" applyProtection="false" borderId="359" fillId="92" fontId="26" numFmtId="0" xfId="0">
      <alignment horizontal="center" vertical="center"/>
    </xf>
    <xf applyAlignment="true" applyBorder="false" applyFill="false" applyFont="true" applyNumberFormat="false" applyProtection="false" borderId="360" fillId="0" fontId="40" numFmtId="0" xfId="0">
      <alignment horizontal="center" vertical="center"/>
    </xf>
    <xf applyAlignment="true" applyBorder="false" applyFill="false" applyFont="true" applyNumberFormat="false" applyProtection="false" borderId="361" fillId="0" fontId="40" numFmtId="0" xfId="0">
      <alignment horizontal="center" vertical="center"/>
    </xf>
    <xf applyAlignment="true" applyBorder="false" applyFill="false" applyFont="true" applyNumberFormat="false" applyProtection="false" borderId="360" fillId="0" fontId="40" numFmtId="0" xfId="0">
      <alignment horizontal="center" vertical="center"/>
    </xf>
    <xf applyAlignment="true" applyBorder="false" applyFill="false" applyFont="true" applyNumberFormat="false" applyProtection="false" borderId="361" fillId="0" fontId="40" numFmtId="0" xfId="0">
      <alignment horizontal="center" vertical="center"/>
    </xf>
    <xf applyAlignment="true" applyBorder="false" applyFill="true" applyFont="true" applyNumberFormat="false" applyProtection="false" borderId="362" fillId="93" fontId="41" numFmtId="0" xfId="0">
      <alignment horizontal="center" vertical="center"/>
    </xf>
    <xf applyAlignment="true" applyBorder="false" applyFill="true" applyFont="true" applyNumberFormat="false" applyProtection="false" borderId="359" fillId="93" fontId="41" numFmtId="0" xfId="0">
      <alignment horizontal="center" vertical="center"/>
    </xf>
    <xf applyAlignment="true" applyBorder="false" applyFill="false" applyFont="true" applyNumberFormat="false" applyProtection="false" borderId="363" fillId="0" fontId="40" numFmtId="0" xfId="0">
      <alignment horizontal="center" vertical="center"/>
    </xf>
    <xf applyAlignment="true" applyBorder="false" applyFill="false" applyFont="true" applyNumberFormat="false" applyProtection="false" borderId="364" fillId="0" fontId="44" numFmtId="0" xfId="0">
      <alignment horizontal="center" vertical="center"/>
    </xf>
    <xf applyAlignment="true" applyBorder="false" applyFill="false" applyFont="true" applyNumberFormat="false" applyProtection="false" borderId="365" fillId="0" fontId="40" numFmtId="0" xfId="0">
      <alignment horizontal="center" vertical="center"/>
    </xf>
    <xf applyAlignment="true" applyBorder="false" applyFill="false" applyFont="true" applyNumberFormat="false" applyProtection="false" borderId="363" fillId="0" fontId="40" numFmtId="0" xfId="0">
      <alignment horizontal="center" vertical="center"/>
    </xf>
    <xf applyAlignment="true" applyBorder="false" applyFill="false" applyFont="true" applyNumberFormat="false" applyProtection="false" borderId="363" fillId="0" fontId="40" numFmtId="0" xfId="0">
      <alignment horizontal="lef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361" fillId="0" fontId="44" numFmtId="0" xfId="0">
      <alignment horizontal="center" vertical="center"/>
    </xf>
    <xf applyAlignment="true" applyBorder="false" applyFill="false" applyFont="true" applyNumberFormat="false" applyProtection="false" borderId="363" fillId="0" fontId="40" numFmtId="0" xfId="0">
      <alignment horizontal="left" vertical="center" wrapText="true"/>
    </xf>
    <xf applyAlignment="true" applyBorder="false" applyFill="false" applyFont="true" applyNumberFormat="false" applyProtection="false" borderId="366" fillId="0" fontId="21" numFmtId="0" xfId="0">
      <alignment horizontal="left" vertical="top" wrapText="true"/>
    </xf>
    <xf applyAlignment="true" applyBorder="false" applyFill="false" applyFont="true" applyNumberFormat="false" applyProtection="false" borderId="367" fillId="0" fontId="22" numFmtId="0" xfId="0">
      <alignment horizontal="left" vertical="center" wrapText="true"/>
    </xf>
    <xf applyAlignment="true" applyBorder="false" applyFill="false" applyFont="true" applyNumberFormat="false" applyProtection="false" borderId="367"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366" fillId="0" fontId="21" numFmtId="0" xfId="0">
      <alignment horizontal="left" vertical="top" wrapText="true"/>
    </xf>
    <xf applyAlignment="true" applyBorder="false" applyFill="true" applyFont="true" applyNumberFormat="false" applyProtection="false" borderId="368" fillId="94" fontId="24" numFmtId="0" xfId="0">
      <alignment horizontal="left" vertical="center" wrapText="true"/>
    </xf>
    <xf applyAlignment="true" applyBorder="false" applyFill="false" applyFont="true" applyNumberFormat="false" applyProtection="false" borderId="369" fillId="0" fontId="24" numFmtId="0" xfId="0">
      <alignment horizontal="left" vertical="center"/>
    </xf>
    <xf applyAlignment="true" applyBorder="false" applyFill="false" applyFont="true" applyNumberFormat="false" applyProtection="false" borderId="369" fillId="0" fontId="24" numFmtId="0" xfId="0">
      <alignment horizontal="left" vertical="center"/>
    </xf>
    <xf applyAlignment="true" applyBorder="false" applyFill="false" applyFont="true" applyNumberFormat="false" applyProtection="false" borderId="369" fillId="0" fontId="24" numFmtId="0" xfId="0">
      <alignment horizontal="left" vertical="center" wrapText="true"/>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370" fillId="94" fontId="24" numFmtId="0" xfId="0">
      <alignment horizontal="left" vertical="center" wrapText="true"/>
    </xf>
    <xf applyAlignment="true" applyBorder="false" applyFill="false" applyFont="true" applyNumberFormat="false" applyProtection="false" borderId="371" fillId="0" fontId="24" numFmtId="0" xfId="0">
      <alignment horizontal="left" vertical="center"/>
    </xf>
    <xf applyAlignment="true" applyBorder="false" applyFill="true" applyFont="true" applyNumberFormat="false" applyProtection="false" borderId="371" fillId="94"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371" fillId="0" fontId="24" numFmtId="0" xfId="0">
      <alignment horizontal="left" vertical="center"/>
    </xf>
    <xf applyAlignment="true" applyBorder="false" applyFill="true" applyFont="true" applyNumberFormat="false" applyProtection="false" borderId="370" fillId="94" fontId="24" numFmtId="0" xfId="0">
      <alignment vertical="center"/>
    </xf>
    <xf applyAlignment="true" applyBorder="false" applyFill="false" applyFont="true" applyNumberFormat="false" applyProtection="false" borderId="372" fillId="0" fontId="24" numFmtId="0" xfId="0">
      <alignment vertical="center"/>
    </xf>
    <xf applyAlignment="true" applyBorder="false" applyFill="true" applyFont="true" applyNumberFormat="false" applyProtection="false" borderId="370" fillId="94" fontId="24" numFmtId="0" xfId="0">
      <alignment vertical="center" wrapText="true"/>
    </xf>
    <xf applyAlignment="true" applyBorder="false" applyFill="false" applyFont="true" applyNumberFormat="false" applyProtection="false" borderId="372" fillId="0" fontId="24" numFmtId="0" xfId="0">
      <alignment horizontal="left" vertical="center"/>
    </xf>
    <xf applyAlignment="true" applyBorder="false" applyFill="true" applyFont="true" applyNumberFormat="false" applyProtection="false" borderId="371" fillId="94" fontId="24" numFmtId="0" xfId="0">
      <alignment horizontal="left" vertical="center" wrapText="true"/>
    </xf>
    <xf applyAlignment="true" applyBorder="false" applyFill="false" applyFont="true" applyNumberFormat="true" applyProtection="false" borderId="371" fillId="0" fontId="24" numFmtId="181" xfId="0">
      <alignment horizontal="left" vertical="center"/>
    </xf>
    <xf applyAlignment="true" applyBorder="false" applyFill="true" applyFont="true" applyNumberFormat="false" applyProtection="false" borderId="373" fillId="94" fontId="24" numFmtId="0" xfId="0">
      <alignment vertical="center" wrapText="true"/>
    </xf>
    <xf applyAlignment="true" applyBorder="false" applyFill="false" applyFont="true" applyNumberFormat="false" applyProtection="false" borderId="374" fillId="0" fontId="24" numFmtId="0" xfId="0">
      <alignment horizontal="left" vertical="center" wrapText="true"/>
    </xf>
    <xf applyAlignment="true" applyBorder="false" applyFill="false" applyFont="true" applyNumberFormat="false" applyProtection="false" borderId="374"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375" fillId="95" fontId="24" numFmtId="0" xfId="0">
      <alignment horizontal="center" vertical="center" wrapText="true"/>
    </xf>
    <xf applyAlignment="true" applyBorder="false" applyFill="true" applyFont="true" applyNumberFormat="false" applyProtection="false" borderId="375" fillId="95" fontId="24" numFmtId="0" xfId="0">
      <alignment horizontal="center" vertical="center"/>
    </xf>
    <xf applyAlignment="true" applyBorder="false" applyFill="true" applyFont="true" applyNumberFormat="false" applyProtection="false" borderId="375" fillId="95" fontId="24" numFmtId="0" xfId="0">
      <alignment horizontal="center" vertical="center" wrapText="true"/>
    </xf>
    <xf applyAlignment="true" applyBorder="false" applyFill="true" applyFont="true" applyNumberFormat="false" applyProtection="false" borderId="375" fillId="96" fontId="26" numFmtId="0" xfId="0">
      <alignment horizontal="center" vertical="center" wrapText="true"/>
    </xf>
    <xf applyAlignment="true" applyBorder="false" applyFill="true" applyFont="true" applyNumberFormat="false" applyProtection="false" borderId="375" fillId="96" fontId="26" numFmtId="0" xfId="0">
      <alignment horizontal="center" vertical="center"/>
    </xf>
    <xf applyAlignment="true" applyBorder="false" applyFill="false" applyFont="true" applyNumberFormat="false" applyProtection="false" borderId="375" fillId="0" fontId="27" numFmtId="0" xfId="0">
      <alignment vertical="center" wrapText="true"/>
    </xf>
    <xf applyAlignment="true" applyBorder="false" applyFill="false" applyFont="true" applyNumberFormat="false" applyProtection="false" borderId="375" fillId="0" fontId="5" numFmtId="0" xfId="0">
      <alignment vertical="center"/>
    </xf>
    <xf applyAlignment="true" applyBorder="false" applyFill="false" applyFont="true" applyNumberFormat="false" applyProtection="false" borderId="375" fillId="0" fontId="28" numFmtId="0" xfId="0">
      <alignment horizontal="left" vertical="center" wrapText="true"/>
    </xf>
    <xf applyAlignment="true" applyBorder="false" applyFill="false" applyFont="true" applyNumberFormat="false" applyProtection="false" borderId="375" fillId="0" fontId="27" numFmtId="0" xfId="0">
      <alignment vertical="center"/>
    </xf>
    <xf applyAlignment="true" applyBorder="false" applyFill="false" applyFont="true" applyNumberFormat="false" applyProtection="false" borderId="375" fillId="0" fontId="27" numFmtId="0" xfId="0">
      <alignment vertical="center" wrapText="true"/>
    </xf>
    <xf applyAlignment="true" applyBorder="false" applyFill="false" applyFont="true" applyNumberFormat="false" applyProtection="false" borderId="375" fillId="0" fontId="28" numFmtId="0" xfId="0">
      <alignment horizontal="left" vertical="center"/>
    </xf>
    <xf applyAlignment="true" applyBorder="false" applyFill="true" applyFont="true" applyNumberFormat="false" applyProtection="false" borderId="375" fillId="97" fontId="3" numFmtId="0" xfId="0">
      <alignment horizontal="center" vertical="center"/>
    </xf>
    <xf applyAlignment="true" applyBorder="false" applyFill="false" applyFont="true" applyNumberFormat="false" applyProtection="false" borderId="375" fillId="0" fontId="5" numFmtId="0" xfId="0">
      <alignment vertical="center" wrapText="true"/>
    </xf>
    <xf applyAlignment="true" applyBorder="false" applyFill="false" applyFont="true" applyNumberFormat="false" applyProtection="false" borderId="375" fillId="0" fontId="28" numFmtId="0" xfId="0">
      <alignment horizontal="center" vertical="center" wrapText="true"/>
    </xf>
    <xf applyAlignment="true" applyBorder="false" applyFill="false" applyFont="true" applyNumberFormat="false" applyProtection="false" borderId="375" fillId="0" fontId="28" numFmtId="0" xfId="0">
      <alignment vertical="center"/>
    </xf>
    <xf applyAlignment="true" applyBorder="false" applyFill="false" applyFont="true" applyNumberFormat="false" applyProtection="false" borderId="375" fillId="0" fontId="3" numFmtId="0" xfId="0">
      <alignment vertical="center" wrapText="true"/>
    </xf>
    <xf applyAlignment="true" applyBorder="false" applyFill="false" applyFont="true" applyNumberFormat="false" applyProtection="false" borderId="375" fillId="0" fontId="3" numFmtId="0" xfId="0">
      <alignment vertical="center"/>
    </xf>
    <xf applyAlignment="true" applyBorder="false" applyFill="false" applyFont="true" applyNumberFormat="false" applyProtection="false" borderId="375" fillId="0" fontId="21" numFmtId="0" xfId="0">
      <alignment horizontal="left" vertical="center" wrapText="true"/>
    </xf>
    <xf applyAlignment="true" applyBorder="false" applyFill="false" applyFont="true" applyNumberFormat="false" applyProtection="false" borderId="375" fillId="0" fontId="45" numFmtId="0" xfId="0">
      <alignment vertical="center" wrapText="true"/>
    </xf>
    <xf applyAlignment="true" applyBorder="false" applyFill="false" applyFont="true" applyNumberFormat="false" applyProtection="false" borderId="375" fillId="0" fontId="45" numFmtId="0" xfId="0">
      <alignment horizontal="center" vertical="center"/>
    </xf>
    <xf applyAlignment="true" applyBorder="false" applyFill="false" applyFont="true" applyNumberFormat="false" applyProtection="false" borderId="375" fillId="0" fontId="45" numFmtId="0" xfId="0">
      <alignment vertical="center"/>
    </xf>
    <xf applyAlignment="true" applyBorder="false" applyFill="false" applyFont="true" applyNumberFormat="false" applyProtection="false" borderId="375" fillId="0" fontId="45" numFmtId="0" xfId="0">
      <alignment vertical="center"/>
    </xf>
    <xf applyAlignment="true" applyBorder="false" applyFill="false" applyFont="true" applyNumberFormat="false" applyProtection="false" borderId="375" fillId="0" fontId="3" numFmtId="0" xfId="0">
      <alignment horizontal="left" vertical="center" wrapText="true"/>
    </xf>
    <xf applyAlignment="true" applyBorder="false" applyFill="false" applyFont="true" applyNumberFormat="false" applyProtection="false" borderId="375" fillId="0" fontId="28" numFmtId="0" xfId="0">
      <alignment vertical="center" wrapText="true"/>
    </xf>
    <xf applyAlignment="true" applyBorder="false" applyFill="false" applyFont="true" applyNumberFormat="false" applyProtection="false" borderId="375" fillId="0" fontId="3" numFmtId="0" xfId="0">
      <alignment vertical="center" wrapText="true"/>
    </xf>
    <xf applyAlignment="true" applyBorder="false" applyFill="true" applyFont="true" applyNumberFormat="false" applyProtection="false" borderId="0" fillId="98" fontId="23" numFmtId="0" xfId="0">
      <alignment vertical="center"/>
    </xf>
    <xf applyAlignment="true" applyBorder="false" applyFill="true" applyFont="true" applyNumberFormat="false" applyProtection="false" borderId="375" fillId="98" fontId="27" numFmtId="0" xfId="0">
      <alignment vertical="center" wrapText="true"/>
    </xf>
    <xf applyAlignment="true" applyBorder="false" applyFill="true" applyFont="true" applyNumberFormat="false" applyProtection="false" borderId="375" fillId="98" fontId="5" numFmtId="0" xfId="0">
      <alignment vertical="center"/>
    </xf>
    <xf applyAlignment="true" applyBorder="false" applyFill="true" applyFont="true" applyNumberFormat="false" applyProtection="false" borderId="375" fillId="98" fontId="28" numFmtId="0" xfId="0">
      <alignment horizontal="left" vertical="center" wrapText="true"/>
    </xf>
    <xf applyAlignment="true" applyBorder="false" applyFill="true" applyFont="true" applyNumberFormat="false" applyProtection="false" borderId="375" fillId="98" fontId="27" numFmtId="0" xfId="0">
      <alignment vertical="center"/>
    </xf>
    <xf applyAlignment="true" applyBorder="false" applyFill="true" applyFont="true" applyNumberFormat="false" applyProtection="false" borderId="375" fillId="98" fontId="27" numFmtId="0" xfId="0">
      <alignment vertical="center" wrapText="true"/>
    </xf>
    <xf applyAlignment="true" applyBorder="false" applyFill="true" applyFont="true" applyNumberFormat="false" applyProtection="false" borderId="375" fillId="98" fontId="28" numFmtId="0" xfId="0">
      <alignment horizontal="left" vertical="center"/>
    </xf>
    <xf applyAlignment="true" applyBorder="false" applyFill="true" applyFont="true" applyNumberFormat="false" applyProtection="false" borderId="375" fillId="98" fontId="3" numFmtId="0" xfId="0">
      <alignment horizontal="center" vertical="center"/>
    </xf>
    <xf applyAlignment="true" applyBorder="false" applyFill="true" applyFont="true" applyNumberFormat="false" applyProtection="false" borderId="375" fillId="98" fontId="3" numFmtId="0" xfId="0">
      <alignment vertical="center" wrapText="true"/>
    </xf>
    <xf applyAlignment="true" applyBorder="false" applyFill="true" applyFont="true" applyNumberFormat="false" applyProtection="false" borderId="375" fillId="98" fontId="3" numFmtId="0" xfId="0">
      <alignment vertical="center"/>
    </xf>
    <xf applyAlignment="true" applyBorder="false" applyFill="false" applyFont="true" applyNumberFormat="false" applyProtection="false" borderId="375" fillId="0" fontId="28"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375" fillId="0" fontId="28" numFmtId="0" xfId="0">
      <alignment vertical="center"/>
    </xf>
    <xf applyAlignment="true" applyBorder="false" applyFill="false" applyFont="true" applyNumberFormat="false" applyProtection="false" borderId="376" fillId="0" fontId="21" numFmtId="0" xfId="0">
      <alignment horizontal="left" vertical="top" wrapText="true"/>
    </xf>
    <xf applyAlignment="true" applyBorder="false" applyFill="false" applyFont="true" applyNumberFormat="false" applyProtection="false" borderId="377" fillId="0" fontId="22" numFmtId="0" xfId="0">
      <alignment horizontal="left" vertical="center" wrapText="true"/>
    </xf>
    <xf applyAlignment="true" applyBorder="false" applyFill="false" applyFont="true" applyNumberFormat="false" applyProtection="false" borderId="377"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376" fillId="0" fontId="21" numFmtId="0" xfId="0">
      <alignment horizontal="left" vertical="top" wrapText="true"/>
    </xf>
    <xf applyAlignment="true" applyBorder="false" applyFill="true" applyFont="true" applyNumberFormat="false" applyProtection="false" borderId="378" fillId="99" fontId="24" numFmtId="0" xfId="0">
      <alignment horizontal="left" vertical="center" wrapText="true"/>
    </xf>
    <xf applyAlignment="true" applyBorder="false" applyFill="false" applyFont="true" applyNumberFormat="false" applyProtection="false" borderId="379" fillId="0" fontId="24" numFmtId="0" xfId="0">
      <alignment horizontal="left" vertical="center"/>
    </xf>
    <xf applyAlignment="true" applyBorder="false" applyFill="false" applyFont="true" applyNumberFormat="false" applyProtection="false" borderId="379" fillId="0" fontId="24" numFmtId="0" xfId="0">
      <alignment horizontal="left" vertical="center"/>
    </xf>
    <xf applyAlignment="true" applyBorder="false" applyFill="false" applyFont="true" applyNumberFormat="false" applyProtection="false" borderId="379" fillId="0" fontId="24" numFmtId="0" xfId="0">
      <alignment horizontal="left" vertical="center" wrapText="true"/>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380" fillId="99" fontId="24" numFmtId="0" xfId="0">
      <alignment horizontal="left" vertical="center" wrapText="true"/>
    </xf>
    <xf applyAlignment="true" applyBorder="false" applyFill="false" applyFont="true" applyNumberFormat="false" applyProtection="false" borderId="381" fillId="0" fontId="24" numFmtId="0" xfId="0">
      <alignment horizontal="left" vertical="center"/>
    </xf>
    <xf applyAlignment="true" applyBorder="false" applyFill="true" applyFont="true" applyNumberFormat="false" applyProtection="false" borderId="381" fillId="99"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381" fillId="0" fontId="24" numFmtId="0" xfId="0">
      <alignment horizontal="left" vertical="center"/>
    </xf>
    <xf applyAlignment="true" applyBorder="false" applyFill="true" applyFont="true" applyNumberFormat="false" applyProtection="false" borderId="380" fillId="99" fontId="24" numFmtId="0" xfId="0">
      <alignment vertical="center"/>
    </xf>
    <xf applyAlignment="true" applyBorder="false" applyFill="false" applyFont="true" applyNumberFormat="false" applyProtection="false" borderId="382" fillId="0" fontId="24" numFmtId="0" xfId="0">
      <alignment vertical="center"/>
    </xf>
    <xf applyAlignment="true" applyBorder="false" applyFill="true" applyFont="true" applyNumberFormat="false" applyProtection="false" borderId="380" fillId="99" fontId="24" numFmtId="0" xfId="0">
      <alignment vertical="center" wrapText="true"/>
    </xf>
    <xf applyAlignment="true" applyBorder="false" applyFill="false" applyFont="true" applyNumberFormat="false" applyProtection="false" borderId="382" fillId="0" fontId="24" numFmtId="0" xfId="0">
      <alignment horizontal="left" vertical="center"/>
    </xf>
    <xf applyAlignment="true" applyBorder="false" applyFill="true" applyFont="true" applyNumberFormat="false" applyProtection="false" borderId="381" fillId="99" fontId="24" numFmtId="0" xfId="0">
      <alignment horizontal="left" vertical="center" wrapText="true"/>
    </xf>
    <xf applyAlignment="true" applyBorder="false" applyFill="false" applyFont="true" applyNumberFormat="true" applyProtection="false" borderId="381" fillId="0" fontId="24" numFmtId="182" xfId="0">
      <alignment horizontal="left" vertical="center"/>
    </xf>
    <xf applyAlignment="true" applyBorder="false" applyFill="true" applyFont="true" applyNumberFormat="false" applyProtection="false" borderId="383" fillId="99" fontId="24" numFmtId="0" xfId="0">
      <alignment vertical="center" wrapText="true"/>
    </xf>
    <xf applyAlignment="true" applyBorder="false" applyFill="false" applyFont="true" applyNumberFormat="false" applyProtection="false" borderId="384" fillId="0" fontId="24" numFmtId="0" xfId="0">
      <alignment horizontal="left" vertical="center" wrapText="true"/>
    </xf>
    <xf applyAlignment="true" applyBorder="false" applyFill="false" applyFont="true" applyNumberFormat="false" applyProtection="false" borderId="384"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385" fillId="100" fontId="24" numFmtId="0" xfId="0">
      <alignment horizontal="center" vertical="center" wrapText="true"/>
    </xf>
    <xf applyAlignment="true" applyBorder="false" applyFill="true" applyFont="true" applyNumberFormat="false" applyProtection="false" borderId="385" fillId="100" fontId="24" numFmtId="0" xfId="0">
      <alignment horizontal="center" vertical="center"/>
    </xf>
    <xf applyAlignment="true" applyBorder="false" applyFill="true" applyFont="true" applyNumberFormat="false" applyProtection="false" borderId="385" fillId="100" fontId="24" numFmtId="0" xfId="0">
      <alignment horizontal="center" vertical="center" wrapText="true"/>
    </xf>
    <xf applyAlignment="true" applyBorder="false" applyFill="true" applyFont="true" applyNumberFormat="false" applyProtection="false" borderId="385" fillId="101" fontId="26" numFmtId="0" xfId="0">
      <alignment horizontal="center" vertical="center" wrapText="true"/>
    </xf>
    <xf applyAlignment="true" applyBorder="false" applyFill="true" applyFont="true" applyNumberFormat="false" applyProtection="false" borderId="385" fillId="101" fontId="26" numFmtId="0" xfId="0">
      <alignment horizontal="center" vertical="center"/>
    </xf>
    <xf applyAlignment="true" applyBorder="false" applyFill="false" applyFont="true" applyNumberFormat="false" applyProtection="false" borderId="385" fillId="0" fontId="27" numFmtId="0" xfId="0">
      <alignment vertical="center" wrapText="true"/>
    </xf>
    <xf applyAlignment="true" applyBorder="false" applyFill="false" applyFont="true" applyNumberFormat="false" applyProtection="false" borderId="385" fillId="0" fontId="5" numFmtId="0" xfId="0">
      <alignment vertical="center"/>
    </xf>
    <xf applyAlignment="true" applyBorder="false" applyFill="false" applyFont="true" applyNumberFormat="false" applyProtection="false" borderId="385" fillId="0" fontId="28" numFmtId="0" xfId="0">
      <alignment horizontal="left" vertical="center" wrapText="true"/>
    </xf>
    <xf applyAlignment="true" applyBorder="false" applyFill="false" applyFont="true" applyNumberFormat="false" applyProtection="false" borderId="385" fillId="0" fontId="27" numFmtId="0" xfId="0">
      <alignment vertical="center"/>
    </xf>
    <xf applyAlignment="true" applyBorder="false" applyFill="false" applyFont="true" applyNumberFormat="false" applyProtection="false" borderId="385" fillId="0" fontId="27" numFmtId="0" xfId="0">
      <alignment vertical="center" wrapText="true"/>
    </xf>
    <xf applyAlignment="true" applyBorder="false" applyFill="false" applyFont="true" applyNumberFormat="false" applyProtection="false" borderId="385" fillId="0" fontId="28" numFmtId="0" xfId="0">
      <alignment horizontal="left" vertical="center"/>
    </xf>
    <xf applyAlignment="true" applyBorder="false" applyFill="true" applyFont="true" applyNumberFormat="false" applyProtection="false" borderId="385" fillId="102" fontId="3" numFmtId="0" xfId="0">
      <alignment horizontal="center" vertical="center"/>
    </xf>
    <xf applyAlignment="true" applyBorder="false" applyFill="false" applyFont="true" applyNumberFormat="false" applyProtection="false" borderId="385" fillId="0" fontId="5" numFmtId="0" xfId="0">
      <alignment vertical="center" wrapText="true"/>
    </xf>
    <xf applyAlignment="true" applyBorder="false" applyFill="false" applyFont="true" applyNumberFormat="false" applyProtection="false" borderId="385" fillId="0" fontId="28" numFmtId="0" xfId="0">
      <alignment horizontal="center" vertical="center" wrapText="true"/>
    </xf>
    <xf applyAlignment="true" applyBorder="false" applyFill="false" applyFont="true" applyNumberFormat="false" applyProtection="false" borderId="385" fillId="0" fontId="28" numFmtId="0" xfId="0">
      <alignment vertical="center"/>
    </xf>
    <xf applyAlignment="true" applyBorder="false" applyFill="false" applyFont="true" applyNumberFormat="false" applyProtection="false" borderId="385" fillId="0" fontId="3" numFmtId="0" xfId="0">
      <alignment vertical="center" wrapText="true"/>
    </xf>
    <xf applyAlignment="true" applyBorder="false" applyFill="false" applyFont="true" applyNumberFormat="false" applyProtection="false" borderId="385" fillId="0" fontId="3" numFmtId="0" xfId="0">
      <alignment vertical="center"/>
    </xf>
    <xf applyAlignment="true" applyBorder="false" applyFill="false" applyFont="true" applyNumberFormat="false" applyProtection="false" borderId="385" fillId="0" fontId="21" numFmtId="0" xfId="0">
      <alignment horizontal="left" vertical="center" wrapText="true"/>
    </xf>
    <xf applyAlignment="true" applyBorder="false" applyFill="false" applyFont="true" applyNumberFormat="false" applyProtection="false" borderId="385" fillId="0" fontId="45" numFmtId="0" xfId="0">
      <alignment horizontal="center" vertical="center"/>
    </xf>
    <xf applyAlignment="true" applyBorder="false" applyFill="false" applyFont="true" applyNumberFormat="false" applyProtection="false" borderId="385" fillId="0" fontId="45" numFmtId="0" xfId="0">
      <alignment vertical="center"/>
    </xf>
    <xf applyAlignment="true" applyBorder="false" applyFill="false" applyFont="true" applyNumberFormat="false" applyProtection="false" borderId="385" fillId="0" fontId="45" numFmtId="0" xfId="0">
      <alignment vertical="center" wrapText="true"/>
    </xf>
    <xf applyAlignment="true" applyBorder="false" applyFill="false" applyFont="true" applyNumberFormat="false" applyProtection="false" borderId="385" fillId="0" fontId="45" numFmtId="0" xfId="0">
      <alignment vertical="center" wrapText="true"/>
    </xf>
    <xf applyAlignment="true" applyBorder="false" applyFill="false" applyFont="true" applyNumberFormat="false" applyProtection="false" borderId="385" fillId="0" fontId="45" numFmtId="0" xfId="0">
      <alignment vertical="center"/>
    </xf>
    <xf applyAlignment="true" applyBorder="false" applyFill="false" applyFont="true" applyNumberFormat="false" applyProtection="false" borderId="385" fillId="0" fontId="21" numFmtId="0" xfId="0">
      <alignment horizontal="left" vertical="center" wrapText="true"/>
    </xf>
    <xf applyAlignment="true" applyBorder="false" applyFill="false" applyFont="true" applyNumberFormat="false" applyProtection="false" borderId="0" fillId="0" fontId="40" numFmtId="0" xfId="0">
      <alignment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9" numFmtId="0" xfId="0">
      <alignment vertical="center"/>
    </xf>
    <xf applyAlignment="true" applyBorder="false" applyFill="true" applyFont="true" applyNumberFormat="false" applyProtection="false" borderId="386" fillId="103" fontId="26" numFmtId="0" xfId="0">
      <alignment horizontal="center" vertical="center"/>
    </xf>
    <xf applyAlignment="true" applyBorder="false" applyFill="false" applyFont="true" applyNumberFormat="false" applyProtection="false" borderId="387" fillId="0" fontId="40" numFmtId="0" xfId="0">
      <alignment horizontal="center" vertical="center"/>
    </xf>
    <xf applyAlignment="true" applyBorder="false" applyFill="false" applyFont="true" applyNumberFormat="false" applyProtection="false" borderId="388" fillId="0" fontId="40" numFmtId="0" xfId="0">
      <alignment horizontal="center" vertical="center"/>
    </xf>
    <xf applyAlignment="true" applyBorder="false" applyFill="false" applyFont="true" applyNumberFormat="false" applyProtection="false" borderId="387" fillId="0" fontId="40" numFmtId="0" xfId="0">
      <alignment horizontal="center" vertical="center"/>
    </xf>
    <xf applyAlignment="true" applyBorder="false" applyFill="false" applyFont="true" applyNumberFormat="false" applyProtection="false" borderId="388" fillId="0" fontId="40" numFmtId="0" xfId="0">
      <alignment horizontal="center" vertical="center"/>
    </xf>
    <xf applyAlignment="true" applyBorder="false" applyFill="true" applyFont="true" applyNumberFormat="false" applyProtection="false" borderId="389" fillId="104" fontId="41" numFmtId="0" xfId="0">
      <alignment horizontal="center" vertical="center"/>
    </xf>
    <xf applyAlignment="true" applyBorder="false" applyFill="true" applyFont="true" applyNumberFormat="false" applyProtection="false" borderId="386" fillId="104" fontId="41" numFmtId="0" xfId="0">
      <alignment horizontal="center" vertical="center"/>
    </xf>
    <xf applyAlignment="true" applyBorder="false" applyFill="false" applyFont="true" applyNumberFormat="false" applyProtection="false" borderId="390" fillId="0" fontId="40" numFmtId="0" xfId="0">
      <alignment horizontal="center" vertical="center"/>
    </xf>
    <xf applyAlignment="true" applyBorder="false" applyFill="false" applyFont="true" applyNumberFormat="false" applyProtection="false" borderId="391" fillId="0" fontId="8" numFmtId="0" xfId="0">
      <alignment horizontal="center" vertical="center"/>
    </xf>
    <xf applyAlignment="true" applyBorder="false" applyFill="false" applyFont="true" applyNumberFormat="false" applyProtection="false" borderId="392" fillId="0" fontId="9" numFmtId="0" xfId="0">
      <alignment horizontal="center" vertical="center"/>
    </xf>
    <xf applyAlignment="true" applyBorder="false" applyFill="false" applyFont="true" applyNumberFormat="false" applyProtection="false" borderId="390" fillId="0" fontId="9" numFmtId="0" xfId="0">
      <alignment horizontal="center" vertical="center"/>
    </xf>
    <xf applyAlignment="true" applyBorder="false" applyFill="false" applyFont="true" applyNumberFormat="false" applyProtection="false" borderId="390" fillId="0" fontId="9" numFmtId="0" xfId="0">
      <alignment horizontal="lef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388" fillId="0" fontId="8" numFmtId="0" xfId="0">
      <alignment horizontal="center" vertical="center"/>
    </xf>
    <xf applyAlignment="true" applyBorder="false" applyFill="false" applyFont="true" applyNumberFormat="false" applyProtection="false" borderId="387" fillId="0" fontId="9" numFmtId="0" xfId="0">
      <alignment horizontal="center" vertical="center"/>
    </xf>
    <xf applyAlignment="true" applyBorder="false" applyFill="false" applyFont="true" applyNumberFormat="false" applyProtection="false" borderId="390" fillId="0" fontId="9" numFmtId="0" xfId="0">
      <alignment horizontal="left" vertical="center" wrapText="true"/>
    </xf>
    <xf applyAlignment="true" applyBorder="false" applyFill="false" applyFont="true" applyNumberFormat="false" applyProtection="false" borderId="393" fillId="0" fontId="21" numFmtId="0" xfId="0">
      <alignment horizontal="left" vertical="top" wrapText="true"/>
    </xf>
    <xf applyAlignment="true" applyBorder="false" applyFill="false" applyFont="true" applyNumberFormat="false" applyProtection="false" borderId="394" fillId="0" fontId="22" numFmtId="0" xfId="0">
      <alignment horizontal="left" vertical="center" wrapText="true"/>
    </xf>
    <xf applyAlignment="true" applyBorder="false" applyFill="false" applyFont="true" applyNumberFormat="false" applyProtection="false" borderId="394"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395" fillId="105" fontId="24" numFmtId="0" xfId="0">
      <alignment horizontal="left" vertical="center" wrapText="true"/>
    </xf>
    <xf applyAlignment="true" applyBorder="false" applyFill="false" applyFont="true" applyNumberFormat="false" applyProtection="false" borderId="396" fillId="0" fontId="24" numFmtId="0" xfId="0">
      <alignment horizontal="left" vertical="center"/>
    </xf>
    <xf applyAlignment="true" applyBorder="false" applyFill="false" applyFont="true" applyNumberFormat="false" applyProtection="false" borderId="396" fillId="0" fontId="24" numFmtId="0" xfId="0">
      <alignment horizontal="left" vertical="center"/>
    </xf>
    <xf applyAlignment="true" applyBorder="false" applyFill="false" applyFont="true" applyNumberFormat="false" applyProtection="false" borderId="396" fillId="0" fontId="24" numFmtId="0" xfId="0">
      <alignment horizontal="left" vertical="center" wrapText="true"/>
    </xf>
    <xf applyAlignment="true" applyBorder="false" applyFill="true" applyFont="true" applyNumberFormat="false" applyProtection="false" borderId="397" fillId="105" fontId="24" numFmtId="0" xfId="0">
      <alignment horizontal="left" vertical="center" wrapText="true"/>
    </xf>
    <xf applyAlignment="true" applyBorder="false" applyFill="false" applyFont="true" applyNumberFormat="false" applyProtection="false" borderId="398" fillId="0" fontId="24" numFmtId="0" xfId="0">
      <alignment horizontal="left" vertical="center"/>
    </xf>
    <xf applyAlignment="true" applyBorder="false" applyFill="true" applyFont="true" applyNumberFormat="false" applyProtection="false" borderId="398" fillId="105"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398" fillId="0" fontId="24" numFmtId="0" xfId="0">
      <alignment horizontal="left" vertical="center"/>
    </xf>
    <xf applyAlignment="true" applyBorder="false" applyFill="true" applyFont="true" applyNumberFormat="false" applyProtection="false" borderId="397" fillId="105" fontId="24" numFmtId="0" xfId="0">
      <alignment vertical="center"/>
    </xf>
    <xf applyAlignment="true" applyBorder="false" applyFill="false" applyFont="true" applyNumberFormat="false" applyProtection="false" borderId="399" fillId="0" fontId="24" numFmtId="0" xfId="0">
      <alignment vertical="center"/>
    </xf>
    <xf applyAlignment="true" applyBorder="false" applyFill="true" applyFont="true" applyNumberFormat="false" applyProtection="false" borderId="397" fillId="105" fontId="24" numFmtId="0" xfId="0">
      <alignment vertical="center" wrapText="true"/>
    </xf>
    <xf applyAlignment="true" applyBorder="false" applyFill="false" applyFont="true" applyNumberFormat="false" applyProtection="false" borderId="399" fillId="0" fontId="24" numFmtId="0" xfId="0">
      <alignment horizontal="left" vertical="center"/>
    </xf>
    <xf applyAlignment="true" applyBorder="false" applyFill="true" applyFont="true" applyNumberFormat="false" applyProtection="false" borderId="398" fillId="105" fontId="24" numFmtId="0" xfId="0">
      <alignment horizontal="left" vertical="center" wrapText="true"/>
    </xf>
    <xf applyAlignment="true" applyBorder="false" applyFill="false" applyFont="true" applyNumberFormat="true" applyProtection="false" borderId="398" fillId="0" fontId="24" numFmtId="183" xfId="0">
      <alignment horizontal="left" vertical="center"/>
    </xf>
    <xf applyAlignment="true" applyBorder="false" applyFill="true" applyFont="true" applyNumberFormat="false" applyProtection="false" borderId="400" fillId="105" fontId="24" numFmtId="0" xfId="0">
      <alignment vertical="center" wrapText="true"/>
    </xf>
    <xf applyAlignment="true" applyBorder="false" applyFill="false" applyFont="true" applyNumberFormat="false" applyProtection="false" borderId="401" fillId="0" fontId="24" numFmtId="0" xfId="0">
      <alignment horizontal="left" vertical="center" wrapText="true"/>
    </xf>
    <xf applyAlignment="true" applyBorder="false" applyFill="false" applyFont="true" applyNumberFormat="false" applyProtection="false" borderId="401"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396" fillId="106" fontId="24" numFmtId="0" xfId="0">
      <alignment horizontal="center" vertical="center" wrapText="true"/>
    </xf>
    <xf applyAlignment="true" applyBorder="false" applyFill="true" applyFont="true" applyNumberFormat="false" applyProtection="false" borderId="396" fillId="106" fontId="24" numFmtId="0" xfId="0">
      <alignment horizontal="center" vertical="center"/>
    </xf>
    <xf applyAlignment="true" applyBorder="false" applyFill="true" applyFont="true" applyNumberFormat="false" applyProtection="false" borderId="396" fillId="106" fontId="24"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396" fillId="107" fontId="26" numFmtId="0" xfId="0">
      <alignment horizontal="center" vertical="center" wrapText="true"/>
    </xf>
    <xf applyAlignment="true" applyBorder="false" applyFill="true" applyFont="true" applyNumberFormat="false" applyProtection="false" borderId="396" fillId="107" fontId="26" numFmtId="0" xfId="0">
      <alignment horizontal="center" vertical="center"/>
    </xf>
    <xf applyAlignment="true" applyBorder="false" applyFill="true" applyFont="true" applyNumberFormat="false" applyProtection="false" borderId="402" fillId="107" fontId="26" numFmtId="0" xfId="0">
      <alignment horizontal="center" vertical="center" wrapText="true"/>
    </xf>
    <xf applyAlignment="true" applyBorder="false" applyFill="false" applyFont="true" applyNumberFormat="false" applyProtection="false" borderId="396" fillId="0" fontId="27" numFmtId="0" xfId="0">
      <alignment vertical="center" wrapText="true"/>
    </xf>
    <xf applyAlignment="true" applyBorder="false" applyFill="false" applyFont="true" applyNumberFormat="false" applyProtection="false" borderId="403" fillId="0" fontId="5" numFmtId="0" xfId="0">
      <alignment vertical="center"/>
    </xf>
    <xf applyAlignment="true" applyBorder="false" applyFill="false" applyFont="true" applyNumberFormat="false" applyProtection="false" borderId="396" fillId="0" fontId="28" numFmtId="0" xfId="0">
      <alignment horizontal="left" vertical="center" wrapText="true"/>
    </xf>
    <xf applyAlignment="true" applyBorder="false" applyFill="false" applyFont="true" applyNumberFormat="false" applyProtection="false" borderId="396" fillId="0" fontId="27" numFmtId="0" xfId="0">
      <alignment vertical="center"/>
    </xf>
    <xf applyAlignment="true" applyBorder="false" applyFill="false" applyFont="true" applyNumberFormat="false" applyProtection="false" borderId="396" fillId="0" fontId="27" numFmtId="0" xfId="0">
      <alignment vertical="center" wrapText="true"/>
    </xf>
    <xf applyAlignment="true" applyBorder="false" applyFill="false" applyFont="true" applyNumberFormat="false" applyProtection="false" borderId="396" fillId="0" fontId="28" numFmtId="0" xfId="0">
      <alignment horizontal="left" vertical="center"/>
    </xf>
    <xf applyAlignment="true" applyBorder="false" applyFill="true" applyFont="true" applyNumberFormat="false" applyProtection="false" borderId="404" fillId="108" fontId="3" numFmtId="0" xfId="0">
      <alignment horizontal="center" vertical="center"/>
    </xf>
    <xf applyAlignment="true" applyBorder="false" applyFill="false" applyFont="true" applyNumberFormat="false" applyProtection="false" borderId="403" fillId="0" fontId="5" numFmtId="0" xfId="0">
      <alignment vertical="center" wrapText="true"/>
    </xf>
    <xf applyAlignment="true" applyBorder="false" applyFill="false" applyFont="true" applyNumberFormat="false" applyProtection="false" borderId="405" fillId="0" fontId="28" numFmtId="0" xfId="0">
      <alignment horizontal="center" vertical="center" wrapText="true"/>
    </xf>
    <xf applyAlignment="true" applyBorder="false" applyFill="false" applyFont="true" applyNumberFormat="false" applyProtection="false" borderId="403" fillId="0" fontId="28" numFmtId="0" xfId="0">
      <alignment vertical="center" wrapText="true"/>
    </xf>
    <xf applyAlignment="true" applyBorder="false" applyFill="false" applyFont="true" applyNumberFormat="false" applyProtection="false" borderId="396" fillId="0" fontId="3" numFmtId="0" xfId="0">
      <alignment vertical="center" wrapText="true"/>
    </xf>
    <xf applyAlignment="true" applyBorder="false" applyFill="false" applyFont="true" applyNumberFormat="false" applyProtection="false" borderId="396" fillId="0" fontId="3" numFmtId="0" xfId="0">
      <alignment vertical="center"/>
    </xf>
    <xf applyAlignment="true" applyBorder="false" applyFill="false" applyFont="true" applyNumberFormat="false" applyProtection="false" borderId="406" fillId="0" fontId="28" numFmtId="0" xfId="0">
      <alignment horizontal="center" vertical="center" wrapText="true"/>
    </xf>
    <xf applyAlignment="true" applyBorder="false" applyFill="false" applyFont="true" applyNumberFormat="false" applyProtection="false" borderId="403" fillId="0" fontId="28" numFmtId="0" xfId="0">
      <alignment vertical="center" wrapText="true"/>
    </xf>
    <xf applyAlignment="true" applyBorder="false" applyFill="true" applyFont="true" applyNumberFormat="false" applyProtection="false" borderId="396" fillId="108" fontId="3" numFmtId="0" xfId="0">
      <alignment horizontal="center" vertical="center"/>
    </xf>
    <xf applyAlignment="true" applyBorder="false" applyFill="false" applyFont="true" applyNumberFormat="false" applyProtection="false" borderId="396" fillId="0" fontId="3" numFmtId="0" xfId="0">
      <alignment vertical="center" wrapText="true"/>
    </xf>
    <xf applyAlignment="true" applyBorder="false" applyFill="false" applyFont="true" applyNumberFormat="false" applyProtection="false" borderId="403" fillId="0" fontId="5" numFmtId="0" xfId="0">
      <alignment vertical="center"/>
    </xf>
    <xf applyAlignment="true" applyBorder="false" applyFill="false" applyFont="true" applyNumberFormat="false" applyProtection="false" borderId="406" fillId="0" fontId="3" numFmtId="0" xfId="0">
      <alignment vertical="center"/>
    </xf>
    <xf applyAlignment="true" applyBorder="false" applyFill="false" applyFont="true" applyNumberFormat="false" applyProtection="false" borderId="403" fillId="0" fontId="3" numFmtId="0" xfId="0">
      <alignment vertical="center"/>
    </xf>
    <xf applyAlignment="true" applyBorder="false" applyFill="false" applyFont="true" applyNumberFormat="false" applyProtection="false" borderId="396" fillId="0" fontId="28" numFmtId="0" xfId="0">
      <alignment horizontal="left" vertical="center" wrapText="true"/>
    </xf>
    <xf applyAlignment="true" applyBorder="false" applyFill="false" applyFont="true" applyNumberFormat="false" applyProtection="false" borderId="407" fillId="0" fontId="28"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396" fillId="0" fontId="28" numFmtId="0" xfId="0">
      <alignment vertical="center" wrapText="true"/>
    </xf>
    <xf applyAlignment="true" applyBorder="false" applyFill="true" applyFont="true" applyNumberFormat="false" applyProtection="false" borderId="0" fillId="109" fontId="23" numFmtId="0" xfId="0">
      <alignment vertical="center"/>
    </xf>
    <xf applyAlignment="true" applyBorder="false" applyFill="true" applyFont="true" applyNumberFormat="false" applyProtection="false" borderId="396" fillId="109" fontId="27" numFmtId="0" xfId="0">
      <alignment vertical="center" wrapText="true"/>
    </xf>
    <xf applyAlignment="true" applyBorder="false" applyFill="true" applyFont="true" applyNumberFormat="false" applyProtection="false" borderId="403" fillId="109" fontId="5" numFmtId="0" xfId="0">
      <alignment vertical="center"/>
    </xf>
    <xf applyAlignment="true" applyBorder="false" applyFill="true" applyFont="true" applyNumberFormat="false" applyProtection="false" borderId="396" fillId="109" fontId="28" numFmtId="0" xfId="0">
      <alignment horizontal="left" vertical="center" wrapText="true"/>
    </xf>
    <xf applyAlignment="true" applyBorder="false" applyFill="true" applyFont="true" applyNumberFormat="false" applyProtection="false" borderId="396" fillId="109" fontId="27" numFmtId="0" xfId="0">
      <alignment vertical="center"/>
    </xf>
    <xf applyAlignment="true" applyBorder="false" applyFill="true" applyFont="true" applyNumberFormat="false" applyProtection="false" borderId="396" fillId="109" fontId="28" numFmtId="0" xfId="0">
      <alignment horizontal="left" vertical="center"/>
    </xf>
    <xf applyAlignment="true" applyBorder="false" applyFill="true" applyFont="true" applyNumberFormat="false" applyProtection="false" borderId="396" fillId="109" fontId="3" numFmtId="0" xfId="0">
      <alignment horizontal="center" vertical="center"/>
    </xf>
    <xf applyAlignment="true" applyBorder="false" applyFill="true" applyFont="true" applyNumberFormat="false" applyProtection="false" borderId="408" fillId="109" fontId="28" numFmtId="0" xfId="0">
      <alignment horizontal="center" vertical="center" wrapText="true"/>
    </xf>
    <xf applyAlignment="true" applyBorder="false" applyFill="true" applyFont="true" applyNumberFormat="false" applyProtection="false" borderId="409" fillId="109" fontId="28" numFmtId="0" xfId="0">
      <alignment vertical="center"/>
    </xf>
    <xf applyAlignment="true" applyBorder="false" applyFill="true" applyFont="true" applyNumberFormat="false" applyProtection="false" borderId="396" fillId="109" fontId="28" numFmtId="0" xfId="0">
      <alignment vertical="center" wrapText="true"/>
    </xf>
    <xf applyAlignment="true" applyBorder="false" applyFill="true" applyFont="true" applyNumberFormat="false" applyProtection="false" borderId="396" fillId="109" fontId="3" numFmtId="0" xfId="0">
      <alignment vertical="center"/>
    </xf>
    <xf applyAlignment="true" applyBorder="false" applyFill="true" applyFont="true" applyNumberFormat="false" applyProtection="false" borderId="396" fillId="109" fontId="3" numFmtId="0" xfId="0">
      <alignment vertical="center" wrapText="true"/>
    </xf>
    <xf applyAlignment="true" applyBorder="false" applyFill="true" applyFont="true" applyNumberFormat="false" applyProtection="false" borderId="0" fillId="109" fontId="5" numFmtId="0" xfId="0">
      <alignment vertical="center"/>
    </xf>
    <xf applyAlignment="true" applyBorder="false" applyFill="false" applyFont="true" applyNumberFormat="false" applyProtection="false" borderId="410" fillId="0" fontId="3" numFmtId="0" xfId="0">
      <alignment vertical="center" wrapText="true"/>
    </xf>
    <xf applyAlignment="true" applyBorder="false" applyFill="false" applyFont="true" applyNumberFormat="false" applyProtection="false" borderId="403" fillId="0" fontId="3" numFmtId="0" xfId="0">
      <alignment vertical="center" wrapText="true"/>
    </xf>
    <xf applyAlignment="true" applyBorder="false" applyFill="false" applyFont="true" applyNumberFormat="false" applyProtection="false" borderId="411" fillId="0" fontId="3" numFmtId="0" xfId="0">
      <alignment vertical="center" wrapText="true"/>
    </xf>
    <xf applyAlignment="true" applyBorder="false" applyFill="false" applyFont="true" applyNumberFormat="false" applyProtection="false" borderId="396" fillId="0" fontId="28" numFmtId="0" xfId="0">
      <alignment vertical="center" wrapText="true"/>
    </xf>
    <xf applyAlignment="true" applyBorder="false" applyFill="false" applyFont="true" applyNumberFormat="false" applyProtection="false" borderId="0" fillId="0" fontId="21" numFmtId="0" xfId="0">
      <alignment vertical="center"/>
    </xf>
    <xf applyAlignment="true" applyBorder="false" applyFill="false" applyFont="true" applyNumberFormat="false" applyProtection="false" borderId="403" fillId="0" fontId="5" numFmtId="0" xfId="0">
      <alignment vertical="center"/>
    </xf>
    <xf applyAlignment="true" applyBorder="false" applyFill="false" applyFont="true" applyNumberFormat="false" applyProtection="false" borderId="403" fillId="0" fontId="5" numFmtId="0" xfId="0">
      <alignment vertical="center" wrapText="true"/>
    </xf>
    <xf applyAlignment="true" applyBorder="false" applyFill="true" applyFont="true" applyNumberFormat="false" applyProtection="false" borderId="0" fillId="109" fontId="23" numFmtId="0" xfId="0">
      <alignment vertical="center"/>
    </xf>
    <xf applyAlignment="true" applyBorder="false" applyFill="true" applyFont="true" applyNumberFormat="false" applyProtection="false" borderId="396" fillId="109" fontId="28" numFmtId="0" xfId="0">
      <alignment horizontal="left" vertical="center" wrapText="true"/>
    </xf>
    <xf applyAlignment="true" applyBorder="false" applyFill="true" applyFont="true" applyNumberFormat="false" applyProtection="false" borderId="396" fillId="109" fontId="27" numFmtId="0" xfId="0">
      <alignment vertical="center"/>
    </xf>
    <xf applyAlignment="true" applyBorder="false" applyFill="true" applyFont="true" applyNumberFormat="false" applyProtection="false" borderId="396" fillId="109" fontId="27" numFmtId="0" xfId="0">
      <alignment vertical="center" wrapText="true"/>
    </xf>
    <xf applyAlignment="true" applyBorder="false" applyFill="true" applyFont="true" applyNumberFormat="false" applyProtection="false" borderId="396" fillId="109" fontId="28" numFmtId="0" xfId="0">
      <alignment horizontal="left" vertical="center"/>
    </xf>
    <xf applyAlignment="true" applyBorder="false" applyFill="true" applyFont="true" applyNumberFormat="false" applyProtection="false" borderId="396" fillId="109" fontId="3" numFmtId="0" xfId="0">
      <alignment horizontal="center" vertical="center"/>
    </xf>
    <xf applyAlignment="true" applyBorder="false" applyFill="true" applyFont="true" applyNumberFormat="false" applyProtection="false" borderId="396" fillId="109" fontId="3" numFmtId="0" xfId="0">
      <alignment vertical="center" wrapText="true"/>
    </xf>
    <xf applyAlignment="true" applyBorder="false" applyFill="true" applyFont="true" applyNumberFormat="false" applyProtection="false" borderId="396" fillId="109" fontId="3" numFmtId="0" xfId="0">
      <alignment vertical="center"/>
    </xf>
    <xf applyAlignment="true" applyBorder="false" applyFill="true" applyFont="true" applyNumberFormat="false" applyProtection="false" borderId="0" fillId="109" fontId="5" numFmtId="0" xfId="0">
      <alignment vertical="center"/>
    </xf>
    <xf applyAlignment="true" applyBorder="false" applyFill="false" applyFont="true" applyNumberFormat="false" applyProtection="false" borderId="412" fillId="0" fontId="28" numFmtId="0" xfId="0">
      <alignment horizontal="center" vertical="center" wrapText="true"/>
    </xf>
    <xf applyAlignment="true" applyBorder="false" applyFill="true" applyFont="true" applyNumberFormat="false" applyProtection="false" borderId="404" fillId="109" fontId="3" numFmtId="0" xfId="0">
      <alignment horizontal="center"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413" fillId="0" fontId="21" numFmtId="0" xfId="0">
      <alignment horizontal="left" vertical="top" wrapText="true"/>
    </xf>
    <xf applyAlignment="true" applyBorder="false" applyFill="false" applyFont="true" applyNumberFormat="false" applyProtection="false" borderId="414" fillId="0" fontId="22" numFmtId="0" xfId="0">
      <alignment horizontal="left" vertical="center" wrapText="true"/>
    </xf>
    <xf applyAlignment="true" applyBorder="false" applyFill="false" applyFont="true" applyNumberFormat="false" applyProtection="false" borderId="414"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25" numFmtId="0" xfId="0">
      <alignment vertical="center"/>
    </xf>
    <xf applyAlignment="true" applyBorder="false" applyFill="true" applyFont="true" applyNumberFormat="false" applyProtection="false" borderId="415" fillId="110" fontId="24" numFmtId="0" xfId="0">
      <alignment horizontal="left" vertical="center" wrapText="true"/>
    </xf>
    <xf applyAlignment="true" applyBorder="false" applyFill="false" applyFont="true" applyNumberFormat="false" applyProtection="false" borderId="416" fillId="0" fontId="24" numFmtId="0" xfId="0">
      <alignment horizontal="left" vertical="center"/>
    </xf>
    <xf applyAlignment="true" applyBorder="false" applyFill="false" applyFont="true" applyNumberFormat="false" applyProtection="false" borderId="416" fillId="0" fontId="24" numFmtId="0" xfId="0">
      <alignment horizontal="left" vertical="center"/>
    </xf>
    <xf applyAlignment="true" applyBorder="false" applyFill="false" applyFont="true" applyNumberFormat="false" applyProtection="false" borderId="416" fillId="0" fontId="24" numFmtId="0" xfId="0">
      <alignment horizontal="left" vertical="center" wrapText="true"/>
    </xf>
    <xf applyAlignment="true" applyBorder="false" applyFill="true" applyFont="true" applyNumberFormat="false" applyProtection="false" borderId="417" fillId="110" fontId="24" numFmtId="0" xfId="0">
      <alignment horizontal="left" vertical="center" wrapText="true"/>
    </xf>
    <xf applyAlignment="true" applyBorder="false" applyFill="false" applyFont="true" applyNumberFormat="false" applyProtection="false" borderId="418" fillId="0" fontId="24" numFmtId="0" xfId="0">
      <alignment horizontal="left" vertical="center"/>
    </xf>
    <xf applyAlignment="true" applyBorder="false" applyFill="true" applyFont="true" applyNumberFormat="false" applyProtection="false" borderId="418" fillId="110" fontId="24" numFmtId="0" xfId="0">
      <alignment horizontal="left" vertical="center"/>
    </xf>
    <xf applyAlignment="true" applyBorder="false" applyFill="false" applyFont="true" applyNumberFormat="false" applyProtection="false" borderId="0" fillId="0" fontId="24" numFmtId="0" xfId="0">
      <alignment horizontal="left" vertical="center"/>
    </xf>
    <xf applyAlignment="true" applyBorder="false" applyFill="false" applyFont="true" applyNumberFormat="false" applyProtection="false" borderId="418" fillId="0" fontId="24" numFmtId="0" xfId="0">
      <alignment horizontal="left" vertical="center"/>
    </xf>
    <xf applyAlignment="true" applyBorder="false" applyFill="true" applyFont="true" applyNumberFormat="false" applyProtection="false" borderId="417" fillId="110" fontId="24" numFmtId="0" xfId="0">
      <alignment vertical="center"/>
    </xf>
    <xf applyAlignment="true" applyBorder="false" applyFill="false" applyFont="true" applyNumberFormat="false" applyProtection="false" borderId="419" fillId="0" fontId="24" numFmtId="0" xfId="0">
      <alignment vertical="center"/>
    </xf>
    <xf applyAlignment="true" applyBorder="false" applyFill="true" applyFont="true" applyNumberFormat="false" applyProtection="false" borderId="417" fillId="110" fontId="24" numFmtId="0" xfId="0">
      <alignment vertical="center" wrapText="true"/>
    </xf>
    <xf applyAlignment="true" applyBorder="false" applyFill="false" applyFont="true" applyNumberFormat="false" applyProtection="false" borderId="419" fillId="0" fontId="24" numFmtId="0" xfId="0">
      <alignment horizontal="left" vertical="center"/>
    </xf>
    <xf applyAlignment="true" applyBorder="false" applyFill="true" applyFont="true" applyNumberFormat="false" applyProtection="false" borderId="418" fillId="110" fontId="24" numFmtId="0" xfId="0">
      <alignment horizontal="left" vertical="center" wrapText="true"/>
    </xf>
    <xf applyAlignment="true" applyBorder="false" applyFill="false" applyFont="true" applyNumberFormat="true" applyProtection="false" borderId="418" fillId="0" fontId="24" numFmtId="184" xfId="0">
      <alignment horizontal="left" vertical="center"/>
    </xf>
    <xf applyAlignment="true" applyBorder="false" applyFill="true" applyFont="true" applyNumberFormat="false" applyProtection="false" borderId="420" fillId="110" fontId="24" numFmtId="0" xfId="0">
      <alignment vertical="center" wrapText="true"/>
    </xf>
    <xf applyAlignment="true" applyBorder="false" applyFill="false" applyFont="true" applyNumberFormat="false" applyProtection="false" borderId="421" fillId="0" fontId="24" numFmtId="0" xfId="0">
      <alignment horizontal="left" vertical="center" wrapText="true"/>
    </xf>
    <xf applyAlignment="true" applyBorder="false" applyFill="false" applyFont="true" applyNumberFormat="false" applyProtection="false" borderId="421" fillId="0" fontId="24" numFmtId="0" xfId="0">
      <alignment horizontal="left" vertical="center" wrapText="true"/>
    </xf>
    <xf applyAlignment="true" applyBorder="false" applyFill="false" applyFont="true" applyNumberFormat="false" applyProtection="false" borderId="0" fillId="0" fontId="23" numFmtId="0" xfId="0">
      <alignment horizontal="center" vertical="center"/>
    </xf>
    <xf applyAlignment="true" applyBorder="false" applyFill="true" applyFont="true" applyNumberFormat="false" applyProtection="false" borderId="422" fillId="111" fontId="24" numFmtId="0" xfId="0">
      <alignment horizontal="center" vertical="center" wrapText="true"/>
    </xf>
    <xf applyAlignment="true" applyBorder="false" applyFill="true" applyFont="true" applyNumberFormat="false" applyProtection="false" borderId="422" fillId="111" fontId="24" numFmtId="0" xfId="0">
      <alignment horizontal="center" vertical="center"/>
    </xf>
    <xf applyAlignment="true" applyBorder="false" applyFill="true" applyFont="true" applyNumberFormat="false" applyProtection="false" borderId="422" fillId="111" fontId="24"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423" fillId="112" fontId="26" numFmtId="0" xfId="0">
      <alignment horizontal="center" vertical="center" wrapText="true"/>
    </xf>
    <xf applyAlignment="true" applyBorder="false" applyFill="true" applyFont="true" applyNumberFormat="false" applyProtection="false" borderId="423" fillId="112" fontId="26" numFmtId="0" xfId="0">
      <alignment horizontal="center" vertical="center"/>
    </xf>
    <xf applyAlignment="true" applyBorder="false" applyFill="true" applyFont="true" applyNumberFormat="false" applyProtection="false" borderId="424" fillId="112" fontId="26" numFmtId="0" xfId="0">
      <alignment horizontal="center" vertical="center"/>
    </xf>
    <xf applyAlignment="true" applyBorder="false" applyFill="true" applyFont="true" applyNumberFormat="false" applyProtection="false" borderId="425" fillId="112" fontId="26" numFmtId="0" xfId="0">
      <alignment horizontal="center" vertical="center" wrapText="true"/>
    </xf>
    <xf applyAlignment="true" applyBorder="false" applyFill="false" applyFont="true" applyNumberFormat="false" applyProtection="false" borderId="423" fillId="0" fontId="5" numFmtId="0" xfId="0">
      <alignment vertical="center"/>
    </xf>
    <xf applyAlignment="true" applyBorder="false" applyFill="false" applyFont="true" applyNumberFormat="false" applyProtection="false" borderId="423" fillId="0" fontId="27" numFmtId="0" xfId="0">
      <alignment vertical="center" wrapText="true"/>
    </xf>
    <xf applyAlignment="true" applyBorder="false" applyFill="false" applyFont="true" applyNumberFormat="false" applyProtection="false" borderId="423" fillId="0" fontId="21" numFmtId="0" xfId="0">
      <alignment horizontal="left" vertical="center" wrapText="true"/>
    </xf>
    <xf applyAlignment="true" applyBorder="false" applyFill="false" applyFont="true" applyNumberFormat="false" applyProtection="false" borderId="423" fillId="0" fontId="28" numFmtId="0" xfId="0">
      <alignment horizontal="left" vertical="center" wrapText="true"/>
    </xf>
    <xf applyAlignment="true" applyBorder="false" applyFill="false" applyFont="true" applyNumberFormat="false" applyProtection="false" borderId="423" fillId="0" fontId="27" numFmtId="0" xfId="0">
      <alignment vertical="center"/>
    </xf>
    <xf applyAlignment="true" applyBorder="false" applyFill="false" applyFont="true" applyNumberFormat="false" applyProtection="false" borderId="423" fillId="0" fontId="27" numFmtId="0" xfId="0">
      <alignment vertical="center" wrapText="true"/>
    </xf>
    <xf applyAlignment="true" applyBorder="false" applyFill="false" applyFont="true" applyNumberFormat="false" applyProtection="false" borderId="423" fillId="0" fontId="28" numFmtId="0" xfId="0">
      <alignment horizontal="left" vertical="center"/>
    </xf>
    <xf applyAlignment="true" applyBorder="false" applyFill="true" applyFont="true" applyNumberFormat="false" applyProtection="false" borderId="424" fillId="113" fontId="3" numFmtId="0" xfId="0">
      <alignment horizontal="center" vertical="center"/>
    </xf>
    <xf applyAlignment="true" applyBorder="false" applyFill="false" applyFont="true" applyNumberFormat="false" applyProtection="false" borderId="423" fillId="0" fontId="5" numFmtId="0" xfId="0">
      <alignment vertical="center" wrapText="true"/>
    </xf>
    <xf applyAlignment="true" applyBorder="false" applyFill="false" applyFont="true" applyNumberFormat="false" applyProtection="false" borderId="423" fillId="0" fontId="28" numFmtId="0" xfId="0">
      <alignment horizontal="center" vertical="center" wrapText="true"/>
    </xf>
    <xf applyAlignment="true" applyBorder="false" applyFill="false" applyFont="true" applyNumberFormat="false" applyProtection="false" borderId="423" fillId="0" fontId="28" numFmtId="0" xfId="0">
      <alignment vertical="center" wrapText="true"/>
    </xf>
    <xf applyAlignment="true" applyBorder="false" applyFill="false" applyFont="true" applyNumberFormat="false" applyProtection="false" borderId="425" fillId="0" fontId="5" numFmtId="0" xfId="0">
      <alignment vertical="center" wrapText="true"/>
    </xf>
    <xf applyAlignment="true" applyBorder="false" applyFill="false" applyFont="true" applyNumberFormat="false" applyProtection="false" borderId="423" fillId="0" fontId="3" numFmtId="0" xfId="0">
      <alignment vertical="center" wrapText="true"/>
    </xf>
    <xf applyAlignment="true" applyBorder="false" applyFill="false" applyFont="true" applyNumberFormat="false" applyProtection="false" borderId="423" fillId="0" fontId="3" numFmtId="0" xfId="0">
      <alignment vertical="center"/>
    </xf>
    <xf applyAlignment="true" applyBorder="false" applyFill="false" applyFont="true" applyNumberFormat="false" applyProtection="false" borderId="423" fillId="0" fontId="3" numFmtId="0" xfId="0">
      <alignment vertical="center"/>
    </xf>
    <xf applyAlignment="true" applyBorder="false" applyFill="false" applyFont="true" applyNumberFormat="false" applyProtection="false" borderId="423" fillId="0" fontId="45" numFmtId="0" xfId="0">
      <alignment vertical="center"/>
    </xf>
    <xf applyAlignment="true" applyBorder="false" applyFill="false" applyFont="true" applyNumberFormat="false" applyProtection="false" borderId="423" fillId="0" fontId="45" numFmtId="0" xfId="0">
      <alignment vertical="center"/>
    </xf>
    <xf applyAlignment="true" applyBorder="false" applyFill="false" applyFont="true" applyNumberFormat="false" applyProtection="false" borderId="426" fillId="0" fontId="45" numFmtId="0" xfId="0">
      <alignment vertical="center" wrapText="true"/>
    </xf>
    <xf applyAlignment="true" applyBorder="false" applyFill="false" applyFont="true" applyNumberFormat="false" applyProtection="false" borderId="416" fillId="0" fontId="45" numFmtId="0" xfId="0">
      <alignment vertical="center" wrapText="true"/>
    </xf>
    <xf applyAlignment="true" applyBorder="false" applyFill="false" applyFont="true" applyNumberFormat="false" applyProtection="false" borderId="425" fillId="0" fontId="21" numFmtId="0" xfId="0">
      <alignment horizontal="left" vertical="center" wrapText="true"/>
    </xf>
    <xf applyAlignment="true" applyBorder="false" applyFill="false" applyFont="true" applyNumberFormat="false" applyProtection="false" borderId="423" fillId="0" fontId="5" numFmtId="0" xfId="0">
      <alignment vertical="center"/>
    </xf>
    <xf applyAlignment="true" applyBorder="false" applyFill="false" applyFont="true" applyNumberFormat="false" applyProtection="false" borderId="423" fillId="0" fontId="3" numFmtId="0" xfId="0">
      <alignment vertical="center" wrapText="true"/>
    </xf>
    <xf applyAlignment="true" applyBorder="false" applyFill="true" applyFont="true" applyNumberFormat="false" applyProtection="false" borderId="0" fillId="114" fontId="23" numFmtId="0" xfId="0">
      <alignment vertical="center"/>
    </xf>
    <xf applyAlignment="true" applyBorder="false" applyFill="true" applyFont="true" applyNumberFormat="false" applyProtection="false" borderId="423" fillId="114" fontId="27" numFmtId="0" xfId="0">
      <alignment vertical="center" wrapText="true"/>
    </xf>
    <xf applyAlignment="true" applyBorder="false" applyFill="true" applyFont="true" applyNumberFormat="false" applyProtection="false" borderId="423" fillId="114" fontId="28" numFmtId="0" xfId="0">
      <alignment horizontal="left" vertical="center" wrapText="true"/>
    </xf>
    <xf applyAlignment="true" applyBorder="false" applyFill="true" applyFont="true" applyNumberFormat="false" applyProtection="false" borderId="423" fillId="114" fontId="27" numFmtId="0" xfId="0">
      <alignment vertical="center"/>
    </xf>
    <xf applyAlignment="true" applyBorder="false" applyFill="true" applyFont="true" applyNumberFormat="false" applyProtection="false" borderId="423" fillId="114" fontId="27" numFmtId="0" xfId="0">
      <alignment vertical="center" wrapText="true"/>
    </xf>
    <xf applyAlignment="true" applyBorder="false" applyFill="true" applyFont="true" applyNumberFormat="false" applyProtection="false" borderId="423" fillId="114" fontId="28" numFmtId="0" xfId="0">
      <alignment horizontal="left" vertical="center"/>
    </xf>
    <xf applyAlignment="true" applyBorder="false" applyFill="true" applyFont="true" applyNumberFormat="false" applyProtection="false" borderId="424" fillId="114" fontId="3" numFmtId="0" xfId="0">
      <alignment horizontal="center" vertical="center"/>
    </xf>
    <xf applyAlignment="true" applyBorder="false" applyFill="true" applyFont="true" applyNumberFormat="false" applyProtection="false" borderId="423" fillId="114" fontId="3" numFmtId="0" xfId="0">
      <alignment vertical="center" wrapText="true"/>
    </xf>
    <xf applyAlignment="true" applyBorder="false" applyFill="true" applyFont="true" applyNumberFormat="false" applyProtection="false" borderId="423" fillId="114" fontId="3" numFmtId="0" xfId="0">
      <alignment vertical="center"/>
    </xf>
    <xf applyAlignment="true" applyBorder="false" applyFill="true" applyFont="true" applyNumberFormat="false" applyProtection="false" borderId="423" fillId="114" fontId="5" numFmtId="0" xfId="0">
      <alignment vertical="center"/>
    </xf>
    <xf applyAlignment="true" applyBorder="false" applyFill="false" applyFont="true" applyNumberFormat="false" applyProtection="false" borderId="423" fillId="0" fontId="28" numFmtId="0" xfId="0">
      <alignment vertical="center" wrapText="true"/>
    </xf>
    <xf applyAlignment="true" applyBorder="false" applyFill="true" applyFont="true" applyNumberFormat="false" applyProtection="false" borderId="423" fillId="113" fontId="3" numFmtId="0" xfId="0">
      <alignment horizontal="center" vertical="center"/>
    </xf>
    <xf applyAlignment="true" applyBorder="false" applyFill="false" applyFont="true" applyNumberFormat="false" applyProtection="false" borderId="427" fillId="0" fontId="5"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false" applyProtection="false" borderId="0" fillId="0" fontId="47" numFmtId="0" xfId="0">
      <alignment vertical="center"/>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428" fillId="115" fontId="26" numFmtId="0" xfId="0">
      <alignment horizontal="center" vertical="center" wrapText="true"/>
    </xf>
    <xf applyAlignment="true" applyBorder="false" applyFill="true" applyFont="true" applyNumberFormat="false" applyProtection="false" borderId="428" fillId="115" fontId="26"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429" fillId="0" fontId="21" numFmtId="0" xfId="0">
      <alignment horizontal="left" vertical="center" wrapText="true"/>
    </xf>
    <xf applyAlignment="true" applyBorder="false" applyFill="false" applyFont="true" applyNumberFormat="false" applyProtection="false" borderId="429" fillId="0" fontId="21" numFmtId="0" xfId="0">
      <alignment horizontal="left" vertical="center" wrapText="true"/>
    </xf>
    <xf applyAlignment="true" applyBorder="false" applyFill="true" applyFont="true" applyNumberFormat="false" applyProtection="false" borderId="428" fillId="115" fontId="26" numFmtId="0" xfId="0">
      <alignment horizontal="center" vertical="center" wrapText="true"/>
    </xf>
    <xf applyAlignment="true" applyBorder="false" applyFill="false" applyFont="true" applyNumberFormat="false" applyProtection="false" borderId="0" fillId="0" fontId="43" numFmtId="0" xfId="0">
      <alignment vertical="center"/>
    </xf>
    <xf applyAlignment="true" applyBorder="false" applyFill="false" applyFont="true" applyNumberFormat="true" applyProtection="false" borderId="429" fillId="0" fontId="21" numFmtId="185" xfId="0">
      <alignment horizontal="left" vertical="center" wrapText="true"/>
    </xf>
    <xf applyAlignment="true" applyBorder="false" applyFill="true" applyFont="true" applyNumberFormat="false" applyProtection="false" borderId="429" fillId="116" fontId="21" numFmtId="0" xfId="0">
      <alignment horizontal="left" vertical="center" wrapText="true"/>
    </xf>
    <xf applyAlignment="true" applyBorder="false" applyFill="true" applyFont="true" applyNumberFormat="false" applyProtection="false" borderId="429" fillId="117" fontId="21" numFmtId="0" xfId="0">
      <alignment horizontal="left" vertical="center" wrapText="true"/>
    </xf>
    <xf applyAlignment="true" applyBorder="false" applyFill="true" applyFont="true" applyNumberFormat="false" applyProtection="false" borderId="428" fillId="115" fontId="48" numFmtId="0" xfId="0">
      <alignment horizontal="center" vertical="center" wrapText="true"/>
    </xf>
    <xf applyAlignment="true" applyBorder="false" applyFill="true" applyFont="true" applyNumberFormat="false" applyProtection="false" borderId="430" fillId="115" fontId="48" numFmtId="0" xfId="0">
      <alignment horizontal="center" vertical="center" wrapText="true"/>
    </xf>
    <xf applyAlignment="true" applyBorder="false" applyFill="true" applyFont="true" applyNumberFormat="false" applyProtection="false" borderId="430" fillId="115" fontId="26" numFmtId="0" xfId="0">
      <alignment horizontal="center" vertical="center" wrapText="true"/>
    </xf>
    <xf applyAlignment="true" applyBorder="false" applyFill="true" applyFont="true" applyNumberFormat="false" applyProtection="false" borderId="430" fillId="115" fontId="26" numFmtId="0" xfId="0">
      <alignment horizontal="center" vertical="center" wrapText="true"/>
    </xf>
    <xf applyAlignment="true" applyBorder="false" applyFill="false" applyFont="true" applyNumberFormat="false" applyProtection="false" borderId="0" fillId="0" fontId="49" numFmtId="0" xfId="0">
      <alignment vertical="center"/>
    </xf>
    <xf applyAlignment="true" applyBorder="false" applyFill="false" applyFont="true" applyNumberFormat="false" applyProtection="false" borderId="0" fillId="0" fontId="36" numFmtId="0" xfId="0">
      <alignment vertical="center"/>
    </xf>
    <xf applyAlignment="true" applyBorder="false" applyFill="true" applyFont="true" applyNumberFormat="false" applyProtection="false" borderId="428" fillId="115" fontId="50" numFmtId="0" xfId="0">
      <alignment horizontal="center" vertical="center" wrapText="true"/>
    </xf>
    <xf applyAlignment="true" applyBorder="false" applyFill="true" applyFont="true" applyNumberFormat="false" applyProtection="false" borderId="430" fillId="115" fontId="50" numFmtId="0" xfId="0">
      <alignment horizontal="center" vertical="center" wrapText="true"/>
    </xf>
    <xf applyAlignment="true" applyBorder="false" applyFill="false" applyFont="true" applyNumberFormat="false" applyProtection="false" borderId="429" fillId="0" fontId="51" numFmtId="0" xfId="0">
      <alignment horizontal="left" vertical="center" wrapText="true"/>
    </xf>
    <xf applyAlignment="true" applyBorder="false" applyFill="false" applyFont="true" applyNumberFormat="false" applyProtection="false" borderId="0" fillId="0" fontId="47"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true" applyFont="true" applyNumberFormat="false" applyProtection="false" borderId="431" fillId="118" fontId="26" numFmtId="0" xfId="0">
      <alignment horizontal="center" vertical="center" wrapText="true"/>
    </xf>
    <xf applyAlignment="true" applyBorder="false" applyFill="false" applyFont="true" applyNumberFormat="false" applyProtection="false" borderId="432" fillId="0" fontId="21" numFmtId="0" xfId="0">
      <alignment horizontal="left" vertical="top" wrapText="true"/>
    </xf>
    <xf applyAlignment="true" applyBorder="false" applyFill="false" applyFont="true" applyNumberFormat="false" applyProtection="false" borderId="0" fillId="0" fontId="5" numFmtId="0" xfId="0">
      <alignment vertical="center" wrapText="true"/>
    </xf>
    <xf applyAlignment="true" applyBorder="false" applyFill="true" applyFont="true" applyNumberFormat="false" applyProtection="false" borderId="431" fillId="118" fontId="26" numFmtId="0" xfId="0">
      <alignment horizontal="center" vertical="center" wrapText="true"/>
    </xf>
    <xf applyAlignment="true" applyBorder="false" applyFill="true" applyFont="true" applyNumberFormat="false" applyProtection="false" borderId="431" fillId="118" fontId="26" numFmtId="0" xfId="0">
      <alignment horizontal="center" vertical="center" wrapText="true"/>
    </xf>
    <xf applyAlignment="true" applyBorder="false" applyFill="false" applyFont="true" applyNumberFormat="false" applyProtection="false" borderId="432" fillId="0" fontId="21" numFmtId="0" xfId="0">
      <alignment horizontal="left" vertical="top" wrapText="true"/>
    </xf>
    <xf applyAlignment="true" applyBorder="false" applyFill="false" applyFont="true" applyNumberFormat="false" applyProtection="false" borderId="432" fillId="0" fontId="21" numFmtId="0" xfId="0">
      <alignment horizontal="left" vertical="top" wrapText="true"/>
    </xf>
    <xf applyAlignment="true" applyBorder="false" applyFill="false" applyFont="true" applyNumberFormat="false" applyProtection="false" borderId="432" fillId="0" fontId="21" numFmtId="0" xfId="0">
      <alignment horizontal="left" vertical="top" wrapText="true"/>
    </xf>
    <xf applyAlignment="true" applyBorder="false" applyFill="false" applyFont="true" applyNumberFormat="false" applyProtection="false" borderId="0" fillId="0" fontId="47"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47" numFmtId="0" xfId="0">
      <alignment vertical="center"/>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433" fillId="119" fontId="26" numFmtId="0" xfId="0">
      <alignment horizontal="center" vertical="center" wrapText="true"/>
    </xf>
    <xf applyAlignment="true" applyBorder="false" applyFill="true" applyFont="true" applyNumberFormat="false" applyProtection="false" borderId="433" fillId="120" fontId="26" numFmtId="0" xfId="0">
      <alignment horizontal="center" vertical="center" wrapText="true"/>
    </xf>
    <xf applyAlignment="true" applyBorder="false" applyFill="true" applyFont="true" applyNumberFormat="false" applyProtection="false" borderId="433" fillId="120" fontId="26" numFmtId="0" xfId="0">
      <alignment horizontal="center" vertical="center" wrapText="true"/>
    </xf>
    <xf applyAlignment="true" applyBorder="false" applyFill="true" applyFont="true" applyNumberFormat="false" applyProtection="false" borderId="433" fillId="119" fontId="26" numFmtId="0" xfId="0">
      <alignment horizontal="center" vertical="center" wrapText="true"/>
    </xf>
    <xf applyAlignment="true" applyBorder="false" applyFill="true" applyFont="true" applyNumberFormat="false" applyProtection="false" borderId="433" fillId="119" fontId="26" numFmtId="0" xfId="0">
      <alignment horizontal="center" vertical="center" wrapText="true"/>
    </xf>
    <xf applyAlignment="true" applyBorder="false" applyFill="false" applyFont="true" applyNumberFormat="false" applyProtection="false" borderId="434" fillId="0" fontId="21" numFmtId="0" xfId="0">
      <alignment horizontal="left" vertical="center" wrapText="true"/>
    </xf>
    <xf applyAlignment="true" applyBorder="false" applyFill="true" applyFont="true" applyNumberFormat="false" applyProtection="false" borderId="435" fillId="120" fontId="26" numFmtId="0" xfId="0">
      <alignment horizontal="center" vertical="center" wrapText="true"/>
    </xf>
    <xf applyAlignment="true" applyBorder="false" applyFill="true" applyFont="true" applyNumberFormat="false" applyProtection="false" borderId="436" fillId="120" fontId="26" numFmtId="0" xfId="0">
      <alignment horizontal="center" vertical="center" wrapText="true"/>
    </xf>
    <xf applyAlignment="true" applyBorder="false" applyFill="true" applyFont="true" applyNumberFormat="false" applyProtection="false" borderId="433" fillId="119" fontId="26" numFmtId="0" xfId="0">
      <alignment horizontal="center" vertical="center" wrapText="true"/>
    </xf>
    <xf applyAlignment="true" applyBorder="false" applyFill="true" applyFont="true" applyNumberFormat="false" applyProtection="false" borderId="435" fillId="120" fontId="26" numFmtId="0" xfId="0">
      <alignment horizontal="center" vertical="center" wrapText="true"/>
    </xf>
    <xf applyAlignment="true" applyBorder="false" applyFill="false" applyFont="true" applyNumberFormat="false" applyProtection="false" borderId="434" fillId="0" fontId="21" numFmtId="0" xfId="0">
      <alignment horizontal="left" vertical="center" wrapText="true"/>
    </xf>
    <xf applyAlignment="true" applyBorder="false" applyFill="false" applyFont="true" applyNumberFormat="false" applyProtection="false" borderId="434" fillId="0" fontId="21" numFmtId="0" xfId="0">
      <alignment horizontal="left" vertical="top" wrapText="true"/>
    </xf>
    <xf applyAlignment="true" applyBorder="false" applyFill="false" applyFont="true" applyNumberFormat="false" applyProtection="false" borderId="0" fillId="0" fontId="47" numFmtId="0"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5" numFmtId="0" xfId="0">
      <alignment vertical="center"/>
    </xf>
    <xf applyAlignment="true" applyBorder="false" applyFill="true" applyFont="true" applyNumberFormat="false" applyProtection="false" borderId="437" fillId="121" fontId="26" numFmtId="0" xfId="0">
      <alignment horizontal="center" vertical="center" wrapText="true"/>
    </xf>
    <xf applyAlignment="true" applyBorder="false" applyFill="true" applyFont="true" applyNumberFormat="false" applyProtection="false" borderId="437" fillId="121" fontId="26" numFmtId="0" xfId="0">
      <alignment horizontal="center" vertical="center" wrapText="true"/>
    </xf>
    <xf applyAlignment="true" applyBorder="false" applyFill="false" applyFont="true" applyNumberFormat="false" applyProtection="false" borderId="438" fillId="0" fontId="21" numFmtId="0" xfId="0">
      <alignment horizontal="left" vertical="top" wrapText="true"/>
    </xf>
    <xf applyAlignment="true" applyBorder="false" applyFill="false" applyFont="true" applyNumberFormat="false" applyProtection="false" borderId="438" fillId="0" fontId="21" numFmtId="0" xfId="0">
      <alignment horizontal="left" vertical="top" wrapText="true"/>
    </xf>
    <xf applyAlignment="true" applyBorder="false" applyFill="false" applyFont="true" applyNumberFormat="false" applyProtection="false" borderId="438" fillId="0" fontId="51" numFmtId="0" xfId="0">
      <alignment horizontal="left" vertical="top" wrapText="true"/>
    </xf>
    <xf applyAlignment="true" applyBorder="false" applyFill="true" applyFont="true" applyNumberFormat="false" applyProtection="false" borderId="437" fillId="121" fontId="26" numFmtId="0" xfId="0">
      <alignment horizontal="center" vertical="center" wrapText="true"/>
    </xf>
    <xf applyAlignment="true" applyBorder="false" applyFill="false" applyFont="true" applyNumberFormat="true" applyProtection="false" borderId="439" fillId="0" fontId="52" numFmtId="186" xfId="0">
      <alignment horizontal="center" vertical="center"/>
    </xf>
    <xf applyAlignment="true" applyBorder="false" applyFill="false" applyFont="true" applyNumberFormat="true" applyProtection="false" borderId="439" fillId="0" fontId="52" numFmtId="187" xfId="0">
      <alignment horizontal="center" vertical="center"/>
    </xf>
    <xf applyAlignment="true" applyBorder="false" applyFill="false" applyFont="true" applyNumberFormat="false" applyProtection="false" borderId="440" fillId="0" fontId="21" numFmtId="0" xfId="0">
      <alignment horizontal="left" vertical="top" wrapText="true"/>
    </xf>
    <xf applyAlignment="true" applyBorder="false" applyFill="false" applyFont="true" applyNumberFormat="false" applyProtection="false" borderId="440" fillId="0" fontId="21" numFmtId="0" xfId="0">
      <alignment horizontal="left" vertical="top" wrapText="true"/>
    </xf>
    <xf applyAlignment="true" applyBorder="false" applyFill="false" applyFont="true" applyNumberFormat="true" applyProtection="false" borderId="438" fillId="0" fontId="21" numFmtId="188" xfId="0">
      <alignment horizontal="right" vertical="top" wrapText="true"/>
    </xf>
    <xf applyAlignment="true" applyBorder="false" applyFill="false" applyFont="true" applyNumberFormat="true" applyProtection="false" borderId="438" fillId="0" fontId="21" numFmtId="186" xfId="0">
      <alignment horizontal="left" vertical="top" wrapText="true"/>
    </xf>
    <xf applyAlignment="true" applyBorder="false" applyFill="false" applyFont="true" applyNumberFormat="true" applyProtection="false" borderId="438" fillId="0" fontId="21" numFmtId="188" xfId="0">
      <alignment horizontal="right" vertical="top" wrapText="true"/>
    </xf>
    <xf applyAlignment="true" applyBorder="false" applyFill="true" applyFont="true" applyNumberFormat="false" applyProtection="false" borderId="437" fillId="121" fontId="53" numFmtId="0" xfId="0">
      <alignment horizontal="center" vertical="center"/>
    </xf>
    <xf applyAlignment="true" applyBorder="false" applyFill="false" applyFont="true" applyNumberFormat="false" applyProtection="false" borderId="0" fillId="0" fontId="47" numFmtId="0" xfId="0">
      <alignment vertical="center"/>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23" numFmtId="0" xfId="0">
      <alignment vertical="center"/>
    </xf>
    <xf applyAlignment="true" applyBorder="false" applyFill="true" applyFont="true" applyNumberFormat="false" applyProtection="false" borderId="441" fillId="122" fontId="26" numFmtId="0" xfId="0">
      <alignment horizontal="center" vertical="center" wrapText="true"/>
    </xf>
    <xf applyAlignment="true" applyBorder="false" applyFill="true" applyFont="true" applyNumberFormat="false" applyProtection="false" borderId="441" fillId="122" fontId="26" numFmtId="0" xfId="0">
      <alignment horizontal="center" vertical="center" wrapText="true"/>
    </xf>
    <xf applyAlignment="true" applyBorder="false" applyFill="false" applyFont="true" applyNumberFormat="false" applyProtection="false" borderId="442" fillId="0" fontId="21" numFmtId="0" xfId="0">
      <alignment horizontal="left" vertical="top"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441" fillId="122" fontId="54" numFmtId="0" xfId="0">
      <alignment horizontal="center" vertical="center" wrapText="true"/>
    </xf>
    <xf applyAlignment="true" applyBorder="false" applyFill="true" applyFont="true" applyNumberFormat="false" applyProtection="false" borderId="441" fillId="122" fontId="48" numFmtId="0" xfId="0">
      <alignment horizontal="center" vertical="center" wrapText="true"/>
    </xf>
    <xf applyAlignment="true" applyBorder="false" applyFill="false" applyFont="true" applyNumberFormat="false" applyProtection="false" borderId="0" fillId="0" fontId="47" numFmtId="0" xfId="0">
      <alignment horizontal="left" vertical="center"/>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0" fillId="0" fontId="5" numFmtId="0" xfId="0">
      <alignment horizontal="center" vertical="center"/>
    </xf>
    <xf applyAlignment="true" applyBorder="false" applyFill="true" applyFont="true" applyNumberFormat="false" applyProtection="false" borderId="443" fillId="122" fontId="26" numFmtId="0" xfId="0">
      <alignment horizontal="center" vertical="center" wrapText="true"/>
    </xf>
    <xf applyAlignment="true" applyBorder="false" applyFill="true" applyFont="true" applyNumberFormat="false" applyProtection="false" borderId="441" fillId="122" fontId="26" numFmtId="0" xfId="0">
      <alignment horizontal="center" vertical="center" wrapText="true"/>
    </xf>
    <xf applyAlignment="true" applyBorder="false" applyFill="true" applyFont="true" applyNumberFormat="false" applyProtection="false" borderId="444" fillId="122" fontId="26" numFmtId="0" xfId="0">
      <alignment horizontal="center" vertical="center" wrapText="true"/>
    </xf>
    <xf applyAlignment="true" applyBorder="false" applyFill="true" applyFont="true" applyNumberFormat="false" applyProtection="false" borderId="445" fillId="122" fontId="26" numFmtId="0" xfId="0">
      <alignment horizontal="center" vertical="center" wrapText="true"/>
    </xf>
    <xf applyAlignment="true" applyBorder="false" applyFill="false" applyFont="true" applyNumberFormat="false" applyProtection="false" borderId="442" fillId="0" fontId="21" numFmtId="0" xfId="0">
      <alignment horizontal="left" vertical="center" wrapText="true"/>
    </xf>
    <xf applyAlignment="true" applyBorder="false" applyFill="false" applyFont="true" applyNumberFormat="false" applyProtection="false" borderId="442" fillId="0" fontId="21" numFmtId="0" xfId="0">
      <alignment horizontal="left" vertical="center" wrapText="true"/>
    </xf>
    <xf applyAlignment="true" applyBorder="false" applyFill="true" applyFont="true" applyNumberFormat="false" applyProtection="false" borderId="446" fillId="123" fontId="26" numFmtId="0" xfId="0">
      <alignment horizontal="center" vertical="center" wrapText="true"/>
    </xf>
    <xf applyAlignment="true" applyBorder="false" applyFill="true" applyFont="true" applyNumberFormat="false" applyProtection="false" borderId="446" fillId="123" fontId="26"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446" fillId="0" fontId="3" numFmtId="0" xfId="0">
      <alignment vertical="center"/>
    </xf>
    <xf applyAlignment="true" applyBorder="false" applyFill="false" applyFont="true" applyNumberFormat="false" applyProtection="false" borderId="446" fillId="0" fontId="5" numFmtId="0" xfId="0">
      <alignment vertical="center"/>
    </xf>
    <xf applyAlignment="true" applyBorder="false" applyFill="false" applyFont="true" applyNumberFormat="false" applyProtection="false" borderId="446" fillId="0" fontId="5" numFmtId="0" xfId="0">
      <alignment vertical="center"/>
    </xf>
    <xf applyAlignment="true" applyBorder="false" applyFill="false" applyFont="true" applyNumberFormat="false" applyProtection="false" borderId="446" fillId="0" fontId="3" numFmtId="0" xfId="0">
      <alignment vertical="center"/>
    </xf>
    <xf applyAlignment="true" applyBorder="false" applyFill="false" applyFont="true" applyNumberFormat="false" applyProtection="false" borderId="446" fillId="0" fontId="28" numFmtId="0" xfId="0">
      <alignment vertical="center" wrapText="true"/>
    </xf>
    <xf applyAlignment="true" applyBorder="false" applyFill="false" applyFont="true" applyNumberFormat="false" applyProtection="false" borderId="446" fillId="0" fontId="3" numFmtId="0" xfId="0">
      <alignment vertical="center" wrapText="true"/>
    </xf>
    <xf applyAlignment="true" applyBorder="false" applyFill="false" applyFont="true" applyNumberFormat="false" applyProtection="false" borderId="446" fillId="0" fontId="3" numFmtId="0" xfId="0">
      <alignment vertical="center" wrapText="true"/>
    </xf>
    <xf applyAlignment="true" applyBorder="false" applyFill="false" applyFont="true" applyNumberFormat="false" applyProtection="false" borderId="447" fillId="0" fontId="4" numFmtId="0" xfId="0">
      <alignment vertical="center" wrapText="true"/>
    </xf>
    <xf applyAlignment="true" applyBorder="false" applyFill="false" applyFont="true" applyNumberFormat="false" applyProtection="false" borderId="448" fillId="0" fontId="4" numFmtId="0" xfId="0">
      <alignment vertical="center" wrapText="true"/>
    </xf>
    <xf applyAlignment="true" applyBorder="false" applyFill="true" applyFont="true" applyNumberFormat="false" applyProtection="false" borderId="446" fillId="124" fontId="3" numFmtId="0" xfId="0">
      <alignment vertical="center" wrapText="true"/>
    </xf>
    <xf applyAlignment="true" applyBorder="false" applyFill="true" applyFont="true" applyNumberFormat="false" applyProtection="false" borderId="446" fillId="124" fontId="3" numFmtId="0" xfId="0">
      <alignment vertical="center" wrapText="true"/>
    </xf>
    <xf applyAlignment="true" applyBorder="false" applyFill="false" applyFont="true" applyNumberFormat="false" applyProtection="false" borderId="446" fillId="0" fontId="21" numFmtId="0" xfId="0">
      <alignment vertical="center"/>
    </xf>
    <xf applyAlignment="true" applyBorder="false" applyFill="false" applyFont="true" applyNumberFormat="false" applyProtection="false" borderId="446" fillId="0" fontId="21" numFmtId="0" xfId="0">
      <alignment horizontal="left" vertical="center" wrapText="true"/>
    </xf>
    <xf applyAlignment="true" applyBorder="false" applyFill="true" applyFont="true" applyNumberFormat="false" applyProtection="false" borderId="446" fillId="125" fontId="5" numFmtId="0" xfId="0">
      <alignment vertical="center"/>
    </xf>
    <xf applyAlignment="true" applyBorder="false" applyFill="false" applyFont="true" applyNumberFormat="false" applyProtection="false" borderId="446" fillId="0" fontId="27" numFmtId="0" xfId="0">
      <alignment vertical="center" wrapText="true"/>
    </xf>
    <xf applyAlignment="true" applyBorder="false" applyFill="false" applyFont="true" applyNumberFormat="false" applyProtection="false" borderId="449" fillId="0" fontId="3" numFmtId="0" xfId="0">
      <alignment vertical="center"/>
    </xf>
    <xf applyAlignment="true" applyBorder="false" applyFill="false" applyFont="true" applyNumberFormat="false" applyProtection="false" borderId="449" fillId="0" fontId="3" numFmtId="0" xfId="0">
      <alignment vertical="center"/>
    </xf>
    <xf applyAlignment="true" applyBorder="false" applyFill="false" applyFont="true" applyNumberFormat="false" applyProtection="false" borderId="449" fillId="0" fontId="27" numFmtId="0" xfId="0">
      <alignment vertical="center"/>
    </xf>
    <xf applyAlignment="true" applyBorder="false" applyFill="false" applyFont="true" applyNumberFormat="false" applyProtection="false" borderId="446" fillId="0" fontId="5" numFmtId="0" xfId="0">
      <alignment vertical="center"/>
    </xf>
    <xf applyAlignment="true" applyBorder="false" applyFill="false" applyFont="true" applyNumberFormat="false" applyProtection="false" borderId="446" fillId="0" fontId="3" numFmtId="0" xfId="0">
      <alignment vertical="center" wrapText="true"/>
    </xf>
    <xf applyAlignment="true" applyBorder="false" applyFill="true" applyFont="true" applyNumberFormat="false" applyProtection="false" borderId="450" fillId="124" fontId="55" numFmtId="0" xfId="0">
      <alignment horizontal="left" vertical="center" wrapText="true"/>
    </xf>
    <xf applyAlignment="true" applyBorder="false" applyFill="true" applyFont="true" applyNumberFormat="false" applyProtection="false" borderId="451" fillId="126" fontId="56" numFmtId="0" xfId="0">
      <alignment horizontal="center" vertical="center" wrapText="true"/>
    </xf>
    <xf applyAlignment="true" applyBorder="false" applyFill="false" applyFont="true" applyNumberFormat="false" applyProtection="false" borderId="0" fillId="0" fontId="57" numFmtId="0" xfId="0">
      <alignment vertical="center"/>
    </xf>
    <xf applyAlignment="true" applyBorder="false" applyFill="true" applyFont="true" applyNumberFormat="false" applyProtection="false" borderId="452" fillId="126" fontId="26" numFmtId="0" xfId="0">
      <alignment horizontal="center" vertical="center" wrapText="true"/>
    </xf>
    <xf applyAlignment="true" applyBorder="false" applyFill="true" applyFont="true" applyNumberFormat="false" applyProtection="false" borderId="452" fillId="126" fontId="26" numFmtId="0" xfId="0">
      <alignment horizontal="center" vertical="center" wrapText="true"/>
    </xf>
    <xf applyAlignment="true" applyBorder="false" applyFill="false" applyFont="true" applyNumberFormat="false" applyProtection="false" borderId="0" fillId="0" fontId="57" numFmtId="0" xfId="0">
      <alignment vertical="center"/>
    </xf>
    <xf applyAlignment="true" applyBorder="false" applyFill="false" applyFont="true" applyNumberFormat="false" applyProtection="false" borderId="451" fillId="0" fontId="58" numFmtId="0" xfId="0">
      <alignment vertical="center"/>
    </xf>
    <xf applyAlignment="true" applyBorder="false" applyFill="false" applyFont="true" applyNumberFormat="false" applyProtection="false" borderId="451" fillId="0" fontId="58" numFmtId="0" xfId="0">
      <alignment vertical="center"/>
    </xf>
    <xf applyAlignment="true" applyBorder="false" applyFill="false" applyFont="true" applyNumberFormat="false" applyProtection="false" borderId="452" fillId="0" fontId="57" numFmtId="0" xfId="0">
      <alignment vertical="center"/>
    </xf>
    <xf applyAlignment="true" applyBorder="false" applyFill="false" applyFont="true" applyNumberFormat="false" applyProtection="false" borderId="452" fillId="0" fontId="57" numFmtId="0" xfId="0">
      <alignment vertical="center"/>
    </xf>
    <xf applyAlignment="true" applyBorder="false" applyFill="false" applyFont="true" applyNumberFormat="false" applyProtection="false" borderId="451" fillId="0" fontId="58" numFmtId="0" xfId="0">
      <alignment vertical="center" wrapText="true"/>
    </xf>
    <xf applyAlignment="true" applyBorder="false" applyFill="false" applyFont="true" applyNumberFormat="false" applyProtection="false" borderId="0" fillId="0" fontId="23" numFmtId="0" xfId="0">
      <alignment vertical="center"/>
    </xf>
    <xf applyAlignment="true" applyBorder="false" applyFill="false" applyFont="true" applyNumberFormat="true" applyProtection="false" borderId="0" fillId="0" fontId="5" numFmtId="189" xfId="0">
      <alignment vertical="center"/>
    </xf>
  </cellXfs>
  <cellStyles count="1">
    <cellStyle builtinId="0" name="Normal" xfId="0"/>
  </cellStyles>
  <dxfs count="4">
    <dxf>
      <fill>
        <patternFill patternType="solid">
          <fgColor/>
          <bgColor rgb="FFF54A45"/>
        </patternFill>
      </fill>
    </dxf>
    <dxf>
      <fill>
        <patternFill patternType="solid">
          <fgColor/>
          <bgColor rgb="FFF54A45"/>
        </patternFill>
      </fill>
    </dxf>
    <dxf>
      <fill>
        <patternFill patternType="solid">
          <fgColor/>
          <bgColor rgb="FFF54A45"/>
        </patternFill>
      </fill>
    </dxf>
    <dxf>
      <fill>
        <patternFill patternType="solid">
          <fgColor/>
          <bgColor rgb="FFFBBFBC"/>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2.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6</xdr:col>
      <xdr:colOff>38100</xdr:colOff>
      <xdr:row>0</xdr:row>
      <xdr:rowOff>38100</xdr:rowOff>
    </xdr:from>
    <xdr:to>
      <xdr:col>7</xdr:col>
      <xdr:colOff>-38100</xdr:colOff>
      <xdr:row>1</xdr:row>
      <xdr:rowOff>-38100</xdr:rowOff>
    </xdr:to>
    <xdr:pic>
      <xdr:nvPicPr>
        <xdr:cNvPr id="2" name="Picture 2" descr="FXaweK"/>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0.xml.rels><?xml version="1.0" encoding="UTF-8" standalone="yes"?>
<Relationships xmlns="http://schemas.openxmlformats.org/package/2006/relationships"><Relationship Id="rId1" Target="../drawings/drawing1.xml" Type="http://schemas.openxmlformats.org/officeDocument/2006/relationships/drawing"></Relationship><Relationship Id="rId2" Target="../media/image1.png" Type="http://schemas.openxmlformats.org/officeDocument/2006/relationships/image"></Relationship></Relationships>
</file>

<file path=xl/worksheets/_rels/sheet4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pane state="frozen" topLeftCell="A2" ySplit="1"/>
    </sheetView>
  </sheetViews>
  <sheetFormatPr defaultRowHeight="0"/>
  <cols>
    <col collapsed="false" customWidth="true" hidden="false" max="3" min="3" style="0" width="21.849684292896974"/>
    <col collapsed="false" customWidth="true" hidden="false" max="4" min="4" style="0" width="51.483487109798375"/>
    <col collapsed="false" customWidth="true" hidden="false" max="5" min="5" style="0" width="28.225352112676056"/>
    <col collapsed="false" customWidth="true" hidden="false" max="1" min="1" style="0" width="3.0985915492957745"/>
    <col collapsed="false" customWidth="true" hidden="false" max="2" min="2" style="0" width="8.394366197183098"/>
  </cols>
  <sheetData>
    <row r="1">
      <c r="A1" s="1"/>
      <c r="B1" s="2" t="s">
        <v>1</v>
      </c>
      <c r="C1" s="2" t="s">
        <v>2</v>
      </c>
      <c r="D1" s="2" t="s">
        <v>3</v>
      </c>
      <c r="E1" s="2" t="s">
        <v>4</v>
      </c>
    </row>
    <row customHeight="true" ht="31.886773077438303" r="2">
      <c r="A2" s="3"/>
      <c r="B2" s="4">
        <v>1</v>
      </c>
      <c r="C2" s="5" t="s">
        <v>5</v>
      </c>
      <c r="D2" s="6"/>
      <c r="E2" s="6"/>
    </row>
    <row customHeight="true" ht="31.886773077438303" r="3">
      <c r="A3" s="3"/>
      <c r="B3" s="4">
        <v>2</v>
      </c>
      <c r="C3" s="5" t="s">
        <v>6</v>
      </c>
      <c r="D3" s="6"/>
      <c r="E3" s="6"/>
    </row>
    <row customHeight="true" ht="31.886773077438303" r="4">
      <c r="A4" s="7"/>
      <c r="B4" s="4">
        <v>3</v>
      </c>
      <c r="C4" s="5" t="s">
        <v>7</v>
      </c>
      <c r="D4" s="6"/>
      <c r="E4" s="6"/>
    </row>
  </sheetData>
  <autoFilter ref="B1:E4"/>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2" ySplit="1"/>
    </sheetView>
  </sheetViews>
  <sheetFormatPr defaultRowHeight="0"/>
  <cols>
    <col collapsed="false" customWidth="true" hidden="false" max="4" min="4" style="0" width="22.27230067469517"/>
    <col collapsed="false" customWidth="true" hidden="false" max="6" min="6" style="0" width="22.491392801251955"/>
    <col collapsed="false" customWidth="true" hidden="false" max="8" min="8" style="0" width="53.909233382050395"/>
    <col collapsed="false" customWidth="true" hidden="false" max="10" min="10" style="0" width="2.1971830985915495"/>
    <col collapsed="false" customWidth="true" hidden="false" max="2" min="2" style="0" width="8.394366197183098"/>
    <col collapsed="false" customWidth="true" hidden="false" max="3" min="3" style="0" width="15.286385181737423"/>
    <col collapsed="false" customWidth="true" hidden="false" max="5" min="5" style="0" width="57.2018781394839"/>
    <col collapsed="false" customWidth="true" hidden="false" max="7" min="7" style="0" width="25.928012724773406"/>
    <col collapsed="false" customWidth="true" hidden="false" max="9" min="9" style="0" width="12.237871674491416"/>
    <col collapsed="false" customWidth="true" hidden="false" max="1" min="1" style="0" width="3.0985915492957745"/>
  </cols>
  <sheetData>
    <row r="1">
      <c r="A1" s="8"/>
      <c r="B1" s="9" t="s">
        <v>8</v>
      </c>
      <c r="C1" s="9" t="s">
        <v>9</v>
      </c>
      <c r="D1" s="9" t="s">
        <v>10</v>
      </c>
      <c r="E1" s="9" t="s">
        <v>11</v>
      </c>
      <c r="F1" s="9" t="s">
        <v>12</v>
      </c>
      <c r="G1" s="9" t="s">
        <v>13</v>
      </c>
      <c r="H1" s="10" t="s">
        <v>14</v>
      </c>
      <c r="I1" s="9" t="s">
        <v>15</v>
      </c>
      <c r="J1" s="8"/>
      <c r="K1" s="11" t="s">
        <v>16</v>
      </c>
    </row>
    <row r="2">
      <c r="A2" s="12"/>
      <c r="B2" s="13">
        <v>1</v>
      </c>
      <c r="C2" s="14" t="s">
        <v>17</v>
      </c>
      <c r="D2" s="15" t="s">
        <v>18</v>
      </c>
      <c r="E2" s="15" t="s">
        <v>19</v>
      </c>
      <c r="F2" s="16" t="s">
        <v>20</v>
      </c>
      <c r="G2" s="17" t="s">
        <v>21</v>
      </c>
      <c r="H2" s="18" t="s">
        <v>22</v>
      </c>
      <c r="I2" s="19"/>
      <c r="J2" s="12"/>
    </row>
    <row r="3">
      <c r="A3" s="12"/>
      <c r="B3" s="13">
        <v>2</v>
      </c>
      <c r="C3" s="15" t="s">
        <v>17</v>
      </c>
      <c r="D3" s="15" t="s">
        <v>23</v>
      </c>
      <c r="E3" s="15" t="s">
        <v>24</v>
      </c>
      <c r="F3" s="16" t="s">
        <v>20</v>
      </c>
      <c r="G3" s="17" t="s">
        <v>21</v>
      </c>
      <c r="H3" s="18" t="s">
        <v>22</v>
      </c>
      <c r="I3" s="20"/>
      <c r="J3" s="12"/>
    </row>
    <row r="4">
      <c r="A4" s="21"/>
      <c r="B4" s="13">
        <v>3</v>
      </c>
      <c r="C4" s="15" t="s">
        <v>17</v>
      </c>
      <c r="D4" s="15" t="s">
        <v>25</v>
      </c>
      <c r="E4" s="15" t="s">
        <v>26</v>
      </c>
      <c r="F4" s="16" t="s">
        <v>20</v>
      </c>
      <c r="G4" s="17" t="s">
        <v>21</v>
      </c>
      <c r="H4" s="18" t="s">
        <v>22</v>
      </c>
      <c r="I4" s="20"/>
      <c r="J4" s="21"/>
    </row>
    <row r="5">
      <c r="A5" s="21"/>
      <c r="B5" s="13">
        <v>4</v>
      </c>
      <c r="C5" s="15" t="s">
        <v>27</v>
      </c>
      <c r="D5" s="15" t="s">
        <v>28</v>
      </c>
      <c r="E5" s="15" t="s">
        <v>29</v>
      </c>
      <c r="F5" s="16" t="s">
        <v>20</v>
      </c>
      <c r="G5" s="17" t="s">
        <v>21</v>
      </c>
      <c r="H5" s="18" t="s">
        <v>22</v>
      </c>
      <c r="I5" s="19"/>
      <c r="J5" s="21"/>
    </row>
    <row r="6">
      <c r="A6" s="21"/>
      <c r="B6" s="13">
        <v>5</v>
      </c>
      <c r="C6" s="15" t="s">
        <v>17</v>
      </c>
      <c r="D6" s="15" t="s">
        <v>30</v>
      </c>
      <c r="E6" s="15" t="s">
        <v>31</v>
      </c>
      <c r="F6" s="16" t="s">
        <v>20</v>
      </c>
      <c r="G6" s="22" t="s">
        <v>21</v>
      </c>
      <c r="H6" s="18" t="s">
        <v>22</v>
      </c>
      <c r="I6" s="19"/>
      <c r="J6" s="21"/>
    </row>
    <row r="7">
      <c r="A7" s="21"/>
      <c r="B7" s="13">
        <v>6</v>
      </c>
      <c r="C7" s="14" t="s">
        <v>27</v>
      </c>
      <c r="D7" s="15" t="s">
        <v>32</v>
      </c>
      <c r="E7" s="15" t="s">
        <v>33</v>
      </c>
      <c r="F7" s="16" t="s">
        <v>20</v>
      </c>
      <c r="G7" s="17" t="s">
        <v>21</v>
      </c>
      <c r="H7" s="18" t="s">
        <v>22</v>
      </c>
      <c r="I7" s="19"/>
      <c r="J7" s="21"/>
    </row>
    <row customHeight="true" ht="26.08300384784494" r="8">
      <c r="A8" s="21"/>
      <c r="B8" s="13">
        <v>7</v>
      </c>
      <c r="C8" s="14" t="s">
        <v>27</v>
      </c>
      <c r="D8" s="15" t="s">
        <v>34</v>
      </c>
      <c r="E8" s="14" t="s">
        <v>35</v>
      </c>
      <c r="F8" s="16" t="s">
        <v>36</v>
      </c>
      <c r="G8" s="20"/>
      <c r="H8" s="23"/>
      <c r="I8" s="20"/>
      <c r="J8" s="21"/>
    </row>
    <row r="9">
      <c r="A9" s="21"/>
      <c r="B9" s="13">
        <v>8</v>
      </c>
      <c r="C9" s="15" t="s">
        <v>37</v>
      </c>
      <c r="D9" s="15" t="s">
        <v>38</v>
      </c>
      <c r="E9" s="14" t="s">
        <v>39</v>
      </c>
      <c r="F9" s="16" t="s">
        <v>20</v>
      </c>
      <c r="G9" s="17" t="s">
        <v>21</v>
      </c>
      <c r="H9" s="24" t="s">
        <v>40</v>
      </c>
      <c r="I9" s="20"/>
      <c r="J9" s="21"/>
    </row>
    <row r="10">
      <c r="A10" s="21"/>
      <c r="B10" s="13">
        <v>9</v>
      </c>
      <c r="C10" s="15" t="s">
        <v>37</v>
      </c>
      <c r="D10" s="15" t="s">
        <v>41</v>
      </c>
      <c r="E10" s="14" t="s">
        <v>42</v>
      </c>
      <c r="F10" s="16" t="s">
        <v>20</v>
      </c>
      <c r="G10" s="25" t="s">
        <v>43</v>
      </c>
      <c r="H10" s="26" t="s">
        <v>44</v>
      </c>
      <c r="I10" s="27"/>
      <c r="J10" s="21"/>
    </row>
    <row r="11">
      <c r="A11" s="21"/>
      <c r="B11" s="13">
        <v>10</v>
      </c>
      <c r="C11" s="15" t="s">
        <v>37</v>
      </c>
      <c r="D11" s="15" t="s">
        <v>45</v>
      </c>
      <c r="E11" s="15" t="s">
        <v>46</v>
      </c>
      <c r="F11" s="16" t="s">
        <v>20</v>
      </c>
      <c r="G11" s="28" t="s">
        <v>47</v>
      </c>
      <c r="H11" s="29" t="s">
        <v>48</v>
      </c>
      <c r="I11" s="27"/>
      <c r="J11" s="21"/>
    </row>
    <row r="12">
      <c r="A12" s="21"/>
      <c r="B12" s="13">
        <v>11</v>
      </c>
      <c r="C12" s="15" t="s">
        <v>37</v>
      </c>
      <c r="D12" s="15" t="s">
        <v>49</v>
      </c>
      <c r="E12" s="15" t="s">
        <v>50</v>
      </c>
      <c r="F12" s="16" t="s">
        <v>20</v>
      </c>
      <c r="G12" s="28" t="s">
        <v>51</v>
      </c>
      <c r="H12" s="26" t="s">
        <v>52</v>
      </c>
      <c r="I12" s="27"/>
      <c r="J12" s="21"/>
    </row>
    <row r="13">
      <c r="A13" s="21"/>
      <c r="B13" s="13">
        <v>12</v>
      </c>
      <c r="C13" s="15" t="s">
        <v>37</v>
      </c>
      <c r="D13" s="15" t="s">
        <v>53</v>
      </c>
      <c r="E13" s="15" t="s">
        <v>54</v>
      </c>
      <c r="F13" s="16" t="s">
        <v>20</v>
      </c>
      <c r="G13" s="25" t="s">
        <v>43</v>
      </c>
      <c r="H13" s="26" t="s">
        <v>55</v>
      </c>
      <c r="I13" s="27"/>
      <c r="J13" s="21"/>
    </row>
    <row r="14">
      <c r="A14" s="21"/>
      <c r="B14" s="13">
        <v>12</v>
      </c>
      <c r="C14" s="15" t="s">
        <v>37</v>
      </c>
      <c r="D14" s="14" t="s">
        <v>56</v>
      </c>
      <c r="E14" s="14" t="s">
        <v>57</v>
      </c>
      <c r="F14" s="16" t="s">
        <v>20</v>
      </c>
      <c r="G14" s="25" t="s">
        <v>43</v>
      </c>
      <c r="H14" s="26" t="s">
        <v>55</v>
      </c>
      <c r="I14" s="27"/>
      <c r="J14" s="21"/>
    </row>
    <row r="15">
      <c r="A15" s="21"/>
      <c r="B15" s="13">
        <v>12</v>
      </c>
      <c r="C15" s="15" t="s">
        <v>37</v>
      </c>
      <c r="D15" s="14" t="s">
        <v>58</v>
      </c>
      <c r="E15" s="14" t="s">
        <v>59</v>
      </c>
      <c r="F15" s="16" t="s">
        <v>20</v>
      </c>
      <c r="G15" s="25" t="s">
        <v>43</v>
      </c>
      <c r="H15" s="26" t="s">
        <v>55</v>
      </c>
      <c r="I15" s="27"/>
      <c r="J15" s="21"/>
    </row>
    <row customHeight="true" ht="27.380952380952383" r="16">
      <c r="A16" s="21"/>
      <c r="B16" s="13">
        <v>13</v>
      </c>
      <c r="C16" s="15" t="s">
        <v>37</v>
      </c>
      <c r="D16" s="14" t="s">
        <v>60</v>
      </c>
      <c r="E16" s="14" t="s">
        <v>61</v>
      </c>
      <c r="F16" s="30" t="s">
        <v>20</v>
      </c>
      <c r="G16" s="31" t="s">
        <v>62</v>
      </c>
      <c r="H16" s="26" t="s">
        <v>63</v>
      </c>
      <c r="I16" s="27"/>
      <c r="J16" s="21"/>
    </row>
    <row customHeight="true" ht="27.380952380952383" r="17">
      <c r="A17" s="21"/>
      <c r="B17" s="13">
        <v>14</v>
      </c>
      <c r="C17" s="15" t="s">
        <v>37</v>
      </c>
      <c r="D17" s="14" t="s">
        <v>64</v>
      </c>
      <c r="E17" s="32" t="s">
        <v>65</v>
      </c>
      <c r="F17" s="33" t="s">
        <v>20</v>
      </c>
      <c r="G17" s="34" t="s">
        <v>66</v>
      </c>
      <c r="H17" s="35" t="s">
        <v>67</v>
      </c>
      <c r="I17" s="27"/>
      <c r="J17" s="21"/>
    </row>
    <row r="18">
      <c r="A18" s="21"/>
      <c r="B18" s="13">
        <v>15</v>
      </c>
      <c r="C18" s="15" t="s">
        <v>37</v>
      </c>
      <c r="D18" s="15" t="s">
        <v>68</v>
      </c>
      <c r="E18" s="36" t="s">
        <v>69</v>
      </c>
      <c r="F18" s="33" t="s">
        <v>20</v>
      </c>
      <c r="G18" s="17" t="s">
        <v>70</v>
      </c>
      <c r="H18" s="35" t="s">
        <v>71</v>
      </c>
      <c r="I18" s="27"/>
      <c r="J18" s="21"/>
    </row>
    <row customHeight="true" ht="47.61904761904762" r="19">
      <c r="A19" s="21"/>
      <c r="B19" s="13">
        <v>16</v>
      </c>
      <c r="C19" s="14" t="s">
        <v>72</v>
      </c>
      <c r="D19" s="14" t="s">
        <v>73</v>
      </c>
      <c r="E19" s="32"/>
      <c r="F19" s="33"/>
      <c r="G19" s="37" t="s">
        <v>74</v>
      </c>
      <c r="H19" s="35" t="s">
        <v>75</v>
      </c>
      <c r="I19" s="27"/>
      <c r="J19" s="21"/>
    </row>
    <row r="20">
      <c r="A20" s="21"/>
      <c r="B20" s="13">
        <v>17</v>
      </c>
      <c r="C20" s="14" t="s">
        <v>72</v>
      </c>
      <c r="D20" s="14" t="s">
        <v>76</v>
      </c>
      <c r="E20" s="32" t="s">
        <v>77</v>
      </c>
      <c r="F20" s="33" t="s">
        <v>20</v>
      </c>
      <c r="G20" s="37" t="s">
        <v>78</v>
      </c>
      <c r="H20" s="35" t="s">
        <v>79</v>
      </c>
      <c r="I20" s="27"/>
      <c r="J20" s="21"/>
    </row>
    <row r="21">
      <c r="A21" s="21"/>
      <c r="B21" s="13">
        <v>18</v>
      </c>
      <c r="C21" s="14" t="s">
        <v>72</v>
      </c>
      <c r="D21" s="14" t="s">
        <v>80</v>
      </c>
      <c r="E21" s="36"/>
      <c r="F21" s="33" t="s">
        <v>20</v>
      </c>
      <c r="G21" s="38" t="s">
        <v>81</v>
      </c>
      <c r="H21" s="35" t="s">
        <v>82</v>
      </c>
      <c r="I21" s="27"/>
      <c r="J21" s="21"/>
    </row>
    <row r="22">
      <c r="A22" s="21"/>
      <c r="B22" s="13">
        <v>19</v>
      </c>
      <c r="C22" s="14" t="s">
        <v>72</v>
      </c>
      <c r="D22" s="15" t="s">
        <v>83</v>
      </c>
      <c r="E22" s="14" t="s">
        <v>84</v>
      </c>
      <c r="F22" s="33" t="s">
        <v>20</v>
      </c>
      <c r="G22" s="38" t="s">
        <v>85</v>
      </c>
      <c r="H22" s="35" t="s">
        <v>86</v>
      </c>
      <c r="I22" s="20"/>
      <c r="J22" s="21"/>
    </row>
    <row r="23">
      <c r="A23" s="21"/>
      <c r="B23" s="13">
        <v>20</v>
      </c>
      <c r="C23" s="14" t="s">
        <v>72</v>
      </c>
      <c r="D23" s="15" t="s">
        <v>87</v>
      </c>
      <c r="E23" s="15" t="s">
        <v>88</v>
      </c>
      <c r="F23" s="33" t="s">
        <v>20</v>
      </c>
      <c r="G23" s="39" t="s">
        <v>89</v>
      </c>
      <c r="H23" s="35" t="s">
        <v>90</v>
      </c>
      <c r="I23" s="20"/>
      <c r="J23" s="21"/>
    </row>
    <row r="24">
      <c r="A24" s="21"/>
      <c r="B24" s="13">
        <v>21</v>
      </c>
      <c r="C24" s="14" t="s">
        <v>72</v>
      </c>
      <c r="D24" s="15" t="s">
        <v>91</v>
      </c>
      <c r="E24" s="14" t="s">
        <v>92</v>
      </c>
      <c r="F24" s="33" t="s">
        <v>20</v>
      </c>
      <c r="G24" s="40" t="s">
        <v>93</v>
      </c>
      <c r="H24" s="35" t="s">
        <v>94</v>
      </c>
      <c r="I24" s="20"/>
      <c r="J24" s="21"/>
    </row>
    <row r="25">
      <c r="A25" s="21"/>
      <c r="B25" s="13">
        <v>22</v>
      </c>
      <c r="C25" s="14" t="s">
        <v>72</v>
      </c>
      <c r="D25" s="15" t="s">
        <v>95</v>
      </c>
      <c r="E25" s="15" t="s">
        <v>96</v>
      </c>
      <c r="F25" s="33" t="s">
        <v>20</v>
      </c>
      <c r="G25" s="38" t="s">
        <v>97</v>
      </c>
      <c r="H25" s="35" t="s">
        <v>98</v>
      </c>
      <c r="I25" s="20"/>
      <c r="J25" s="21"/>
    </row>
    <row r="26">
      <c r="A26" s="21"/>
      <c r="B26" s="13">
        <v>24</v>
      </c>
      <c r="C26" s="14" t="s">
        <v>72</v>
      </c>
      <c r="D26" s="15" t="s">
        <v>99</v>
      </c>
      <c r="E26" s="15" t="s">
        <v>100</v>
      </c>
      <c r="F26" s="33" t="s">
        <v>20</v>
      </c>
      <c r="G26" s="38" t="s">
        <v>97</v>
      </c>
      <c r="H26" s="35" t="s">
        <v>98</v>
      </c>
      <c r="I26" s="20"/>
      <c r="J26" s="21"/>
    </row>
    <row r="27">
      <c r="A27" s="21"/>
      <c r="B27" s="13">
        <v>25</v>
      </c>
      <c r="C27" s="14" t="s">
        <v>72</v>
      </c>
      <c r="D27" s="15" t="s">
        <v>101</v>
      </c>
      <c r="E27" s="15" t="s">
        <v>102</v>
      </c>
      <c r="F27" s="33" t="s">
        <v>20</v>
      </c>
      <c r="G27" s="38" t="s">
        <v>103</v>
      </c>
      <c r="H27" s="35" t="s">
        <v>104</v>
      </c>
      <c r="I27" s="20"/>
      <c r="J27" s="21"/>
    </row>
    <row r="28">
      <c r="B28" s="13">
        <v>23</v>
      </c>
      <c r="C28" s="14" t="s">
        <v>72</v>
      </c>
      <c r="D28" s="41" t="s">
        <v>105</v>
      </c>
      <c r="E28" s="41" t="s">
        <v>106</v>
      </c>
      <c r="F28" s="33" t="s">
        <v>20</v>
      </c>
      <c r="G28" s="40" t="s">
        <v>107</v>
      </c>
      <c r="H28" s="35" t="s">
        <v>108</v>
      </c>
      <c r="I28" s="20"/>
    </row>
    <row customHeight="true" ht="27.380952380952383" r="29">
      <c r="A29" s="21"/>
      <c r="B29" s="13">
        <v>24</v>
      </c>
      <c r="C29" s="14" t="s">
        <v>72</v>
      </c>
      <c r="D29" s="41" t="s">
        <v>109</v>
      </c>
      <c r="E29" s="42" t="s">
        <v>110</v>
      </c>
      <c r="F29" s="33" t="s">
        <v>20</v>
      </c>
      <c r="G29" s="40" t="s">
        <v>111</v>
      </c>
      <c r="H29" s="35" t="s">
        <v>112</v>
      </c>
      <c r="I29" s="20"/>
      <c r="J29" s="21"/>
    </row>
    <row r="30">
      <c r="A30" s="21"/>
      <c r="B30" s="13">
        <v>25</v>
      </c>
      <c r="C30" s="14" t="s">
        <v>113</v>
      </c>
      <c r="D30" s="15" t="s">
        <v>114</v>
      </c>
      <c r="E30" s="15" t="s">
        <v>115</v>
      </c>
      <c r="F30" s="43"/>
      <c r="G30" s="20"/>
      <c r="H30" s="44"/>
      <c r="I30" s="20"/>
      <c r="J30" s="21"/>
    </row>
    <row r="31">
      <c r="A31" s="21"/>
      <c r="B31" s="13">
        <v>26</v>
      </c>
      <c r="C31" s="14" t="s">
        <v>113</v>
      </c>
      <c r="D31" s="15" t="s">
        <v>116</v>
      </c>
      <c r="E31" s="15" t="s">
        <v>117</v>
      </c>
      <c r="F31" s="43"/>
      <c r="G31" s="20"/>
      <c r="H31" s="44"/>
      <c r="I31" s="20"/>
      <c r="J31" s="21"/>
    </row>
    <row r="32">
      <c r="A32" s="21"/>
      <c r="B32" s="13">
        <v>27</v>
      </c>
      <c r="C32" s="14" t="s">
        <v>113</v>
      </c>
      <c r="D32" s="15" t="s">
        <v>118</v>
      </c>
      <c r="E32" s="15" t="s">
        <v>119</v>
      </c>
      <c r="F32" s="43"/>
      <c r="G32" s="20"/>
      <c r="H32" s="44"/>
      <c r="I32" s="20"/>
      <c r="J32" s="21"/>
    </row>
    <row r="33">
      <c r="A33" s="21"/>
      <c r="B33" s="13">
        <v>28</v>
      </c>
      <c r="C33" s="14" t="s">
        <v>113</v>
      </c>
      <c r="D33" s="15" t="s">
        <v>120</v>
      </c>
      <c r="E33" s="15" t="s">
        <v>121</v>
      </c>
      <c r="F33" s="43"/>
      <c r="G33" s="20"/>
      <c r="H33" s="44"/>
      <c r="I33" s="20"/>
      <c r="J33" s="21"/>
    </row>
    <row r="34">
      <c r="A34" s="21"/>
      <c r="B34" s="13">
        <v>29</v>
      </c>
      <c r="C34" s="14" t="s">
        <v>113</v>
      </c>
      <c r="D34" s="15" t="s">
        <v>122</v>
      </c>
      <c r="E34" s="15" t="s">
        <v>123</v>
      </c>
      <c r="F34" s="43"/>
      <c r="G34" s="20"/>
      <c r="H34" s="44"/>
      <c r="I34" s="20"/>
      <c r="J34" s="21"/>
    </row>
    <row r="35">
      <c r="A35" s="21"/>
      <c r="B35" s="13">
        <v>30</v>
      </c>
      <c r="C35" s="14" t="s">
        <v>113</v>
      </c>
      <c r="D35" s="15" t="s">
        <v>124</v>
      </c>
      <c r="E35" s="15" t="s">
        <v>125</v>
      </c>
      <c r="F35" s="43"/>
      <c r="G35" s="20"/>
      <c r="H35" s="44"/>
      <c r="I35" s="20"/>
      <c r="J35" s="21"/>
    </row>
    <row r="36">
      <c r="A36" s="21"/>
      <c r="B36" s="13">
        <v>31</v>
      </c>
      <c r="C36" s="14" t="s">
        <v>113</v>
      </c>
      <c r="D36" s="15" t="s">
        <v>126</v>
      </c>
      <c r="E36" s="15" t="s">
        <v>127</v>
      </c>
      <c r="F36" s="43"/>
      <c r="G36" s="20"/>
      <c r="H36" s="44"/>
      <c r="I36" s="20"/>
      <c r="J36" s="21"/>
    </row>
    <row r="37">
      <c r="A37" s="21"/>
      <c r="B37" s="13">
        <v>32</v>
      </c>
      <c r="C37" s="14" t="s">
        <v>113</v>
      </c>
      <c r="D37" s="15" t="s">
        <v>128</v>
      </c>
      <c r="E37" s="15" t="s">
        <v>129</v>
      </c>
      <c r="F37" s="43"/>
      <c r="G37" s="20"/>
      <c r="H37" s="44"/>
      <c r="I37" s="20"/>
      <c r="J37" s="21"/>
    </row>
    <row r="38">
      <c r="A38" s="21"/>
      <c r="B38" s="13">
        <v>33</v>
      </c>
      <c r="C38" s="15" t="s">
        <v>113</v>
      </c>
      <c r="D38" s="15" t="s">
        <v>130</v>
      </c>
      <c r="E38" s="15" t="s">
        <v>131</v>
      </c>
      <c r="F38" s="43"/>
      <c r="G38" s="20"/>
      <c r="H38" s="44"/>
      <c r="I38" s="20"/>
      <c r="J38" s="21"/>
    </row>
    <row r="39">
      <c r="A39" s="21"/>
      <c r="B39" s="13">
        <v>34</v>
      </c>
      <c r="C39" s="15" t="s">
        <v>113</v>
      </c>
      <c r="D39" s="15" t="s">
        <v>132</v>
      </c>
      <c r="E39" s="15" t="s">
        <v>133</v>
      </c>
      <c r="F39" s="43"/>
      <c r="G39" s="20"/>
      <c r="H39" s="44"/>
      <c r="I39" s="20"/>
      <c r="J39" s="21"/>
    </row>
    <row r="40">
      <c r="A40" s="21"/>
      <c r="B40" s="13">
        <v>35</v>
      </c>
      <c r="C40" s="15" t="s">
        <v>113</v>
      </c>
      <c r="D40" s="15" t="s">
        <v>134</v>
      </c>
      <c r="E40" s="15" t="s">
        <v>135</v>
      </c>
      <c r="F40" s="43"/>
      <c r="G40" s="20"/>
      <c r="H40" s="44"/>
      <c r="I40" s="20"/>
      <c r="J40" s="21"/>
    </row>
    <row r="41">
      <c r="B41" s="45"/>
      <c r="C41" s="21"/>
      <c r="D41" s="21"/>
      <c r="E41" s="21"/>
      <c r="F41" s="45"/>
      <c r="G41" s="21"/>
      <c r="H41" s="46"/>
      <c r="I41" s="21"/>
    </row>
    <row r="42">
      <c r="B42" s="45"/>
      <c r="F42" s="45"/>
      <c r="H42" s="46"/>
    </row>
    <row r="43">
      <c r="B43" s="45"/>
      <c r="F43" s="45"/>
      <c r="H43" s="46"/>
    </row>
    <row r="44">
      <c r="B44" s="45"/>
      <c r="F44" s="45"/>
      <c r="H44" s="46"/>
    </row>
    <row r="45">
      <c r="B45" s="45"/>
      <c r="F45" s="45"/>
      <c r="H45" s="46"/>
    </row>
    <row r="46">
      <c r="B46" s="45"/>
      <c r="F46" s="45"/>
      <c r="H46" s="46"/>
    </row>
    <row r="47">
      <c r="B47" s="45"/>
      <c r="F47" s="45"/>
      <c r="H47" s="46"/>
    </row>
    <row r="48">
      <c r="B48" s="45"/>
      <c r="F48" s="45"/>
      <c r="H48" s="46"/>
    </row>
    <row r="49">
      <c r="B49" s="45"/>
      <c r="F49" s="45"/>
      <c r="H49" s="46"/>
    </row>
    <row r="50">
      <c r="B50" s="45"/>
      <c r="F50" s="45"/>
      <c r="H50" s="46"/>
    </row>
    <row r="51">
      <c r="B51" s="45"/>
      <c r="F51" s="45"/>
      <c r="H51" s="46"/>
    </row>
    <row r="52">
      <c r="B52" s="45"/>
      <c r="F52" s="45"/>
      <c r="H52" s="46"/>
    </row>
    <row r="53">
      <c r="B53" s="45"/>
      <c r="F53" s="45"/>
      <c r="H53" s="46"/>
    </row>
    <row r="54">
      <c r="B54" s="45"/>
      <c r="F54" s="45"/>
      <c r="H54" s="46"/>
    </row>
    <row r="55">
      <c r="B55" s="45"/>
      <c r="F55" s="45"/>
      <c r="H55" s="46"/>
    </row>
    <row r="56">
      <c r="B56" s="45"/>
      <c r="F56" s="45"/>
      <c r="H56" s="46"/>
    </row>
    <row r="57">
      <c r="B57" s="45"/>
      <c r="F57" s="45"/>
      <c r="H57" s="46"/>
    </row>
    <row r="58">
      <c r="B58" s="45"/>
      <c r="F58" s="45"/>
      <c r="H58" s="46"/>
    </row>
    <row r="59">
      <c r="B59" s="45"/>
      <c r="F59" s="45"/>
      <c r="H59" s="46"/>
    </row>
    <row r="60">
      <c r="B60" s="45"/>
      <c r="F60" s="45"/>
      <c r="H60" s="46"/>
    </row>
    <row r="61">
      <c r="B61" s="45"/>
      <c r="F61" s="45"/>
      <c r="H61" s="46"/>
    </row>
    <row r="62">
      <c r="B62" s="45"/>
      <c r="F62" s="45"/>
      <c r="H62" s="46"/>
    </row>
    <row r="63">
      <c r="B63" s="45"/>
      <c r="F63" s="45"/>
      <c r="H63" s="46"/>
    </row>
    <row r="64">
      <c r="B64" s="45"/>
      <c r="F64" s="45"/>
      <c r="H64" s="46"/>
    </row>
    <row r="65">
      <c r="B65" s="45"/>
      <c r="F65" s="45"/>
      <c r="H65" s="46"/>
    </row>
    <row r="66">
      <c r="B66" s="45"/>
      <c r="F66" s="45"/>
      <c r="H66" s="46"/>
    </row>
    <row r="67">
      <c r="B67" s="45"/>
      <c r="F67" s="45"/>
      <c r="H67" s="46"/>
    </row>
    <row r="68">
      <c r="B68" s="45"/>
      <c r="F68" s="45"/>
      <c r="H68" s="46"/>
    </row>
    <row r="69">
      <c r="B69" s="45"/>
      <c r="F69" s="45"/>
      <c r="H69" s="46"/>
    </row>
    <row r="70">
      <c r="B70" s="45"/>
      <c r="F70" s="45"/>
      <c r="H70" s="46"/>
    </row>
    <row r="71">
      <c r="B71" s="45"/>
      <c r="F71" s="45"/>
      <c r="H71" s="46"/>
    </row>
    <row r="72">
      <c r="B72" s="45"/>
      <c r="F72" s="45"/>
      <c r="H72" s="46"/>
    </row>
    <row r="73">
      <c r="B73" s="45"/>
      <c r="F73" s="45"/>
      <c r="H73" s="46"/>
    </row>
    <row r="74">
      <c r="B74" s="45"/>
      <c r="F74" s="45"/>
      <c r="H74" s="46"/>
    </row>
    <row r="75">
      <c r="B75" s="45"/>
      <c r="F75" s="45"/>
      <c r="H75" s="46"/>
    </row>
    <row r="76">
      <c r="B76" s="45"/>
      <c r="F76" s="45"/>
      <c r="H76" s="46"/>
    </row>
    <row r="77">
      <c r="B77" s="45"/>
      <c r="F77" s="45"/>
      <c r="H77" s="46"/>
    </row>
    <row r="78">
      <c r="B78" s="45"/>
      <c r="F78" s="45"/>
      <c r="H78" s="46"/>
    </row>
    <row r="79">
      <c r="B79" s="45"/>
      <c r="F79" s="45"/>
      <c r="H79" s="46"/>
    </row>
    <row r="80">
      <c r="B80" s="45"/>
      <c r="F80" s="45"/>
      <c r="H80" s="46"/>
    </row>
    <row r="81">
      <c r="B81" s="45"/>
      <c r="F81" s="45"/>
      <c r="H81" s="46"/>
    </row>
    <row r="82">
      <c r="B82" s="45"/>
      <c r="F82" s="45"/>
      <c r="H82" s="46"/>
    </row>
    <row r="83">
      <c r="B83" s="45"/>
      <c r="F83" s="45"/>
      <c r="H83" s="46"/>
    </row>
    <row r="84">
      <c r="B84" s="45"/>
      <c r="F84" s="45"/>
      <c r="H84" s="46"/>
    </row>
    <row r="85">
      <c r="B85" s="45"/>
      <c r="F85" s="45"/>
      <c r="H85" s="46"/>
    </row>
    <row r="86">
      <c r="B86" s="45"/>
      <c r="F86" s="45"/>
      <c r="H86" s="46"/>
    </row>
    <row r="87">
      <c r="B87" s="45"/>
      <c r="F87" s="45"/>
      <c r="H87" s="46"/>
    </row>
    <row r="88">
      <c r="B88" s="45"/>
      <c r="F88" s="45"/>
      <c r="H88" s="46"/>
    </row>
    <row r="89">
      <c r="B89" s="45"/>
      <c r="F89" s="45"/>
      <c r="H89" s="46"/>
    </row>
    <row r="90">
      <c r="B90" s="45"/>
      <c r="F90" s="45"/>
      <c r="H90" s="46"/>
    </row>
    <row r="91">
      <c r="B91" s="45"/>
      <c r="F91" s="45"/>
      <c r="H91" s="46"/>
    </row>
    <row r="92">
      <c r="B92" s="45"/>
      <c r="F92" s="45"/>
      <c r="H92" s="46"/>
    </row>
    <row r="93">
      <c r="B93" s="45"/>
      <c r="F93" s="45"/>
      <c r="H93" s="46"/>
    </row>
    <row r="94">
      <c r="B94" s="45"/>
      <c r="F94" s="45"/>
      <c r="H94" s="46"/>
    </row>
    <row r="95">
      <c r="B95" s="45"/>
      <c r="F95" s="45"/>
      <c r="H95" s="46"/>
    </row>
    <row r="96">
      <c r="B96" s="45"/>
      <c r="F96" s="45"/>
      <c r="H96" s="46"/>
    </row>
    <row r="97">
      <c r="B97" s="45"/>
      <c r="F97" s="45"/>
      <c r="H97" s="46"/>
    </row>
    <row r="98">
      <c r="B98" s="45"/>
      <c r="F98" s="45"/>
      <c r="H98" s="46"/>
    </row>
    <row r="99">
      <c r="B99" s="45"/>
      <c r="F99" s="45"/>
      <c r="H99" s="46"/>
    </row>
    <row r="100">
      <c r="B100" s="45"/>
      <c r="F100" s="45"/>
      <c r="H100" s="46"/>
    </row>
    <row r="101">
      <c r="B101" s="45"/>
      <c r="F101" s="45"/>
      <c r="H101" s="46"/>
    </row>
    <row r="102">
      <c r="B102" s="45"/>
      <c r="F102" s="45"/>
      <c r="H102" s="46"/>
    </row>
    <row r="103">
      <c r="B103" s="45"/>
      <c r="F103" s="45"/>
      <c r="H103" s="46"/>
    </row>
    <row r="104">
      <c r="B104" s="45"/>
      <c r="F104" s="45"/>
      <c r="H104" s="46"/>
    </row>
    <row r="105">
      <c r="B105" s="45"/>
      <c r="F105" s="45"/>
      <c r="H105" s="46"/>
    </row>
    <row r="106">
      <c r="B106" s="45"/>
      <c r="F106" s="45"/>
      <c r="H106" s="46"/>
    </row>
    <row r="107">
      <c r="B107" s="45"/>
      <c r="F107" s="45"/>
      <c r="H107" s="46"/>
    </row>
    <row r="108">
      <c r="B108" s="45"/>
      <c r="F108" s="45"/>
      <c r="H108" s="46"/>
    </row>
    <row r="109">
      <c r="B109" s="45"/>
      <c r="F109" s="45"/>
      <c r="H109" s="46"/>
    </row>
    <row r="110">
      <c r="B110" s="45"/>
      <c r="F110" s="45"/>
      <c r="H110" s="46"/>
    </row>
    <row r="111">
      <c r="B111" s="45"/>
      <c r="F111" s="45"/>
      <c r="H111" s="46"/>
    </row>
    <row r="112">
      <c r="B112" s="45"/>
      <c r="F112" s="45"/>
      <c r="H112" s="46"/>
    </row>
    <row r="113">
      <c r="B113" s="45"/>
      <c r="F113" s="45"/>
      <c r="H113" s="46"/>
    </row>
    <row r="114">
      <c r="B114" s="45"/>
      <c r="F114" s="45"/>
      <c r="H114" s="46"/>
    </row>
    <row r="115">
      <c r="B115" s="45"/>
      <c r="F115" s="45"/>
      <c r="H115" s="46"/>
    </row>
    <row r="116">
      <c r="B116" s="45"/>
      <c r="F116" s="45"/>
      <c r="H116" s="46"/>
    </row>
    <row r="117">
      <c r="B117" s="45"/>
      <c r="F117" s="45"/>
      <c r="H117" s="46"/>
    </row>
    <row r="118">
      <c r="B118" s="45"/>
      <c r="F118" s="45"/>
      <c r="H118" s="46"/>
    </row>
    <row r="119">
      <c r="B119" s="45"/>
      <c r="F119" s="45"/>
      <c r="H119" s="46"/>
    </row>
    <row r="120">
      <c r="B120" s="45"/>
      <c r="F120" s="45"/>
      <c r="H120" s="46"/>
    </row>
    <row r="121">
      <c r="B121" s="45"/>
      <c r="F121" s="45"/>
      <c r="H121" s="46"/>
    </row>
    <row r="122">
      <c r="B122" s="45"/>
      <c r="F122" s="45"/>
      <c r="H122" s="46"/>
    </row>
    <row r="123">
      <c r="B123" s="45"/>
      <c r="F123" s="45"/>
      <c r="H123" s="46"/>
    </row>
    <row r="124">
      <c r="B124" s="45"/>
      <c r="F124" s="45"/>
      <c r="H124" s="46"/>
    </row>
    <row r="125">
      <c r="B125" s="45"/>
      <c r="F125" s="45"/>
      <c r="H125" s="46"/>
    </row>
    <row r="126">
      <c r="B126" s="45"/>
      <c r="F126" s="45"/>
      <c r="H126" s="46"/>
    </row>
    <row r="127">
      <c r="B127" s="45"/>
      <c r="F127" s="45"/>
      <c r="H127" s="46"/>
    </row>
    <row r="128">
      <c r="B128" s="45"/>
      <c r="F128" s="45"/>
      <c r="H128" s="46"/>
    </row>
    <row r="129">
      <c r="B129" s="45"/>
      <c r="F129" s="45"/>
      <c r="H129" s="46"/>
    </row>
    <row r="130">
      <c r="B130" s="45"/>
      <c r="F130" s="45"/>
      <c r="H130" s="46"/>
    </row>
    <row r="131">
      <c r="B131" s="45"/>
      <c r="F131" s="45"/>
      <c r="H131" s="46"/>
    </row>
    <row r="132">
      <c r="B132" s="45"/>
      <c r="F132" s="45"/>
      <c r="H132" s="46"/>
    </row>
    <row r="133">
      <c r="B133" s="45"/>
      <c r="F133" s="45"/>
      <c r="H133" s="46"/>
    </row>
    <row r="134">
      <c r="B134" s="45"/>
      <c r="F134" s="45"/>
      <c r="H134" s="46"/>
    </row>
    <row r="135">
      <c r="B135" s="45"/>
      <c r="F135" s="45"/>
      <c r="H135" s="46"/>
    </row>
    <row r="136">
      <c r="B136" s="45"/>
      <c r="F136" s="45"/>
      <c r="H136" s="46"/>
    </row>
    <row r="137">
      <c r="B137" s="45"/>
      <c r="F137" s="45"/>
      <c r="H137" s="46"/>
    </row>
    <row r="138">
      <c r="B138" s="45"/>
      <c r="F138" s="45"/>
      <c r="H138" s="46"/>
    </row>
    <row r="139">
      <c r="B139" s="45"/>
      <c r="F139" s="45"/>
      <c r="H139" s="46"/>
    </row>
    <row r="140">
      <c r="B140" s="45"/>
      <c r="F140" s="45"/>
      <c r="H140" s="46"/>
    </row>
    <row r="141">
      <c r="B141" s="45"/>
      <c r="F141" s="45"/>
      <c r="H141" s="46"/>
    </row>
    <row r="142">
      <c r="B142" s="45"/>
      <c r="F142" s="45"/>
      <c r="H142" s="46"/>
    </row>
    <row r="143">
      <c r="B143" s="45"/>
      <c r="F143" s="45"/>
      <c r="H143" s="46"/>
    </row>
    <row r="144">
      <c r="B144" s="45"/>
      <c r="F144" s="45"/>
      <c r="H144" s="46"/>
    </row>
    <row r="145">
      <c r="B145" s="45"/>
      <c r="F145" s="45"/>
      <c r="H145" s="46"/>
    </row>
    <row r="146">
      <c r="B146" s="45"/>
      <c r="F146" s="45"/>
      <c r="H146" s="46"/>
    </row>
    <row r="147">
      <c r="B147" s="45"/>
      <c r="F147" s="45"/>
      <c r="H147" s="46"/>
    </row>
    <row r="148">
      <c r="B148" s="45"/>
      <c r="F148" s="45"/>
      <c r="H148" s="46"/>
    </row>
    <row r="149">
      <c r="B149" s="45"/>
      <c r="F149" s="45"/>
      <c r="H149" s="46"/>
    </row>
    <row r="150">
      <c r="B150" s="45"/>
      <c r="F150" s="45"/>
      <c r="H150" s="46"/>
    </row>
    <row r="151">
      <c r="B151" s="45"/>
      <c r="F151" s="45"/>
      <c r="H151" s="46"/>
    </row>
    <row r="152">
      <c r="B152" s="45"/>
      <c r="F152" s="45"/>
      <c r="H152" s="46"/>
    </row>
    <row r="153">
      <c r="B153" s="45"/>
      <c r="F153" s="45"/>
      <c r="H153" s="46"/>
    </row>
    <row r="154">
      <c r="B154" s="45"/>
      <c r="F154" s="45"/>
      <c r="H154" s="46"/>
    </row>
    <row r="155">
      <c r="B155" s="45"/>
      <c r="F155" s="45"/>
      <c r="H155" s="46"/>
    </row>
    <row r="156">
      <c r="B156" s="45"/>
      <c r="F156" s="45"/>
      <c r="H156" s="46"/>
    </row>
    <row r="157">
      <c r="B157" s="45"/>
      <c r="F157" s="45"/>
      <c r="H157" s="46"/>
    </row>
    <row r="158">
      <c r="B158" s="45"/>
      <c r="F158" s="45"/>
      <c r="H158" s="46"/>
    </row>
    <row r="159">
      <c r="B159" s="45"/>
      <c r="F159" s="45"/>
      <c r="H159" s="46"/>
    </row>
    <row r="160">
      <c r="B160" s="45"/>
      <c r="F160" s="45"/>
      <c r="H160" s="46"/>
    </row>
    <row r="161">
      <c r="B161" s="45"/>
      <c r="F161" s="45"/>
      <c r="H161" s="46"/>
    </row>
    <row r="162">
      <c r="B162" s="45"/>
      <c r="F162" s="45"/>
      <c r="H162" s="46"/>
    </row>
    <row r="163">
      <c r="B163" s="45"/>
      <c r="F163" s="45"/>
      <c r="H163" s="46"/>
    </row>
    <row r="164">
      <c r="B164" s="45"/>
      <c r="F164" s="45"/>
      <c r="H164" s="46"/>
    </row>
    <row r="165">
      <c r="B165" s="45"/>
      <c r="F165" s="45"/>
      <c r="H165" s="46"/>
    </row>
    <row r="166">
      <c r="B166" s="45"/>
      <c r="F166" s="45"/>
      <c r="H166" s="46"/>
    </row>
    <row r="167">
      <c r="B167" s="45"/>
      <c r="F167" s="45"/>
      <c r="H167" s="46"/>
    </row>
    <row r="168">
      <c r="B168" s="45"/>
      <c r="F168" s="45"/>
      <c r="H168" s="46"/>
    </row>
    <row r="169">
      <c r="B169" s="45"/>
      <c r="F169" s="45"/>
      <c r="H169" s="46"/>
    </row>
    <row r="170">
      <c r="B170" s="45"/>
      <c r="F170" s="45"/>
      <c r="H170" s="46"/>
    </row>
    <row r="171">
      <c r="B171" s="45"/>
      <c r="F171" s="45"/>
      <c r="H171" s="46"/>
    </row>
    <row r="172">
      <c r="B172" s="45"/>
      <c r="F172" s="45"/>
      <c r="H172" s="46"/>
    </row>
    <row r="173">
      <c r="B173" s="45"/>
      <c r="F173" s="45"/>
      <c r="H173" s="46"/>
    </row>
    <row r="174">
      <c r="B174" s="45"/>
      <c r="F174" s="45"/>
      <c r="H174" s="46"/>
    </row>
    <row r="175">
      <c r="B175" s="45"/>
      <c r="F175" s="45"/>
      <c r="H175" s="46"/>
    </row>
    <row r="176">
      <c r="B176" s="45"/>
      <c r="F176" s="45"/>
      <c r="H176" s="46"/>
    </row>
  </sheetData>
  <autoFilter ref="B1:I40"/>
  <hyperlinks>
    <hyperlink ref="G16" location="'dwd_fi_mr_ar_writeoff_mi'!A1" display="dwd_fi_mr_ar_writeoff_mi"/>
    <hyperlink ref="G20" location="'ARPM01账龄计算底稿-STEP3重分类处理'!A1" display="ARP001_STEP_3"/>
    <hyperlink ref="G24" location="'ARPM02-坏账计算表-STEP3坏账分摊'!A1" display="ARP003_STEP_3"/>
    <hyperlink ref="G29" location="'DWS-CPRS01-核心利润'!A1" display="ARP002_STEP_1"/>
    <hyperlink ref="G2" location="'dwd_fi_mr_arap_detail_mi'!A1" display="dwd_fi_mr_arap_detail_mi"/>
    <hyperlink ref="G3" location="'dwd_fi_mr_arap_detail_mi'!A1" display="dwd_fi_mr_arap_detail_mi"/>
    <hyperlink ref="G4" location="'dwd_fi_mr_arap_detail_mi'!A1" display="dwd_fi_mr_arap_detail_mi"/>
    <hyperlink ref="G5" location="'dwd_fi_mr_arap_detail_mi'!A1" display="dwd_fi_mr_arap_detail_mi"/>
    <hyperlink ref="G6" location="'dwd_fi_mr_arap_detail_mi'!A1" display="dwd_fi_mr_arap_detail_mi"/>
    <hyperlink ref="G7" location="'dwd_fi_mr_arap_detail_mi'!A1" display="dwd_fi_mr_arap_detail_mi"/>
    <hyperlink ref="G9" location="'dwd_fi_mr_arap_detail_mi'!A1" display="dwd_fi_mr_arap_detail_mi"/>
    <hyperlink ref="G17" location="'dwd_fi_mr_ar_imocc_mi'!A1" display="dwd_fi_mr_ar_imocc_mi"/>
    <hyperlink ref="G21" location="'ARPM02-账龄结果表'!A1" display="ARP002_STEP_1"/>
    <hyperlink ref="G25" location="'ARPM04-周转计算-占用明细表'!A1" display="ARP004_STEP_1"/>
    <hyperlink ref="G26" location="'ARPM04-周转计算-占用明细表'!A1" display="ARP004_STEP_1"/>
    <hyperlink ref="G10" location="'ARPM01账龄计算底稿-STEP1数据聚合'!A1" display="ARP001_STEP_1"/>
    <hyperlink ref="G14" location="'ARPM01账龄计算底稿-STEP1数据聚合'!A1" display="ARP001_STEP_1"/>
    <hyperlink ref="G15" location="'ARPM01账龄计算底稿-STEP1数据聚合'!A1" display="ARP001_STEP_1"/>
    <hyperlink ref="G13" location="'ARPM01账龄计算底稿-STEP1数据聚合'!A1" display="ARP001_STEP_1"/>
    <hyperlink ref="G18" location="'dwd_fi_mr_ar_cterm_md'!A1" display="dwd_fi_mr_ar_cterm_md"/>
    <hyperlink ref="G22" location="'ARPM02-坏账计算表-STEP1坏账计提基数'!A1" display="ARP003_STEP_1"/>
    <hyperlink ref="G27" location="'ARPM05-周转计算-收入明细表'!A1" display="ARP005_STEP_1"/>
    <hyperlink ref="G11" location="'dwd_fi_mr_ar_overdue_mi'!A1" display="dwd_fi_mr_ar_overdue_mi"/>
    <hyperlink ref="G19" location="'ARPM01账龄计算底稿-STEP2数据范围限制'!A1" display="ARP001_STEP_2"/>
    <hyperlink ref="G23" location="'ARPM02-坏账计算表-STEP2坏账计算'!A1" display="ARP003_STEP_2"/>
    <hyperlink ref="G28" location="'DWS-ARPS01-周转计算汇总表'!A1" display="ARP001_STEP_1"/>
    <hyperlink ref="G12" location="'dwd_fi_mr_ar_ureb_mi'!A1" display="dwd_fi_mr_ar_ureb_mi"/>
  </hyperlink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F4" xSplit="5" ySplit="3"/>
    </sheetView>
  </sheetViews>
  <sheetFormatPr defaultRowHeight="0"/>
  <cols>
    <col collapsed="false" customWidth="true" hidden="false" max="9" min="9" style="0" width="46.25352112676056"/>
    <col collapsed="false" customWidth="true" hidden="false" max="13" min="13" style="0" width="11.211267605633802"/>
    <col collapsed="false" customWidth="true" hidden="false" max="20" min="20" style="0" width="11.211267605633802"/>
    <col collapsed="false" customWidth="true" hidden="false" max="1" min="1" style="0" width="2.3943662748370365"/>
    <col collapsed="false" customWidth="true" hidden="false" max="5" min="5" style="0" width="37.336747759282986"/>
    <col collapsed="false" customWidth="true" hidden="false" max="10" min="10" style="0" width="12.704447155373177"/>
    <col collapsed="false" customWidth="true" hidden="false" max="14" min="14" style="0" width="11.211267605633802"/>
    <col collapsed="false" customWidth="true" hidden="false" max="17" min="17" style="0" width="11.211267605633802"/>
    <col collapsed="false" customWidth="true" hidden="false" max="21" min="21" style="0" width="11.211267605633802"/>
    <col collapsed="false" customWidth="true" hidden="false" max="2" min="2" style="0" width="5.577464788732394"/>
    <col collapsed="false" customWidth="true" hidden="false" max="6" min="6" style="0" width="26.177721324692573"/>
    <col collapsed="false" customWidth="true" hidden="false" max="11" min="11" style="0" width="47.21684764264075"/>
    <col collapsed="false" customWidth="true" hidden="false" max="15" min="15" style="0" width="11.211267605633802"/>
    <col collapsed="false" customWidth="true" hidden="false" max="18" min="18" style="0" width="11.211267605633802"/>
    <col collapsed="false" customWidth="true" hidden="false" max="22" min="22" style="0" width="11.211267605633802"/>
    <col collapsed="false" customWidth="true" hidden="false" max="3" min="3" style="0" width="28.68440234701405"/>
    <col collapsed="false" customWidth="true" hidden="false" max="7" min="7" style="0" width="14.201877934272309"/>
    <col collapsed="false" customWidth="true" hidden="false" max="12" min="12" style="0" width="26.985915492957748"/>
    <col collapsed="false" customWidth="true" hidden="false" max="16" min="16" style="0" width="11.211267605633802"/>
    <col collapsed="false" customWidth="true" hidden="false" max="19" min="19" style="0" width="11.211267605633802"/>
    <col collapsed="false" customWidth="true" hidden="false" max="23" min="23" style="0" width="11.211267605633802"/>
    <col collapsed="false" customWidth="true" hidden="false" max="4" min="4" style="0" width="24.845070422535212"/>
    <col collapsed="false" customWidth="true" hidden="true" max="4" min="4" style="0" width="24.845070422535212"/>
    <col collapsed="false" customWidth="true" hidden="false" max="8" min="8" style="0" width="51.12615206662447"/>
  </cols>
  <sheetData>
    <row r="1">
      <c r="A1" s="47"/>
      <c r="B1" s="48" t="s">
        <v>136</v>
      </c>
      <c r="C1" s="48"/>
      <c r="D1" s="47"/>
      <c r="E1" s="47"/>
      <c r="F1" s="47"/>
      <c r="G1" s="47"/>
      <c r="H1" s="47"/>
      <c r="I1" s="48"/>
      <c r="J1" s="49"/>
      <c r="K1" s="49" t="s">
        <v>137</v>
      </c>
      <c r="L1" s="49"/>
      <c r="M1" s="49"/>
      <c r="N1" s="49"/>
      <c r="O1" s="49"/>
      <c r="P1" s="49"/>
      <c r="Q1" s="49"/>
      <c r="R1" s="49"/>
      <c r="S1" s="49"/>
      <c r="T1" s="49"/>
      <c r="U1" s="49"/>
      <c r="V1" s="49"/>
      <c r="W1" s="49"/>
    </row>
    <row customHeight="true" ht="16.071428571428573" r="2">
      <c r="A2" s="47"/>
      <c r="B2" s="47"/>
      <c r="C2" s="50" t="s">
        <v>138</v>
      </c>
      <c r="D2" s="47"/>
      <c r="E2" s="47"/>
      <c r="F2" s="47"/>
      <c r="G2" s="47"/>
      <c r="H2" s="47"/>
      <c r="I2" s="48" t="s">
        <v>139</v>
      </c>
      <c r="J2" s="49"/>
      <c r="K2" s="49" t="s">
        <v>140</v>
      </c>
      <c r="L2" s="49"/>
      <c r="M2" s="49"/>
      <c r="N2" s="49"/>
      <c r="O2" s="49"/>
      <c r="P2" s="49"/>
      <c r="Q2" s="49"/>
      <c r="R2" s="49"/>
      <c r="S2" s="49"/>
      <c r="T2" s="49"/>
      <c r="U2" s="49"/>
      <c r="V2" s="49"/>
      <c r="W2" s="49"/>
    </row>
    <row r="3">
      <c r="A3" s="51"/>
      <c r="B3" s="51" t="s">
        <v>141</v>
      </c>
      <c r="C3" s="51" t="s">
        <v>142</v>
      </c>
      <c r="D3" s="52" t="s">
        <v>143</v>
      </c>
      <c r="E3" s="51" t="s">
        <v>144</v>
      </c>
      <c r="F3" s="51" t="s">
        <v>145</v>
      </c>
      <c r="G3" s="51" t="s">
        <v>146</v>
      </c>
      <c r="H3" s="51" t="s">
        <v>147</v>
      </c>
      <c r="I3" s="52" t="s">
        <v>148</v>
      </c>
      <c r="J3" s="53" t="s">
        <v>149</v>
      </c>
      <c r="K3" s="53" t="s">
        <v>150</v>
      </c>
      <c r="L3" s="53" t="s">
        <v>151</v>
      </c>
      <c r="M3" s="53"/>
      <c r="N3" s="53"/>
      <c r="O3" s="53"/>
      <c r="P3" s="53"/>
      <c r="Q3" s="53"/>
      <c r="R3" s="53"/>
      <c r="S3" s="53"/>
      <c r="T3" s="53"/>
      <c r="U3" s="53"/>
      <c r="V3" s="53"/>
      <c r="W3" s="53"/>
    </row>
    <row hidden="true" r="4">
      <c r="A4" s="54"/>
      <c r="B4" s="54" t="s">
        <v>152</v>
      </c>
      <c r="C4" s="55" t="s">
        <v>153</v>
      </c>
      <c r="D4" s="54">
        <f t="shared" ref="D4:D92" si="0">B4&amp;"."&amp;C4</f>
      </c>
      <c r="E4" s="54" t="s">
        <v>154</v>
      </c>
      <c r="F4" s="54" t="s">
        <v>155</v>
      </c>
      <c r="G4" s="54" t="s">
        <v>156</v>
      </c>
      <c r="H4" s="54"/>
      <c r="I4" s="55" t="s">
        <v>157</v>
      </c>
      <c r="J4" s="56"/>
      <c r="K4" s="56"/>
      <c r="L4" s="56" t="s">
        <v>158</v>
      </c>
      <c r="M4" s="57"/>
      <c r="N4" s="57"/>
      <c r="O4" s="57"/>
      <c r="P4" s="57"/>
      <c r="Q4" s="57"/>
      <c r="R4" s="57"/>
      <c r="S4" s="57"/>
      <c r="T4" s="57"/>
      <c r="U4" s="57"/>
      <c r="V4" s="57"/>
      <c r="W4" s="57"/>
    </row>
    <row hidden="true" r="5">
      <c r="A5" s="54"/>
      <c r="B5" s="54" t="s">
        <v>152</v>
      </c>
      <c r="C5" s="55" t="s">
        <v>159</v>
      </c>
      <c r="D5" s="54">
        <f t="shared" si="0"/>
      </c>
      <c r="E5" s="54" t="s">
        <v>154</v>
      </c>
      <c r="F5" s="54" t="s">
        <v>155</v>
      </c>
      <c r="G5" s="54" t="s">
        <v>156</v>
      </c>
      <c r="H5" s="54"/>
      <c r="I5" s="55" t="s">
        <v>157</v>
      </c>
      <c r="J5" s="56"/>
      <c r="K5" s="56"/>
      <c r="L5" s="56" t="s">
        <v>158</v>
      </c>
      <c r="M5" s="56"/>
      <c r="N5" s="56"/>
      <c r="O5" s="56"/>
      <c r="P5" s="56"/>
      <c r="Q5" s="56"/>
      <c r="R5" s="56"/>
      <c r="S5" s="56"/>
      <c r="T5" s="56"/>
      <c r="U5" s="56"/>
      <c r="V5" s="56"/>
      <c r="W5" s="56"/>
    </row>
    <row hidden="true" r="6">
      <c r="A6" s="54"/>
      <c r="B6" s="54" t="s">
        <v>152</v>
      </c>
      <c r="C6" s="55" t="s">
        <v>160</v>
      </c>
      <c r="D6" s="54">
        <f t="shared" si="0"/>
      </c>
      <c r="E6" s="54" t="s">
        <v>154</v>
      </c>
      <c r="F6" s="54" t="s">
        <v>155</v>
      </c>
      <c r="G6" s="54" t="s">
        <v>156</v>
      </c>
      <c r="H6" s="54"/>
      <c r="I6" s="55" t="s">
        <v>157</v>
      </c>
      <c r="J6" s="56"/>
      <c r="K6" s="56"/>
      <c r="L6" s="56" t="s">
        <v>158</v>
      </c>
      <c r="M6" s="56"/>
      <c r="N6" s="56"/>
      <c r="O6" s="56"/>
      <c r="P6" s="56"/>
      <c r="Q6" s="56"/>
      <c r="R6" s="56"/>
      <c r="S6" s="56"/>
      <c r="T6" s="56"/>
      <c r="U6" s="56"/>
      <c r="V6" s="56"/>
      <c r="W6" s="56"/>
    </row>
    <row hidden="true" r="7">
      <c r="A7" s="54"/>
      <c r="B7" s="54" t="s">
        <v>152</v>
      </c>
      <c r="C7" s="55" t="s">
        <v>161</v>
      </c>
      <c r="D7" s="54">
        <f t="shared" si="0"/>
      </c>
      <c r="E7" s="54" t="s">
        <v>154</v>
      </c>
      <c r="F7" s="54" t="s">
        <v>155</v>
      </c>
      <c r="G7" s="54" t="s">
        <v>156</v>
      </c>
      <c r="H7" s="54"/>
      <c r="I7" s="55" t="s">
        <v>157</v>
      </c>
      <c r="J7" s="56"/>
      <c r="K7" s="56"/>
      <c r="L7" s="56" t="s">
        <v>158</v>
      </c>
      <c r="M7" s="56"/>
      <c r="N7" s="56"/>
      <c r="O7" s="56"/>
      <c r="P7" s="56"/>
      <c r="Q7" s="56"/>
      <c r="R7" s="56"/>
      <c r="S7" s="56"/>
      <c r="T7" s="56"/>
      <c r="U7" s="56"/>
      <c r="V7" s="56"/>
      <c r="W7" s="56"/>
    </row>
    <row hidden="true" r="8">
      <c r="A8" s="54"/>
      <c r="B8" s="54" t="s">
        <v>152</v>
      </c>
      <c r="C8" s="55" t="s">
        <v>162</v>
      </c>
      <c r="D8" s="54">
        <f t="shared" si="0"/>
      </c>
      <c r="E8" s="54" t="s">
        <v>154</v>
      </c>
      <c r="F8" s="54" t="s">
        <v>155</v>
      </c>
      <c r="G8" s="54" t="s">
        <v>156</v>
      </c>
      <c r="H8" s="54"/>
      <c r="I8" s="55" t="s">
        <v>157</v>
      </c>
      <c r="J8" s="56"/>
      <c r="K8" s="56"/>
      <c r="L8" s="56" t="s">
        <v>158</v>
      </c>
      <c r="M8" s="56"/>
      <c r="N8" s="56"/>
      <c r="O8" s="56"/>
      <c r="P8" s="56"/>
      <c r="Q8" s="56"/>
      <c r="R8" s="56"/>
      <c r="S8" s="56"/>
      <c r="T8" s="56"/>
      <c r="U8" s="56"/>
      <c r="V8" s="56"/>
      <c r="W8" s="56"/>
    </row>
    <row hidden="true" r="9">
      <c r="A9" s="54"/>
      <c r="B9" s="54" t="s">
        <v>152</v>
      </c>
      <c r="C9" s="55" t="s">
        <v>163</v>
      </c>
      <c r="D9" s="54">
        <f t="shared" si="0"/>
      </c>
      <c r="E9" s="54" t="s">
        <v>154</v>
      </c>
      <c r="F9" s="54" t="s">
        <v>155</v>
      </c>
      <c r="G9" s="54" t="s">
        <v>156</v>
      </c>
      <c r="H9" s="54"/>
      <c r="I9" s="55" t="s">
        <v>157</v>
      </c>
      <c r="J9" s="56"/>
      <c r="K9" s="56"/>
      <c r="L9" s="56" t="s">
        <v>158</v>
      </c>
      <c r="M9" s="56"/>
      <c r="N9" s="56"/>
      <c r="O9" s="56"/>
      <c r="P9" s="56"/>
      <c r="Q9" s="56"/>
      <c r="R9" s="56"/>
      <c r="S9" s="56"/>
      <c r="T9" s="56"/>
      <c r="U9" s="56"/>
      <c r="V9" s="56"/>
      <c r="W9" s="56"/>
    </row>
    <row r="10">
      <c r="A10" s="55"/>
      <c r="B10" s="54" t="s">
        <v>152</v>
      </c>
      <c r="C10" s="58" t="s">
        <v>164</v>
      </c>
      <c r="D10" s="54">
        <f t="shared" si="0"/>
      </c>
      <c r="E10" s="54" t="s">
        <v>165</v>
      </c>
      <c r="F10" s="54" t="s">
        <v>155</v>
      </c>
      <c r="G10" s="54" t="s">
        <v>156</v>
      </c>
      <c r="H10" s="58" t="s">
        <v>166</v>
      </c>
      <c r="I10" s="58" t="s">
        <v>167</v>
      </c>
      <c r="J10" s="56" t="s">
        <v>164</v>
      </c>
      <c r="K10" s="59" t="s">
        <v>168</v>
      </c>
      <c r="L10" s="56" t="s">
        <v>169</v>
      </c>
      <c r="M10" s="56"/>
      <c r="N10" s="56"/>
      <c r="O10" s="56"/>
      <c r="P10" s="56"/>
      <c r="Q10" s="56"/>
      <c r="R10" s="56"/>
      <c r="S10" s="56"/>
      <c r="T10" s="56"/>
      <c r="U10" s="56"/>
      <c r="V10" s="56"/>
      <c r="W10" s="56"/>
    </row>
    <row r="11">
      <c r="A11" s="55"/>
      <c r="B11" s="54" t="s">
        <v>152</v>
      </c>
      <c r="C11" s="58" t="s">
        <v>170</v>
      </c>
      <c r="D11" s="54">
        <f t="shared" si="0"/>
      </c>
      <c r="E11" s="54" t="s">
        <v>165</v>
      </c>
      <c r="F11" s="54" t="s">
        <v>155</v>
      </c>
      <c r="G11" s="54" t="s">
        <v>156</v>
      </c>
      <c r="H11" s="58" t="s">
        <v>166</v>
      </c>
      <c r="I11" s="58" t="s">
        <v>167</v>
      </c>
      <c r="J11" s="56" t="s">
        <v>170</v>
      </c>
      <c r="K11" s="56" t="s">
        <v>171</v>
      </c>
      <c r="L11" s="56" t="s">
        <v>169</v>
      </c>
      <c r="M11" s="56"/>
      <c r="N11" s="56"/>
      <c r="O11" s="56"/>
      <c r="P11" s="56"/>
      <c r="Q11" s="56"/>
      <c r="R11" s="56"/>
      <c r="S11" s="56"/>
      <c r="T11" s="56"/>
      <c r="U11" s="56"/>
      <c r="V11" s="56"/>
      <c r="W11" s="56"/>
    </row>
    <row r="12">
      <c r="A12" s="55"/>
      <c r="B12" s="54" t="s">
        <v>152</v>
      </c>
      <c r="C12" s="58" t="s">
        <v>172</v>
      </c>
      <c r="D12" s="54">
        <f t="shared" si="0"/>
      </c>
      <c r="E12" s="54" t="s">
        <v>165</v>
      </c>
      <c r="F12" s="54" t="s">
        <v>155</v>
      </c>
      <c r="G12" s="54" t="s">
        <v>156</v>
      </c>
      <c r="H12" s="58" t="s">
        <v>166</v>
      </c>
      <c r="I12" s="58" t="s">
        <v>167</v>
      </c>
      <c r="J12" s="56" t="s">
        <v>172</v>
      </c>
      <c r="K12" s="56" t="s">
        <v>173</v>
      </c>
      <c r="L12" s="56" t="s">
        <v>174</v>
      </c>
      <c r="M12" s="56"/>
      <c r="N12" s="56"/>
      <c r="O12" s="56"/>
      <c r="P12" s="56"/>
      <c r="Q12" s="56"/>
      <c r="R12" s="56"/>
      <c r="S12" s="56"/>
      <c r="T12" s="56"/>
      <c r="U12" s="56"/>
      <c r="V12" s="56"/>
      <c r="W12" s="56"/>
    </row>
    <row r="13">
      <c r="A13" s="55"/>
      <c r="B13" s="54" t="s">
        <v>152</v>
      </c>
      <c r="C13" s="58" t="s">
        <v>175</v>
      </c>
      <c r="D13" s="54">
        <f t="shared" si="0"/>
      </c>
      <c r="E13" s="54" t="s">
        <v>165</v>
      </c>
      <c r="F13" s="54" t="s">
        <v>155</v>
      </c>
      <c r="G13" s="54" t="s">
        <v>156</v>
      </c>
      <c r="H13" s="58" t="s">
        <v>166</v>
      </c>
      <c r="I13" s="58" t="s">
        <v>167</v>
      </c>
      <c r="J13" s="56"/>
      <c r="K13" s="56" t="s">
        <v>176</v>
      </c>
      <c r="L13" s="56" t="s">
        <v>177</v>
      </c>
      <c r="M13" s="56"/>
      <c r="N13" s="56"/>
      <c r="O13" s="56"/>
      <c r="P13" s="56"/>
      <c r="Q13" s="56"/>
      <c r="R13" s="56"/>
      <c r="S13" s="56"/>
      <c r="T13" s="56"/>
      <c r="U13" s="56"/>
      <c r="V13" s="56"/>
      <c r="W13" s="56"/>
    </row>
    <row r="14">
      <c r="A14" s="55"/>
      <c r="B14" s="54" t="s">
        <v>152</v>
      </c>
      <c r="C14" s="58" t="s">
        <v>178</v>
      </c>
      <c r="D14" s="54">
        <f t="shared" si="0"/>
      </c>
      <c r="E14" s="54" t="s">
        <v>165</v>
      </c>
      <c r="F14" s="54" t="s">
        <v>155</v>
      </c>
      <c r="G14" s="54" t="s">
        <v>156</v>
      </c>
      <c r="H14" s="58" t="s">
        <v>166</v>
      </c>
      <c r="I14" s="58" t="s">
        <v>179</v>
      </c>
      <c r="J14" s="56" t="s">
        <v>178</v>
      </c>
      <c r="K14" s="56" t="s">
        <v>158</v>
      </c>
      <c r="L14" s="56" t="s">
        <v>169</v>
      </c>
      <c r="M14" s="56"/>
      <c r="N14" s="56"/>
      <c r="O14" s="56"/>
      <c r="P14" s="56"/>
      <c r="Q14" s="56"/>
      <c r="R14" s="56"/>
      <c r="S14" s="56"/>
      <c r="T14" s="56"/>
      <c r="U14" s="56"/>
      <c r="V14" s="56"/>
      <c r="W14" s="56"/>
    </row>
    <row r="15">
      <c r="A15" s="55"/>
      <c r="B15" s="54" t="s">
        <v>152</v>
      </c>
      <c r="C15" s="58" t="s">
        <v>180</v>
      </c>
      <c r="D15" s="54">
        <f t="shared" si="0"/>
      </c>
      <c r="E15" s="54" t="s">
        <v>165</v>
      </c>
      <c r="F15" s="54" t="s">
        <v>155</v>
      </c>
      <c r="G15" s="54" t="s">
        <v>156</v>
      </c>
      <c r="H15" s="58" t="s">
        <v>166</v>
      </c>
      <c r="I15" s="58" t="s">
        <v>181</v>
      </c>
      <c r="J15" s="60" t="s">
        <v>180</v>
      </c>
      <c r="K15" s="56" t="s">
        <v>158</v>
      </c>
      <c r="L15" s="56" t="s">
        <v>169</v>
      </c>
      <c r="M15" s="56"/>
      <c r="N15" s="56"/>
      <c r="O15" s="56"/>
      <c r="P15" s="56"/>
      <c r="Q15" s="56"/>
      <c r="R15" s="56"/>
      <c r="S15" s="56"/>
      <c r="T15" s="56"/>
      <c r="U15" s="56"/>
      <c r="V15" s="56"/>
      <c r="W15" s="56"/>
    </row>
    <row hidden="true" r="16">
      <c r="A16" s="54"/>
      <c r="B16" s="54" t="s">
        <v>152</v>
      </c>
      <c r="C16" s="55" t="s">
        <v>182</v>
      </c>
      <c r="D16" s="54">
        <f t="shared" si="0"/>
      </c>
      <c r="E16" s="54" t="s">
        <v>183</v>
      </c>
      <c r="F16" s="54" t="s">
        <v>184</v>
      </c>
      <c r="G16" s="54" t="s">
        <v>156</v>
      </c>
      <c r="H16" s="54"/>
      <c r="I16" s="55" t="s">
        <v>157</v>
      </c>
      <c r="J16" s="56"/>
      <c r="K16" s="56"/>
      <c r="L16" s="56" t="s">
        <v>158</v>
      </c>
      <c r="M16" s="56"/>
      <c r="N16" s="56"/>
      <c r="O16" s="56"/>
      <c r="P16" s="56"/>
      <c r="Q16" s="56"/>
      <c r="R16" s="56"/>
      <c r="S16" s="56"/>
      <c r="T16" s="56"/>
      <c r="U16" s="56"/>
      <c r="V16" s="56"/>
      <c r="W16" s="56"/>
    </row>
    <row hidden="true" r="17">
      <c r="A17" s="54"/>
      <c r="B17" s="54" t="s">
        <v>152</v>
      </c>
      <c r="C17" s="55" t="s">
        <v>185</v>
      </c>
      <c r="D17" s="54">
        <f t="shared" si="0"/>
      </c>
      <c r="E17" s="54" t="s">
        <v>186</v>
      </c>
      <c r="F17" s="54" t="s">
        <v>184</v>
      </c>
      <c r="G17" s="54" t="s">
        <v>156</v>
      </c>
      <c r="H17" s="54"/>
      <c r="I17" s="55" t="s">
        <v>157</v>
      </c>
      <c r="J17" s="56"/>
      <c r="K17" s="56"/>
      <c r="L17" s="56" t="s">
        <v>158</v>
      </c>
      <c r="M17" s="56"/>
      <c r="N17" s="56"/>
      <c r="O17" s="56"/>
      <c r="P17" s="56"/>
      <c r="Q17" s="56"/>
      <c r="R17" s="56"/>
      <c r="S17" s="56"/>
      <c r="T17" s="56"/>
      <c r="U17" s="56"/>
      <c r="V17" s="56"/>
      <c r="W17" s="56"/>
    </row>
    <row hidden="true" r="18">
      <c r="A18" s="54"/>
      <c r="B18" s="54" t="s">
        <v>152</v>
      </c>
      <c r="C18" s="55" t="s">
        <v>187</v>
      </c>
      <c r="D18" s="54">
        <f t="shared" si="0"/>
      </c>
      <c r="E18" s="54" t="s">
        <v>188</v>
      </c>
      <c r="F18" s="54" t="s">
        <v>189</v>
      </c>
      <c r="G18" s="54" t="s">
        <v>156</v>
      </c>
      <c r="H18" s="54"/>
      <c r="I18" s="55" t="s">
        <v>157</v>
      </c>
      <c r="J18" s="56"/>
      <c r="K18" s="56"/>
      <c r="L18" s="56" t="s">
        <v>158</v>
      </c>
      <c r="M18" s="56"/>
      <c r="N18" s="56"/>
      <c r="O18" s="56"/>
      <c r="P18" s="56"/>
      <c r="Q18" s="56"/>
      <c r="R18" s="56"/>
      <c r="S18" s="56"/>
      <c r="T18" s="56"/>
      <c r="U18" s="56"/>
      <c r="V18" s="56"/>
      <c r="W18" s="56"/>
    </row>
    <row hidden="true" r="19">
      <c r="A19" s="54"/>
      <c r="B19" s="54" t="s">
        <v>152</v>
      </c>
      <c r="C19" s="55" t="s">
        <v>190</v>
      </c>
      <c r="D19" s="54">
        <f t="shared" si="0"/>
      </c>
      <c r="E19" s="54" t="s">
        <v>191</v>
      </c>
      <c r="F19" s="54" t="s">
        <v>189</v>
      </c>
      <c r="G19" s="54" t="s">
        <v>156</v>
      </c>
      <c r="H19" s="54"/>
      <c r="I19" s="55" t="s">
        <v>157</v>
      </c>
      <c r="J19" s="56"/>
      <c r="K19" s="56"/>
      <c r="L19" s="56" t="s">
        <v>158</v>
      </c>
      <c r="M19" s="56"/>
      <c r="N19" s="56"/>
      <c r="O19" s="56"/>
      <c r="P19" s="56"/>
      <c r="Q19" s="56"/>
      <c r="R19" s="56"/>
      <c r="S19" s="56"/>
      <c r="T19" s="56"/>
      <c r="U19" s="56"/>
      <c r="V19" s="56"/>
      <c r="W19" s="56"/>
    </row>
    <row hidden="true" r="20">
      <c r="A20" s="54"/>
      <c r="B20" s="54" t="s">
        <v>152</v>
      </c>
      <c r="C20" s="55" t="s">
        <v>192</v>
      </c>
      <c r="D20" s="54">
        <f t="shared" si="0"/>
      </c>
      <c r="E20" s="54" t="s">
        <v>193</v>
      </c>
      <c r="F20" s="54" t="s">
        <v>194</v>
      </c>
      <c r="G20" s="54" t="s">
        <v>156</v>
      </c>
      <c r="H20" s="54"/>
      <c r="I20" s="55" t="s">
        <v>157</v>
      </c>
      <c r="J20" s="56"/>
      <c r="K20" s="56"/>
      <c r="L20" s="56" t="s">
        <v>158</v>
      </c>
      <c r="M20" s="56"/>
      <c r="N20" s="56"/>
      <c r="O20" s="56"/>
      <c r="P20" s="56"/>
      <c r="Q20" s="56"/>
      <c r="R20" s="56"/>
      <c r="S20" s="56"/>
      <c r="T20" s="56"/>
      <c r="U20" s="56"/>
      <c r="V20" s="56"/>
      <c r="W20" s="56"/>
    </row>
    <row hidden="true" r="21">
      <c r="A21" s="54"/>
      <c r="B21" s="54" t="s">
        <v>152</v>
      </c>
      <c r="C21" s="55" t="s">
        <v>195</v>
      </c>
      <c r="D21" s="54">
        <f t="shared" si="0"/>
      </c>
      <c r="E21" s="54" t="s">
        <v>196</v>
      </c>
      <c r="F21" s="54" t="s">
        <v>194</v>
      </c>
      <c r="G21" s="54" t="s">
        <v>156</v>
      </c>
      <c r="H21" s="54"/>
      <c r="I21" s="55" t="s">
        <v>157</v>
      </c>
      <c r="J21" s="56"/>
      <c r="K21" s="56"/>
      <c r="L21" s="56" t="s">
        <v>158</v>
      </c>
      <c r="M21" s="56"/>
      <c r="N21" s="56"/>
      <c r="O21" s="56"/>
      <c r="P21" s="56"/>
      <c r="Q21" s="56"/>
      <c r="R21" s="56"/>
      <c r="S21" s="56"/>
      <c r="T21" s="56"/>
      <c r="U21" s="56"/>
      <c r="V21" s="56"/>
      <c r="W21" s="56"/>
    </row>
    <row r="22">
      <c r="A22" s="55"/>
      <c r="B22" s="54" t="s">
        <v>152</v>
      </c>
      <c r="C22" s="55" t="s">
        <v>197</v>
      </c>
      <c r="D22" s="54">
        <f t="shared" si="0"/>
      </c>
      <c r="E22" s="54" t="s">
        <v>183</v>
      </c>
      <c r="F22" s="54" t="s">
        <v>184</v>
      </c>
      <c r="G22" s="54" t="s">
        <v>156</v>
      </c>
      <c r="H22" s="61" t="s">
        <v>198</v>
      </c>
      <c r="I22" s="58" t="s">
        <v>199</v>
      </c>
      <c r="J22" s="56"/>
      <c r="K22" s="56"/>
      <c r="L22" s="56"/>
      <c r="M22" s="56"/>
      <c r="N22" s="56"/>
      <c r="O22" s="56"/>
      <c r="P22" s="56"/>
      <c r="Q22" s="56"/>
      <c r="R22" s="56"/>
      <c r="S22" s="56"/>
      <c r="T22" s="56"/>
      <c r="U22" s="56"/>
      <c r="V22" s="56"/>
      <c r="W22" s="56"/>
    </row>
    <row r="23">
      <c r="A23" s="55"/>
      <c r="B23" s="54" t="s">
        <v>152</v>
      </c>
      <c r="C23" s="55" t="s">
        <v>200</v>
      </c>
      <c r="D23" s="54">
        <f t="shared" si="0"/>
      </c>
      <c r="E23" s="54" t="s">
        <v>186</v>
      </c>
      <c r="F23" s="54" t="s">
        <v>184</v>
      </c>
      <c r="G23" s="54" t="s">
        <v>156</v>
      </c>
      <c r="H23" s="61" t="s">
        <v>198</v>
      </c>
      <c r="I23" s="58" t="s">
        <v>201</v>
      </c>
      <c r="J23" s="56"/>
      <c r="K23" s="56"/>
      <c r="L23" s="56"/>
      <c r="M23" s="56"/>
      <c r="N23" s="56"/>
      <c r="O23" s="56"/>
      <c r="P23" s="56"/>
      <c r="Q23" s="56"/>
      <c r="R23" s="56"/>
      <c r="S23" s="56"/>
      <c r="T23" s="56"/>
      <c r="U23" s="56"/>
      <c r="V23" s="56"/>
      <c r="W23" s="56"/>
    </row>
    <row r="24">
      <c r="A24" s="55"/>
      <c r="B24" s="54" t="s">
        <v>152</v>
      </c>
      <c r="C24" s="55" t="s">
        <v>202</v>
      </c>
      <c r="D24" s="54">
        <f t="shared" si="0"/>
      </c>
      <c r="E24" s="54" t="s">
        <v>188</v>
      </c>
      <c r="F24" s="54" t="s">
        <v>189</v>
      </c>
      <c r="G24" s="54" t="s">
        <v>156</v>
      </c>
      <c r="H24" s="61" t="s">
        <v>198</v>
      </c>
      <c r="I24" s="58" t="s">
        <v>203</v>
      </c>
      <c r="J24" s="56"/>
      <c r="K24" s="56"/>
      <c r="L24" s="56"/>
      <c r="M24" s="56"/>
      <c r="N24" s="56"/>
      <c r="O24" s="56"/>
      <c r="P24" s="56"/>
      <c r="Q24" s="56"/>
      <c r="R24" s="56"/>
      <c r="S24" s="56"/>
      <c r="T24" s="56"/>
      <c r="U24" s="56"/>
      <c r="V24" s="56"/>
      <c r="W24" s="56"/>
    </row>
    <row r="25">
      <c r="A25" s="55"/>
      <c r="B25" s="54" t="s">
        <v>152</v>
      </c>
      <c r="C25" s="55" t="s">
        <v>204</v>
      </c>
      <c r="D25" s="54">
        <f t="shared" si="0"/>
      </c>
      <c r="E25" s="54" t="s">
        <v>191</v>
      </c>
      <c r="F25" s="54" t="s">
        <v>189</v>
      </c>
      <c r="G25" s="54" t="s">
        <v>156</v>
      </c>
      <c r="H25" s="61" t="s">
        <v>198</v>
      </c>
      <c r="I25" s="58" t="s">
        <v>205</v>
      </c>
      <c r="J25" s="56"/>
      <c r="K25" s="56"/>
      <c r="L25" s="56"/>
      <c r="M25" s="56"/>
      <c r="N25" s="56"/>
      <c r="O25" s="56"/>
      <c r="P25" s="56"/>
      <c r="Q25" s="56"/>
      <c r="R25" s="56"/>
      <c r="S25" s="56"/>
      <c r="T25" s="56"/>
      <c r="U25" s="56"/>
      <c r="V25" s="56"/>
      <c r="W25" s="56"/>
    </row>
    <row r="26">
      <c r="A26" s="55"/>
      <c r="B26" s="54" t="s">
        <v>152</v>
      </c>
      <c r="C26" s="58" t="s">
        <v>206</v>
      </c>
      <c r="D26" s="54">
        <f t="shared" si="0"/>
      </c>
      <c r="E26" s="54" t="s">
        <v>193</v>
      </c>
      <c r="F26" s="54" t="s">
        <v>194</v>
      </c>
      <c r="G26" s="54" t="s">
        <v>156</v>
      </c>
      <c r="H26" s="58" t="s">
        <v>166</v>
      </c>
      <c r="I26" s="58" t="s">
        <v>207</v>
      </c>
      <c r="J26" s="56" t="s">
        <v>206</v>
      </c>
      <c r="K26" s="56" t="s">
        <v>208</v>
      </c>
      <c r="L26" s="56" t="s">
        <v>169</v>
      </c>
      <c r="M26" s="56"/>
      <c r="N26" s="56"/>
      <c r="O26" s="56"/>
      <c r="P26" s="56"/>
      <c r="Q26" s="56"/>
      <c r="R26" s="56"/>
      <c r="S26" s="56"/>
      <c r="T26" s="56"/>
      <c r="U26" s="56"/>
      <c r="V26" s="56"/>
      <c r="W26" s="56"/>
    </row>
    <row r="27">
      <c r="A27" s="55"/>
      <c r="B27" s="54" t="s">
        <v>152</v>
      </c>
      <c r="C27" s="55" t="s">
        <v>209</v>
      </c>
      <c r="D27" s="54">
        <f t="shared" si="0"/>
      </c>
      <c r="E27" s="54" t="s">
        <v>196</v>
      </c>
      <c r="F27" s="54" t="s">
        <v>194</v>
      </c>
      <c r="G27" s="54" t="s">
        <v>156</v>
      </c>
      <c r="H27" s="61" t="s">
        <v>198</v>
      </c>
      <c r="I27" s="58" t="s">
        <v>210</v>
      </c>
      <c r="J27" s="56"/>
      <c r="K27" s="56"/>
      <c r="L27" s="56"/>
      <c r="M27" s="56"/>
      <c r="N27" s="56"/>
      <c r="O27" s="56"/>
      <c r="P27" s="56"/>
      <c r="Q27" s="56"/>
      <c r="R27" s="56"/>
      <c r="S27" s="56"/>
      <c r="T27" s="56"/>
      <c r="U27" s="56"/>
      <c r="V27" s="56"/>
      <c r="W27" s="56"/>
    </row>
    <row hidden="true" r="28">
      <c r="A28" s="54"/>
      <c r="B28" s="54" t="s">
        <v>152</v>
      </c>
      <c r="C28" s="55" t="s">
        <v>211</v>
      </c>
      <c r="D28" s="54">
        <f t="shared" si="0"/>
      </c>
      <c r="E28" s="54" t="s">
        <v>183</v>
      </c>
      <c r="F28" s="54" t="s">
        <v>184</v>
      </c>
      <c r="G28" s="54" t="s">
        <v>156</v>
      </c>
      <c r="H28" s="54"/>
      <c r="I28" s="55" t="s">
        <v>157</v>
      </c>
      <c r="J28" s="56"/>
      <c r="K28" s="56"/>
      <c r="L28" s="56" t="s">
        <v>158</v>
      </c>
      <c r="M28" s="56"/>
      <c r="N28" s="56"/>
      <c r="O28" s="56"/>
      <c r="P28" s="56"/>
      <c r="Q28" s="56"/>
      <c r="R28" s="56"/>
      <c r="S28" s="56"/>
      <c r="T28" s="56"/>
      <c r="U28" s="56"/>
      <c r="V28" s="56"/>
      <c r="W28" s="56"/>
    </row>
    <row hidden="true" r="29">
      <c r="A29" s="54"/>
      <c r="B29" s="54" t="s">
        <v>152</v>
      </c>
      <c r="C29" s="55" t="s">
        <v>212</v>
      </c>
      <c r="D29" s="54">
        <f t="shared" si="0"/>
      </c>
      <c r="E29" s="54" t="s">
        <v>186</v>
      </c>
      <c r="F29" s="54" t="s">
        <v>184</v>
      </c>
      <c r="G29" s="54" t="s">
        <v>156</v>
      </c>
      <c r="H29" s="54"/>
      <c r="I29" s="55" t="s">
        <v>157</v>
      </c>
      <c r="J29" s="56"/>
      <c r="K29" s="56"/>
      <c r="L29" s="56" t="s">
        <v>158</v>
      </c>
      <c r="M29" s="56"/>
      <c r="N29" s="56"/>
      <c r="O29" s="56"/>
      <c r="P29" s="56"/>
      <c r="Q29" s="56"/>
      <c r="R29" s="56"/>
      <c r="S29" s="56"/>
      <c r="T29" s="56"/>
      <c r="U29" s="56"/>
      <c r="V29" s="56"/>
      <c r="W29" s="56"/>
    </row>
    <row hidden="true" r="30">
      <c r="A30" s="54"/>
      <c r="B30" s="54" t="s">
        <v>152</v>
      </c>
      <c r="C30" s="55" t="s">
        <v>213</v>
      </c>
      <c r="D30" s="54">
        <f t="shared" si="0"/>
      </c>
      <c r="E30" s="54" t="s">
        <v>188</v>
      </c>
      <c r="F30" s="54" t="s">
        <v>189</v>
      </c>
      <c r="G30" s="54" t="s">
        <v>156</v>
      </c>
      <c r="H30" s="54"/>
      <c r="I30" s="55" t="s">
        <v>157</v>
      </c>
      <c r="J30" s="56"/>
      <c r="K30" s="56"/>
      <c r="L30" s="56" t="s">
        <v>158</v>
      </c>
      <c r="M30" s="56"/>
      <c r="N30" s="56"/>
      <c r="O30" s="56"/>
      <c r="P30" s="56"/>
      <c r="Q30" s="56"/>
      <c r="R30" s="56"/>
      <c r="S30" s="56"/>
      <c r="T30" s="56"/>
      <c r="U30" s="56"/>
      <c r="V30" s="56"/>
      <c r="W30" s="56"/>
    </row>
    <row hidden="true" r="31">
      <c r="A31" s="54"/>
      <c r="B31" s="54" t="s">
        <v>152</v>
      </c>
      <c r="C31" s="55" t="s">
        <v>214</v>
      </c>
      <c r="D31" s="54">
        <f t="shared" si="0"/>
      </c>
      <c r="E31" s="54" t="s">
        <v>191</v>
      </c>
      <c r="F31" s="54" t="s">
        <v>189</v>
      </c>
      <c r="G31" s="54" t="s">
        <v>156</v>
      </c>
      <c r="H31" s="54"/>
      <c r="I31" s="55" t="s">
        <v>157</v>
      </c>
      <c r="J31" s="56"/>
      <c r="K31" s="56"/>
      <c r="L31" s="56" t="s">
        <v>158</v>
      </c>
      <c r="M31" s="56"/>
      <c r="N31" s="56"/>
      <c r="O31" s="56"/>
      <c r="P31" s="56"/>
      <c r="Q31" s="56"/>
      <c r="R31" s="56"/>
      <c r="S31" s="56"/>
      <c r="T31" s="56"/>
      <c r="U31" s="56"/>
      <c r="V31" s="56"/>
      <c r="W31" s="56"/>
    </row>
    <row hidden="true" r="32">
      <c r="A32" s="54"/>
      <c r="B32" s="54" t="s">
        <v>152</v>
      </c>
      <c r="C32" s="55" t="s">
        <v>215</v>
      </c>
      <c r="D32" s="54">
        <f t="shared" si="0"/>
      </c>
      <c r="E32" s="54" t="s">
        <v>193</v>
      </c>
      <c r="F32" s="54" t="s">
        <v>194</v>
      </c>
      <c r="G32" s="54" t="s">
        <v>156</v>
      </c>
      <c r="H32" s="54"/>
      <c r="I32" s="55" t="s">
        <v>157</v>
      </c>
      <c r="J32" s="56"/>
      <c r="K32" s="56"/>
      <c r="L32" s="56" t="s">
        <v>158</v>
      </c>
      <c r="M32" s="56"/>
      <c r="N32" s="56"/>
      <c r="O32" s="56"/>
      <c r="P32" s="56"/>
      <c r="Q32" s="56"/>
      <c r="R32" s="56"/>
      <c r="S32" s="56"/>
      <c r="T32" s="56"/>
      <c r="U32" s="56"/>
      <c r="V32" s="56"/>
      <c r="W32" s="56"/>
    </row>
    <row hidden="true" r="33">
      <c r="A33" s="54"/>
      <c r="B33" s="54" t="s">
        <v>152</v>
      </c>
      <c r="C33" s="55" t="s">
        <v>216</v>
      </c>
      <c r="D33" s="54">
        <f t="shared" si="0"/>
      </c>
      <c r="E33" s="54" t="s">
        <v>196</v>
      </c>
      <c r="F33" s="54" t="s">
        <v>194</v>
      </c>
      <c r="G33" s="54" t="s">
        <v>156</v>
      </c>
      <c r="H33" s="54"/>
      <c r="I33" s="55" t="s">
        <v>157</v>
      </c>
      <c r="J33" s="56"/>
      <c r="K33" s="56"/>
      <c r="L33" s="56" t="s">
        <v>158</v>
      </c>
      <c r="M33" s="56"/>
      <c r="N33" s="56"/>
      <c r="O33" s="56"/>
      <c r="P33" s="56"/>
      <c r="Q33" s="56"/>
      <c r="R33" s="56"/>
      <c r="S33" s="56"/>
      <c r="T33" s="56"/>
      <c r="U33" s="56"/>
      <c r="V33" s="56"/>
      <c r="W33" s="56"/>
    </row>
    <row hidden="true" r="34">
      <c r="A34" s="54"/>
      <c r="B34" s="54" t="s">
        <v>152</v>
      </c>
      <c r="C34" s="55" t="s">
        <v>217</v>
      </c>
      <c r="D34" s="54">
        <f t="shared" si="0"/>
      </c>
      <c r="E34" s="54" t="s">
        <v>183</v>
      </c>
      <c r="F34" s="54" t="s">
        <v>184</v>
      </c>
      <c r="G34" s="54" t="s">
        <v>156</v>
      </c>
      <c r="H34" s="54"/>
      <c r="I34" s="55" t="s">
        <v>157</v>
      </c>
      <c r="J34" s="56"/>
      <c r="K34" s="56"/>
      <c r="L34" s="56" t="s">
        <v>158</v>
      </c>
      <c r="M34" s="56"/>
      <c r="N34" s="56"/>
      <c r="O34" s="56"/>
      <c r="P34" s="56"/>
      <c r="Q34" s="56"/>
      <c r="R34" s="56"/>
      <c r="S34" s="56"/>
      <c r="T34" s="56"/>
      <c r="U34" s="56"/>
      <c r="V34" s="56"/>
      <c r="W34" s="56"/>
    </row>
    <row hidden="true" r="35">
      <c r="A35" s="54"/>
      <c r="B35" s="54" t="s">
        <v>152</v>
      </c>
      <c r="C35" s="55" t="s">
        <v>218</v>
      </c>
      <c r="D35" s="54">
        <f t="shared" si="0"/>
      </c>
      <c r="E35" s="54" t="s">
        <v>186</v>
      </c>
      <c r="F35" s="54" t="s">
        <v>184</v>
      </c>
      <c r="G35" s="54" t="s">
        <v>156</v>
      </c>
      <c r="H35" s="54"/>
      <c r="I35" s="55" t="s">
        <v>157</v>
      </c>
      <c r="J35" s="56"/>
      <c r="K35" s="56"/>
      <c r="L35" s="56" t="s">
        <v>158</v>
      </c>
      <c r="M35" s="56"/>
      <c r="N35" s="56"/>
      <c r="O35" s="56"/>
      <c r="P35" s="56"/>
      <c r="Q35" s="56"/>
      <c r="R35" s="56"/>
      <c r="S35" s="56"/>
      <c r="T35" s="56"/>
      <c r="U35" s="56"/>
      <c r="V35" s="56"/>
      <c r="W35" s="56"/>
    </row>
    <row r="36">
      <c r="A36" s="55"/>
      <c r="B36" s="54" t="s">
        <v>152</v>
      </c>
      <c r="C36" s="58" t="s">
        <v>219</v>
      </c>
      <c r="D36" s="54">
        <f t="shared" si="0"/>
      </c>
      <c r="E36" s="62" t="s">
        <v>220</v>
      </c>
      <c r="F36" s="54" t="s">
        <v>189</v>
      </c>
      <c r="G36" s="54" t="s">
        <v>156</v>
      </c>
      <c r="H36" s="58" t="s">
        <v>166</v>
      </c>
      <c r="I36" s="58" t="s">
        <v>221</v>
      </c>
      <c r="J36" s="56" t="s">
        <v>222</v>
      </c>
      <c r="K36" s="56" t="s">
        <v>223</v>
      </c>
      <c r="L36" s="56" t="s">
        <v>224</v>
      </c>
      <c r="M36" s="56"/>
      <c r="N36" s="56"/>
      <c r="O36" s="56"/>
      <c r="P36" s="56"/>
      <c r="Q36" s="56"/>
      <c r="R36" s="56"/>
      <c r="S36" s="56"/>
      <c r="T36" s="56"/>
      <c r="U36" s="56"/>
      <c r="V36" s="56"/>
      <c r="W36" s="56"/>
    </row>
    <row hidden="true" r="37">
      <c r="A37" s="54"/>
      <c r="B37" s="54" t="s">
        <v>152</v>
      </c>
      <c r="C37" s="55" t="s">
        <v>225</v>
      </c>
      <c r="D37" s="54">
        <f t="shared" si="0"/>
      </c>
      <c r="E37" s="54" t="s">
        <v>191</v>
      </c>
      <c r="F37" s="54" t="s">
        <v>189</v>
      </c>
      <c r="G37" s="54" t="s">
        <v>156</v>
      </c>
      <c r="H37" s="54"/>
      <c r="I37" s="55" t="s">
        <v>157</v>
      </c>
      <c r="J37" s="56"/>
      <c r="K37" s="56"/>
      <c r="L37" s="56" t="s">
        <v>158</v>
      </c>
      <c r="M37" s="56"/>
      <c r="N37" s="56"/>
      <c r="O37" s="56"/>
      <c r="P37" s="56"/>
      <c r="Q37" s="56"/>
      <c r="R37" s="56"/>
      <c r="S37" s="56"/>
      <c r="T37" s="56"/>
      <c r="U37" s="56"/>
      <c r="V37" s="56"/>
      <c r="W37" s="56"/>
    </row>
    <row hidden="true" r="38">
      <c r="A38" s="54"/>
      <c r="B38" s="54" t="s">
        <v>152</v>
      </c>
      <c r="C38" s="55" t="s">
        <v>226</v>
      </c>
      <c r="D38" s="54">
        <f t="shared" si="0"/>
      </c>
      <c r="E38" s="54" t="s">
        <v>193</v>
      </c>
      <c r="F38" s="54" t="s">
        <v>194</v>
      </c>
      <c r="G38" s="54" t="s">
        <v>156</v>
      </c>
      <c r="H38" s="54"/>
      <c r="I38" s="55" t="s">
        <v>157</v>
      </c>
      <c r="J38" s="56"/>
      <c r="K38" s="56"/>
      <c r="L38" s="56" t="s">
        <v>158</v>
      </c>
      <c r="M38" s="56"/>
      <c r="N38" s="56"/>
      <c r="O38" s="56"/>
      <c r="P38" s="56"/>
      <c r="Q38" s="56"/>
      <c r="R38" s="56"/>
      <c r="S38" s="56"/>
      <c r="T38" s="56"/>
      <c r="U38" s="56"/>
      <c r="V38" s="56"/>
      <c r="W38" s="56"/>
    </row>
    <row r="39">
      <c r="A39" s="55"/>
      <c r="B39" s="54" t="s">
        <v>152</v>
      </c>
      <c r="C39" s="58" t="s">
        <v>227</v>
      </c>
      <c r="D39" s="54">
        <f t="shared" si="0"/>
      </c>
      <c r="E39" s="54" t="s">
        <v>196</v>
      </c>
      <c r="F39" s="54" t="s">
        <v>194</v>
      </c>
      <c r="G39" s="54" t="s">
        <v>156</v>
      </c>
      <c r="H39" s="58" t="s">
        <v>166</v>
      </c>
      <c r="I39" s="58" t="s">
        <v>228</v>
      </c>
      <c r="J39" s="63" t="s">
        <v>229</v>
      </c>
      <c r="K39" s="56" t="s">
        <v>230</v>
      </c>
      <c r="L39" s="64" t="s">
        <v>231</v>
      </c>
      <c r="M39" s="56"/>
      <c r="N39" s="56"/>
      <c r="O39" s="56"/>
      <c r="P39" s="56"/>
      <c r="Q39" s="56"/>
      <c r="R39" s="56"/>
      <c r="S39" s="56"/>
      <c r="T39" s="56"/>
      <c r="U39" s="56"/>
      <c r="V39" s="56"/>
      <c r="W39" s="56"/>
    </row>
    <row hidden="true" r="40">
      <c r="A40" s="54"/>
      <c r="B40" s="54" t="s">
        <v>152</v>
      </c>
      <c r="C40" s="55" t="s">
        <v>232</v>
      </c>
      <c r="D40" s="54">
        <f t="shared" si="0"/>
      </c>
      <c r="E40" s="54" t="s">
        <v>183</v>
      </c>
      <c r="F40" s="54" t="s">
        <v>184</v>
      </c>
      <c r="G40" s="54" t="s">
        <v>156</v>
      </c>
      <c r="H40" s="54"/>
      <c r="I40" s="55" t="s">
        <v>157</v>
      </c>
      <c r="J40" s="56"/>
      <c r="K40" s="56"/>
      <c r="L40" s="56" t="s">
        <v>158</v>
      </c>
      <c r="M40" s="56"/>
      <c r="N40" s="56"/>
      <c r="O40" s="56"/>
      <c r="P40" s="56"/>
      <c r="Q40" s="56"/>
      <c r="R40" s="56"/>
      <c r="S40" s="56"/>
      <c r="T40" s="56"/>
      <c r="U40" s="56"/>
      <c r="V40" s="56"/>
      <c r="W40" s="56"/>
    </row>
    <row hidden="true" r="41">
      <c r="A41" s="54"/>
      <c r="B41" s="54" t="s">
        <v>152</v>
      </c>
      <c r="C41" s="55" t="s">
        <v>233</v>
      </c>
      <c r="D41" s="54">
        <f t="shared" si="0"/>
      </c>
      <c r="E41" s="54" t="s">
        <v>186</v>
      </c>
      <c r="F41" s="54" t="s">
        <v>184</v>
      </c>
      <c r="G41" s="54" t="s">
        <v>156</v>
      </c>
      <c r="H41" s="54"/>
      <c r="I41" s="55" t="s">
        <v>157</v>
      </c>
      <c r="J41" s="56"/>
      <c r="K41" s="56"/>
      <c r="L41" s="56" t="s">
        <v>158</v>
      </c>
      <c r="M41" s="56"/>
      <c r="N41" s="56"/>
      <c r="O41" s="56"/>
      <c r="P41" s="56"/>
      <c r="Q41" s="56"/>
      <c r="R41" s="56"/>
      <c r="S41" s="56"/>
      <c r="T41" s="56"/>
      <c r="U41" s="56"/>
      <c r="V41" s="56"/>
      <c r="W41" s="56"/>
    </row>
    <row hidden="true" r="42">
      <c r="A42" s="54"/>
      <c r="B42" s="54" t="s">
        <v>152</v>
      </c>
      <c r="C42" s="55" t="s">
        <v>234</v>
      </c>
      <c r="D42" s="54">
        <f t="shared" si="0"/>
      </c>
      <c r="E42" s="54" t="s">
        <v>188</v>
      </c>
      <c r="F42" s="54" t="s">
        <v>189</v>
      </c>
      <c r="G42" s="54" t="s">
        <v>156</v>
      </c>
      <c r="H42" s="54"/>
      <c r="I42" s="55" t="s">
        <v>157</v>
      </c>
      <c r="J42" s="56"/>
      <c r="K42" s="56"/>
      <c r="L42" s="56" t="s">
        <v>158</v>
      </c>
      <c r="M42" s="56"/>
      <c r="N42" s="56"/>
      <c r="O42" s="56"/>
      <c r="P42" s="56"/>
      <c r="Q42" s="56"/>
      <c r="R42" s="56"/>
      <c r="S42" s="56"/>
      <c r="T42" s="56"/>
      <c r="U42" s="56"/>
      <c r="V42" s="56"/>
      <c r="W42" s="56"/>
    </row>
    <row r="43">
      <c r="A43" s="55"/>
      <c r="B43" s="54" t="s">
        <v>152</v>
      </c>
      <c r="C43" s="58" t="s">
        <v>235</v>
      </c>
      <c r="D43" s="54">
        <f t="shared" si="0"/>
      </c>
      <c r="E43" s="62" t="s">
        <v>236</v>
      </c>
      <c r="F43" s="54" t="s">
        <v>189</v>
      </c>
      <c r="G43" s="54" t="s">
        <v>156</v>
      </c>
      <c r="H43" s="58" t="s">
        <v>166</v>
      </c>
      <c r="I43" s="58" t="s">
        <v>237</v>
      </c>
      <c r="J43" s="60" t="s">
        <v>235</v>
      </c>
      <c r="K43" s="56" t="s">
        <v>158</v>
      </c>
      <c r="L43" s="56" t="s">
        <v>169</v>
      </c>
      <c r="M43" s="56"/>
      <c r="N43" s="56"/>
      <c r="O43" s="56"/>
      <c r="P43" s="56"/>
      <c r="Q43" s="56"/>
      <c r="R43" s="56"/>
      <c r="S43" s="56"/>
      <c r="T43" s="56"/>
      <c r="U43" s="56"/>
      <c r="V43" s="56"/>
      <c r="W43" s="56"/>
    </row>
    <row r="44">
      <c r="A44" s="55"/>
      <c r="B44" s="54" t="s">
        <v>152</v>
      </c>
      <c r="C44" s="58" t="s">
        <v>238</v>
      </c>
      <c r="D44" s="54">
        <f t="shared" si="0"/>
      </c>
      <c r="E44" s="54" t="s">
        <v>193</v>
      </c>
      <c r="F44" s="54" t="s">
        <v>194</v>
      </c>
      <c r="G44" s="54" t="s">
        <v>156</v>
      </c>
      <c r="H44" s="58" t="s">
        <v>166</v>
      </c>
      <c r="I44" s="58" t="s">
        <v>239</v>
      </c>
      <c r="J44" s="65" t="s">
        <v>240</v>
      </c>
      <c r="K44" s="56" t="s">
        <v>241</v>
      </c>
      <c r="L44" s="56" t="s">
        <v>242</v>
      </c>
      <c r="M44" s="56"/>
      <c r="N44" s="56"/>
      <c r="O44" s="56"/>
      <c r="P44" s="56"/>
      <c r="Q44" s="56"/>
      <c r="R44" s="56"/>
      <c r="S44" s="56"/>
      <c r="T44" s="56"/>
      <c r="U44" s="56"/>
      <c r="V44" s="56"/>
      <c r="W44" s="56"/>
    </row>
    <row hidden="true" r="45">
      <c r="A45" s="54"/>
      <c r="B45" s="54" t="s">
        <v>152</v>
      </c>
      <c r="C45" s="55" t="s">
        <v>243</v>
      </c>
      <c r="D45" s="54">
        <f t="shared" si="0"/>
      </c>
      <c r="E45" s="54" t="s">
        <v>196</v>
      </c>
      <c r="F45" s="54" t="s">
        <v>194</v>
      </c>
      <c r="G45" s="54" t="s">
        <v>156</v>
      </c>
      <c r="H45" s="54"/>
      <c r="I45" s="55" t="s">
        <v>157</v>
      </c>
      <c r="J45" s="56"/>
      <c r="K45" s="56"/>
      <c r="L45" s="56" t="s">
        <v>158</v>
      </c>
      <c r="M45" s="56"/>
      <c r="N45" s="56"/>
      <c r="O45" s="56"/>
      <c r="P45" s="56"/>
      <c r="Q45" s="56"/>
      <c r="R45" s="56"/>
      <c r="S45" s="56"/>
      <c r="T45" s="56"/>
      <c r="U45" s="56"/>
      <c r="V45" s="56"/>
      <c r="W45" s="56"/>
    </row>
    <row hidden="true" r="46">
      <c r="A46" s="54"/>
      <c r="B46" s="54" t="s">
        <v>152</v>
      </c>
      <c r="C46" s="55" t="s">
        <v>244</v>
      </c>
      <c r="D46" s="54">
        <f t="shared" si="0"/>
      </c>
      <c r="E46" s="54" t="s">
        <v>183</v>
      </c>
      <c r="F46" s="54" t="s">
        <v>184</v>
      </c>
      <c r="G46" s="54" t="s">
        <v>156</v>
      </c>
      <c r="H46" s="54"/>
      <c r="I46" s="55" t="s">
        <v>157</v>
      </c>
      <c r="J46" s="56"/>
      <c r="K46" s="56"/>
      <c r="L46" s="56" t="s">
        <v>158</v>
      </c>
      <c r="M46" s="56"/>
      <c r="N46" s="56"/>
      <c r="O46" s="56"/>
      <c r="P46" s="56"/>
      <c r="Q46" s="56"/>
      <c r="R46" s="56"/>
      <c r="S46" s="56"/>
      <c r="T46" s="56"/>
      <c r="U46" s="56"/>
      <c r="V46" s="56"/>
      <c r="W46" s="56"/>
    </row>
    <row hidden="true" r="47">
      <c r="A47" s="54"/>
      <c r="B47" s="54" t="s">
        <v>152</v>
      </c>
      <c r="C47" s="55" t="s">
        <v>245</v>
      </c>
      <c r="D47" s="54">
        <f t="shared" si="0"/>
      </c>
      <c r="E47" s="54" t="s">
        <v>186</v>
      </c>
      <c r="F47" s="54" t="s">
        <v>184</v>
      </c>
      <c r="G47" s="54" t="s">
        <v>156</v>
      </c>
      <c r="H47" s="54"/>
      <c r="I47" s="55" t="s">
        <v>157</v>
      </c>
      <c r="J47" s="56"/>
      <c r="K47" s="56"/>
      <c r="L47" s="56" t="s">
        <v>158</v>
      </c>
      <c r="M47" s="56"/>
      <c r="N47" s="56"/>
      <c r="O47" s="56"/>
      <c r="P47" s="56"/>
      <c r="Q47" s="56"/>
      <c r="R47" s="56"/>
      <c r="S47" s="56"/>
      <c r="T47" s="56"/>
      <c r="U47" s="56"/>
      <c r="V47" s="56"/>
      <c r="W47" s="56"/>
    </row>
    <row r="48">
      <c r="A48" s="55"/>
      <c r="B48" s="54" t="s">
        <v>152</v>
      </c>
      <c r="C48" s="58" t="s">
        <v>246</v>
      </c>
      <c r="D48" s="54">
        <f t="shared" si="0"/>
      </c>
      <c r="E48" s="62" t="s">
        <v>220</v>
      </c>
      <c r="F48" s="54" t="s">
        <v>189</v>
      </c>
      <c r="G48" s="54" t="s">
        <v>156</v>
      </c>
      <c r="H48" s="58" t="s">
        <v>247</v>
      </c>
      <c r="I48" s="58" t="s">
        <v>248</v>
      </c>
      <c r="J48" s="56" t="s">
        <v>249</v>
      </c>
      <c r="K48" s="56" t="s">
        <v>250</v>
      </c>
      <c r="L48" s="56" t="s">
        <v>224</v>
      </c>
      <c r="M48" s="56"/>
      <c r="N48" s="56"/>
      <c r="O48" s="56"/>
      <c r="P48" s="56"/>
      <c r="Q48" s="56"/>
      <c r="R48" s="56"/>
      <c r="S48" s="56"/>
      <c r="T48" s="56"/>
      <c r="U48" s="56"/>
      <c r="V48" s="56"/>
      <c r="W48" s="56"/>
    </row>
    <row hidden="true" r="49">
      <c r="A49" s="54"/>
      <c r="B49" s="54" t="s">
        <v>152</v>
      </c>
      <c r="C49" s="55" t="s">
        <v>251</v>
      </c>
      <c r="D49" s="54">
        <f t="shared" si="0"/>
      </c>
      <c r="E49" s="54" t="s">
        <v>191</v>
      </c>
      <c r="F49" s="54" t="s">
        <v>189</v>
      </c>
      <c r="G49" s="54" t="s">
        <v>156</v>
      </c>
      <c r="H49" s="54"/>
      <c r="I49" s="55" t="s">
        <v>157</v>
      </c>
      <c r="J49" s="56"/>
      <c r="K49" s="56"/>
      <c r="L49" s="56" t="s">
        <v>158</v>
      </c>
      <c r="M49" s="56"/>
      <c r="N49" s="56"/>
      <c r="O49" s="56"/>
      <c r="P49" s="56"/>
      <c r="Q49" s="56"/>
      <c r="R49" s="56"/>
      <c r="S49" s="56"/>
      <c r="T49" s="56"/>
      <c r="U49" s="56"/>
      <c r="V49" s="56"/>
      <c r="W49" s="56"/>
    </row>
    <row hidden="true" r="50">
      <c r="A50" s="54"/>
      <c r="B50" s="54" t="s">
        <v>152</v>
      </c>
      <c r="C50" s="55" t="s">
        <v>252</v>
      </c>
      <c r="D50" s="54">
        <f t="shared" si="0"/>
      </c>
      <c r="E50" s="54" t="s">
        <v>193</v>
      </c>
      <c r="F50" s="54" t="s">
        <v>194</v>
      </c>
      <c r="G50" s="54" t="s">
        <v>156</v>
      </c>
      <c r="H50" s="54"/>
      <c r="I50" s="55" t="s">
        <v>157</v>
      </c>
      <c r="J50" s="56"/>
      <c r="K50" s="56"/>
      <c r="L50" s="56" t="s">
        <v>158</v>
      </c>
      <c r="M50" s="56"/>
      <c r="N50" s="56"/>
      <c r="O50" s="56"/>
      <c r="P50" s="56"/>
      <c r="Q50" s="56"/>
      <c r="R50" s="56"/>
      <c r="S50" s="56"/>
      <c r="T50" s="56"/>
      <c r="U50" s="56"/>
      <c r="V50" s="56"/>
      <c r="W50" s="56"/>
    </row>
    <row hidden="true" r="51">
      <c r="A51" s="54"/>
      <c r="B51" s="54" t="s">
        <v>152</v>
      </c>
      <c r="C51" s="55" t="s">
        <v>253</v>
      </c>
      <c r="D51" s="54">
        <f t="shared" si="0"/>
      </c>
      <c r="E51" s="54" t="s">
        <v>196</v>
      </c>
      <c r="F51" s="54" t="s">
        <v>194</v>
      </c>
      <c r="G51" s="54" t="s">
        <v>156</v>
      </c>
      <c r="H51" s="54"/>
      <c r="I51" s="55" t="s">
        <v>157</v>
      </c>
      <c r="J51" s="56"/>
      <c r="K51" s="56"/>
      <c r="L51" s="56" t="s">
        <v>158</v>
      </c>
      <c r="M51" s="56"/>
      <c r="N51" s="56"/>
      <c r="O51" s="56"/>
      <c r="P51" s="56"/>
      <c r="Q51" s="56"/>
      <c r="R51" s="56"/>
      <c r="S51" s="56"/>
      <c r="T51" s="56"/>
      <c r="U51" s="56"/>
      <c r="V51" s="56"/>
      <c r="W51" s="56"/>
    </row>
    <row hidden="true" r="52">
      <c r="A52" s="54"/>
      <c r="B52" s="54" t="s">
        <v>152</v>
      </c>
      <c r="C52" s="55" t="s">
        <v>254</v>
      </c>
      <c r="D52" s="54">
        <f t="shared" si="0"/>
      </c>
      <c r="E52" s="54" t="s">
        <v>255</v>
      </c>
      <c r="F52" s="54"/>
      <c r="G52" s="54" t="s">
        <v>156</v>
      </c>
      <c r="H52" s="54"/>
      <c r="I52" s="55" t="s">
        <v>157</v>
      </c>
      <c r="J52" s="56"/>
      <c r="K52" s="56"/>
      <c r="L52" s="56" t="s">
        <v>158</v>
      </c>
      <c r="M52" s="56"/>
      <c r="N52" s="56"/>
      <c r="O52" s="56"/>
      <c r="P52" s="56"/>
      <c r="Q52" s="56"/>
      <c r="R52" s="56"/>
      <c r="S52" s="56"/>
      <c r="T52" s="56"/>
      <c r="U52" s="56"/>
      <c r="V52" s="56"/>
      <c r="W52" s="56"/>
    </row>
    <row hidden="true" r="53">
      <c r="A53" s="54"/>
      <c r="B53" s="54" t="s">
        <v>152</v>
      </c>
      <c r="C53" s="55" t="s">
        <v>256</v>
      </c>
      <c r="D53" s="54">
        <f t="shared" si="0"/>
      </c>
      <c r="E53" s="54" t="s">
        <v>255</v>
      </c>
      <c r="F53" s="54"/>
      <c r="G53" s="54" t="s">
        <v>156</v>
      </c>
      <c r="H53" s="54"/>
      <c r="I53" s="55" t="s">
        <v>157</v>
      </c>
      <c r="J53" s="56"/>
      <c r="K53" s="56"/>
      <c r="L53" s="56" t="s">
        <v>158</v>
      </c>
      <c r="M53" s="56"/>
      <c r="N53" s="56"/>
      <c r="O53" s="56"/>
      <c r="P53" s="56"/>
      <c r="Q53" s="56"/>
      <c r="R53" s="56"/>
      <c r="S53" s="56"/>
      <c r="T53" s="56"/>
      <c r="U53" s="56"/>
      <c r="V53" s="56"/>
      <c r="W53" s="56"/>
    </row>
    <row hidden="true" r="54">
      <c r="A54" s="54"/>
      <c r="B54" s="54" t="s">
        <v>152</v>
      </c>
      <c r="C54" s="55" t="s">
        <v>257</v>
      </c>
      <c r="D54" s="54">
        <f t="shared" si="0"/>
      </c>
      <c r="E54" s="54" t="s">
        <v>255</v>
      </c>
      <c r="F54" s="54"/>
      <c r="G54" s="54" t="s">
        <v>156</v>
      </c>
      <c r="H54" s="54"/>
      <c r="I54" s="55" t="s">
        <v>157</v>
      </c>
      <c r="J54" s="56"/>
      <c r="K54" s="56"/>
      <c r="L54" s="56" t="s">
        <v>158</v>
      </c>
      <c r="M54" s="56"/>
      <c r="N54" s="56"/>
      <c r="O54" s="56"/>
      <c r="P54" s="56"/>
      <c r="Q54" s="56"/>
      <c r="R54" s="56"/>
      <c r="S54" s="56"/>
      <c r="T54" s="56"/>
      <c r="U54" s="56"/>
      <c r="V54" s="56"/>
      <c r="W54" s="56"/>
    </row>
    <row hidden="true" r="55">
      <c r="A55" s="54"/>
      <c r="B55" s="54" t="s">
        <v>152</v>
      </c>
      <c r="C55" s="55" t="s">
        <v>258</v>
      </c>
      <c r="D55" s="54">
        <f t="shared" si="0"/>
      </c>
      <c r="E55" s="54" t="s">
        <v>255</v>
      </c>
      <c r="F55" s="54"/>
      <c r="G55" s="54" t="s">
        <v>156</v>
      </c>
      <c r="H55" s="54"/>
      <c r="I55" s="55" t="s">
        <v>157</v>
      </c>
      <c r="J55" s="56"/>
      <c r="K55" s="56"/>
      <c r="L55" s="56" t="s">
        <v>158</v>
      </c>
      <c r="M55" s="56"/>
      <c r="N55" s="56"/>
      <c r="O55" s="56"/>
      <c r="P55" s="56"/>
      <c r="Q55" s="56"/>
      <c r="R55" s="56"/>
      <c r="S55" s="56"/>
      <c r="T55" s="56"/>
      <c r="U55" s="56"/>
      <c r="V55" s="56"/>
      <c r="W55" s="56"/>
    </row>
    <row hidden="true" r="56">
      <c r="A56" s="54"/>
      <c r="B56" s="54" t="s">
        <v>152</v>
      </c>
      <c r="C56" s="55" t="s">
        <v>259</v>
      </c>
      <c r="D56" s="54">
        <f t="shared" si="0"/>
      </c>
      <c r="E56" s="54" t="s">
        <v>255</v>
      </c>
      <c r="F56" s="54"/>
      <c r="G56" s="54" t="s">
        <v>156</v>
      </c>
      <c r="H56" s="54"/>
      <c r="I56" s="55" t="s">
        <v>157</v>
      </c>
      <c r="J56" s="56"/>
      <c r="K56" s="56"/>
      <c r="L56" s="56" t="s">
        <v>158</v>
      </c>
      <c r="M56" s="56"/>
      <c r="N56" s="56"/>
      <c r="O56" s="56"/>
      <c r="P56" s="56"/>
      <c r="Q56" s="56"/>
      <c r="R56" s="56"/>
      <c r="S56" s="56"/>
      <c r="T56" s="56"/>
      <c r="U56" s="56"/>
      <c r="V56" s="56"/>
      <c r="W56" s="56"/>
    </row>
    <row hidden="true" r="57">
      <c r="A57" s="54"/>
      <c r="B57" s="54" t="s">
        <v>152</v>
      </c>
      <c r="C57" s="55" t="s">
        <v>260</v>
      </c>
      <c r="D57" s="54">
        <f t="shared" si="0"/>
      </c>
      <c r="E57" s="54" t="s">
        <v>255</v>
      </c>
      <c r="F57" s="54"/>
      <c r="G57" s="54" t="s">
        <v>156</v>
      </c>
      <c r="H57" s="54"/>
      <c r="I57" s="55" t="s">
        <v>157</v>
      </c>
      <c r="J57" s="56"/>
      <c r="K57" s="56"/>
      <c r="L57" s="56" t="s">
        <v>158</v>
      </c>
      <c r="M57" s="56"/>
      <c r="N57" s="56"/>
      <c r="O57" s="56"/>
      <c r="P57" s="56"/>
      <c r="Q57" s="56"/>
      <c r="R57" s="56"/>
      <c r="S57" s="56"/>
      <c r="T57" s="56"/>
      <c r="U57" s="56"/>
      <c r="V57" s="56"/>
      <c r="W57" s="56"/>
    </row>
    <row hidden="true" r="58">
      <c r="A58" s="54"/>
      <c r="B58" s="54" t="s">
        <v>152</v>
      </c>
      <c r="C58" s="55" t="s">
        <v>261</v>
      </c>
      <c r="D58" s="54">
        <f t="shared" si="0"/>
      </c>
      <c r="E58" s="54" t="s">
        <v>262</v>
      </c>
      <c r="F58" s="54"/>
      <c r="G58" s="54" t="s">
        <v>156</v>
      </c>
      <c r="H58" s="54"/>
      <c r="I58" s="55" t="s">
        <v>157</v>
      </c>
      <c r="J58" s="56"/>
      <c r="K58" s="56"/>
      <c r="L58" s="56" t="s">
        <v>158</v>
      </c>
      <c r="M58" s="56"/>
      <c r="N58" s="56"/>
      <c r="O58" s="56"/>
      <c r="P58" s="56"/>
      <c r="Q58" s="56"/>
      <c r="R58" s="56"/>
      <c r="S58" s="56"/>
      <c r="T58" s="56"/>
      <c r="U58" s="56"/>
      <c r="V58" s="56"/>
      <c r="W58" s="56"/>
    </row>
    <row r="59">
      <c r="A59" s="55"/>
      <c r="B59" s="54" t="s">
        <v>152</v>
      </c>
      <c r="C59" s="58" t="s">
        <v>263</v>
      </c>
      <c r="D59" s="54">
        <f t="shared" si="0"/>
      </c>
      <c r="E59" s="54" t="s">
        <v>262</v>
      </c>
      <c r="F59" s="54"/>
      <c r="G59" s="54" t="s">
        <v>156</v>
      </c>
      <c r="H59" s="58" t="s">
        <v>166</v>
      </c>
      <c r="I59" s="58" t="s">
        <v>179</v>
      </c>
      <c r="J59" s="56" t="s">
        <v>263</v>
      </c>
      <c r="K59" s="56" t="s">
        <v>158</v>
      </c>
      <c r="L59" s="56" t="s">
        <v>169</v>
      </c>
      <c r="M59" s="56"/>
      <c r="N59" s="56"/>
      <c r="O59" s="56"/>
      <c r="P59" s="56"/>
      <c r="Q59" s="56"/>
      <c r="R59" s="56"/>
      <c r="S59" s="56"/>
      <c r="T59" s="56"/>
      <c r="U59" s="56"/>
      <c r="V59" s="56"/>
      <c r="W59" s="56"/>
    </row>
    <row hidden="true" r="60">
      <c r="A60" s="54"/>
      <c r="B60" s="54" t="s">
        <v>152</v>
      </c>
      <c r="C60" s="55" t="s">
        <v>264</v>
      </c>
      <c r="D60" s="54">
        <f t="shared" si="0"/>
      </c>
      <c r="E60" s="54" t="s">
        <v>262</v>
      </c>
      <c r="F60" s="54"/>
      <c r="G60" s="54" t="s">
        <v>156</v>
      </c>
      <c r="H60" s="54"/>
      <c r="I60" s="55" t="s">
        <v>157</v>
      </c>
      <c r="J60" s="56"/>
      <c r="K60" s="56"/>
      <c r="L60" s="56" t="s">
        <v>158</v>
      </c>
      <c r="M60" s="56"/>
      <c r="N60" s="56"/>
      <c r="O60" s="56"/>
      <c r="P60" s="56"/>
      <c r="Q60" s="56"/>
      <c r="R60" s="56"/>
      <c r="S60" s="56"/>
      <c r="T60" s="56"/>
      <c r="U60" s="56"/>
      <c r="V60" s="56"/>
      <c r="W60" s="56"/>
    </row>
    <row hidden="true" r="61">
      <c r="A61" s="54"/>
      <c r="B61" s="54" t="s">
        <v>152</v>
      </c>
      <c r="C61" s="55" t="s">
        <v>265</v>
      </c>
      <c r="D61" s="54">
        <f t="shared" si="0"/>
      </c>
      <c r="E61" s="54" t="s">
        <v>262</v>
      </c>
      <c r="F61" s="54"/>
      <c r="G61" s="54" t="s">
        <v>156</v>
      </c>
      <c r="H61" s="54"/>
      <c r="I61" s="55" t="s">
        <v>157</v>
      </c>
      <c r="J61" s="56"/>
      <c r="K61" s="56"/>
      <c r="L61" s="56" t="s">
        <v>158</v>
      </c>
      <c r="M61" s="56"/>
      <c r="N61" s="56"/>
      <c r="O61" s="56"/>
      <c r="P61" s="56"/>
      <c r="Q61" s="56"/>
      <c r="R61" s="56"/>
      <c r="S61" s="56"/>
      <c r="T61" s="56"/>
      <c r="U61" s="56"/>
      <c r="V61" s="56"/>
      <c r="W61" s="56"/>
    </row>
    <row hidden="true" r="62">
      <c r="A62" s="54"/>
      <c r="B62" s="54" t="s">
        <v>152</v>
      </c>
      <c r="C62" s="55" t="s">
        <v>266</v>
      </c>
      <c r="D62" s="54">
        <f t="shared" si="0"/>
      </c>
      <c r="E62" s="54" t="s">
        <v>262</v>
      </c>
      <c r="F62" s="54"/>
      <c r="G62" s="54" t="s">
        <v>156</v>
      </c>
      <c r="H62" s="54"/>
      <c r="I62" s="55" t="s">
        <v>157</v>
      </c>
      <c r="J62" s="56"/>
      <c r="K62" s="56"/>
      <c r="L62" s="56" t="s">
        <v>158</v>
      </c>
      <c r="M62" s="56"/>
      <c r="N62" s="56"/>
      <c r="O62" s="56"/>
      <c r="P62" s="56"/>
      <c r="Q62" s="56"/>
      <c r="R62" s="56"/>
      <c r="S62" s="56"/>
      <c r="T62" s="56"/>
      <c r="U62" s="56"/>
      <c r="V62" s="56"/>
      <c r="W62" s="56"/>
    </row>
    <row hidden="true" r="63">
      <c r="A63" s="54"/>
      <c r="B63" s="54" t="s">
        <v>152</v>
      </c>
      <c r="C63" s="55" t="s">
        <v>267</v>
      </c>
      <c r="D63" s="54">
        <f t="shared" si="0"/>
      </c>
      <c r="E63" s="54" t="s">
        <v>262</v>
      </c>
      <c r="F63" s="54"/>
      <c r="G63" s="54" t="s">
        <v>156</v>
      </c>
      <c r="H63" s="54"/>
      <c r="I63" s="55" t="s">
        <v>157</v>
      </c>
      <c r="J63" s="56"/>
      <c r="K63" s="56"/>
      <c r="L63" s="56" t="s">
        <v>158</v>
      </c>
      <c r="M63" s="56"/>
      <c r="N63" s="56"/>
      <c r="O63" s="56"/>
      <c r="P63" s="56"/>
      <c r="Q63" s="56"/>
      <c r="R63" s="56"/>
      <c r="S63" s="56"/>
      <c r="T63" s="56"/>
      <c r="U63" s="56"/>
      <c r="V63" s="56"/>
      <c r="W63" s="56"/>
    </row>
    <row hidden="true" r="64">
      <c r="A64" s="54"/>
      <c r="B64" s="54" t="s">
        <v>152</v>
      </c>
      <c r="C64" s="55" t="s">
        <v>268</v>
      </c>
      <c r="D64" s="54">
        <f t="shared" si="0"/>
      </c>
      <c r="E64" s="54" t="s">
        <v>269</v>
      </c>
      <c r="F64" s="54"/>
      <c r="G64" s="54" t="s">
        <v>156</v>
      </c>
      <c r="H64" s="54"/>
      <c r="I64" s="55" t="s">
        <v>157</v>
      </c>
      <c r="J64" s="56"/>
      <c r="K64" s="56"/>
      <c r="L64" s="56" t="s">
        <v>158</v>
      </c>
      <c r="M64" s="56"/>
      <c r="N64" s="56"/>
      <c r="O64" s="56"/>
      <c r="P64" s="56"/>
      <c r="Q64" s="56"/>
      <c r="R64" s="56"/>
      <c r="S64" s="56"/>
      <c r="T64" s="56"/>
      <c r="U64" s="56"/>
      <c r="V64" s="56"/>
      <c r="W64" s="56"/>
    </row>
    <row r="65">
      <c r="A65" s="55"/>
      <c r="B65" s="54" t="s">
        <v>152</v>
      </c>
      <c r="C65" s="58" t="s">
        <v>270</v>
      </c>
      <c r="D65" s="54">
        <f t="shared" si="0"/>
      </c>
      <c r="E65" s="54" t="s">
        <v>269</v>
      </c>
      <c r="F65" s="54"/>
      <c r="G65" s="54" t="s">
        <v>156</v>
      </c>
      <c r="H65" s="58" t="s">
        <v>166</v>
      </c>
      <c r="I65" s="58" t="s">
        <v>167</v>
      </c>
      <c r="J65" s="56" t="s">
        <v>270</v>
      </c>
      <c r="K65" s="56" t="s">
        <v>158</v>
      </c>
      <c r="L65" s="56" t="s">
        <v>169</v>
      </c>
      <c r="M65" s="56"/>
      <c r="N65" s="56"/>
      <c r="O65" s="56"/>
      <c r="P65" s="56"/>
      <c r="Q65" s="56"/>
      <c r="R65" s="56"/>
      <c r="S65" s="56"/>
      <c r="T65" s="56"/>
      <c r="U65" s="56"/>
      <c r="V65" s="56"/>
      <c r="W65" s="56"/>
    </row>
    <row hidden="true" r="66">
      <c r="A66" s="54"/>
      <c r="B66" s="54" t="s">
        <v>152</v>
      </c>
      <c r="C66" s="55" t="s">
        <v>271</v>
      </c>
      <c r="D66" s="54">
        <f t="shared" si="0"/>
      </c>
      <c r="E66" s="54" t="s">
        <v>269</v>
      </c>
      <c r="F66" s="54"/>
      <c r="G66" s="54" t="s">
        <v>156</v>
      </c>
      <c r="H66" s="54"/>
      <c r="I66" s="55" t="s">
        <v>157</v>
      </c>
      <c r="J66" s="56"/>
      <c r="K66" s="56"/>
      <c r="L66" s="56" t="s">
        <v>158</v>
      </c>
      <c r="M66" s="56"/>
      <c r="N66" s="56"/>
      <c r="O66" s="56"/>
      <c r="P66" s="56"/>
      <c r="Q66" s="56"/>
      <c r="R66" s="56"/>
      <c r="S66" s="56"/>
      <c r="T66" s="56"/>
      <c r="U66" s="56"/>
      <c r="V66" s="56"/>
      <c r="W66" s="56"/>
    </row>
    <row hidden="true" r="67">
      <c r="A67" s="54"/>
      <c r="B67" s="54" t="s">
        <v>152</v>
      </c>
      <c r="C67" s="55" t="s">
        <v>272</v>
      </c>
      <c r="D67" s="54">
        <f t="shared" si="0"/>
      </c>
      <c r="E67" s="54" t="s">
        <v>269</v>
      </c>
      <c r="F67" s="54"/>
      <c r="G67" s="54" t="s">
        <v>156</v>
      </c>
      <c r="H67" s="54"/>
      <c r="I67" s="55" t="s">
        <v>157</v>
      </c>
      <c r="J67" s="56"/>
      <c r="K67" s="56"/>
      <c r="L67" s="56" t="s">
        <v>158</v>
      </c>
      <c r="M67" s="56"/>
      <c r="N67" s="56"/>
      <c r="O67" s="56"/>
      <c r="P67" s="56"/>
      <c r="Q67" s="56"/>
      <c r="R67" s="56"/>
      <c r="S67" s="56"/>
      <c r="T67" s="56"/>
      <c r="U67" s="56"/>
      <c r="V67" s="56"/>
      <c r="W67" s="56"/>
    </row>
    <row r="68">
      <c r="A68" s="55"/>
      <c r="B68" s="54" t="s">
        <v>152</v>
      </c>
      <c r="C68" s="58" t="s">
        <v>273</v>
      </c>
      <c r="D68" s="54">
        <f t="shared" si="0"/>
      </c>
      <c r="E68" s="54" t="s">
        <v>269</v>
      </c>
      <c r="F68" s="54"/>
      <c r="G68" s="54" t="s">
        <v>156</v>
      </c>
      <c r="H68" s="58" t="s">
        <v>166</v>
      </c>
      <c r="I68" s="58" t="s">
        <v>167</v>
      </c>
      <c r="J68" s="60" t="s">
        <v>273</v>
      </c>
      <c r="K68" s="56" t="s">
        <v>158</v>
      </c>
      <c r="L68" s="56" t="s">
        <v>242</v>
      </c>
      <c r="M68" s="56"/>
      <c r="N68" s="56"/>
      <c r="O68" s="56"/>
      <c r="P68" s="56"/>
      <c r="Q68" s="56"/>
      <c r="R68" s="56"/>
      <c r="S68" s="56"/>
      <c r="T68" s="56"/>
      <c r="U68" s="56"/>
      <c r="V68" s="56"/>
      <c r="W68" s="56"/>
    </row>
    <row hidden="true" r="69">
      <c r="A69" s="54"/>
      <c r="B69" s="54" t="s">
        <v>152</v>
      </c>
      <c r="C69" s="55" t="s">
        <v>274</v>
      </c>
      <c r="D69" s="54">
        <f t="shared" si="0"/>
      </c>
      <c r="E69" s="54" t="s">
        <v>269</v>
      </c>
      <c r="F69" s="54"/>
      <c r="G69" s="54" t="s">
        <v>156</v>
      </c>
      <c r="H69" s="54"/>
      <c r="I69" s="55" t="s">
        <v>157</v>
      </c>
      <c r="J69" s="56"/>
      <c r="K69" s="56"/>
      <c r="L69" s="56" t="s">
        <v>158</v>
      </c>
      <c r="M69" s="56"/>
      <c r="N69" s="56"/>
      <c r="O69" s="56"/>
      <c r="P69" s="56"/>
      <c r="Q69" s="56"/>
      <c r="R69" s="56"/>
      <c r="S69" s="56"/>
      <c r="T69" s="56"/>
      <c r="U69" s="56"/>
      <c r="V69" s="56"/>
      <c r="W69" s="56"/>
    </row>
    <row hidden="true" r="70">
      <c r="A70" s="54"/>
      <c r="B70" s="54" t="s">
        <v>152</v>
      </c>
      <c r="C70" s="55" t="s">
        <v>275</v>
      </c>
      <c r="D70" s="54">
        <f t="shared" si="0"/>
      </c>
      <c r="E70" s="54" t="s">
        <v>276</v>
      </c>
      <c r="F70" s="54"/>
      <c r="G70" s="54" t="s">
        <v>156</v>
      </c>
      <c r="H70" s="54"/>
      <c r="I70" s="55" t="s">
        <v>157</v>
      </c>
      <c r="J70" s="56"/>
      <c r="K70" s="56"/>
      <c r="L70" s="56" t="s">
        <v>158</v>
      </c>
      <c r="M70" s="56"/>
      <c r="N70" s="56"/>
      <c r="O70" s="56"/>
      <c r="P70" s="56"/>
      <c r="Q70" s="56"/>
      <c r="R70" s="56"/>
      <c r="S70" s="56"/>
      <c r="T70" s="56"/>
      <c r="U70" s="56"/>
      <c r="V70" s="56"/>
      <c r="W70" s="56"/>
    </row>
    <row r="71">
      <c r="A71" s="55"/>
      <c r="B71" s="54" t="s">
        <v>152</v>
      </c>
      <c r="C71" s="58" t="s">
        <v>277</v>
      </c>
      <c r="D71" s="54">
        <f t="shared" si="0"/>
      </c>
      <c r="E71" s="54" t="s">
        <v>276</v>
      </c>
      <c r="F71" s="54"/>
      <c r="G71" s="54" t="s">
        <v>156</v>
      </c>
      <c r="H71" s="58" t="s">
        <v>166</v>
      </c>
      <c r="I71" s="58" t="s">
        <v>179</v>
      </c>
      <c r="J71" s="56" t="s">
        <v>277</v>
      </c>
      <c r="K71" s="56" t="s">
        <v>158</v>
      </c>
      <c r="L71" s="56" t="s">
        <v>169</v>
      </c>
      <c r="M71" s="56"/>
      <c r="N71" s="56"/>
      <c r="O71" s="56"/>
      <c r="P71" s="56"/>
      <c r="Q71" s="56"/>
      <c r="R71" s="56"/>
      <c r="S71" s="56"/>
      <c r="T71" s="56"/>
      <c r="U71" s="56"/>
      <c r="V71" s="56"/>
      <c r="W71" s="56"/>
    </row>
    <row hidden="true" r="72">
      <c r="A72" s="54"/>
      <c r="B72" s="54" t="s">
        <v>152</v>
      </c>
      <c r="C72" s="55" t="s">
        <v>278</v>
      </c>
      <c r="D72" s="54">
        <f t="shared" si="0"/>
      </c>
      <c r="E72" s="54" t="s">
        <v>276</v>
      </c>
      <c r="F72" s="54"/>
      <c r="G72" s="54" t="s">
        <v>156</v>
      </c>
      <c r="H72" s="54"/>
      <c r="I72" s="55" t="s">
        <v>157</v>
      </c>
      <c r="J72" s="56"/>
      <c r="K72" s="56"/>
      <c r="L72" s="56" t="s">
        <v>158</v>
      </c>
      <c r="M72" s="56"/>
      <c r="N72" s="56"/>
      <c r="O72" s="56"/>
      <c r="P72" s="56"/>
      <c r="Q72" s="56"/>
      <c r="R72" s="56"/>
      <c r="S72" s="56"/>
      <c r="T72" s="56"/>
      <c r="U72" s="56"/>
      <c r="V72" s="56"/>
      <c r="W72" s="56"/>
    </row>
    <row hidden="true" r="73">
      <c r="A73" s="54"/>
      <c r="B73" s="54" t="s">
        <v>152</v>
      </c>
      <c r="C73" s="55" t="s">
        <v>279</v>
      </c>
      <c r="D73" s="54">
        <f t="shared" si="0"/>
      </c>
      <c r="E73" s="54" t="s">
        <v>276</v>
      </c>
      <c r="F73" s="54"/>
      <c r="G73" s="54" t="s">
        <v>156</v>
      </c>
      <c r="H73" s="54"/>
      <c r="I73" s="55" t="s">
        <v>157</v>
      </c>
      <c r="J73" s="56"/>
      <c r="K73" s="56"/>
      <c r="L73" s="56" t="s">
        <v>158</v>
      </c>
      <c r="M73" s="56"/>
      <c r="N73" s="56"/>
      <c r="O73" s="56"/>
      <c r="P73" s="56"/>
      <c r="Q73" s="56"/>
      <c r="R73" s="56"/>
      <c r="S73" s="56"/>
      <c r="T73" s="56"/>
      <c r="U73" s="56"/>
      <c r="V73" s="56"/>
      <c r="W73" s="56"/>
    </row>
    <row r="74">
      <c r="A74" s="55"/>
      <c r="B74" s="54" t="s">
        <v>152</v>
      </c>
      <c r="C74" s="58" t="s">
        <v>280</v>
      </c>
      <c r="D74" s="54">
        <f t="shared" si="0"/>
      </c>
      <c r="E74" s="54" t="s">
        <v>276</v>
      </c>
      <c r="F74" s="54"/>
      <c r="G74" s="54" t="s">
        <v>156</v>
      </c>
      <c r="H74" s="58" t="s">
        <v>166</v>
      </c>
      <c r="I74" s="58" t="s">
        <v>281</v>
      </c>
      <c r="J74" s="60" t="s">
        <v>280</v>
      </c>
      <c r="K74" s="56" t="s">
        <v>282</v>
      </c>
      <c r="L74" s="56" t="s">
        <v>283</v>
      </c>
      <c r="M74" s="56"/>
      <c r="N74" s="56"/>
      <c r="O74" s="56"/>
      <c r="P74" s="56"/>
      <c r="Q74" s="56"/>
      <c r="R74" s="56"/>
      <c r="S74" s="56"/>
      <c r="T74" s="56"/>
      <c r="U74" s="56"/>
      <c r="V74" s="56"/>
      <c r="W74" s="56"/>
    </row>
    <row hidden="true" r="75">
      <c r="A75" s="54"/>
      <c r="B75" s="54" t="s">
        <v>152</v>
      </c>
      <c r="C75" s="55" t="s">
        <v>284</v>
      </c>
      <c r="D75" s="54">
        <f t="shared" si="0"/>
      </c>
      <c r="E75" s="54" t="s">
        <v>276</v>
      </c>
      <c r="F75" s="54"/>
      <c r="G75" s="54" t="s">
        <v>156</v>
      </c>
      <c r="H75" s="54"/>
      <c r="I75" s="55" t="s">
        <v>157</v>
      </c>
      <c r="J75" s="56"/>
      <c r="K75" s="56"/>
      <c r="L75" s="56" t="s">
        <v>158</v>
      </c>
      <c r="M75" s="56"/>
      <c r="N75" s="56"/>
      <c r="O75" s="56"/>
      <c r="P75" s="56"/>
      <c r="Q75" s="56"/>
      <c r="R75" s="56"/>
      <c r="S75" s="56"/>
      <c r="T75" s="56"/>
      <c r="U75" s="56"/>
      <c r="V75" s="56"/>
      <c r="W75" s="56"/>
    </row>
    <row hidden="true" r="76">
      <c r="A76" s="54"/>
      <c r="B76" s="54" t="s">
        <v>152</v>
      </c>
      <c r="C76" s="55" t="s">
        <v>285</v>
      </c>
      <c r="D76" s="54">
        <f t="shared" si="0"/>
      </c>
      <c r="E76" s="54" t="s">
        <v>286</v>
      </c>
      <c r="F76" s="54" t="s">
        <v>194</v>
      </c>
      <c r="G76" s="54" t="s">
        <v>156</v>
      </c>
      <c r="H76" s="54"/>
      <c r="I76" s="55" t="s">
        <v>157</v>
      </c>
      <c r="J76" s="56"/>
      <c r="K76" s="56"/>
      <c r="L76" s="56" t="s">
        <v>158</v>
      </c>
      <c r="M76" s="56"/>
      <c r="N76" s="56"/>
      <c r="O76" s="56"/>
      <c r="P76" s="56"/>
      <c r="Q76" s="56"/>
      <c r="R76" s="56"/>
      <c r="S76" s="56"/>
      <c r="T76" s="56"/>
      <c r="U76" s="56"/>
      <c r="V76" s="56"/>
      <c r="W76" s="56"/>
    </row>
    <row hidden="true" r="77">
      <c r="A77" s="54"/>
      <c r="B77" s="54" t="s">
        <v>152</v>
      </c>
      <c r="C77" s="55" t="s">
        <v>287</v>
      </c>
      <c r="D77" s="54">
        <f t="shared" si="0"/>
      </c>
      <c r="E77" s="54" t="s">
        <v>286</v>
      </c>
      <c r="F77" s="54" t="s">
        <v>194</v>
      </c>
      <c r="G77" s="54" t="s">
        <v>156</v>
      </c>
      <c r="H77" s="54"/>
      <c r="I77" s="55" t="s">
        <v>157</v>
      </c>
      <c r="J77" s="56"/>
      <c r="K77" s="56"/>
      <c r="L77" s="56" t="s">
        <v>158</v>
      </c>
      <c r="M77" s="56"/>
      <c r="N77" s="56"/>
      <c r="O77" s="56"/>
      <c r="P77" s="56"/>
      <c r="Q77" s="56"/>
      <c r="R77" s="56"/>
      <c r="S77" s="56"/>
      <c r="T77" s="56"/>
      <c r="U77" s="56"/>
      <c r="V77" s="56"/>
      <c r="W77" s="56"/>
    </row>
    <row hidden="true" r="78">
      <c r="A78" s="54"/>
      <c r="B78" s="54" t="s">
        <v>152</v>
      </c>
      <c r="C78" s="55" t="s">
        <v>288</v>
      </c>
      <c r="D78" s="54">
        <f t="shared" si="0"/>
      </c>
      <c r="E78" s="54" t="s">
        <v>286</v>
      </c>
      <c r="F78" s="54" t="s">
        <v>194</v>
      </c>
      <c r="G78" s="54" t="s">
        <v>156</v>
      </c>
      <c r="H78" s="54"/>
      <c r="I78" s="55" t="s">
        <v>157</v>
      </c>
      <c r="J78" s="56"/>
      <c r="K78" s="56"/>
      <c r="L78" s="56" t="s">
        <v>158</v>
      </c>
      <c r="M78" s="56"/>
      <c r="N78" s="56"/>
      <c r="O78" s="56"/>
      <c r="P78" s="56"/>
      <c r="Q78" s="56"/>
      <c r="R78" s="56"/>
      <c r="S78" s="56"/>
      <c r="T78" s="56"/>
      <c r="U78" s="56"/>
      <c r="V78" s="56"/>
      <c r="W78" s="56"/>
    </row>
    <row r="79">
      <c r="A79" s="55"/>
      <c r="B79" s="54" t="s">
        <v>152</v>
      </c>
      <c r="C79" s="55" t="s">
        <v>289</v>
      </c>
      <c r="D79" s="54">
        <f t="shared" si="0"/>
      </c>
      <c r="E79" s="54" t="s">
        <v>286</v>
      </c>
      <c r="F79" s="54" t="s">
        <v>194</v>
      </c>
      <c r="G79" s="54" t="s">
        <v>156</v>
      </c>
      <c r="H79" s="61" t="s">
        <v>198</v>
      </c>
      <c r="I79" s="58" t="s">
        <v>290</v>
      </c>
      <c r="J79" s="56"/>
      <c r="K79" s="56"/>
      <c r="L79" s="56"/>
      <c r="M79" s="56"/>
      <c r="N79" s="56"/>
      <c r="O79" s="56"/>
      <c r="P79" s="56"/>
      <c r="Q79" s="56"/>
      <c r="R79" s="56"/>
      <c r="S79" s="56"/>
      <c r="T79" s="56"/>
      <c r="U79" s="56"/>
      <c r="V79" s="56"/>
      <c r="W79" s="56"/>
    </row>
    <row hidden="true" r="80">
      <c r="A80" s="54"/>
      <c r="B80" s="54" t="s">
        <v>152</v>
      </c>
      <c r="C80" s="55" t="s">
        <v>291</v>
      </c>
      <c r="D80" s="54">
        <f t="shared" si="0"/>
      </c>
      <c r="E80" s="54" t="s">
        <v>286</v>
      </c>
      <c r="F80" s="54" t="s">
        <v>194</v>
      </c>
      <c r="G80" s="54" t="s">
        <v>156</v>
      </c>
      <c r="H80" s="54"/>
      <c r="I80" s="55" t="s">
        <v>157</v>
      </c>
      <c r="J80" s="56"/>
      <c r="K80" s="56"/>
      <c r="L80" s="56" t="s">
        <v>158</v>
      </c>
      <c r="M80" s="56"/>
      <c r="N80" s="56"/>
      <c r="O80" s="56"/>
      <c r="P80" s="56"/>
      <c r="Q80" s="56"/>
      <c r="R80" s="56"/>
      <c r="S80" s="56"/>
      <c r="T80" s="56"/>
      <c r="U80" s="56"/>
      <c r="V80" s="56"/>
      <c r="W80" s="56"/>
    </row>
    <row hidden="true" r="81">
      <c r="A81" s="54"/>
      <c r="B81" s="54" t="s">
        <v>292</v>
      </c>
      <c r="C81" s="55" t="s">
        <v>293</v>
      </c>
      <c r="D81" s="54">
        <f t="shared" si="0"/>
      </c>
      <c r="E81" s="54" t="s">
        <v>294</v>
      </c>
      <c r="F81" s="54" t="s">
        <v>194</v>
      </c>
      <c r="G81" s="54" t="s">
        <v>295</v>
      </c>
      <c r="H81" s="54"/>
      <c r="I81" s="55" t="s">
        <v>157</v>
      </c>
      <c r="J81" s="56"/>
      <c r="K81" s="56"/>
      <c r="L81" s="56" t="s">
        <v>158</v>
      </c>
      <c r="M81" s="56"/>
      <c r="N81" s="56"/>
      <c r="O81" s="56"/>
      <c r="P81" s="56"/>
      <c r="Q81" s="56"/>
      <c r="R81" s="56"/>
      <c r="S81" s="56"/>
      <c r="T81" s="56"/>
      <c r="U81" s="56"/>
      <c r="V81" s="56"/>
      <c r="W81" s="56"/>
    </row>
    <row hidden="true" r="82">
      <c r="A82" s="54"/>
      <c r="B82" s="54" t="s">
        <v>296</v>
      </c>
      <c r="C82" s="55" t="s">
        <v>297</v>
      </c>
      <c r="D82" s="54">
        <f t="shared" si="0"/>
      </c>
      <c r="E82" s="54" t="s">
        <v>298</v>
      </c>
      <c r="F82" s="54" t="s">
        <v>194</v>
      </c>
      <c r="G82" s="54" t="s">
        <v>299</v>
      </c>
      <c r="H82" s="54"/>
      <c r="I82" s="55" t="s">
        <v>300</v>
      </c>
      <c r="J82" s="56"/>
      <c r="K82" s="56"/>
      <c r="L82" s="56"/>
      <c r="M82" s="56"/>
      <c r="N82" s="56"/>
      <c r="O82" s="56"/>
      <c r="P82" s="56"/>
      <c r="Q82" s="56"/>
      <c r="R82" s="56"/>
      <c r="S82" s="56"/>
      <c r="T82" s="56"/>
      <c r="U82" s="56"/>
      <c r="V82" s="56"/>
      <c r="W82" s="56"/>
    </row>
    <row hidden="true" r="83">
      <c r="A83" s="54"/>
      <c r="B83" s="54" t="s">
        <v>296</v>
      </c>
      <c r="C83" s="55" t="s">
        <v>301</v>
      </c>
      <c r="D83" s="54">
        <f t="shared" si="0"/>
      </c>
      <c r="E83" s="54" t="s">
        <v>302</v>
      </c>
      <c r="F83" s="54" t="s">
        <v>194</v>
      </c>
      <c r="G83" s="54" t="s">
        <v>299</v>
      </c>
      <c r="H83" s="54"/>
      <c r="I83" s="55" t="s">
        <v>300</v>
      </c>
      <c r="J83" s="56"/>
      <c r="K83" s="56"/>
      <c r="L83" s="56"/>
      <c r="M83" s="56"/>
      <c r="N83" s="56"/>
      <c r="O83" s="56"/>
      <c r="P83" s="56"/>
      <c r="Q83" s="56"/>
      <c r="R83" s="56"/>
      <c r="S83" s="56"/>
      <c r="T83" s="56"/>
      <c r="U83" s="56"/>
      <c r="V83" s="56"/>
      <c r="W83" s="56"/>
    </row>
    <row hidden="true" r="84">
      <c r="A84" s="54"/>
      <c r="B84" s="54" t="s">
        <v>296</v>
      </c>
      <c r="C84" s="55" t="s">
        <v>303</v>
      </c>
      <c r="D84" s="54">
        <f t="shared" si="0"/>
      </c>
      <c r="E84" s="54" t="s">
        <v>304</v>
      </c>
      <c r="F84" s="54" t="s">
        <v>194</v>
      </c>
      <c r="G84" s="54" t="s">
        <v>299</v>
      </c>
      <c r="H84" s="54"/>
      <c r="I84" s="55" t="s">
        <v>300</v>
      </c>
      <c r="J84" s="56"/>
      <c r="K84" s="56"/>
      <c r="L84" s="56"/>
      <c r="M84" s="56"/>
      <c r="N84" s="56"/>
      <c r="O84" s="56"/>
      <c r="P84" s="56"/>
      <c r="Q84" s="56"/>
      <c r="R84" s="56"/>
      <c r="S84" s="56"/>
      <c r="T84" s="56"/>
      <c r="U84" s="56"/>
      <c r="V84" s="56"/>
      <c r="W84" s="56"/>
    </row>
    <row hidden="true" r="85">
      <c r="A85" s="54"/>
      <c r="B85" s="54" t="s">
        <v>296</v>
      </c>
      <c r="C85" s="55" t="s">
        <v>305</v>
      </c>
      <c r="D85" s="54">
        <f t="shared" si="0"/>
      </c>
      <c r="E85" s="54" t="s">
        <v>306</v>
      </c>
      <c r="F85" s="54" t="s">
        <v>194</v>
      </c>
      <c r="G85" s="54" t="s">
        <v>299</v>
      </c>
      <c r="H85" s="54"/>
      <c r="I85" s="55" t="s">
        <v>300</v>
      </c>
      <c r="J85" s="56"/>
      <c r="K85" s="56"/>
      <c r="L85" s="56"/>
      <c r="M85" s="56"/>
      <c r="N85" s="56"/>
      <c r="O85" s="56"/>
      <c r="P85" s="56"/>
      <c r="Q85" s="56"/>
      <c r="R85" s="56"/>
      <c r="S85" s="56"/>
      <c r="T85" s="56"/>
      <c r="U85" s="56"/>
      <c r="V85" s="56"/>
      <c r="W85" s="56"/>
    </row>
    <row hidden="true" r="86">
      <c r="A86" s="54"/>
      <c r="B86" s="54" t="s">
        <v>296</v>
      </c>
      <c r="C86" s="55" t="s">
        <v>307</v>
      </c>
      <c r="D86" s="54">
        <f t="shared" si="0"/>
      </c>
      <c r="E86" s="54" t="s">
        <v>308</v>
      </c>
      <c r="F86" s="54" t="s">
        <v>194</v>
      </c>
      <c r="G86" s="54" t="s">
        <v>299</v>
      </c>
      <c r="H86" s="54"/>
      <c r="I86" s="55" t="s">
        <v>300</v>
      </c>
      <c r="J86" s="56"/>
      <c r="K86" s="56"/>
      <c r="L86" s="56"/>
      <c r="M86" s="56"/>
      <c r="N86" s="56"/>
      <c r="O86" s="56"/>
      <c r="P86" s="56"/>
      <c r="Q86" s="56"/>
      <c r="R86" s="56"/>
      <c r="S86" s="56"/>
      <c r="T86" s="56"/>
      <c r="U86" s="56"/>
      <c r="V86" s="56"/>
      <c r="W86" s="56"/>
    </row>
    <row hidden="true" r="87">
      <c r="A87" s="54"/>
      <c r="B87" s="54" t="s">
        <v>152</v>
      </c>
      <c r="C87" s="55" t="s">
        <v>309</v>
      </c>
      <c r="D87" s="54">
        <f t="shared" si="0"/>
      </c>
      <c r="E87" s="54" t="s">
        <v>310</v>
      </c>
      <c r="F87" s="54" t="s">
        <v>194</v>
      </c>
      <c r="G87" s="54" t="s">
        <v>311</v>
      </c>
      <c r="H87" s="54"/>
      <c r="I87" s="55" t="s">
        <v>157</v>
      </c>
      <c r="J87" s="56"/>
      <c r="K87" s="56"/>
      <c r="L87" s="56" t="s">
        <v>158</v>
      </c>
      <c r="M87" s="56"/>
      <c r="N87" s="56"/>
      <c r="O87" s="56"/>
      <c r="P87" s="56"/>
      <c r="Q87" s="56"/>
      <c r="R87" s="56"/>
      <c r="S87" s="56"/>
      <c r="T87" s="56"/>
      <c r="U87" s="56"/>
      <c r="V87" s="56"/>
      <c r="W87" s="56"/>
    </row>
    <row hidden="true" r="88">
      <c r="A88" s="55" t="s">
        <v>312</v>
      </c>
      <c r="B88" s="54" t="s">
        <v>152</v>
      </c>
      <c r="C88" s="55" t="s">
        <v>313</v>
      </c>
      <c r="D88" s="54">
        <f t="shared" si="0"/>
      </c>
      <c r="E88" s="54" t="s">
        <v>314</v>
      </c>
      <c r="F88" s="54"/>
      <c r="G88" s="54" t="s">
        <v>315</v>
      </c>
      <c r="H88" s="61" t="s">
        <v>316</v>
      </c>
      <c r="I88" s="58" t="s">
        <v>317</v>
      </c>
      <c r="J88" s="56"/>
      <c r="K88" s="56"/>
      <c r="L88" s="56"/>
      <c r="M88" s="56" t="s">
        <v>318</v>
      </c>
      <c r="N88" s="56"/>
      <c r="O88" s="56"/>
      <c r="P88" s="56"/>
      <c r="Q88" s="56"/>
      <c r="R88" s="56"/>
      <c r="S88" s="56"/>
      <c r="T88" s="56"/>
      <c r="U88" s="56"/>
      <c r="V88" s="56"/>
      <c r="W88" s="56"/>
    </row>
    <row hidden="true" r="89">
      <c r="A89" s="54"/>
      <c r="B89" s="55" t="s">
        <v>152</v>
      </c>
      <c r="C89" s="55" t="s">
        <v>319</v>
      </c>
      <c r="D89" s="54">
        <f t="shared" si="0"/>
      </c>
      <c r="E89" s="54" t="s">
        <v>320</v>
      </c>
      <c r="F89" s="54" t="s">
        <v>194</v>
      </c>
      <c r="G89" s="54" t="s">
        <v>321</v>
      </c>
      <c r="H89" s="54"/>
      <c r="I89" s="55" t="s">
        <v>322</v>
      </c>
      <c r="J89" s="56"/>
      <c r="K89" s="56"/>
      <c r="L89" s="56"/>
      <c r="M89" s="56"/>
      <c r="N89" s="56"/>
      <c r="O89" s="56"/>
      <c r="P89" s="56"/>
      <c r="Q89" s="56"/>
      <c r="R89" s="56"/>
      <c r="S89" s="56"/>
      <c r="T89" s="56"/>
      <c r="U89" s="56"/>
      <c r="V89" s="56"/>
      <c r="W89" s="56"/>
    </row>
    <row r="90">
      <c r="A90" s="55"/>
      <c r="B90" s="54" t="s">
        <v>323</v>
      </c>
      <c r="C90" s="55" t="s">
        <v>324</v>
      </c>
      <c r="D90" s="54">
        <f t="shared" si="0"/>
      </c>
      <c r="E90" s="54" t="s">
        <v>325</v>
      </c>
      <c r="F90" s="54" t="s">
        <v>194</v>
      </c>
      <c r="G90" s="55" t="s">
        <v>326</v>
      </c>
      <c r="H90" s="58"/>
      <c r="I90" s="58" t="s">
        <v>167</v>
      </c>
      <c r="J90" s="56"/>
      <c r="K90" s="56"/>
      <c r="L90" s="56"/>
      <c r="M90" s="56"/>
      <c r="N90" s="56"/>
      <c r="O90" s="56"/>
      <c r="P90" s="56"/>
      <c r="Q90" s="56"/>
      <c r="R90" s="56"/>
      <c r="S90" s="56"/>
      <c r="T90" s="56"/>
      <c r="U90" s="56"/>
      <c r="V90" s="56"/>
      <c r="W90" s="56"/>
    </row>
    <row hidden="true" r="91">
      <c r="A91" s="66"/>
      <c r="B91" s="66" t="s">
        <v>152</v>
      </c>
      <c r="C91" s="67" t="s">
        <v>327</v>
      </c>
      <c r="D91" s="66">
        <f t="shared" si="0"/>
      </c>
      <c r="E91" s="66" t="s">
        <v>328</v>
      </c>
      <c r="F91" s="66" t="s">
        <v>194</v>
      </c>
      <c r="G91" s="66"/>
      <c r="H91" s="66"/>
      <c r="I91" s="67" t="s">
        <v>329</v>
      </c>
      <c r="J91" s="68"/>
      <c r="K91" s="68"/>
      <c r="L91" s="68"/>
      <c r="M91" s="68" t="s">
        <v>330</v>
      </c>
      <c r="N91" s="68"/>
      <c r="O91" s="68"/>
      <c r="P91" s="68"/>
      <c r="Q91" s="68"/>
      <c r="R91" s="68"/>
      <c r="S91" s="68"/>
      <c r="T91" s="68"/>
      <c r="U91" s="68"/>
      <c r="V91" s="68"/>
      <c r="W91" s="68"/>
    </row>
    <row hidden="true" r="92">
      <c r="A92" s="54"/>
      <c r="B92" s="54" t="s">
        <v>292</v>
      </c>
      <c r="C92" s="55" t="s">
        <v>331</v>
      </c>
      <c r="D92" s="54">
        <f t="shared" si="0"/>
      </c>
      <c r="E92" s="54" t="s">
        <v>332</v>
      </c>
      <c r="F92" s="54" t="s">
        <v>333</v>
      </c>
      <c r="G92" s="54" t="s">
        <v>334</v>
      </c>
      <c r="H92" s="55" t="s">
        <v>335</v>
      </c>
      <c r="I92" s="55" t="s">
        <v>329</v>
      </c>
      <c r="J92" s="56"/>
      <c r="K92" s="56"/>
      <c r="L92" s="56" t="s">
        <v>336</v>
      </c>
      <c r="M92" s="56"/>
      <c r="N92" s="56"/>
      <c r="O92" s="56"/>
      <c r="P92" s="56"/>
      <c r="Q92" s="56"/>
      <c r="R92" s="56"/>
      <c r="S92" s="56"/>
      <c r="T92" s="56"/>
      <c r="U92" s="56"/>
      <c r="V92" s="56"/>
      <c r="W92" s="56"/>
    </row>
    <row customHeight="true" ht="16.071428571428573" r="93">
      <c r="A93" s="54"/>
      <c r="B93" s="55" t="s">
        <v>337</v>
      </c>
      <c r="C93" s="55" t="s">
        <v>338</v>
      </c>
      <c r="D93" s="54"/>
      <c r="E93" s="55" t="s">
        <v>339</v>
      </c>
      <c r="F93" s="54"/>
      <c r="G93" s="55" t="s">
        <v>340</v>
      </c>
      <c r="H93" s="54"/>
      <c r="I93" s="55"/>
      <c r="J93" s="56"/>
      <c r="K93" s="56"/>
      <c r="L93" s="56"/>
      <c r="M93" s="56"/>
      <c r="N93" s="56"/>
      <c r="O93" s="56"/>
      <c r="P93" s="56"/>
      <c r="Q93" s="56"/>
      <c r="R93" s="56"/>
      <c r="S93" s="56"/>
      <c r="T93" s="56"/>
      <c r="U93" s="56"/>
      <c r="V93" s="56"/>
      <c r="W93" s="56"/>
    </row>
    <row hidden="true" r="94">
      <c r="A94" s="54"/>
      <c r="B94" s="54" t="s">
        <v>341</v>
      </c>
      <c r="C94" s="55" t="s">
        <v>342</v>
      </c>
      <c r="D94" s="54">
        <f t="shared" ref="D94:D121" si="1">B94&amp;"."&amp;C94</f>
      </c>
      <c r="E94" s="54" t="s">
        <v>343</v>
      </c>
      <c r="F94" s="54"/>
      <c r="G94" s="54" t="s">
        <v>344</v>
      </c>
      <c r="H94" s="54"/>
      <c r="I94" s="55" t="s">
        <v>157</v>
      </c>
      <c r="J94" s="56"/>
      <c r="K94" s="56"/>
      <c r="L94" s="56" t="s">
        <v>158</v>
      </c>
      <c r="M94" s="56"/>
      <c r="N94" s="56"/>
      <c r="O94" s="56"/>
      <c r="P94" s="56"/>
      <c r="Q94" s="56"/>
      <c r="R94" s="56"/>
      <c r="S94" s="56"/>
      <c r="T94" s="56"/>
      <c r="U94" s="56"/>
      <c r="V94" s="56"/>
      <c r="W94" s="56"/>
    </row>
    <row hidden="true" r="95">
      <c r="A95" s="54"/>
      <c r="B95" s="54" t="s">
        <v>292</v>
      </c>
      <c r="C95" s="55" t="s">
        <v>345</v>
      </c>
      <c r="D95" s="54">
        <f t="shared" si="1"/>
      </c>
      <c r="E95" s="54" t="s">
        <v>346</v>
      </c>
      <c r="F95" s="54"/>
      <c r="G95" s="54" t="s">
        <v>344</v>
      </c>
      <c r="H95" s="54"/>
      <c r="I95" s="55" t="s">
        <v>157</v>
      </c>
      <c r="J95" s="56"/>
      <c r="K95" s="56"/>
      <c r="L95" s="56" t="s">
        <v>158</v>
      </c>
      <c r="M95" s="56"/>
      <c r="N95" s="56"/>
      <c r="O95" s="56"/>
      <c r="P95" s="56"/>
      <c r="Q95" s="56"/>
      <c r="R95" s="56"/>
      <c r="S95" s="56"/>
      <c r="T95" s="56"/>
      <c r="U95" s="56"/>
      <c r="V95" s="56"/>
      <c r="W95" s="56"/>
    </row>
    <row hidden="true" r="96">
      <c r="A96" s="54"/>
      <c r="B96" s="54" t="s">
        <v>292</v>
      </c>
      <c r="C96" s="55" t="s">
        <v>347</v>
      </c>
      <c r="D96" s="54">
        <f t="shared" si="1"/>
      </c>
      <c r="E96" s="54" t="s">
        <v>348</v>
      </c>
      <c r="F96" s="54"/>
      <c r="G96" s="54" t="s">
        <v>344</v>
      </c>
      <c r="H96" s="54"/>
      <c r="I96" s="55" t="s">
        <v>157</v>
      </c>
      <c r="J96" s="56"/>
      <c r="K96" s="56"/>
      <c r="L96" s="56" t="s">
        <v>158</v>
      </c>
      <c r="M96" s="56"/>
      <c r="N96" s="56"/>
      <c r="O96" s="56"/>
      <c r="P96" s="56"/>
      <c r="Q96" s="56"/>
      <c r="R96" s="56"/>
      <c r="S96" s="56"/>
      <c r="T96" s="56"/>
      <c r="U96" s="56"/>
      <c r="V96" s="56"/>
      <c r="W96" s="56"/>
    </row>
    <row r="97">
      <c r="A97" s="55"/>
      <c r="B97" s="54" t="s">
        <v>152</v>
      </c>
      <c r="C97" s="55" t="s">
        <v>349</v>
      </c>
      <c r="D97" s="54">
        <f t="shared" si="1"/>
      </c>
      <c r="E97" s="54" t="s">
        <v>350</v>
      </c>
      <c r="F97" s="54"/>
      <c r="G97" s="54" t="s">
        <v>344</v>
      </c>
      <c r="H97" s="58" t="s">
        <v>351</v>
      </c>
      <c r="I97" s="58" t="s">
        <v>207</v>
      </c>
      <c r="J97" s="56"/>
      <c r="K97" s="56"/>
      <c r="L97" s="56"/>
      <c r="M97" s="56"/>
      <c r="N97" s="56"/>
      <c r="O97" s="56"/>
      <c r="P97" s="56"/>
      <c r="Q97" s="56"/>
      <c r="R97" s="56"/>
      <c r="S97" s="56"/>
      <c r="T97" s="56"/>
      <c r="U97" s="56"/>
      <c r="V97" s="56"/>
      <c r="W97" s="56"/>
    </row>
    <row hidden="true" r="98">
      <c r="A98" s="54"/>
      <c r="B98" s="54" t="s">
        <v>152</v>
      </c>
      <c r="C98" s="55" t="s">
        <v>352</v>
      </c>
      <c r="D98" s="54">
        <f t="shared" si="1"/>
      </c>
      <c r="E98" s="54" t="s">
        <v>353</v>
      </c>
      <c r="F98" s="54"/>
      <c r="G98" s="54" t="s">
        <v>354</v>
      </c>
      <c r="H98" s="54"/>
      <c r="I98" s="55" t="s">
        <v>157</v>
      </c>
      <c r="J98" s="56"/>
      <c r="K98" s="56"/>
      <c r="L98" s="56" t="s">
        <v>158</v>
      </c>
      <c r="M98" s="56"/>
      <c r="N98" s="56"/>
      <c r="O98" s="56"/>
      <c r="P98" s="56"/>
      <c r="Q98" s="56"/>
      <c r="R98" s="56"/>
      <c r="S98" s="56"/>
      <c r="T98" s="56"/>
      <c r="U98" s="56"/>
      <c r="V98" s="56"/>
      <c r="W98" s="56"/>
    </row>
    <row hidden="true" r="99">
      <c r="A99" s="54"/>
      <c r="B99" s="54" t="s">
        <v>152</v>
      </c>
      <c r="C99" s="55" t="s">
        <v>355</v>
      </c>
      <c r="D99" s="54">
        <f t="shared" si="1"/>
      </c>
      <c r="E99" s="54" t="s">
        <v>356</v>
      </c>
      <c r="F99" s="54"/>
      <c r="G99" s="54" t="s">
        <v>354</v>
      </c>
      <c r="H99" s="54"/>
      <c r="I99" s="55" t="s">
        <v>157</v>
      </c>
      <c r="J99" s="56"/>
      <c r="K99" s="56"/>
      <c r="L99" s="56" t="s">
        <v>158</v>
      </c>
      <c r="M99" s="56"/>
      <c r="N99" s="56"/>
      <c r="O99" s="56"/>
      <c r="P99" s="56"/>
      <c r="Q99" s="56"/>
      <c r="R99" s="56"/>
      <c r="S99" s="56"/>
      <c r="T99" s="56"/>
      <c r="U99" s="56"/>
      <c r="V99" s="56"/>
      <c r="W99" s="56"/>
    </row>
    <row hidden="true" r="100">
      <c r="A100" s="54"/>
      <c r="B100" s="54" t="s">
        <v>152</v>
      </c>
      <c r="C100" s="55" t="s">
        <v>357</v>
      </c>
      <c r="D100" s="54">
        <f t="shared" si="1"/>
      </c>
      <c r="E100" s="54" t="s">
        <v>358</v>
      </c>
      <c r="F100" s="54"/>
      <c r="G100" s="54" t="s">
        <v>354</v>
      </c>
      <c r="H100" s="54"/>
      <c r="I100" s="55" t="s">
        <v>157</v>
      </c>
      <c r="J100" s="56"/>
      <c r="K100" s="56"/>
      <c r="L100" s="56" t="s">
        <v>158</v>
      </c>
      <c r="M100" s="56"/>
      <c r="N100" s="56"/>
      <c r="O100" s="56"/>
      <c r="P100" s="56"/>
      <c r="Q100" s="56"/>
      <c r="R100" s="56"/>
      <c r="S100" s="56"/>
      <c r="T100" s="56"/>
      <c r="U100" s="56"/>
      <c r="V100" s="56"/>
      <c r="W100" s="56"/>
    </row>
    <row hidden="true" r="101">
      <c r="A101" s="54"/>
      <c r="B101" s="54" t="s">
        <v>152</v>
      </c>
      <c r="C101" s="55" t="s">
        <v>359</v>
      </c>
      <c r="D101" s="54">
        <f t="shared" si="1"/>
      </c>
      <c r="E101" s="54" t="s">
        <v>196</v>
      </c>
      <c r="F101" s="54"/>
      <c r="G101" s="54" t="s">
        <v>354</v>
      </c>
      <c r="H101" s="54"/>
      <c r="I101" s="55" t="s">
        <v>157</v>
      </c>
      <c r="J101" s="56"/>
      <c r="K101" s="56"/>
      <c r="L101" s="56" t="s">
        <v>158</v>
      </c>
      <c r="M101" s="56"/>
      <c r="N101" s="56"/>
      <c r="O101" s="56"/>
      <c r="P101" s="56"/>
      <c r="Q101" s="56"/>
      <c r="R101" s="56"/>
      <c r="S101" s="56"/>
      <c r="T101" s="56"/>
      <c r="U101" s="56"/>
      <c r="V101" s="56"/>
      <c r="W101" s="56"/>
    </row>
    <row hidden="true" r="102">
      <c r="A102" s="54"/>
      <c r="B102" s="54" t="s">
        <v>152</v>
      </c>
      <c r="C102" s="55" t="s">
        <v>360</v>
      </c>
      <c r="D102" s="54">
        <f t="shared" si="1"/>
      </c>
      <c r="E102" s="54" t="s">
        <v>361</v>
      </c>
      <c r="F102" s="54"/>
      <c r="G102" s="54" t="s">
        <v>354</v>
      </c>
      <c r="H102" s="54"/>
      <c r="I102" s="55" t="s">
        <v>157</v>
      </c>
      <c r="J102" s="56"/>
      <c r="K102" s="56"/>
      <c r="L102" s="56" t="s">
        <v>158</v>
      </c>
      <c r="M102" s="56"/>
      <c r="N102" s="56"/>
      <c r="O102" s="56"/>
      <c r="P102" s="56"/>
      <c r="Q102" s="56"/>
      <c r="R102" s="56"/>
      <c r="S102" s="56"/>
      <c r="T102" s="56"/>
      <c r="U102" s="56"/>
      <c r="V102" s="56"/>
      <c r="W102" s="56"/>
    </row>
    <row hidden="true" r="103">
      <c r="A103" s="54"/>
      <c r="B103" s="54" t="s">
        <v>152</v>
      </c>
      <c r="C103" s="55" t="s">
        <v>362</v>
      </c>
      <c r="D103" s="54">
        <f t="shared" si="1"/>
      </c>
      <c r="E103" s="54" t="s">
        <v>276</v>
      </c>
      <c r="F103" s="54"/>
      <c r="G103" s="54" t="s">
        <v>354</v>
      </c>
      <c r="H103" s="54"/>
      <c r="I103" s="55" t="s">
        <v>157</v>
      </c>
      <c r="J103" s="56"/>
      <c r="K103" s="56"/>
      <c r="L103" s="56" t="s">
        <v>158</v>
      </c>
      <c r="M103" s="56"/>
      <c r="N103" s="56"/>
      <c r="O103" s="56"/>
      <c r="P103" s="56"/>
      <c r="Q103" s="56"/>
      <c r="R103" s="56"/>
      <c r="S103" s="56"/>
      <c r="T103" s="56"/>
      <c r="U103" s="56"/>
      <c r="V103" s="56"/>
      <c r="W103" s="56"/>
    </row>
    <row hidden="true" r="104">
      <c r="A104" s="54"/>
      <c r="B104" s="54" t="s">
        <v>152</v>
      </c>
      <c r="C104" s="55" t="s">
        <v>363</v>
      </c>
      <c r="D104" s="54">
        <f t="shared" si="1"/>
      </c>
      <c r="E104" s="54" t="s">
        <v>364</v>
      </c>
      <c r="F104" s="54"/>
      <c r="G104" s="54" t="s">
        <v>354</v>
      </c>
      <c r="H104" s="54"/>
      <c r="I104" s="55" t="s">
        <v>157</v>
      </c>
      <c r="J104" s="56"/>
      <c r="K104" s="56"/>
      <c r="L104" s="56" t="s">
        <v>158</v>
      </c>
      <c r="M104" s="56"/>
      <c r="N104" s="56"/>
      <c r="O104" s="56"/>
      <c r="P104" s="56"/>
      <c r="Q104" s="56"/>
      <c r="R104" s="56"/>
      <c r="S104" s="56"/>
      <c r="T104" s="56"/>
      <c r="U104" s="56"/>
      <c r="V104" s="56"/>
      <c r="W104" s="56"/>
    </row>
    <row hidden="true" r="105">
      <c r="A105" s="54"/>
      <c r="B105" s="54" t="s">
        <v>152</v>
      </c>
      <c r="C105" s="55" t="s">
        <v>365</v>
      </c>
      <c r="D105" s="54">
        <f t="shared" si="1"/>
      </c>
      <c r="E105" s="54" t="s">
        <v>366</v>
      </c>
      <c r="F105" s="54"/>
      <c r="G105" s="54" t="s">
        <v>354</v>
      </c>
      <c r="H105" s="54"/>
      <c r="I105" s="55" t="s">
        <v>157</v>
      </c>
      <c r="J105" s="56"/>
      <c r="K105" s="56"/>
      <c r="L105" s="56" t="s">
        <v>158</v>
      </c>
      <c r="M105" s="56"/>
      <c r="N105" s="56"/>
      <c r="O105" s="56"/>
      <c r="P105" s="56"/>
      <c r="Q105" s="56"/>
      <c r="R105" s="56"/>
      <c r="S105" s="56"/>
      <c r="T105" s="56"/>
      <c r="U105" s="56"/>
      <c r="V105" s="56"/>
      <c r="W105" s="56"/>
    </row>
    <row hidden="true" r="106">
      <c r="A106" s="55" t="s">
        <v>312</v>
      </c>
      <c r="B106" s="54" t="s">
        <v>152</v>
      </c>
      <c r="C106" s="55" t="s">
        <v>367</v>
      </c>
      <c r="D106" s="54">
        <f t="shared" si="1"/>
      </c>
      <c r="E106" s="54" t="s">
        <v>368</v>
      </c>
      <c r="F106" s="54"/>
      <c r="G106" s="54" t="s">
        <v>354</v>
      </c>
      <c r="H106" s="61" t="s">
        <v>369</v>
      </c>
      <c r="I106" s="61" t="s">
        <v>370</v>
      </c>
      <c r="J106" s="59"/>
      <c r="K106" s="59" t="s">
        <v>371</v>
      </c>
      <c r="L106" s="56"/>
      <c r="M106" s="56"/>
      <c r="N106" s="56"/>
      <c r="O106" s="56"/>
      <c r="P106" s="56"/>
      <c r="Q106" s="56"/>
      <c r="R106" s="56"/>
      <c r="S106" s="56"/>
      <c r="T106" s="56"/>
      <c r="U106" s="56"/>
      <c r="V106" s="56"/>
      <c r="W106" s="56"/>
    </row>
    <row hidden="true" r="107">
      <c r="A107" s="55" t="s">
        <v>312</v>
      </c>
      <c r="B107" s="54" t="s">
        <v>152</v>
      </c>
      <c r="C107" s="55" t="s">
        <v>372</v>
      </c>
      <c r="D107" s="54">
        <f t="shared" si="1"/>
      </c>
      <c r="E107" s="54" t="s">
        <v>373</v>
      </c>
      <c r="F107" s="54"/>
      <c r="G107" s="54" t="s">
        <v>354</v>
      </c>
      <c r="H107" s="61" t="s">
        <v>369</v>
      </c>
      <c r="I107" s="61" t="s">
        <v>370</v>
      </c>
      <c r="J107" s="59"/>
      <c r="K107" s="59" t="s">
        <v>371</v>
      </c>
      <c r="L107" s="56"/>
      <c r="M107" s="56"/>
      <c r="N107" s="56"/>
      <c r="O107" s="56"/>
      <c r="P107" s="56"/>
      <c r="Q107" s="56"/>
      <c r="R107" s="56"/>
      <c r="S107" s="56"/>
      <c r="T107" s="56"/>
      <c r="U107" s="56"/>
      <c r="V107" s="56"/>
      <c r="W107" s="56"/>
    </row>
    <row hidden="true" r="108">
      <c r="A108" s="54"/>
      <c r="B108" s="54" t="s">
        <v>152</v>
      </c>
      <c r="C108" s="55" t="s">
        <v>374</v>
      </c>
      <c r="D108" s="54">
        <f t="shared" si="1"/>
      </c>
      <c r="E108" s="54" t="s">
        <v>375</v>
      </c>
      <c r="F108" s="54"/>
      <c r="G108" s="54" t="s">
        <v>354</v>
      </c>
      <c r="H108" s="54"/>
      <c r="I108" s="55" t="s">
        <v>157</v>
      </c>
      <c r="J108" s="56"/>
      <c r="K108" s="56"/>
      <c r="L108" s="56"/>
      <c r="M108" s="56"/>
      <c r="N108" s="56"/>
      <c r="O108" s="56"/>
      <c r="P108" s="56"/>
      <c r="Q108" s="56"/>
      <c r="R108" s="56"/>
      <c r="S108" s="56"/>
      <c r="T108" s="56"/>
      <c r="U108" s="56"/>
      <c r="V108" s="56"/>
      <c r="W108" s="56"/>
    </row>
    <row hidden="true" r="109">
      <c r="A109" s="54"/>
      <c r="B109" s="54" t="s">
        <v>296</v>
      </c>
      <c r="C109" s="55" t="s">
        <v>376</v>
      </c>
      <c r="D109" s="54">
        <f t="shared" si="1"/>
      </c>
      <c r="E109" s="54" t="s">
        <v>377</v>
      </c>
      <c r="F109" s="54"/>
      <c r="G109" s="54" t="s">
        <v>299</v>
      </c>
      <c r="H109" s="55" t="s">
        <v>378</v>
      </c>
      <c r="I109" s="55"/>
      <c r="J109" s="56"/>
      <c r="K109" s="56"/>
      <c r="L109" s="56"/>
      <c r="M109" s="56"/>
      <c r="N109" s="56"/>
      <c r="O109" s="56"/>
      <c r="P109" s="56"/>
      <c r="Q109" s="56"/>
      <c r="R109" s="56"/>
      <c r="S109" s="56"/>
      <c r="T109" s="56"/>
      <c r="U109" s="56"/>
      <c r="V109" s="56"/>
      <c r="W109" s="56"/>
    </row>
    <row hidden="true" r="110">
      <c r="A110" s="54"/>
      <c r="B110" s="54" t="s">
        <v>296</v>
      </c>
      <c r="C110" s="55" t="s">
        <v>379</v>
      </c>
      <c r="D110" s="54">
        <f t="shared" si="1"/>
      </c>
      <c r="E110" s="54" t="s">
        <v>380</v>
      </c>
      <c r="F110" s="54"/>
      <c r="G110" s="54" t="s">
        <v>299</v>
      </c>
      <c r="H110" s="55" t="s">
        <v>378</v>
      </c>
      <c r="I110" s="55"/>
      <c r="J110" s="56"/>
      <c r="K110" s="56"/>
      <c r="L110" s="56"/>
      <c r="M110" s="56"/>
      <c r="N110" s="56"/>
      <c r="O110" s="56"/>
      <c r="P110" s="56"/>
      <c r="Q110" s="56"/>
      <c r="R110" s="56"/>
      <c r="S110" s="56"/>
      <c r="T110" s="56"/>
      <c r="U110" s="56"/>
      <c r="V110" s="56"/>
      <c r="W110" s="56"/>
    </row>
    <row hidden="true" r="111">
      <c r="A111" s="54"/>
      <c r="B111" s="54" t="s">
        <v>296</v>
      </c>
      <c r="C111" s="55" t="s">
        <v>381</v>
      </c>
      <c r="D111" s="54">
        <f t="shared" si="1"/>
      </c>
      <c r="E111" s="54" t="s">
        <v>382</v>
      </c>
      <c r="F111" s="54"/>
      <c r="G111" s="54" t="s">
        <v>299</v>
      </c>
      <c r="H111" s="55" t="s">
        <v>378</v>
      </c>
      <c r="I111" s="55"/>
      <c r="J111" s="56"/>
      <c r="K111" s="56"/>
      <c r="L111" s="56"/>
      <c r="M111" s="56"/>
      <c r="N111" s="56"/>
      <c r="O111" s="56"/>
      <c r="P111" s="56"/>
      <c r="Q111" s="56"/>
      <c r="R111" s="56"/>
      <c r="S111" s="56"/>
      <c r="T111" s="56"/>
      <c r="U111" s="56"/>
      <c r="V111" s="56"/>
      <c r="W111" s="56"/>
    </row>
    <row hidden="true" r="112">
      <c r="A112" s="54"/>
      <c r="B112" s="54" t="s">
        <v>296</v>
      </c>
      <c r="C112" s="55" t="s">
        <v>383</v>
      </c>
      <c r="D112" s="54">
        <f t="shared" si="1"/>
      </c>
      <c r="E112" s="54" t="s">
        <v>384</v>
      </c>
      <c r="F112" s="54"/>
      <c r="G112" s="54" t="s">
        <v>299</v>
      </c>
      <c r="H112" s="55" t="s">
        <v>378</v>
      </c>
      <c r="I112" s="55"/>
      <c r="J112" s="56"/>
      <c r="K112" s="56"/>
      <c r="L112" s="56"/>
      <c r="M112" s="56"/>
      <c r="N112" s="56"/>
      <c r="O112" s="56"/>
      <c r="P112" s="56"/>
      <c r="Q112" s="56"/>
      <c r="R112" s="56"/>
      <c r="S112" s="56"/>
      <c r="T112" s="56"/>
      <c r="U112" s="56"/>
      <c r="V112" s="56"/>
      <c r="W112" s="56"/>
    </row>
    <row hidden="true" r="113">
      <c r="A113" s="54"/>
      <c r="B113" s="54" t="s">
        <v>296</v>
      </c>
      <c r="C113" s="55" t="s">
        <v>385</v>
      </c>
      <c r="D113" s="54">
        <f t="shared" si="1"/>
      </c>
      <c r="E113" s="54" t="s">
        <v>386</v>
      </c>
      <c r="F113" s="54"/>
      <c r="G113" s="54" t="s">
        <v>299</v>
      </c>
      <c r="H113" s="55" t="s">
        <v>378</v>
      </c>
      <c r="I113" s="55"/>
      <c r="J113" s="56"/>
      <c r="K113" s="56"/>
      <c r="L113" s="56"/>
      <c r="M113" s="56"/>
      <c r="N113" s="56"/>
      <c r="O113" s="56"/>
      <c r="P113" s="56"/>
      <c r="Q113" s="56"/>
      <c r="R113" s="56"/>
      <c r="S113" s="56"/>
      <c r="T113" s="56"/>
      <c r="U113" s="56"/>
      <c r="V113" s="56"/>
      <c r="W113" s="56"/>
    </row>
    <row hidden="true" r="114">
      <c r="A114" s="54"/>
      <c r="B114" s="54" t="s">
        <v>296</v>
      </c>
      <c r="C114" s="55" t="s">
        <v>387</v>
      </c>
      <c r="D114" s="54">
        <f t="shared" si="1"/>
      </c>
      <c r="E114" s="54" t="s">
        <v>388</v>
      </c>
      <c r="F114" s="54"/>
      <c r="G114" s="54" t="s">
        <v>299</v>
      </c>
      <c r="H114" s="55" t="s">
        <v>378</v>
      </c>
      <c r="I114" s="55"/>
      <c r="J114" s="56"/>
      <c r="K114" s="56"/>
      <c r="L114" s="56"/>
      <c r="M114" s="56"/>
      <c r="N114" s="56"/>
      <c r="O114" s="56"/>
      <c r="P114" s="56"/>
      <c r="Q114" s="56"/>
      <c r="R114" s="56"/>
      <c r="S114" s="56"/>
      <c r="T114" s="56"/>
      <c r="U114" s="56"/>
      <c r="V114" s="56"/>
      <c r="W114" s="56"/>
    </row>
    <row hidden="true" r="115">
      <c r="A115" s="54"/>
      <c r="B115" s="54" t="s">
        <v>296</v>
      </c>
      <c r="C115" s="55" t="s">
        <v>389</v>
      </c>
      <c r="D115" s="54">
        <f t="shared" si="1"/>
      </c>
      <c r="E115" s="54" t="s">
        <v>390</v>
      </c>
      <c r="F115" s="54"/>
      <c r="G115" s="54" t="s">
        <v>299</v>
      </c>
      <c r="H115" s="55" t="s">
        <v>378</v>
      </c>
      <c r="I115" s="55"/>
      <c r="J115" s="56"/>
      <c r="K115" s="56"/>
      <c r="L115" s="56"/>
      <c r="M115" s="56"/>
      <c r="N115" s="56"/>
      <c r="O115" s="56"/>
      <c r="P115" s="56"/>
      <c r="Q115" s="56"/>
      <c r="R115" s="56"/>
      <c r="S115" s="56"/>
      <c r="T115" s="56"/>
      <c r="U115" s="56"/>
      <c r="V115" s="56"/>
      <c r="W115" s="56"/>
    </row>
    <row hidden="true" r="116">
      <c r="A116" s="54"/>
      <c r="B116" s="54" t="s">
        <v>296</v>
      </c>
      <c r="C116" s="55" t="s">
        <v>391</v>
      </c>
      <c r="D116" s="54">
        <f t="shared" si="1"/>
      </c>
      <c r="E116" s="54" t="s">
        <v>392</v>
      </c>
      <c r="F116" s="54"/>
      <c r="G116" s="54" t="s">
        <v>299</v>
      </c>
      <c r="H116" s="55" t="s">
        <v>378</v>
      </c>
      <c r="I116" s="55"/>
      <c r="J116" s="56"/>
      <c r="K116" s="56"/>
      <c r="L116" s="56"/>
      <c r="M116" s="56"/>
      <c r="N116" s="56"/>
      <c r="O116" s="56"/>
      <c r="P116" s="56"/>
      <c r="Q116" s="56"/>
      <c r="R116" s="56"/>
      <c r="S116" s="56"/>
      <c r="T116" s="56"/>
      <c r="U116" s="56"/>
      <c r="V116" s="56"/>
      <c r="W116" s="56"/>
    </row>
    <row hidden="true" r="117">
      <c r="A117" s="54"/>
      <c r="B117" s="54" t="s">
        <v>296</v>
      </c>
      <c r="C117" s="55" t="s">
        <v>393</v>
      </c>
      <c r="D117" s="54">
        <f t="shared" si="1"/>
      </c>
      <c r="E117" s="54" t="s">
        <v>394</v>
      </c>
      <c r="F117" s="54"/>
      <c r="G117" s="54" t="s">
        <v>299</v>
      </c>
      <c r="H117" s="55" t="s">
        <v>378</v>
      </c>
      <c r="I117" s="55"/>
      <c r="J117" s="56"/>
      <c r="K117" s="56"/>
      <c r="L117" s="56"/>
      <c r="M117" s="56"/>
      <c r="N117" s="56"/>
      <c r="O117" s="56"/>
      <c r="P117" s="56"/>
      <c r="Q117" s="56"/>
      <c r="R117" s="56"/>
      <c r="S117" s="56"/>
      <c r="T117" s="56"/>
      <c r="U117" s="56"/>
      <c r="V117" s="56"/>
      <c r="W117" s="56"/>
    </row>
    <row hidden="true" r="118">
      <c r="A118" s="54"/>
      <c r="B118" s="54" t="s">
        <v>296</v>
      </c>
      <c r="C118" s="55" t="s">
        <v>395</v>
      </c>
      <c r="D118" s="54">
        <f t="shared" si="1"/>
      </c>
      <c r="E118" s="54" t="s">
        <v>396</v>
      </c>
      <c r="F118" s="54"/>
      <c r="G118" s="54" t="s">
        <v>299</v>
      </c>
      <c r="H118" s="55" t="s">
        <v>378</v>
      </c>
      <c r="I118" s="55"/>
      <c r="J118" s="56"/>
      <c r="K118" s="56"/>
      <c r="L118" s="56"/>
      <c r="M118" s="56"/>
      <c r="N118" s="56"/>
      <c r="O118" s="56"/>
      <c r="P118" s="56"/>
      <c r="Q118" s="56"/>
      <c r="R118" s="56"/>
      <c r="S118" s="56"/>
      <c r="T118" s="56"/>
      <c r="U118" s="56"/>
      <c r="V118" s="56"/>
      <c r="W118" s="56"/>
    </row>
    <row hidden="true" r="119">
      <c r="A119" s="54"/>
      <c r="B119" s="54" t="s">
        <v>296</v>
      </c>
      <c r="C119" s="55" t="s">
        <v>397</v>
      </c>
      <c r="D119" s="54">
        <f t="shared" si="1"/>
      </c>
      <c r="E119" s="54" t="s">
        <v>398</v>
      </c>
      <c r="F119" s="54"/>
      <c r="G119" s="54" t="s">
        <v>299</v>
      </c>
      <c r="H119" s="55" t="s">
        <v>378</v>
      </c>
      <c r="I119" s="55"/>
      <c r="J119" s="56"/>
      <c r="K119" s="56"/>
      <c r="L119" s="56"/>
      <c r="M119" s="56"/>
      <c r="N119" s="56"/>
      <c r="O119" s="56"/>
      <c r="P119" s="56"/>
      <c r="Q119" s="56"/>
      <c r="R119" s="56"/>
      <c r="S119" s="56"/>
      <c r="T119" s="56"/>
      <c r="U119" s="56"/>
      <c r="V119" s="56"/>
      <c r="W119" s="56"/>
    </row>
    <row hidden="true" r="120">
      <c r="A120" s="54"/>
      <c r="B120" s="54" t="s">
        <v>296</v>
      </c>
      <c r="C120" s="55" t="s">
        <v>399</v>
      </c>
      <c r="D120" s="54">
        <f t="shared" si="1"/>
      </c>
      <c r="E120" s="54" t="s">
        <v>400</v>
      </c>
      <c r="F120" s="54"/>
      <c r="G120" s="54" t="s">
        <v>299</v>
      </c>
      <c r="H120" s="55" t="s">
        <v>378</v>
      </c>
      <c r="I120" s="55"/>
      <c r="J120" s="56"/>
      <c r="K120" s="56"/>
      <c r="L120" s="56"/>
      <c r="M120" s="56"/>
      <c r="N120" s="56"/>
      <c r="O120" s="56"/>
      <c r="P120" s="56"/>
      <c r="Q120" s="56"/>
      <c r="R120" s="56"/>
      <c r="S120" s="56"/>
      <c r="T120" s="56"/>
      <c r="U120" s="56"/>
      <c r="V120" s="56"/>
      <c r="W120" s="56"/>
    </row>
    <row hidden="true" r="121">
      <c r="A121" s="54"/>
      <c r="B121" s="54" t="s">
        <v>296</v>
      </c>
      <c r="C121" s="55" t="s">
        <v>401</v>
      </c>
      <c r="D121" s="54">
        <f t="shared" si="1"/>
      </c>
      <c r="E121" s="54" t="s">
        <v>402</v>
      </c>
      <c r="F121" s="54"/>
      <c r="G121" s="54" t="s">
        <v>299</v>
      </c>
      <c r="H121" s="55" t="s">
        <v>378</v>
      </c>
      <c r="I121" s="55"/>
      <c r="J121" s="56"/>
      <c r="K121" s="56"/>
      <c r="L121" s="56"/>
      <c r="M121" s="56"/>
      <c r="N121" s="56"/>
      <c r="O121" s="56"/>
      <c r="P121" s="56"/>
      <c r="Q121" s="56"/>
      <c r="R121" s="56"/>
      <c r="S121" s="56"/>
      <c r="T121" s="56"/>
      <c r="U121" s="56"/>
      <c r="V121" s="56"/>
      <c r="W121" s="56"/>
    </row>
  </sheetData>
  <autoFilter ref="A3:W121">
    <filterColumn colId="7">
      <filters>
        <filter val="如果要用610系统的SLT表，直接从810的SLT表取值即可，mandt='610'"/>
        <filter val="使用ods.odss900_bsik表，需要统一提一下入湖工单，让大数据团队进行数据入湖"/>
        <filter val="数据更新的起始时间问题"/>
        <filter val="需要统一提一下入湖工单，让大数据团队进行数据入湖"/>
        <filter val="找一下培轶进行处理"/>
      </filters>
    </filterColumn>
  </autoFilter>
  <conditionalFormatting sqref="C4:C121">
    <cfRule dxfId="0" priority="1" stopIfTrue="true" type="duplicateValues"/>
  </conditionalFormatting>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2" ySplit="1"/>
    </sheetView>
  </sheetViews>
  <sheetFormatPr defaultRowHeight="0"/>
  <cols>
    <col collapsed="false" customWidth="true" hidden="false" max="2" min="2" style="0" width="12.901408450704226"/>
    <col collapsed="false" customWidth="true" hidden="false" max="6" min="6" style="0" width="7.71830985915493"/>
    <col collapsed="false" customWidth="true" hidden="false" max="9" min="9" style="0" width="7.71830985915493"/>
    <col collapsed="false" customWidth="true" hidden="false" max="13" min="13" style="0" width="7.71830985915493"/>
    <col collapsed="false" customWidth="true" hidden="false" max="18" min="18" style="0" width="7.71830985915493"/>
    <col collapsed="false" customWidth="true" hidden="false" max="3" min="3" style="0" width="36.01877954793461"/>
    <col collapsed="false" customWidth="true" hidden="false" max="7" min="7" style="0" width="7.71830985915493"/>
    <col collapsed="false" customWidth="true" hidden="false" max="10" min="10" style="0" width="7.71830985915493"/>
    <col collapsed="false" customWidth="true" hidden="false" max="14" min="14" style="0" width="7.71830985915493"/>
    <col collapsed="false" customWidth="true" hidden="false" max="19" min="19" style="0" width="7.71830985915493"/>
    <col collapsed="false" customWidth="true" hidden="false" max="4" min="4" style="0" width="7.71830985915493"/>
    <col collapsed="false" customWidth="true" hidden="false" max="8" min="8" style="0" width="7.71830985915493"/>
    <col collapsed="false" customWidth="true" hidden="false" max="11" min="11" style="0" width="7.71830985915493"/>
    <col collapsed="false" customWidth="true" hidden="false" max="15" min="15" style="0" width="7.71830985915493"/>
    <col collapsed="false" customWidth="true" hidden="false" max="1" min="1" style="0" width="16.845070422535212"/>
    <col collapsed="false" customWidth="true" hidden="false" max="5" min="5" style="0" width="7.71830985915493"/>
    <col collapsed="false" customWidth="true" hidden="false" max="12" min="12" style="0" width="7.71830985915493"/>
    <col collapsed="false" customWidth="true" hidden="false" max="16" min="16" style="0" width="7.71830985915493"/>
    <col collapsed="false" customWidth="true" hidden="false" max="17" min="17" style="0" width="7.71830985915493"/>
  </cols>
  <sheetData>
    <row customHeight="true" ht="14.880952380952381" r="1">
      <c r="A1" s="69" t="s">
        <v>403</v>
      </c>
      <c r="B1" s="69" t="s">
        <v>404</v>
      </c>
      <c r="C1" s="70" t="s">
        <v>405</v>
      </c>
      <c r="D1" s="71"/>
      <c r="E1" s="72"/>
      <c r="F1" s="72"/>
      <c r="G1" s="72"/>
      <c r="H1" s="72"/>
      <c r="I1" s="72"/>
      <c r="J1" s="72"/>
      <c r="K1" s="72"/>
      <c r="L1" s="72"/>
      <c r="M1" s="72"/>
      <c r="N1" s="72"/>
      <c r="O1" s="72"/>
      <c r="P1" s="72"/>
      <c r="Q1" s="72"/>
      <c r="R1" s="72"/>
    </row>
    <row customHeight="true" hidden="true" ht="14.880952380952381" r="2">
      <c r="A2" s="73" t="s">
        <v>406</v>
      </c>
      <c r="B2" s="73" t="s">
        <v>407</v>
      </c>
      <c r="C2" s="74" t="s">
        <v>408</v>
      </c>
      <c r="D2" s="71"/>
      <c r="E2" s="72"/>
      <c r="F2" s="72"/>
      <c r="G2" s="72"/>
      <c r="H2" s="72"/>
      <c r="I2" s="72"/>
      <c r="J2" s="72"/>
      <c r="K2" s="72"/>
      <c r="L2" s="72"/>
      <c r="M2" s="72"/>
      <c r="N2" s="72"/>
      <c r="O2" s="72"/>
      <c r="P2" s="72"/>
      <c r="Q2" s="72"/>
      <c r="R2" s="72"/>
    </row>
    <row customHeight="true" hidden="true" ht="14.880952380952381" r="3">
      <c r="A3" s="73" t="s">
        <v>406</v>
      </c>
      <c r="B3" s="73" t="s">
        <v>409</v>
      </c>
      <c r="C3" s="74" t="s">
        <v>410</v>
      </c>
      <c r="D3" s="71"/>
      <c r="E3" s="71"/>
      <c r="F3" s="71"/>
      <c r="G3" s="71"/>
      <c r="H3" s="71"/>
      <c r="I3" s="71"/>
      <c r="J3" s="71"/>
      <c r="K3" s="71"/>
      <c r="L3" s="71"/>
      <c r="M3" s="71"/>
      <c r="N3" s="71"/>
      <c r="O3" s="71"/>
      <c r="P3" s="71"/>
      <c r="Q3" s="71"/>
      <c r="R3" s="71"/>
      <c r="S3" s="75"/>
    </row>
    <row customHeight="true" hidden="true" ht="14.880952380952381" r="4">
      <c r="A4" s="73" t="s">
        <v>406</v>
      </c>
      <c r="B4" s="73" t="s">
        <v>411</v>
      </c>
      <c r="C4" s="74" t="s">
        <v>412</v>
      </c>
      <c r="D4" s="71"/>
      <c r="E4" s="71"/>
      <c r="F4" s="71"/>
      <c r="G4" s="71"/>
      <c r="H4" s="71"/>
      <c r="I4" s="71"/>
      <c r="J4" s="71"/>
      <c r="K4" s="71"/>
      <c r="L4" s="71"/>
      <c r="M4" s="71"/>
      <c r="N4" s="71"/>
      <c r="O4" s="71"/>
      <c r="P4" s="71"/>
      <c r="Q4" s="71"/>
      <c r="R4" s="71"/>
      <c r="S4" s="75"/>
    </row>
    <row customHeight="true" hidden="true" ht="14.880952380952381" r="5">
      <c r="A5" s="73" t="s">
        <v>406</v>
      </c>
      <c r="B5" s="73" t="s">
        <v>413</v>
      </c>
      <c r="C5" s="74" t="s">
        <v>414</v>
      </c>
      <c r="D5" s="71"/>
      <c r="E5" s="71"/>
      <c r="F5" s="71"/>
      <c r="G5" s="71"/>
      <c r="H5" s="71"/>
      <c r="I5" s="71"/>
      <c r="J5" s="71"/>
      <c r="K5" s="71"/>
      <c r="L5" s="71"/>
      <c r="M5" s="71"/>
      <c r="N5" s="71"/>
      <c r="O5" s="71"/>
      <c r="P5" s="71"/>
      <c r="Q5" s="71"/>
      <c r="R5" s="71"/>
      <c r="S5" s="75"/>
    </row>
    <row customHeight="true" hidden="true" ht="14.880952380952381" r="6">
      <c r="A6" s="73" t="s">
        <v>406</v>
      </c>
      <c r="B6" s="73" t="s">
        <v>415</v>
      </c>
      <c r="C6" s="74" t="s">
        <v>416</v>
      </c>
      <c r="D6" s="71"/>
      <c r="E6" s="71"/>
      <c r="F6" s="71"/>
      <c r="G6" s="71"/>
      <c r="H6" s="71"/>
      <c r="I6" s="71"/>
      <c r="J6" s="71"/>
      <c r="K6" s="71"/>
      <c r="L6" s="71"/>
      <c r="M6" s="71"/>
      <c r="N6" s="71"/>
      <c r="O6" s="71"/>
      <c r="P6" s="71"/>
      <c r="Q6" s="71"/>
      <c r="R6" s="71"/>
      <c r="S6" s="75"/>
    </row>
    <row customHeight="true" hidden="true" ht="14.880952380952381" r="7">
      <c r="A7" s="73" t="s">
        <v>406</v>
      </c>
      <c r="B7" s="73" t="s">
        <v>417</v>
      </c>
      <c r="C7" s="74" t="s">
        <v>418</v>
      </c>
      <c r="D7" s="71"/>
      <c r="E7" s="71"/>
      <c r="F7" s="71"/>
      <c r="G7" s="71"/>
      <c r="H7" s="71"/>
      <c r="I7" s="71"/>
      <c r="J7" s="71"/>
      <c r="K7" s="71"/>
      <c r="L7" s="71"/>
      <c r="M7" s="71"/>
      <c r="N7" s="71"/>
      <c r="O7" s="71"/>
      <c r="P7" s="71"/>
      <c r="Q7" s="71"/>
      <c r="R7" s="71"/>
      <c r="S7" s="75"/>
    </row>
    <row customHeight="true" hidden="true" ht="14.880952380952381" r="8">
      <c r="A8" s="73" t="s">
        <v>406</v>
      </c>
      <c r="B8" s="73" t="s">
        <v>419</v>
      </c>
      <c r="C8" s="74" t="s">
        <v>420</v>
      </c>
      <c r="D8" s="71"/>
      <c r="E8" s="71"/>
      <c r="F8" s="71"/>
      <c r="G8" s="71"/>
      <c r="H8" s="71"/>
      <c r="I8" s="71"/>
      <c r="J8" s="71"/>
      <c r="K8" s="71"/>
      <c r="L8" s="71"/>
      <c r="M8" s="71"/>
      <c r="N8" s="71"/>
      <c r="O8" s="71"/>
      <c r="P8" s="71"/>
      <c r="Q8" s="71"/>
      <c r="R8" s="71"/>
      <c r="S8" s="75"/>
    </row>
    <row hidden="true" r="9">
      <c r="A9" s="73" t="s">
        <v>406</v>
      </c>
      <c r="B9" s="73" t="s">
        <v>421</v>
      </c>
      <c r="C9" s="74" t="s">
        <v>422</v>
      </c>
      <c r="D9" s="71"/>
      <c r="E9" s="71"/>
      <c r="F9" s="71"/>
      <c r="G9" s="71"/>
      <c r="H9" s="71"/>
      <c r="I9" s="71"/>
      <c r="J9" s="71"/>
      <c r="K9" s="71"/>
      <c r="L9" s="71"/>
      <c r="M9" s="71"/>
      <c r="N9" s="71"/>
      <c r="O9" s="71"/>
      <c r="P9" s="71"/>
      <c r="Q9" s="71"/>
      <c r="R9" s="71"/>
      <c r="S9" s="75"/>
    </row>
    <row customHeight="true" hidden="true" ht="14.880952380952381" r="10">
      <c r="A10" s="73" t="s">
        <v>406</v>
      </c>
      <c r="B10" s="73" t="s">
        <v>423</v>
      </c>
      <c r="C10" s="74" t="s">
        <v>424</v>
      </c>
      <c r="D10" s="71"/>
      <c r="E10" s="71"/>
      <c r="F10" s="71"/>
      <c r="G10" s="71"/>
      <c r="H10" s="71"/>
      <c r="I10" s="71"/>
      <c r="J10" s="71"/>
      <c r="K10" s="71"/>
      <c r="L10" s="71"/>
      <c r="M10" s="71"/>
      <c r="N10" s="71"/>
      <c r="O10" s="71"/>
      <c r="P10" s="71"/>
      <c r="Q10" s="71"/>
      <c r="R10" s="71"/>
      <c r="S10" s="75"/>
    </row>
    <row customHeight="true" hidden="true" ht="14.880952380952381" r="11">
      <c r="A11" s="73" t="s">
        <v>406</v>
      </c>
      <c r="B11" s="73" t="s">
        <v>425</v>
      </c>
      <c r="C11" s="74" t="s">
        <v>426</v>
      </c>
      <c r="D11" s="71"/>
      <c r="E11" s="71"/>
      <c r="F11" s="71"/>
      <c r="G11" s="71"/>
      <c r="H11" s="71"/>
      <c r="I11" s="71"/>
      <c r="J11" s="71"/>
      <c r="K11" s="71"/>
      <c r="L11" s="71"/>
      <c r="M11" s="71"/>
      <c r="N11" s="71"/>
      <c r="O11" s="71"/>
      <c r="P11" s="71"/>
      <c r="Q11" s="71"/>
      <c r="R11" s="71"/>
      <c r="S11" s="75"/>
    </row>
    <row customHeight="true" hidden="true" ht="14.880952380952381" r="12">
      <c r="A12" s="73" t="s">
        <v>406</v>
      </c>
      <c r="B12" s="73" t="s">
        <v>427</v>
      </c>
      <c r="C12" s="74" t="s">
        <v>428</v>
      </c>
      <c r="D12" s="71"/>
      <c r="E12" s="71"/>
      <c r="F12" s="71"/>
      <c r="G12" s="71"/>
      <c r="H12" s="71"/>
      <c r="I12" s="71"/>
      <c r="J12" s="71"/>
      <c r="K12" s="71"/>
      <c r="L12" s="71"/>
      <c r="M12" s="71"/>
      <c r="N12" s="71"/>
      <c r="O12" s="71"/>
      <c r="P12" s="71"/>
      <c r="Q12" s="71"/>
      <c r="R12" s="71"/>
      <c r="S12" s="75"/>
    </row>
    <row customHeight="true" hidden="true" ht="14.880952380952381" r="13">
      <c r="A13" s="73" t="s">
        <v>406</v>
      </c>
      <c r="B13" s="73" t="s">
        <v>429</v>
      </c>
      <c r="C13" s="74" t="s">
        <v>430</v>
      </c>
      <c r="D13" s="71"/>
      <c r="E13" s="71"/>
      <c r="F13" s="71"/>
      <c r="G13" s="71"/>
      <c r="H13" s="71"/>
      <c r="I13" s="71"/>
      <c r="J13" s="71"/>
      <c r="K13" s="71"/>
      <c r="L13" s="71"/>
      <c r="M13" s="71"/>
      <c r="N13" s="71"/>
      <c r="O13" s="71"/>
      <c r="P13" s="71"/>
      <c r="Q13" s="71"/>
      <c r="R13" s="71"/>
      <c r="S13" s="75"/>
    </row>
    <row customHeight="true" hidden="true" ht="14.880952380952381" r="14">
      <c r="A14" s="73" t="s">
        <v>406</v>
      </c>
      <c r="B14" s="73" t="s">
        <v>431</v>
      </c>
      <c r="C14" s="74" t="s">
        <v>432</v>
      </c>
      <c r="D14" s="71"/>
      <c r="E14" s="71"/>
      <c r="F14" s="71"/>
      <c r="G14" s="71"/>
      <c r="H14" s="71"/>
      <c r="I14" s="71"/>
      <c r="J14" s="71"/>
      <c r="K14" s="71"/>
      <c r="L14" s="71"/>
      <c r="M14" s="71"/>
      <c r="N14" s="71"/>
      <c r="O14" s="71"/>
      <c r="P14" s="71"/>
      <c r="Q14" s="71"/>
      <c r="R14" s="71"/>
      <c r="S14" s="75"/>
    </row>
    <row customHeight="true" hidden="true" ht="14.880952380952381" r="15">
      <c r="A15" s="73" t="s">
        <v>406</v>
      </c>
      <c r="B15" s="73" t="s">
        <v>433</v>
      </c>
      <c r="C15" s="74" t="s">
        <v>434</v>
      </c>
      <c r="D15" s="71"/>
      <c r="E15" s="71"/>
      <c r="F15" s="71"/>
      <c r="G15" s="71"/>
      <c r="H15" s="71"/>
      <c r="I15" s="71"/>
      <c r="J15" s="71"/>
      <c r="K15" s="71"/>
      <c r="L15" s="71"/>
      <c r="M15" s="71"/>
      <c r="N15" s="71"/>
      <c r="O15" s="71"/>
      <c r="P15" s="71"/>
      <c r="Q15" s="71"/>
      <c r="R15" s="71"/>
      <c r="S15" s="75"/>
    </row>
    <row customHeight="true" hidden="true" ht="14.880952380952381" r="16">
      <c r="A16" s="73" t="s">
        <v>406</v>
      </c>
      <c r="B16" s="73" t="s">
        <v>435</v>
      </c>
      <c r="C16" s="74" t="s">
        <v>436</v>
      </c>
      <c r="D16" s="71"/>
      <c r="E16" s="71"/>
      <c r="F16" s="71"/>
      <c r="G16" s="71"/>
      <c r="H16" s="71"/>
      <c r="I16" s="71"/>
      <c r="J16" s="71"/>
      <c r="K16" s="71"/>
      <c r="L16" s="71"/>
      <c r="M16" s="71"/>
      <c r="N16" s="71"/>
      <c r="O16" s="71"/>
      <c r="P16" s="71"/>
      <c r="Q16" s="71"/>
      <c r="R16" s="71"/>
      <c r="S16" s="75"/>
    </row>
    <row customHeight="true" hidden="true" ht="14.880952380952381" r="17">
      <c r="A17" s="73" t="s">
        <v>406</v>
      </c>
      <c r="B17" s="73" t="s">
        <v>437</v>
      </c>
      <c r="C17" s="74" t="s">
        <v>438</v>
      </c>
      <c r="D17" s="71"/>
      <c r="E17" s="71"/>
      <c r="F17" s="71"/>
      <c r="G17" s="71"/>
      <c r="H17" s="71"/>
      <c r="I17" s="71"/>
      <c r="J17" s="71"/>
      <c r="K17" s="71"/>
      <c r="L17" s="71"/>
      <c r="M17" s="71"/>
      <c r="N17" s="71"/>
      <c r="O17" s="71"/>
      <c r="P17" s="71"/>
      <c r="Q17" s="71"/>
      <c r="R17" s="71"/>
      <c r="S17" s="75"/>
    </row>
    <row customHeight="true" hidden="true" ht="14.880952380952381" r="18">
      <c r="A18" s="73" t="s">
        <v>406</v>
      </c>
      <c r="B18" s="73" t="s">
        <v>439</v>
      </c>
      <c r="C18" s="74" t="s">
        <v>436</v>
      </c>
      <c r="D18" s="71"/>
      <c r="E18" s="71"/>
      <c r="F18" s="71"/>
      <c r="G18" s="71"/>
      <c r="H18" s="71"/>
      <c r="I18" s="71"/>
      <c r="J18" s="71"/>
      <c r="K18" s="71"/>
      <c r="L18" s="71"/>
      <c r="M18" s="71"/>
      <c r="N18" s="71"/>
      <c r="O18" s="71"/>
      <c r="P18" s="71"/>
      <c r="Q18" s="71"/>
      <c r="R18" s="71"/>
      <c r="S18" s="75"/>
    </row>
    <row customHeight="true" hidden="true" ht="14.880952380952381" r="19">
      <c r="A19" s="73" t="s">
        <v>406</v>
      </c>
      <c r="B19" s="73" t="s">
        <v>440</v>
      </c>
      <c r="C19" s="74" t="s">
        <v>441</v>
      </c>
      <c r="D19" s="71"/>
      <c r="E19" s="71"/>
      <c r="F19" s="71"/>
      <c r="G19" s="71"/>
      <c r="H19" s="71"/>
      <c r="I19" s="71"/>
      <c r="J19" s="71"/>
      <c r="K19" s="71"/>
      <c r="L19" s="71"/>
      <c r="M19" s="71"/>
      <c r="N19" s="71"/>
      <c r="O19" s="71"/>
      <c r="P19" s="71"/>
      <c r="Q19" s="71"/>
      <c r="R19" s="71"/>
      <c r="S19" s="75"/>
    </row>
    <row customHeight="true" hidden="true" ht="14.880952380952381" r="20">
      <c r="A20" s="73" t="s">
        <v>406</v>
      </c>
      <c r="B20" s="73" t="s">
        <v>442</v>
      </c>
      <c r="C20" s="74" t="s">
        <v>443</v>
      </c>
      <c r="D20" s="71"/>
      <c r="E20" s="71"/>
      <c r="F20" s="71"/>
      <c r="G20" s="71"/>
      <c r="H20" s="71"/>
      <c r="I20" s="71"/>
      <c r="J20" s="71"/>
      <c r="K20" s="71"/>
      <c r="L20" s="71"/>
      <c r="M20" s="71"/>
      <c r="N20" s="71"/>
      <c r="O20" s="71"/>
      <c r="P20" s="71"/>
      <c r="Q20" s="71"/>
      <c r="R20" s="71"/>
      <c r="S20" s="75"/>
    </row>
    <row customHeight="true" hidden="true" ht="14.880952380952381" r="21">
      <c r="A21" s="73" t="s">
        <v>406</v>
      </c>
      <c r="B21" s="73" t="s">
        <v>444</v>
      </c>
      <c r="C21" s="74" t="s">
        <v>445</v>
      </c>
      <c r="D21" s="71"/>
      <c r="E21" s="71"/>
      <c r="F21" s="71"/>
      <c r="G21" s="71"/>
      <c r="H21" s="71"/>
      <c r="I21" s="71"/>
      <c r="J21" s="71"/>
      <c r="K21" s="71"/>
      <c r="L21" s="71"/>
      <c r="M21" s="71"/>
      <c r="N21" s="71"/>
      <c r="O21" s="71"/>
      <c r="P21" s="71"/>
      <c r="Q21" s="71"/>
      <c r="R21" s="71"/>
      <c r="S21" s="75"/>
    </row>
    <row customHeight="true" hidden="true" ht="14.880952380952381" r="22">
      <c r="A22" s="73" t="s">
        <v>406</v>
      </c>
      <c r="B22" s="73" t="s">
        <v>446</v>
      </c>
      <c r="C22" s="74" t="s">
        <v>447</v>
      </c>
      <c r="D22" s="71"/>
      <c r="E22" s="71"/>
      <c r="F22" s="71"/>
      <c r="G22" s="71"/>
      <c r="H22" s="71"/>
      <c r="I22" s="71"/>
      <c r="J22" s="71"/>
      <c r="K22" s="71"/>
      <c r="L22" s="71"/>
      <c r="M22" s="71"/>
      <c r="N22" s="71"/>
      <c r="O22" s="71"/>
      <c r="P22" s="71"/>
      <c r="Q22" s="71"/>
      <c r="R22" s="71"/>
      <c r="S22" s="75"/>
    </row>
    <row customHeight="true" hidden="true" ht="14.880952380952381" r="23">
      <c r="A23" s="73" t="s">
        <v>406</v>
      </c>
      <c r="B23" s="73" t="s">
        <v>448</v>
      </c>
      <c r="C23" s="74" t="s">
        <v>449</v>
      </c>
      <c r="D23" s="71"/>
      <c r="E23" s="71"/>
      <c r="F23" s="71"/>
      <c r="G23" s="71"/>
      <c r="H23" s="71"/>
      <c r="I23" s="71"/>
      <c r="J23" s="71"/>
      <c r="K23" s="71"/>
      <c r="L23" s="71"/>
      <c r="M23" s="71"/>
      <c r="N23" s="71"/>
      <c r="O23" s="71"/>
      <c r="P23" s="71"/>
      <c r="Q23" s="71"/>
      <c r="R23" s="71"/>
      <c r="S23" s="75"/>
    </row>
    <row customHeight="true" hidden="true" ht="14.880952380952381" r="24">
      <c r="A24" s="73" t="s">
        <v>406</v>
      </c>
      <c r="B24" s="73" t="s">
        <v>450</v>
      </c>
      <c r="C24" s="74" t="s">
        <v>451</v>
      </c>
      <c r="D24" s="71"/>
      <c r="E24" s="71"/>
      <c r="F24" s="71"/>
      <c r="G24" s="71"/>
      <c r="H24" s="71"/>
      <c r="I24" s="71"/>
      <c r="J24" s="71"/>
      <c r="K24" s="71"/>
      <c r="L24" s="71"/>
      <c r="M24" s="71"/>
      <c r="N24" s="71"/>
      <c r="O24" s="71"/>
      <c r="P24" s="71"/>
      <c r="Q24" s="71"/>
      <c r="R24" s="71"/>
      <c r="S24" s="75"/>
    </row>
    <row customHeight="true" hidden="true" ht="14.880952380952381" r="25">
      <c r="A25" s="73" t="s">
        <v>406</v>
      </c>
      <c r="B25" s="73" t="s">
        <v>452</v>
      </c>
      <c r="C25" s="74" t="s">
        <v>453</v>
      </c>
      <c r="D25" s="71"/>
      <c r="E25" s="71"/>
      <c r="F25" s="71"/>
      <c r="G25" s="71"/>
      <c r="H25" s="71"/>
      <c r="I25" s="71"/>
      <c r="J25" s="71"/>
      <c r="K25" s="71"/>
      <c r="L25" s="71"/>
      <c r="M25" s="71"/>
      <c r="N25" s="71"/>
      <c r="O25" s="71"/>
      <c r="P25" s="71"/>
      <c r="Q25" s="71"/>
      <c r="R25" s="71"/>
      <c r="S25" s="75"/>
    </row>
    <row customHeight="true" hidden="true" ht="14.880952380952381" r="26">
      <c r="A26" s="73" t="s">
        <v>406</v>
      </c>
      <c r="B26" s="73" t="s">
        <v>454</v>
      </c>
      <c r="C26" s="74" t="s">
        <v>455</v>
      </c>
      <c r="D26" s="71"/>
      <c r="E26" s="71"/>
      <c r="F26" s="71"/>
      <c r="G26" s="71"/>
      <c r="H26" s="71"/>
      <c r="I26" s="71"/>
      <c r="J26" s="71"/>
      <c r="K26" s="71"/>
      <c r="L26" s="71"/>
      <c r="M26" s="71"/>
      <c r="N26" s="71"/>
      <c r="O26" s="71"/>
      <c r="P26" s="71"/>
      <c r="Q26" s="71"/>
      <c r="R26" s="71"/>
      <c r="S26" s="75"/>
    </row>
    <row customHeight="true" hidden="true" ht="14.880952380952381" r="27">
      <c r="A27" s="73" t="s">
        <v>406</v>
      </c>
      <c r="B27" s="73" t="s">
        <v>456</v>
      </c>
      <c r="C27" s="74" t="s">
        <v>457</v>
      </c>
      <c r="D27" s="71"/>
      <c r="E27" s="71"/>
      <c r="F27" s="71"/>
      <c r="G27" s="71"/>
      <c r="H27" s="71"/>
      <c r="I27" s="71"/>
      <c r="J27" s="71"/>
      <c r="K27" s="71"/>
      <c r="L27" s="71"/>
      <c r="M27" s="71"/>
      <c r="N27" s="71"/>
      <c r="O27" s="71"/>
      <c r="P27" s="71"/>
      <c r="Q27" s="71"/>
      <c r="R27" s="71"/>
      <c r="S27" s="75"/>
    </row>
    <row customHeight="true" hidden="true" ht="14.880952380952381" r="28">
      <c r="A28" s="73" t="s">
        <v>406</v>
      </c>
      <c r="B28" s="73" t="s">
        <v>458</v>
      </c>
      <c r="C28" s="74" t="s">
        <v>459</v>
      </c>
      <c r="D28" s="71"/>
      <c r="E28" s="71"/>
      <c r="F28" s="71"/>
      <c r="G28" s="71"/>
      <c r="H28" s="71"/>
      <c r="I28" s="71"/>
      <c r="J28" s="71"/>
      <c r="K28" s="71"/>
      <c r="L28" s="71"/>
      <c r="M28" s="71"/>
      <c r="N28" s="71"/>
      <c r="O28" s="71"/>
      <c r="P28" s="71"/>
      <c r="Q28" s="71"/>
      <c r="R28" s="71"/>
      <c r="S28" s="75"/>
    </row>
    <row customHeight="true" hidden="true" ht="14.880952380952381" r="29">
      <c r="A29" s="73" t="s">
        <v>406</v>
      </c>
      <c r="B29" s="73" t="s">
        <v>460</v>
      </c>
      <c r="C29" s="74" t="s">
        <v>461</v>
      </c>
      <c r="D29" s="71"/>
      <c r="E29" s="71"/>
      <c r="F29" s="71"/>
      <c r="G29" s="71"/>
      <c r="H29" s="71"/>
      <c r="I29" s="71"/>
      <c r="J29" s="71"/>
      <c r="K29" s="71"/>
      <c r="L29" s="71"/>
      <c r="M29" s="71"/>
      <c r="N29" s="71"/>
      <c r="O29" s="71"/>
      <c r="P29" s="71"/>
      <c r="Q29" s="71"/>
      <c r="R29" s="71"/>
      <c r="S29" s="75"/>
    </row>
    <row customHeight="true" hidden="true" ht="14.880952380952381" r="30">
      <c r="A30" s="73" t="s">
        <v>406</v>
      </c>
      <c r="B30" s="73" t="s">
        <v>462</v>
      </c>
      <c r="C30" s="74" t="s">
        <v>463</v>
      </c>
      <c r="D30" s="71"/>
      <c r="E30" s="71"/>
      <c r="F30" s="71"/>
      <c r="G30" s="71"/>
      <c r="H30" s="71"/>
      <c r="I30" s="71"/>
      <c r="J30" s="71"/>
      <c r="K30" s="71"/>
      <c r="L30" s="71"/>
      <c r="M30" s="71"/>
      <c r="N30" s="71"/>
      <c r="O30" s="71"/>
      <c r="P30" s="71"/>
      <c r="Q30" s="71"/>
      <c r="R30" s="71"/>
      <c r="S30" s="75"/>
    </row>
    <row customHeight="true" hidden="true" ht="14.880952380952381" r="31">
      <c r="A31" s="73" t="s">
        <v>406</v>
      </c>
      <c r="B31" s="73" t="s">
        <v>464</v>
      </c>
      <c r="C31" s="74" t="s">
        <v>465</v>
      </c>
      <c r="D31" s="71"/>
      <c r="E31" s="71"/>
      <c r="F31" s="71"/>
      <c r="G31" s="71"/>
      <c r="H31" s="71"/>
      <c r="I31" s="71"/>
      <c r="J31" s="71"/>
      <c r="K31" s="71"/>
      <c r="L31" s="71"/>
      <c r="M31" s="71"/>
      <c r="N31" s="71"/>
      <c r="O31" s="71"/>
      <c r="P31" s="71"/>
      <c r="Q31" s="71"/>
      <c r="R31" s="71"/>
      <c r="S31" s="75"/>
    </row>
    <row customHeight="true" hidden="true" ht="14.880952380952381" r="32">
      <c r="A32" s="73" t="s">
        <v>406</v>
      </c>
      <c r="B32" s="73" t="s">
        <v>466</v>
      </c>
      <c r="C32" s="74" t="s">
        <v>467</v>
      </c>
      <c r="D32" s="71"/>
      <c r="E32" s="71"/>
      <c r="F32" s="71"/>
      <c r="G32" s="71"/>
      <c r="H32" s="71"/>
      <c r="I32" s="71"/>
      <c r="J32" s="71"/>
      <c r="K32" s="71"/>
      <c r="L32" s="71"/>
      <c r="M32" s="71"/>
      <c r="N32" s="71"/>
      <c r="O32" s="71"/>
      <c r="P32" s="71"/>
      <c r="Q32" s="71"/>
      <c r="R32" s="71"/>
      <c r="S32" s="75"/>
    </row>
    <row customHeight="true" hidden="true" ht="14.880952380952381" r="33">
      <c r="A33" s="73" t="s">
        <v>406</v>
      </c>
      <c r="B33" s="73" t="s">
        <v>468</v>
      </c>
      <c r="C33" s="74" t="s">
        <v>469</v>
      </c>
      <c r="D33" s="71"/>
      <c r="E33" s="71"/>
      <c r="F33" s="71"/>
      <c r="G33" s="71"/>
      <c r="H33" s="71"/>
      <c r="I33" s="71"/>
      <c r="J33" s="71"/>
      <c r="K33" s="71"/>
      <c r="L33" s="71"/>
      <c r="M33" s="71"/>
      <c r="N33" s="71"/>
      <c r="O33" s="71"/>
      <c r="P33" s="71"/>
      <c r="Q33" s="71"/>
      <c r="R33" s="71"/>
      <c r="S33" s="75"/>
    </row>
    <row customHeight="true" hidden="true" ht="14.880952380952381" r="34">
      <c r="A34" s="73" t="s">
        <v>406</v>
      </c>
      <c r="B34" s="73" t="s">
        <v>470</v>
      </c>
      <c r="C34" s="74" t="s">
        <v>471</v>
      </c>
      <c r="D34" s="71"/>
      <c r="E34" s="71"/>
      <c r="F34" s="71"/>
      <c r="G34" s="71"/>
      <c r="H34" s="71"/>
      <c r="I34" s="71"/>
      <c r="J34" s="71"/>
      <c r="K34" s="71"/>
      <c r="L34" s="71"/>
      <c r="M34" s="71"/>
      <c r="N34" s="71"/>
      <c r="O34" s="71"/>
      <c r="P34" s="71"/>
      <c r="Q34" s="71"/>
      <c r="R34" s="71"/>
      <c r="S34" s="75"/>
    </row>
    <row customHeight="true" hidden="true" ht="14.880952380952381" r="35">
      <c r="A35" s="73" t="s">
        <v>406</v>
      </c>
      <c r="B35" s="73" t="s">
        <v>472</v>
      </c>
      <c r="C35" s="74" t="s">
        <v>473</v>
      </c>
      <c r="D35" s="71"/>
      <c r="E35" s="71"/>
      <c r="F35" s="71"/>
      <c r="G35" s="71"/>
      <c r="H35" s="71"/>
      <c r="I35" s="71"/>
      <c r="J35" s="71"/>
      <c r="K35" s="71"/>
      <c r="L35" s="71"/>
      <c r="M35" s="71"/>
      <c r="N35" s="71"/>
      <c r="O35" s="71"/>
      <c r="P35" s="71"/>
      <c r="Q35" s="71"/>
      <c r="R35" s="71"/>
      <c r="S35" s="75"/>
    </row>
    <row customHeight="true" hidden="true" ht="14.880952380952381" r="36">
      <c r="A36" s="73" t="s">
        <v>406</v>
      </c>
      <c r="B36" s="73" t="s">
        <v>474</v>
      </c>
      <c r="C36" s="74" t="s">
        <v>475</v>
      </c>
      <c r="D36" s="71"/>
      <c r="E36" s="71"/>
      <c r="F36" s="71"/>
      <c r="G36" s="71"/>
      <c r="H36" s="71"/>
      <c r="I36" s="71"/>
      <c r="J36" s="71"/>
      <c r="K36" s="71"/>
      <c r="L36" s="71"/>
      <c r="M36" s="71"/>
      <c r="N36" s="71"/>
      <c r="O36" s="71"/>
      <c r="P36" s="71"/>
      <c r="Q36" s="71"/>
      <c r="R36" s="71"/>
      <c r="S36" s="75"/>
    </row>
    <row customHeight="true" hidden="true" ht="14.880952380952381" r="37">
      <c r="A37" s="73" t="s">
        <v>406</v>
      </c>
      <c r="B37" s="73" t="s">
        <v>476</v>
      </c>
      <c r="C37" s="74" t="s">
        <v>477</v>
      </c>
      <c r="D37" s="71"/>
      <c r="E37" s="71"/>
      <c r="F37" s="71"/>
      <c r="G37" s="71"/>
      <c r="H37" s="71"/>
      <c r="I37" s="71"/>
      <c r="J37" s="71"/>
      <c r="K37" s="71"/>
      <c r="L37" s="71"/>
      <c r="M37" s="71"/>
      <c r="N37" s="71"/>
      <c r="O37" s="71"/>
      <c r="P37" s="71"/>
      <c r="Q37" s="71"/>
      <c r="R37" s="71"/>
      <c r="S37" s="75"/>
    </row>
    <row customHeight="true" hidden="true" ht="14.880952380952381" r="38">
      <c r="A38" s="73" t="s">
        <v>406</v>
      </c>
      <c r="B38" s="73" t="s">
        <v>478</v>
      </c>
      <c r="C38" s="74" t="s">
        <v>479</v>
      </c>
      <c r="D38" s="71"/>
      <c r="E38" s="71"/>
      <c r="F38" s="71"/>
      <c r="G38" s="71"/>
      <c r="H38" s="71"/>
      <c r="I38" s="71"/>
      <c r="J38" s="71"/>
      <c r="K38" s="71"/>
      <c r="L38" s="71"/>
      <c r="M38" s="71"/>
      <c r="N38" s="71"/>
      <c r="O38" s="71"/>
      <c r="P38" s="71"/>
      <c r="Q38" s="71"/>
      <c r="R38" s="71"/>
      <c r="S38" s="75"/>
    </row>
    <row customHeight="true" hidden="true" ht="14.880952380952381" r="39">
      <c r="A39" s="73" t="s">
        <v>406</v>
      </c>
      <c r="B39" s="73" t="s">
        <v>480</v>
      </c>
      <c r="C39" s="74" t="s">
        <v>481</v>
      </c>
      <c r="D39" s="71"/>
      <c r="E39" s="71"/>
      <c r="F39" s="71"/>
      <c r="G39" s="71"/>
      <c r="H39" s="71"/>
      <c r="I39" s="71"/>
      <c r="J39" s="71"/>
      <c r="K39" s="71"/>
      <c r="L39" s="71"/>
      <c r="M39" s="71"/>
      <c r="N39" s="71"/>
      <c r="O39" s="71"/>
      <c r="P39" s="71"/>
      <c r="Q39" s="71"/>
      <c r="R39" s="71"/>
      <c r="S39" s="75"/>
    </row>
    <row customHeight="true" hidden="true" ht="14.880952380952381" r="40">
      <c r="A40" s="73" t="s">
        <v>406</v>
      </c>
      <c r="B40" s="73" t="s">
        <v>482</v>
      </c>
      <c r="C40" s="74" t="s">
        <v>483</v>
      </c>
      <c r="D40" s="71"/>
      <c r="E40" s="71"/>
      <c r="F40" s="71"/>
      <c r="G40" s="71"/>
      <c r="H40" s="71"/>
      <c r="I40" s="71"/>
      <c r="J40" s="71"/>
      <c r="K40" s="71"/>
      <c r="L40" s="71"/>
      <c r="M40" s="71"/>
      <c r="N40" s="71"/>
      <c r="O40" s="71"/>
      <c r="P40" s="71"/>
      <c r="Q40" s="71"/>
      <c r="R40" s="71"/>
      <c r="S40" s="75"/>
    </row>
    <row customHeight="true" hidden="true" ht="14.880952380952381" r="41">
      <c r="A41" s="73" t="s">
        <v>406</v>
      </c>
      <c r="B41" s="73" t="s">
        <v>484</v>
      </c>
      <c r="C41" s="74" t="s">
        <v>485</v>
      </c>
      <c r="D41" s="71"/>
      <c r="E41" s="71"/>
      <c r="F41" s="71"/>
      <c r="G41" s="71"/>
      <c r="H41" s="71"/>
      <c r="I41" s="71"/>
      <c r="J41" s="71"/>
      <c r="K41" s="71"/>
      <c r="L41" s="71"/>
      <c r="M41" s="71"/>
      <c r="N41" s="71"/>
      <c r="O41" s="71"/>
      <c r="P41" s="71"/>
      <c r="Q41" s="71"/>
      <c r="R41" s="71"/>
      <c r="S41" s="75"/>
    </row>
    <row customHeight="true" hidden="true" ht="14.880952380952381" r="42">
      <c r="A42" s="73" t="s">
        <v>406</v>
      </c>
      <c r="B42" s="73" t="s">
        <v>486</v>
      </c>
      <c r="C42" s="74" t="s">
        <v>487</v>
      </c>
      <c r="D42" s="71"/>
      <c r="E42" s="71"/>
      <c r="F42" s="71"/>
      <c r="G42" s="71"/>
      <c r="H42" s="71"/>
      <c r="I42" s="71"/>
      <c r="J42" s="71"/>
      <c r="K42" s="71"/>
      <c r="L42" s="71"/>
      <c r="M42" s="71"/>
      <c r="N42" s="71"/>
      <c r="O42" s="71"/>
      <c r="P42" s="71"/>
      <c r="Q42" s="71"/>
      <c r="R42" s="71"/>
      <c r="S42" s="75"/>
    </row>
    <row customHeight="true" hidden="true" ht="14.880952380952381" r="43">
      <c r="A43" s="73" t="s">
        <v>406</v>
      </c>
      <c r="B43" s="73" t="s">
        <v>488</v>
      </c>
      <c r="C43" s="74" t="s">
        <v>489</v>
      </c>
      <c r="D43" s="71"/>
      <c r="E43" s="71"/>
      <c r="F43" s="71"/>
      <c r="G43" s="71"/>
      <c r="H43" s="71"/>
      <c r="I43" s="71"/>
      <c r="J43" s="71"/>
      <c r="K43" s="71"/>
      <c r="L43" s="71"/>
      <c r="M43" s="71"/>
      <c r="N43" s="71"/>
      <c r="O43" s="71"/>
      <c r="P43" s="71"/>
      <c r="Q43" s="71"/>
      <c r="R43" s="71"/>
      <c r="S43" s="75"/>
    </row>
    <row customHeight="true" hidden="true" ht="14.880952380952381" r="44">
      <c r="A44" s="73" t="s">
        <v>406</v>
      </c>
      <c r="B44" s="73" t="s">
        <v>490</v>
      </c>
      <c r="C44" s="74" t="s">
        <v>491</v>
      </c>
      <c r="D44" s="71"/>
      <c r="E44" s="71"/>
      <c r="F44" s="71"/>
      <c r="G44" s="71"/>
      <c r="H44" s="71"/>
      <c r="I44" s="71"/>
      <c r="J44" s="71"/>
      <c r="K44" s="71"/>
      <c r="L44" s="71"/>
      <c r="M44" s="71"/>
      <c r="N44" s="71"/>
      <c r="O44" s="71"/>
      <c r="P44" s="71"/>
      <c r="Q44" s="71"/>
      <c r="R44" s="71"/>
      <c r="S44" s="75"/>
    </row>
    <row customHeight="true" hidden="true" ht="14.880952380952381" r="45">
      <c r="A45" s="73" t="s">
        <v>406</v>
      </c>
      <c r="B45" s="73" t="s">
        <v>492</v>
      </c>
      <c r="C45" s="74" t="s">
        <v>493</v>
      </c>
      <c r="D45" s="71"/>
      <c r="E45" s="71"/>
      <c r="F45" s="71"/>
      <c r="G45" s="71"/>
      <c r="H45" s="71"/>
      <c r="I45" s="71"/>
      <c r="J45" s="71"/>
      <c r="K45" s="71"/>
      <c r="L45" s="71"/>
      <c r="M45" s="71"/>
      <c r="N45" s="71"/>
      <c r="O45" s="71"/>
      <c r="P45" s="71"/>
      <c r="Q45" s="71"/>
      <c r="R45" s="71"/>
      <c r="S45" s="75"/>
    </row>
    <row customHeight="true" hidden="true" ht="14.880952380952381" r="46">
      <c r="A46" s="73" t="s">
        <v>406</v>
      </c>
      <c r="B46" s="73" t="s">
        <v>494</v>
      </c>
      <c r="C46" s="74" t="s">
        <v>495</v>
      </c>
      <c r="D46" s="71"/>
      <c r="E46" s="71"/>
      <c r="F46" s="71"/>
      <c r="G46" s="71"/>
      <c r="H46" s="71"/>
      <c r="I46" s="71"/>
      <c r="J46" s="71"/>
      <c r="K46" s="71"/>
      <c r="L46" s="71"/>
      <c r="M46" s="71"/>
      <c r="N46" s="71"/>
      <c r="O46" s="71"/>
      <c r="P46" s="71"/>
      <c r="Q46" s="71"/>
      <c r="R46" s="71"/>
      <c r="S46" s="75"/>
    </row>
    <row customHeight="true" hidden="true" ht="14.880952380952381" r="47">
      <c r="A47" s="73" t="s">
        <v>406</v>
      </c>
      <c r="B47" s="73" t="s">
        <v>496</v>
      </c>
      <c r="C47" s="74" t="s">
        <v>497</v>
      </c>
      <c r="D47" s="71"/>
      <c r="E47" s="71"/>
      <c r="F47" s="71"/>
      <c r="G47" s="71"/>
      <c r="H47" s="71"/>
      <c r="I47" s="71"/>
      <c r="J47" s="71"/>
      <c r="K47" s="71"/>
      <c r="L47" s="71"/>
      <c r="M47" s="71"/>
      <c r="N47" s="71"/>
      <c r="O47" s="71"/>
      <c r="P47" s="71"/>
      <c r="Q47" s="71"/>
      <c r="R47" s="71"/>
      <c r="S47" s="75"/>
    </row>
    <row customHeight="true" hidden="true" ht="14.880952380952381" r="48">
      <c r="A48" s="73" t="s">
        <v>406</v>
      </c>
      <c r="B48" s="73" t="s">
        <v>498</v>
      </c>
      <c r="C48" s="74" t="s">
        <v>499</v>
      </c>
      <c r="D48" s="71"/>
      <c r="E48" s="71"/>
      <c r="F48" s="71"/>
      <c r="G48" s="71"/>
      <c r="H48" s="71"/>
      <c r="I48" s="71"/>
      <c r="J48" s="71"/>
      <c r="K48" s="71"/>
      <c r="L48" s="71"/>
      <c r="M48" s="71"/>
      <c r="N48" s="71"/>
      <c r="O48" s="71"/>
      <c r="P48" s="71"/>
      <c r="Q48" s="71"/>
      <c r="R48" s="71"/>
      <c r="S48" s="75"/>
    </row>
    <row customHeight="true" hidden="true" ht="14.880952380952381" r="49">
      <c r="A49" s="73" t="s">
        <v>406</v>
      </c>
      <c r="B49" s="73" t="s">
        <v>500</v>
      </c>
      <c r="C49" s="74" t="s">
        <v>501</v>
      </c>
      <c r="D49" s="71"/>
      <c r="E49" s="71"/>
      <c r="F49" s="71"/>
      <c r="G49" s="71"/>
      <c r="H49" s="71"/>
      <c r="I49" s="71"/>
      <c r="J49" s="71"/>
      <c r="K49" s="71"/>
      <c r="L49" s="71"/>
      <c r="M49" s="71"/>
      <c r="N49" s="71"/>
      <c r="O49" s="71"/>
      <c r="P49" s="71"/>
      <c r="Q49" s="71"/>
      <c r="R49" s="71"/>
      <c r="S49" s="75"/>
    </row>
    <row customHeight="true" hidden="true" ht="14.880952380952381" r="50">
      <c r="A50" s="73" t="s">
        <v>406</v>
      </c>
      <c r="B50" s="73" t="s">
        <v>502</v>
      </c>
      <c r="C50" s="74" t="s">
        <v>503</v>
      </c>
      <c r="D50" s="71"/>
      <c r="E50" s="71"/>
      <c r="F50" s="71"/>
      <c r="G50" s="71"/>
      <c r="H50" s="71"/>
      <c r="I50" s="71"/>
      <c r="J50" s="71"/>
      <c r="K50" s="71"/>
      <c r="L50" s="71"/>
      <c r="M50" s="71"/>
      <c r="N50" s="71"/>
      <c r="O50" s="71"/>
      <c r="P50" s="71"/>
      <c r="Q50" s="71"/>
      <c r="R50" s="71"/>
      <c r="S50" s="75"/>
    </row>
    <row customHeight="true" hidden="true" ht="14.880952380952381" r="51">
      <c r="A51" s="73" t="s">
        <v>406</v>
      </c>
      <c r="B51" s="73" t="s">
        <v>504</v>
      </c>
      <c r="C51" s="74" t="s">
        <v>505</v>
      </c>
      <c r="D51" s="71"/>
      <c r="E51" s="71"/>
      <c r="F51" s="71"/>
      <c r="G51" s="71"/>
      <c r="H51" s="71"/>
      <c r="I51" s="71"/>
      <c r="J51" s="71"/>
      <c r="K51" s="71"/>
      <c r="L51" s="71"/>
      <c r="M51" s="71"/>
      <c r="N51" s="71"/>
      <c r="O51" s="71"/>
      <c r="P51" s="71"/>
      <c r="Q51" s="71"/>
      <c r="R51" s="71"/>
      <c r="S51" s="75"/>
    </row>
    <row customHeight="true" hidden="true" ht="14.880952380952381" r="52">
      <c r="A52" s="73" t="s">
        <v>406</v>
      </c>
      <c r="B52" s="73" t="s">
        <v>506</v>
      </c>
      <c r="C52" s="74" t="s">
        <v>507</v>
      </c>
      <c r="D52" s="71"/>
      <c r="E52" s="71"/>
      <c r="F52" s="71"/>
      <c r="G52" s="71"/>
      <c r="H52" s="71"/>
      <c r="I52" s="71"/>
      <c r="J52" s="71"/>
      <c r="K52" s="71"/>
      <c r="L52" s="71"/>
      <c r="M52" s="71"/>
      <c r="N52" s="71"/>
      <c r="O52" s="71"/>
      <c r="P52" s="71"/>
      <c r="Q52" s="71"/>
      <c r="R52" s="71"/>
      <c r="S52" s="75"/>
    </row>
    <row customHeight="true" hidden="true" ht="14.880952380952381" r="53">
      <c r="A53" s="73" t="s">
        <v>406</v>
      </c>
      <c r="B53" s="73" t="s">
        <v>508</v>
      </c>
      <c r="C53" s="74" t="s">
        <v>509</v>
      </c>
      <c r="D53" s="71"/>
      <c r="E53" s="71"/>
      <c r="F53" s="71"/>
      <c r="G53" s="71"/>
      <c r="H53" s="71"/>
      <c r="I53" s="71"/>
      <c r="J53" s="71"/>
      <c r="K53" s="71"/>
      <c r="L53" s="71"/>
      <c r="M53" s="71"/>
      <c r="N53" s="71"/>
      <c r="O53" s="71"/>
      <c r="P53" s="71"/>
      <c r="Q53" s="71"/>
      <c r="R53" s="71"/>
      <c r="S53" s="75"/>
    </row>
    <row customHeight="true" hidden="true" ht="14.880952380952381" r="54">
      <c r="A54" s="73" t="s">
        <v>406</v>
      </c>
      <c r="B54" s="73" t="s">
        <v>510</v>
      </c>
      <c r="C54" s="74" t="s">
        <v>511</v>
      </c>
      <c r="D54" s="71"/>
      <c r="E54" s="71"/>
      <c r="F54" s="71"/>
      <c r="G54" s="71"/>
      <c r="H54" s="71"/>
      <c r="I54" s="71"/>
      <c r="J54" s="71"/>
      <c r="K54" s="71"/>
      <c r="L54" s="71"/>
      <c r="M54" s="71"/>
      <c r="N54" s="71"/>
      <c r="O54" s="71"/>
      <c r="P54" s="71"/>
      <c r="Q54" s="71"/>
      <c r="R54" s="71"/>
      <c r="S54" s="75"/>
    </row>
    <row customHeight="true" hidden="true" ht="14.880952380952381" r="55">
      <c r="A55" s="73" t="s">
        <v>406</v>
      </c>
      <c r="B55" s="73" t="s">
        <v>512</v>
      </c>
      <c r="C55" s="74" t="s">
        <v>513</v>
      </c>
      <c r="D55" s="71"/>
      <c r="E55" s="71"/>
      <c r="F55" s="71"/>
      <c r="G55" s="71"/>
      <c r="H55" s="71"/>
      <c r="I55" s="71"/>
      <c r="J55" s="71"/>
      <c r="K55" s="71"/>
      <c r="L55" s="71"/>
      <c r="M55" s="71"/>
      <c r="N55" s="71"/>
      <c r="O55" s="71"/>
      <c r="P55" s="71"/>
      <c r="Q55" s="71"/>
      <c r="R55" s="71"/>
      <c r="S55" s="75"/>
    </row>
    <row customHeight="true" hidden="true" ht="14.880952380952381" r="56">
      <c r="A56" s="73" t="s">
        <v>406</v>
      </c>
      <c r="B56" s="73" t="s">
        <v>514</v>
      </c>
      <c r="C56" s="74" t="s">
        <v>515</v>
      </c>
      <c r="D56" s="71"/>
      <c r="E56" s="71"/>
      <c r="F56" s="71"/>
      <c r="G56" s="71"/>
      <c r="H56" s="71"/>
      <c r="I56" s="71"/>
      <c r="J56" s="71"/>
      <c r="K56" s="71"/>
      <c r="L56" s="71"/>
      <c r="M56" s="71"/>
      <c r="N56" s="71"/>
      <c r="O56" s="71"/>
      <c r="P56" s="71"/>
      <c r="Q56" s="71"/>
      <c r="R56" s="71"/>
      <c r="S56" s="75"/>
    </row>
    <row customHeight="true" hidden="true" ht="14.880952380952381" r="57">
      <c r="A57" s="73" t="s">
        <v>406</v>
      </c>
      <c r="B57" s="73" t="s">
        <v>516</v>
      </c>
      <c r="C57" s="74" t="s">
        <v>517</v>
      </c>
      <c r="D57" s="71"/>
      <c r="E57" s="71"/>
      <c r="F57" s="71"/>
      <c r="G57" s="71"/>
      <c r="H57" s="71"/>
      <c r="I57" s="71"/>
      <c r="J57" s="71"/>
      <c r="K57" s="71"/>
      <c r="L57" s="71"/>
      <c r="M57" s="71"/>
      <c r="N57" s="71"/>
      <c r="O57" s="71"/>
      <c r="P57" s="71"/>
      <c r="Q57" s="71"/>
      <c r="R57" s="71"/>
      <c r="S57" s="75"/>
    </row>
    <row customHeight="true" hidden="true" ht="14.880952380952381" r="58">
      <c r="A58" s="73" t="s">
        <v>406</v>
      </c>
      <c r="B58" s="73" t="s">
        <v>518</v>
      </c>
      <c r="C58" s="74" t="s">
        <v>519</v>
      </c>
      <c r="D58" s="71"/>
      <c r="E58" s="71"/>
      <c r="F58" s="71"/>
      <c r="G58" s="71"/>
      <c r="H58" s="71"/>
      <c r="I58" s="71"/>
      <c r="J58" s="71"/>
      <c r="K58" s="71"/>
      <c r="L58" s="71"/>
      <c r="M58" s="71"/>
      <c r="N58" s="71"/>
      <c r="O58" s="71"/>
      <c r="P58" s="71"/>
      <c r="Q58" s="71"/>
      <c r="R58" s="71"/>
      <c r="S58" s="75"/>
    </row>
    <row customHeight="true" hidden="true" ht="14.880952380952381" r="59">
      <c r="A59" s="73" t="s">
        <v>406</v>
      </c>
      <c r="B59" s="73" t="s">
        <v>520</v>
      </c>
      <c r="C59" s="74" t="s">
        <v>521</v>
      </c>
      <c r="D59" s="71"/>
      <c r="E59" s="71"/>
      <c r="F59" s="71"/>
      <c r="G59" s="71"/>
      <c r="H59" s="71"/>
      <c r="I59" s="71"/>
      <c r="J59" s="71"/>
      <c r="K59" s="71"/>
      <c r="L59" s="71"/>
      <c r="M59" s="71"/>
      <c r="N59" s="71"/>
      <c r="O59" s="71"/>
      <c r="P59" s="71"/>
      <c r="Q59" s="71"/>
      <c r="R59" s="71"/>
      <c r="S59" s="75"/>
    </row>
    <row customHeight="true" hidden="true" ht="14.880952380952381" r="60">
      <c r="A60" s="73" t="s">
        <v>406</v>
      </c>
      <c r="B60" s="73" t="s">
        <v>522</v>
      </c>
      <c r="C60" s="74" t="s">
        <v>523</v>
      </c>
      <c r="D60" s="71"/>
      <c r="E60" s="71"/>
      <c r="F60" s="71"/>
      <c r="G60" s="71"/>
      <c r="H60" s="71"/>
      <c r="I60" s="71"/>
      <c r="J60" s="71"/>
      <c r="K60" s="71"/>
      <c r="L60" s="71"/>
      <c r="M60" s="71"/>
      <c r="N60" s="71"/>
      <c r="O60" s="71"/>
      <c r="P60" s="71"/>
      <c r="Q60" s="71"/>
      <c r="R60" s="71"/>
      <c r="S60" s="75"/>
    </row>
    <row customHeight="true" hidden="true" ht="14.880952380952381" r="61">
      <c r="A61" s="73" t="s">
        <v>406</v>
      </c>
      <c r="B61" s="73" t="s">
        <v>524</v>
      </c>
      <c r="C61" s="74" t="s">
        <v>525</v>
      </c>
      <c r="D61" s="71"/>
      <c r="E61" s="71"/>
      <c r="F61" s="71"/>
      <c r="G61" s="71"/>
      <c r="H61" s="71"/>
      <c r="I61" s="71"/>
      <c r="J61" s="71"/>
      <c r="K61" s="71"/>
      <c r="L61" s="71"/>
      <c r="M61" s="71"/>
      <c r="N61" s="71"/>
      <c r="O61" s="71"/>
      <c r="P61" s="71"/>
      <c r="Q61" s="71"/>
      <c r="R61" s="71"/>
      <c r="S61" s="75"/>
    </row>
    <row customHeight="true" hidden="true" ht="14.880952380952381" r="62">
      <c r="A62" s="73" t="s">
        <v>406</v>
      </c>
      <c r="B62" s="73" t="s">
        <v>526</v>
      </c>
      <c r="C62" s="74" t="s">
        <v>527</v>
      </c>
      <c r="D62" s="71"/>
      <c r="E62" s="71"/>
      <c r="F62" s="71"/>
      <c r="G62" s="71"/>
      <c r="H62" s="71"/>
      <c r="I62" s="71"/>
      <c r="J62" s="71"/>
      <c r="K62" s="71"/>
      <c r="L62" s="71"/>
      <c r="M62" s="71"/>
      <c r="N62" s="71"/>
      <c r="O62" s="71"/>
      <c r="P62" s="71"/>
      <c r="Q62" s="71"/>
      <c r="R62" s="71"/>
      <c r="S62" s="75"/>
    </row>
    <row customHeight="true" hidden="true" ht="14.880952380952381" r="63">
      <c r="A63" s="73" t="s">
        <v>406</v>
      </c>
      <c r="B63" s="73" t="s">
        <v>528</v>
      </c>
      <c r="C63" s="74" t="s">
        <v>529</v>
      </c>
      <c r="D63" s="71"/>
      <c r="E63" s="71"/>
      <c r="F63" s="71"/>
      <c r="G63" s="71"/>
      <c r="H63" s="71"/>
      <c r="I63" s="71"/>
      <c r="J63" s="71"/>
      <c r="K63" s="71"/>
      <c r="L63" s="71"/>
      <c r="M63" s="71"/>
      <c r="N63" s="71"/>
      <c r="O63" s="71"/>
      <c r="P63" s="71"/>
      <c r="Q63" s="71"/>
      <c r="R63" s="71"/>
      <c r="S63" s="75"/>
    </row>
    <row customHeight="true" hidden="true" ht="14.880952380952381" r="64">
      <c r="A64" s="73" t="s">
        <v>406</v>
      </c>
      <c r="B64" s="73" t="s">
        <v>530</v>
      </c>
      <c r="C64" s="74" t="s">
        <v>531</v>
      </c>
      <c r="D64" s="71"/>
      <c r="E64" s="71"/>
      <c r="F64" s="71"/>
      <c r="G64" s="71"/>
      <c r="H64" s="71"/>
      <c r="I64" s="71"/>
      <c r="J64" s="71"/>
      <c r="K64" s="71"/>
      <c r="L64" s="71"/>
      <c r="M64" s="71"/>
      <c r="N64" s="71"/>
      <c r="O64" s="71"/>
      <c r="P64" s="71"/>
      <c r="Q64" s="71"/>
      <c r="R64" s="71"/>
      <c r="S64" s="75"/>
    </row>
    <row customHeight="true" hidden="true" ht="14.880952380952381" r="65">
      <c r="A65" s="73" t="s">
        <v>406</v>
      </c>
      <c r="B65" s="73" t="s">
        <v>532</v>
      </c>
      <c r="C65" s="74" t="s">
        <v>533</v>
      </c>
      <c r="D65" s="71"/>
      <c r="E65" s="71"/>
      <c r="F65" s="71"/>
      <c r="G65" s="71"/>
      <c r="H65" s="71"/>
      <c r="I65" s="71"/>
      <c r="J65" s="71"/>
      <c r="K65" s="71"/>
      <c r="L65" s="71"/>
      <c r="M65" s="71"/>
      <c r="N65" s="71"/>
      <c r="O65" s="71"/>
      <c r="P65" s="71"/>
      <c r="Q65" s="71"/>
      <c r="R65" s="71"/>
      <c r="S65" s="75"/>
    </row>
    <row customHeight="true" hidden="true" ht="14.880952380952381" r="66">
      <c r="A66" s="73" t="s">
        <v>406</v>
      </c>
      <c r="B66" s="73" t="s">
        <v>534</v>
      </c>
      <c r="C66" s="74" t="s">
        <v>535</v>
      </c>
      <c r="D66" s="71"/>
      <c r="E66" s="71"/>
      <c r="F66" s="71"/>
      <c r="G66" s="71"/>
      <c r="H66" s="71"/>
      <c r="I66" s="71"/>
      <c r="J66" s="71"/>
      <c r="K66" s="71"/>
      <c r="L66" s="71"/>
      <c r="M66" s="71"/>
      <c r="N66" s="71"/>
      <c r="O66" s="71"/>
      <c r="P66" s="71"/>
      <c r="Q66" s="71"/>
      <c r="R66" s="71"/>
      <c r="S66" s="75"/>
    </row>
    <row customHeight="true" hidden="true" ht="14.880952380952381" r="67">
      <c r="A67" s="73" t="s">
        <v>406</v>
      </c>
      <c r="B67" s="73" t="s">
        <v>536</v>
      </c>
      <c r="C67" s="74" t="s">
        <v>537</v>
      </c>
      <c r="D67" s="71"/>
      <c r="E67" s="71"/>
      <c r="F67" s="71"/>
      <c r="G67" s="71"/>
      <c r="H67" s="71"/>
      <c r="I67" s="71"/>
      <c r="J67" s="71"/>
      <c r="K67" s="71"/>
      <c r="L67" s="71"/>
      <c r="M67" s="71"/>
      <c r="N67" s="71"/>
      <c r="O67" s="71"/>
      <c r="P67" s="71"/>
      <c r="Q67" s="71"/>
      <c r="R67" s="71"/>
      <c r="S67" s="75"/>
    </row>
    <row customHeight="true" hidden="true" ht="14.880952380952381" r="68">
      <c r="A68" s="73" t="s">
        <v>406</v>
      </c>
      <c r="B68" s="73" t="s">
        <v>538</v>
      </c>
      <c r="C68" s="74" t="s">
        <v>539</v>
      </c>
      <c r="D68" s="71"/>
      <c r="E68" s="71"/>
      <c r="F68" s="71"/>
      <c r="G68" s="71"/>
      <c r="H68" s="71"/>
      <c r="I68" s="71"/>
      <c r="J68" s="71"/>
      <c r="K68" s="71"/>
      <c r="L68" s="71"/>
      <c r="M68" s="71"/>
      <c r="N68" s="71"/>
      <c r="O68" s="71"/>
      <c r="P68" s="71"/>
      <c r="Q68" s="71"/>
      <c r="R68" s="71"/>
      <c r="S68" s="75"/>
    </row>
    <row customHeight="true" hidden="true" ht="14.880952380952381" r="69">
      <c r="A69" s="73" t="s">
        <v>406</v>
      </c>
      <c r="B69" s="73" t="s">
        <v>540</v>
      </c>
      <c r="C69" s="74" t="s">
        <v>541</v>
      </c>
      <c r="D69" s="71"/>
      <c r="E69" s="72"/>
      <c r="F69" s="72"/>
      <c r="G69" s="72"/>
      <c r="H69" s="72"/>
      <c r="I69" s="72"/>
      <c r="J69" s="72"/>
      <c r="K69" s="72"/>
      <c r="L69" s="72"/>
      <c r="M69" s="72"/>
      <c r="N69" s="72"/>
      <c r="O69" s="72"/>
      <c r="P69" s="72"/>
      <c r="Q69" s="72"/>
      <c r="R69" s="72"/>
    </row>
    <row customHeight="true" hidden="true" ht="14.880952380952381" r="70">
      <c r="A70" s="73" t="s">
        <v>406</v>
      </c>
      <c r="B70" s="73" t="s">
        <v>542</v>
      </c>
      <c r="C70" s="74" t="s">
        <v>543</v>
      </c>
      <c r="D70" s="71"/>
      <c r="E70" s="72"/>
      <c r="F70" s="72"/>
      <c r="G70" s="72"/>
      <c r="H70" s="72"/>
      <c r="I70" s="72"/>
      <c r="J70" s="72"/>
      <c r="K70" s="72"/>
      <c r="L70" s="72"/>
      <c r="M70" s="72"/>
      <c r="N70" s="72"/>
      <c r="O70" s="72"/>
      <c r="P70" s="72"/>
      <c r="Q70" s="72"/>
      <c r="R70" s="72"/>
    </row>
    <row customHeight="true" hidden="true" ht="14.880952380952381" r="71">
      <c r="A71" s="73" t="s">
        <v>406</v>
      </c>
      <c r="B71" s="73" t="s">
        <v>544</v>
      </c>
      <c r="C71" s="74" t="s">
        <v>545</v>
      </c>
      <c r="D71" s="71"/>
      <c r="E71" s="72"/>
      <c r="F71" s="72"/>
      <c r="G71" s="72"/>
      <c r="H71" s="72"/>
      <c r="I71" s="72"/>
      <c r="J71" s="72"/>
      <c r="K71" s="72"/>
      <c r="L71" s="72"/>
      <c r="M71" s="72"/>
      <c r="N71" s="72"/>
      <c r="O71" s="72"/>
      <c r="P71" s="72"/>
      <c r="Q71" s="72"/>
      <c r="R71" s="72"/>
    </row>
    <row customHeight="true" hidden="true" ht="14.880952380952381" r="72">
      <c r="A72" s="73" t="s">
        <v>406</v>
      </c>
      <c r="B72" s="73" t="s">
        <v>546</v>
      </c>
      <c r="C72" s="74" t="s">
        <v>547</v>
      </c>
      <c r="D72" s="71"/>
      <c r="E72" s="72"/>
      <c r="F72" s="72"/>
      <c r="G72" s="72"/>
      <c r="H72" s="72"/>
      <c r="I72" s="72"/>
      <c r="J72" s="72"/>
      <c r="K72" s="72"/>
      <c r="L72" s="72"/>
      <c r="M72" s="72"/>
      <c r="N72" s="72"/>
      <c r="O72" s="72"/>
      <c r="P72" s="72"/>
      <c r="Q72" s="72"/>
      <c r="R72" s="72"/>
    </row>
    <row customHeight="true" hidden="true" ht="14.880952380952381" r="73">
      <c r="A73" s="73" t="s">
        <v>406</v>
      </c>
      <c r="B73" s="73" t="s">
        <v>548</v>
      </c>
      <c r="C73" s="74" t="s">
        <v>549</v>
      </c>
      <c r="D73" s="71"/>
      <c r="E73" s="72"/>
      <c r="F73" s="72"/>
      <c r="G73" s="72"/>
      <c r="H73" s="72"/>
      <c r="I73" s="72"/>
      <c r="J73" s="72"/>
      <c r="K73" s="72"/>
      <c r="L73" s="72"/>
      <c r="M73" s="72"/>
      <c r="N73" s="72"/>
      <c r="O73" s="72"/>
      <c r="P73" s="72"/>
      <c r="Q73" s="72"/>
      <c r="R73" s="72"/>
    </row>
    <row customHeight="true" hidden="true" ht="14.880952380952381" r="74">
      <c r="A74" s="73" t="s">
        <v>406</v>
      </c>
      <c r="B74" s="73" t="s">
        <v>550</v>
      </c>
      <c r="C74" s="74" t="s">
        <v>551</v>
      </c>
      <c r="D74" s="71"/>
      <c r="E74" s="72"/>
      <c r="F74" s="72"/>
      <c r="G74" s="72"/>
      <c r="H74" s="72"/>
      <c r="I74" s="72"/>
      <c r="J74" s="72"/>
      <c r="K74" s="72"/>
      <c r="L74" s="72"/>
      <c r="M74" s="72"/>
      <c r="N74" s="72"/>
      <c r="O74" s="72"/>
      <c r="P74" s="72"/>
      <c r="Q74" s="72"/>
      <c r="R74" s="72"/>
    </row>
    <row customHeight="true" hidden="true" ht="14.880952380952381" r="75">
      <c r="A75" s="73" t="s">
        <v>406</v>
      </c>
      <c r="B75" s="73" t="s">
        <v>552</v>
      </c>
      <c r="C75" s="74" t="s">
        <v>553</v>
      </c>
      <c r="D75" s="71"/>
      <c r="E75" s="72"/>
      <c r="F75" s="72"/>
      <c r="G75" s="72"/>
      <c r="H75" s="72"/>
      <c r="I75" s="72"/>
      <c r="J75" s="72"/>
      <c r="K75" s="72"/>
      <c r="L75" s="72"/>
      <c r="M75" s="72"/>
      <c r="N75" s="72"/>
      <c r="O75" s="72"/>
      <c r="P75" s="72"/>
      <c r="Q75" s="72"/>
      <c r="R75" s="72"/>
    </row>
    <row customHeight="true" hidden="true" ht="14.880952380952381" r="76">
      <c r="A76" s="73" t="s">
        <v>406</v>
      </c>
      <c r="B76" s="73" t="s">
        <v>554</v>
      </c>
      <c r="C76" s="74" t="s">
        <v>555</v>
      </c>
      <c r="D76" s="71"/>
      <c r="E76" s="72"/>
      <c r="F76" s="72"/>
      <c r="G76" s="72"/>
      <c r="H76" s="72"/>
      <c r="I76" s="72"/>
      <c r="J76" s="72"/>
      <c r="K76" s="72"/>
      <c r="L76" s="72"/>
      <c r="M76" s="72"/>
      <c r="N76" s="72"/>
      <c r="O76" s="72"/>
      <c r="P76" s="72"/>
      <c r="Q76" s="72"/>
      <c r="R76" s="72"/>
    </row>
    <row customHeight="true" hidden="true" ht="14.880952380952381" r="77">
      <c r="A77" s="73" t="s">
        <v>406</v>
      </c>
      <c r="B77" s="73" t="s">
        <v>556</v>
      </c>
      <c r="C77" s="74" t="s">
        <v>557</v>
      </c>
      <c r="D77" s="71"/>
      <c r="E77" s="72"/>
      <c r="F77" s="72"/>
      <c r="G77" s="72"/>
      <c r="H77" s="72"/>
      <c r="I77" s="72"/>
      <c r="J77" s="72"/>
      <c r="K77" s="72"/>
      <c r="L77" s="72"/>
      <c r="M77" s="72"/>
      <c r="N77" s="72"/>
      <c r="O77" s="72"/>
      <c r="P77" s="72"/>
      <c r="Q77" s="72"/>
      <c r="R77" s="72"/>
    </row>
    <row customHeight="true" hidden="true" ht="14.880952380952381" r="78">
      <c r="A78" s="73" t="s">
        <v>406</v>
      </c>
      <c r="B78" s="73" t="s">
        <v>558</v>
      </c>
      <c r="C78" s="74" t="s">
        <v>559</v>
      </c>
      <c r="D78" s="71"/>
      <c r="E78" s="72"/>
      <c r="F78" s="72"/>
      <c r="G78" s="72"/>
      <c r="H78" s="72"/>
      <c r="I78" s="72"/>
      <c r="J78" s="72"/>
      <c r="K78" s="72"/>
      <c r="L78" s="72"/>
      <c r="M78" s="72"/>
      <c r="N78" s="72"/>
      <c r="O78" s="72"/>
      <c r="P78" s="72"/>
      <c r="Q78" s="72"/>
      <c r="R78" s="72"/>
    </row>
    <row customHeight="true" hidden="true" ht="14.880952380952381" r="79">
      <c r="A79" s="73" t="s">
        <v>406</v>
      </c>
      <c r="B79" s="73" t="s">
        <v>560</v>
      </c>
      <c r="C79" s="74" t="s">
        <v>561</v>
      </c>
      <c r="D79" s="71"/>
      <c r="E79" s="72"/>
      <c r="F79" s="72"/>
      <c r="G79" s="72"/>
      <c r="H79" s="72"/>
      <c r="I79" s="72"/>
      <c r="J79" s="72"/>
      <c r="K79" s="72"/>
      <c r="L79" s="72"/>
      <c r="M79" s="72"/>
      <c r="N79" s="72"/>
      <c r="O79" s="72"/>
      <c r="P79" s="72"/>
      <c r="Q79" s="72"/>
      <c r="R79" s="72"/>
    </row>
    <row customHeight="true" hidden="true" ht="14.880952380952381" r="80">
      <c r="A80" s="73" t="s">
        <v>406</v>
      </c>
      <c r="B80" s="73" t="s">
        <v>562</v>
      </c>
      <c r="C80" s="74" t="s">
        <v>563</v>
      </c>
      <c r="D80" s="71"/>
      <c r="E80" s="72"/>
      <c r="F80" s="72"/>
      <c r="G80" s="72"/>
      <c r="H80" s="72"/>
      <c r="I80" s="72"/>
      <c r="J80" s="72"/>
      <c r="K80" s="72"/>
      <c r="L80" s="72"/>
      <c r="M80" s="72"/>
      <c r="N80" s="72"/>
      <c r="O80" s="72"/>
      <c r="P80" s="72"/>
      <c r="Q80" s="72"/>
      <c r="R80" s="72"/>
    </row>
    <row customHeight="true" hidden="true" ht="14.880952380952381" r="81">
      <c r="A81" s="73" t="s">
        <v>406</v>
      </c>
      <c r="B81" s="73" t="s">
        <v>564</v>
      </c>
      <c r="C81" s="74" t="s">
        <v>565</v>
      </c>
      <c r="D81" s="71"/>
      <c r="E81" s="72"/>
      <c r="F81" s="72"/>
      <c r="G81" s="72"/>
      <c r="H81" s="72"/>
      <c r="I81" s="72"/>
      <c r="J81" s="72"/>
      <c r="K81" s="72"/>
      <c r="L81" s="72"/>
      <c r="M81" s="72"/>
      <c r="N81" s="72"/>
      <c r="O81" s="72"/>
      <c r="P81" s="72"/>
      <c r="Q81" s="72"/>
      <c r="R81" s="72"/>
    </row>
    <row customHeight="true" hidden="true" ht="14.880952380952381" r="82">
      <c r="A82" s="73" t="s">
        <v>406</v>
      </c>
      <c r="B82" s="73" t="s">
        <v>566</v>
      </c>
      <c r="C82" s="74" t="s">
        <v>567</v>
      </c>
      <c r="D82" s="71"/>
      <c r="E82" s="72"/>
      <c r="F82" s="72"/>
      <c r="G82" s="72"/>
      <c r="H82" s="72"/>
      <c r="I82" s="72"/>
      <c r="J82" s="72"/>
      <c r="K82" s="72"/>
      <c r="L82" s="72"/>
      <c r="M82" s="72"/>
      <c r="N82" s="72"/>
      <c r="O82" s="72"/>
      <c r="P82" s="72"/>
      <c r="Q82" s="72"/>
      <c r="R82" s="72"/>
    </row>
    <row customHeight="true" hidden="true" ht="14.880952380952381" r="83">
      <c r="A83" s="73" t="s">
        <v>406</v>
      </c>
      <c r="B83" s="73" t="s">
        <v>568</v>
      </c>
      <c r="C83" s="74" t="s">
        <v>569</v>
      </c>
      <c r="D83" s="71"/>
      <c r="E83" s="72"/>
      <c r="F83" s="72"/>
      <c r="G83" s="72"/>
      <c r="H83" s="72"/>
      <c r="I83" s="72"/>
      <c r="J83" s="72"/>
      <c r="K83" s="72"/>
      <c r="L83" s="72"/>
      <c r="M83" s="72"/>
      <c r="N83" s="72"/>
      <c r="O83" s="72"/>
      <c r="P83" s="72"/>
      <c r="Q83" s="72"/>
      <c r="R83" s="72"/>
    </row>
    <row customHeight="true" hidden="true" ht="14.880952380952381" r="84">
      <c r="A84" s="73" t="s">
        <v>406</v>
      </c>
      <c r="B84" s="73" t="s">
        <v>570</v>
      </c>
      <c r="C84" s="74" t="s">
        <v>571</v>
      </c>
      <c r="D84" s="71"/>
      <c r="E84" s="72"/>
      <c r="F84" s="72"/>
      <c r="G84" s="72"/>
      <c r="H84" s="72"/>
      <c r="I84" s="72"/>
      <c r="J84" s="72"/>
      <c r="K84" s="72"/>
      <c r="L84" s="72"/>
      <c r="M84" s="72"/>
      <c r="N84" s="72"/>
      <c r="O84" s="72"/>
      <c r="P84" s="72"/>
      <c r="Q84" s="72"/>
      <c r="R84" s="72"/>
    </row>
    <row customHeight="true" hidden="true" ht="14.880952380952381" r="85">
      <c r="A85" s="73" t="s">
        <v>406</v>
      </c>
      <c r="B85" s="73" t="s">
        <v>572</v>
      </c>
      <c r="C85" s="74" t="s">
        <v>573</v>
      </c>
      <c r="D85" s="71"/>
      <c r="E85" s="72"/>
      <c r="F85" s="72"/>
      <c r="G85" s="72"/>
      <c r="H85" s="72"/>
      <c r="I85" s="72"/>
      <c r="J85" s="72"/>
      <c r="K85" s="72"/>
      <c r="L85" s="72"/>
      <c r="M85" s="72"/>
      <c r="N85" s="72"/>
      <c r="O85" s="72"/>
      <c r="P85" s="72"/>
      <c r="Q85" s="72"/>
      <c r="R85" s="72"/>
    </row>
    <row customHeight="true" hidden="true" ht="14.880952380952381" r="86">
      <c r="A86" s="73" t="s">
        <v>406</v>
      </c>
      <c r="B86" s="73" t="s">
        <v>574</v>
      </c>
      <c r="C86" s="74" t="s">
        <v>575</v>
      </c>
      <c r="D86" s="71"/>
      <c r="E86" s="72"/>
      <c r="F86" s="72"/>
      <c r="G86" s="72"/>
      <c r="H86" s="72"/>
      <c r="I86" s="72"/>
      <c r="J86" s="72"/>
      <c r="K86" s="72"/>
      <c r="L86" s="72"/>
      <c r="M86" s="72"/>
      <c r="N86" s="72"/>
      <c r="O86" s="72"/>
      <c r="P86" s="72"/>
      <c r="Q86" s="72"/>
      <c r="R86" s="72"/>
    </row>
    <row customHeight="true" hidden="true" ht="14.880952380952381" r="87">
      <c r="A87" s="73" t="s">
        <v>406</v>
      </c>
      <c r="B87" s="73" t="s">
        <v>576</v>
      </c>
      <c r="C87" s="74" t="s">
        <v>577</v>
      </c>
      <c r="D87" s="71"/>
      <c r="E87" s="72"/>
      <c r="F87" s="72"/>
      <c r="G87" s="72"/>
      <c r="H87" s="72"/>
      <c r="I87" s="72"/>
      <c r="J87" s="72"/>
      <c r="K87" s="72"/>
      <c r="L87" s="72"/>
      <c r="M87" s="72"/>
      <c r="N87" s="72"/>
      <c r="O87" s="72"/>
      <c r="P87" s="72"/>
      <c r="Q87" s="72"/>
      <c r="R87" s="72"/>
    </row>
    <row customHeight="true" hidden="true" ht="14.880952380952381" r="88">
      <c r="A88" s="73" t="s">
        <v>406</v>
      </c>
      <c r="B88" s="73" t="s">
        <v>578</v>
      </c>
      <c r="C88" s="74" t="s">
        <v>579</v>
      </c>
      <c r="D88" s="71"/>
      <c r="E88" s="72"/>
      <c r="F88" s="72"/>
      <c r="G88" s="72"/>
      <c r="H88" s="72"/>
      <c r="I88" s="72"/>
      <c r="J88" s="72"/>
      <c r="K88" s="72"/>
      <c r="L88" s="72"/>
      <c r="M88" s="72"/>
      <c r="N88" s="72"/>
      <c r="O88" s="72"/>
      <c r="P88" s="72"/>
      <c r="Q88" s="72"/>
      <c r="R88" s="72"/>
    </row>
    <row customHeight="true" hidden="true" ht="14.880952380952381" r="89">
      <c r="A89" s="73" t="s">
        <v>406</v>
      </c>
      <c r="B89" s="73" t="s">
        <v>580</v>
      </c>
      <c r="C89" s="74" t="s">
        <v>581</v>
      </c>
      <c r="D89" s="71"/>
      <c r="E89" s="72"/>
      <c r="F89" s="72"/>
      <c r="G89" s="72"/>
      <c r="H89" s="72"/>
      <c r="I89" s="72"/>
      <c r="J89" s="72"/>
      <c r="K89" s="72"/>
      <c r="L89" s="72"/>
      <c r="M89" s="72"/>
      <c r="N89" s="72"/>
      <c r="O89" s="72"/>
      <c r="P89" s="72"/>
      <c r="Q89" s="72"/>
      <c r="R89" s="72"/>
    </row>
    <row customHeight="true" hidden="true" ht="14.880952380952381" r="90">
      <c r="A90" s="73" t="s">
        <v>406</v>
      </c>
      <c r="B90" s="73" t="s">
        <v>582</v>
      </c>
      <c r="C90" s="74" t="s">
        <v>583</v>
      </c>
      <c r="D90" s="71"/>
      <c r="E90" s="72"/>
      <c r="F90" s="72"/>
      <c r="G90" s="72"/>
      <c r="H90" s="72"/>
      <c r="I90" s="72"/>
      <c r="J90" s="72"/>
      <c r="K90" s="72"/>
      <c r="L90" s="72"/>
      <c r="M90" s="72"/>
      <c r="N90" s="72"/>
      <c r="O90" s="72"/>
      <c r="P90" s="72"/>
      <c r="Q90" s="72"/>
      <c r="R90" s="72"/>
    </row>
    <row customHeight="true" hidden="true" ht="14.880952380952381" r="91">
      <c r="A91" s="73" t="s">
        <v>406</v>
      </c>
      <c r="B91" s="73" t="s">
        <v>584</v>
      </c>
      <c r="C91" s="74" t="s">
        <v>585</v>
      </c>
      <c r="D91" s="71"/>
      <c r="E91" s="72"/>
      <c r="F91" s="72"/>
      <c r="G91" s="72"/>
      <c r="H91" s="72"/>
      <c r="I91" s="72"/>
      <c r="J91" s="72"/>
      <c r="K91" s="72"/>
      <c r="L91" s="72"/>
      <c r="M91" s="72"/>
      <c r="N91" s="72"/>
      <c r="O91" s="72"/>
      <c r="P91" s="72"/>
      <c r="Q91" s="72"/>
      <c r="R91" s="72"/>
    </row>
    <row customHeight="true" hidden="true" ht="14.880952380952381" r="92">
      <c r="A92" s="73" t="s">
        <v>406</v>
      </c>
      <c r="B92" s="73" t="s">
        <v>586</v>
      </c>
      <c r="C92" s="74" t="s">
        <v>587</v>
      </c>
      <c r="D92" s="71"/>
      <c r="E92" s="72"/>
      <c r="F92" s="72"/>
      <c r="G92" s="72"/>
      <c r="H92" s="72"/>
      <c r="I92" s="72"/>
      <c r="J92" s="72"/>
      <c r="K92" s="72"/>
      <c r="L92" s="72"/>
      <c r="M92" s="72"/>
      <c r="N92" s="72"/>
      <c r="O92" s="72"/>
      <c r="P92" s="72"/>
      <c r="Q92" s="72"/>
      <c r="R92" s="72"/>
    </row>
    <row customHeight="true" hidden="true" ht="14.880952380952381" r="93">
      <c r="A93" s="73" t="s">
        <v>406</v>
      </c>
      <c r="B93" s="73" t="s">
        <v>588</v>
      </c>
      <c r="C93" s="74" t="s">
        <v>589</v>
      </c>
      <c r="D93" s="71"/>
      <c r="E93" s="72"/>
      <c r="F93" s="72"/>
      <c r="G93" s="72"/>
      <c r="H93" s="72"/>
      <c r="I93" s="72"/>
      <c r="J93" s="72"/>
      <c r="K93" s="72"/>
      <c r="L93" s="72"/>
      <c r="M93" s="72"/>
      <c r="N93" s="72"/>
      <c r="O93" s="72"/>
      <c r="P93" s="72"/>
      <c r="Q93" s="72"/>
      <c r="R93" s="72"/>
    </row>
    <row customHeight="true" hidden="true" ht="14.880952380952381" r="94">
      <c r="A94" s="73" t="s">
        <v>406</v>
      </c>
      <c r="B94" s="73" t="s">
        <v>590</v>
      </c>
      <c r="C94" s="74" t="s">
        <v>559</v>
      </c>
      <c r="D94" s="71"/>
      <c r="E94" s="72"/>
      <c r="F94" s="72"/>
      <c r="G94" s="72"/>
      <c r="H94" s="72"/>
      <c r="I94" s="72"/>
      <c r="J94" s="72"/>
      <c r="K94" s="72"/>
      <c r="L94" s="72"/>
      <c r="M94" s="72"/>
      <c r="N94" s="72"/>
      <c r="O94" s="72"/>
      <c r="P94" s="72"/>
      <c r="Q94" s="72"/>
      <c r="R94" s="72"/>
    </row>
    <row customHeight="true" hidden="true" ht="14.880952380952381" r="95">
      <c r="A95" s="73" t="s">
        <v>406</v>
      </c>
      <c r="B95" s="73" t="s">
        <v>591</v>
      </c>
      <c r="C95" s="74" t="s">
        <v>592</v>
      </c>
      <c r="D95" s="71"/>
      <c r="E95" s="72"/>
      <c r="F95" s="72"/>
      <c r="G95" s="72"/>
      <c r="H95" s="72"/>
      <c r="I95" s="72"/>
      <c r="J95" s="72"/>
      <c r="K95" s="72"/>
      <c r="L95" s="72"/>
      <c r="M95" s="72"/>
      <c r="N95" s="72"/>
      <c r="O95" s="72"/>
      <c r="P95" s="72"/>
      <c r="Q95" s="72"/>
      <c r="R95" s="72"/>
    </row>
    <row customHeight="true" hidden="true" ht="14.880952380952381" r="96">
      <c r="A96" s="73" t="s">
        <v>406</v>
      </c>
      <c r="B96" s="73" t="s">
        <v>593</v>
      </c>
      <c r="C96" s="74" t="s">
        <v>594</v>
      </c>
      <c r="D96" s="71"/>
      <c r="E96" s="72"/>
      <c r="F96" s="72"/>
      <c r="G96" s="72"/>
      <c r="H96" s="72"/>
      <c r="I96" s="72"/>
      <c r="J96" s="72"/>
      <c r="K96" s="72"/>
      <c r="L96" s="72"/>
      <c r="M96" s="72"/>
      <c r="N96" s="72"/>
      <c r="O96" s="72"/>
      <c r="P96" s="72"/>
      <c r="Q96" s="72"/>
      <c r="R96" s="72"/>
    </row>
    <row customHeight="true" hidden="true" ht="14.880952380952381" r="97">
      <c r="A97" s="73" t="s">
        <v>406</v>
      </c>
      <c r="B97" s="73" t="s">
        <v>595</v>
      </c>
      <c r="C97" s="74" t="s">
        <v>596</v>
      </c>
      <c r="D97" s="71"/>
      <c r="E97" s="72"/>
      <c r="F97" s="72"/>
      <c r="G97" s="72"/>
      <c r="H97" s="72"/>
      <c r="I97" s="72"/>
      <c r="J97" s="72"/>
      <c r="K97" s="72"/>
      <c r="L97" s="72"/>
      <c r="M97" s="72"/>
      <c r="N97" s="72"/>
      <c r="O97" s="72"/>
      <c r="P97" s="72"/>
      <c r="Q97" s="72"/>
      <c r="R97" s="72"/>
    </row>
    <row customHeight="true" hidden="true" ht="14.880952380952381" r="98">
      <c r="A98" s="73" t="s">
        <v>406</v>
      </c>
      <c r="B98" s="73" t="s">
        <v>597</v>
      </c>
      <c r="C98" s="74" t="s">
        <v>598</v>
      </c>
      <c r="D98" s="71"/>
      <c r="E98" s="72"/>
      <c r="F98" s="72"/>
      <c r="G98" s="72"/>
      <c r="H98" s="72"/>
      <c r="I98" s="72"/>
      <c r="J98" s="72"/>
      <c r="K98" s="72"/>
      <c r="L98" s="72"/>
      <c r="M98" s="72"/>
      <c r="N98" s="72"/>
      <c r="O98" s="72"/>
      <c r="P98" s="72"/>
      <c r="Q98" s="72"/>
      <c r="R98" s="72"/>
    </row>
    <row customHeight="true" hidden="true" ht="14.880952380952381" r="99">
      <c r="A99" s="73" t="s">
        <v>406</v>
      </c>
      <c r="B99" s="73" t="s">
        <v>599</v>
      </c>
      <c r="C99" s="74" t="s">
        <v>600</v>
      </c>
      <c r="D99" s="71"/>
      <c r="E99" s="72"/>
      <c r="F99" s="72"/>
      <c r="G99" s="72"/>
      <c r="H99" s="72"/>
      <c r="I99" s="72"/>
      <c r="J99" s="72"/>
      <c r="K99" s="72"/>
      <c r="L99" s="72"/>
      <c r="M99" s="72"/>
      <c r="N99" s="72"/>
      <c r="O99" s="72"/>
      <c r="P99" s="72"/>
      <c r="Q99" s="72"/>
      <c r="R99" s="72"/>
    </row>
    <row customHeight="true" hidden="true" ht="14.880952380952381" r="100">
      <c r="A100" s="73" t="s">
        <v>406</v>
      </c>
      <c r="B100" s="73" t="s">
        <v>601</v>
      </c>
      <c r="C100" s="74" t="s">
        <v>602</v>
      </c>
      <c r="D100" s="71"/>
      <c r="E100" s="72"/>
      <c r="F100" s="72"/>
      <c r="G100" s="72"/>
      <c r="H100" s="72"/>
      <c r="I100" s="72"/>
      <c r="J100" s="72"/>
      <c r="K100" s="72"/>
      <c r="L100" s="72"/>
      <c r="M100" s="72"/>
      <c r="N100" s="72"/>
      <c r="O100" s="72"/>
      <c r="P100" s="72"/>
      <c r="Q100" s="72"/>
      <c r="R100" s="72"/>
    </row>
    <row customHeight="true" hidden="true" ht="14.880952380952381" r="101">
      <c r="A101" s="73" t="s">
        <v>406</v>
      </c>
      <c r="B101" s="73" t="s">
        <v>603</v>
      </c>
      <c r="C101" s="74" t="s">
        <v>604</v>
      </c>
      <c r="D101" s="71"/>
      <c r="E101" s="72"/>
      <c r="F101" s="72"/>
      <c r="G101" s="72"/>
      <c r="H101" s="72"/>
      <c r="I101" s="72"/>
      <c r="J101" s="72"/>
      <c r="K101" s="72"/>
      <c r="L101" s="72"/>
      <c r="M101" s="72"/>
      <c r="N101" s="72"/>
      <c r="O101" s="72"/>
      <c r="P101" s="72"/>
      <c r="Q101" s="72"/>
      <c r="R101" s="72"/>
    </row>
    <row customHeight="true" hidden="true" ht="14.880952380952381" r="102">
      <c r="A102" s="73" t="s">
        <v>406</v>
      </c>
      <c r="B102" s="73" t="s">
        <v>605</v>
      </c>
      <c r="C102" s="74" t="s">
        <v>606</v>
      </c>
      <c r="D102" s="71"/>
      <c r="E102" s="72"/>
      <c r="F102" s="72"/>
      <c r="G102" s="72"/>
      <c r="H102" s="72"/>
      <c r="I102" s="72"/>
      <c r="J102" s="72"/>
      <c r="K102" s="72"/>
      <c r="L102" s="72"/>
      <c r="M102" s="72"/>
      <c r="N102" s="72"/>
      <c r="O102" s="72"/>
      <c r="P102" s="72"/>
      <c r="Q102" s="72"/>
      <c r="R102" s="72"/>
    </row>
    <row customHeight="true" hidden="true" ht="14.880952380952381" r="103">
      <c r="A103" s="73" t="s">
        <v>406</v>
      </c>
      <c r="B103" s="73" t="s">
        <v>607</v>
      </c>
      <c r="C103" s="74" t="s">
        <v>608</v>
      </c>
      <c r="D103" s="71"/>
      <c r="E103" s="72"/>
      <c r="F103" s="72"/>
      <c r="G103" s="72"/>
      <c r="H103" s="72"/>
      <c r="I103" s="72"/>
      <c r="J103" s="72"/>
      <c r="K103" s="72"/>
      <c r="L103" s="72"/>
      <c r="M103" s="72"/>
      <c r="N103" s="72"/>
      <c r="O103" s="72"/>
      <c r="P103" s="72"/>
      <c r="Q103" s="72"/>
      <c r="R103" s="72"/>
    </row>
    <row customHeight="true" hidden="true" ht="14.880952380952381" r="104">
      <c r="A104" s="73" t="s">
        <v>406</v>
      </c>
      <c r="B104" s="73" t="s">
        <v>609</v>
      </c>
      <c r="C104" s="74" t="s">
        <v>610</v>
      </c>
      <c r="D104" s="71"/>
      <c r="E104" s="72"/>
      <c r="F104" s="72"/>
      <c r="G104" s="72"/>
      <c r="H104" s="72"/>
      <c r="I104" s="72"/>
      <c r="J104" s="72"/>
      <c r="K104" s="72"/>
      <c r="L104" s="72"/>
      <c r="M104" s="72"/>
      <c r="N104" s="72"/>
      <c r="O104" s="72"/>
      <c r="P104" s="72"/>
      <c r="Q104" s="72"/>
      <c r="R104" s="72"/>
    </row>
    <row customHeight="true" hidden="true" ht="14.880952380952381" r="105">
      <c r="A105" s="73" t="s">
        <v>406</v>
      </c>
      <c r="B105" s="73" t="s">
        <v>611</v>
      </c>
      <c r="C105" s="74" t="s">
        <v>612</v>
      </c>
      <c r="D105" s="71"/>
      <c r="E105" s="72"/>
      <c r="F105" s="72"/>
      <c r="G105" s="72"/>
      <c r="H105" s="72"/>
      <c r="I105" s="72"/>
      <c r="J105" s="72"/>
      <c r="K105" s="72"/>
      <c r="L105" s="72"/>
      <c r="M105" s="72"/>
      <c r="N105" s="72"/>
      <c r="O105" s="72"/>
      <c r="P105" s="72"/>
      <c r="Q105" s="72"/>
      <c r="R105" s="72"/>
    </row>
    <row customHeight="true" hidden="true" ht="14.880952380952381" r="106">
      <c r="A106" s="73" t="s">
        <v>406</v>
      </c>
      <c r="B106" s="73" t="s">
        <v>613</v>
      </c>
      <c r="C106" s="74" t="s">
        <v>614</v>
      </c>
      <c r="D106" s="71"/>
      <c r="E106" s="72"/>
      <c r="F106" s="72"/>
      <c r="G106" s="72"/>
      <c r="H106" s="72"/>
      <c r="I106" s="72"/>
      <c r="J106" s="72"/>
      <c r="K106" s="72"/>
      <c r="L106" s="72"/>
      <c r="M106" s="72"/>
      <c r="N106" s="72"/>
      <c r="O106" s="72"/>
      <c r="P106" s="72"/>
      <c r="Q106" s="72"/>
      <c r="R106" s="72"/>
    </row>
    <row customHeight="true" hidden="true" ht="14.880952380952381" r="107">
      <c r="A107" s="73" t="s">
        <v>406</v>
      </c>
      <c r="B107" s="73" t="s">
        <v>615</v>
      </c>
      <c r="C107" s="74" t="s">
        <v>616</v>
      </c>
      <c r="D107" s="71"/>
      <c r="E107" s="72"/>
      <c r="F107" s="72"/>
      <c r="G107" s="72"/>
      <c r="H107" s="72"/>
      <c r="I107" s="72"/>
      <c r="J107" s="72"/>
      <c r="K107" s="72"/>
      <c r="L107" s="72"/>
      <c r="M107" s="72"/>
      <c r="N107" s="72"/>
      <c r="O107" s="72"/>
      <c r="P107" s="72"/>
      <c r="Q107" s="72"/>
      <c r="R107" s="72"/>
    </row>
    <row customHeight="true" hidden="true" ht="14.880952380952381" r="108">
      <c r="A108" s="73" t="s">
        <v>406</v>
      </c>
      <c r="B108" s="73" t="s">
        <v>617</v>
      </c>
      <c r="C108" s="74" t="s">
        <v>618</v>
      </c>
      <c r="D108" s="71"/>
      <c r="E108" s="72"/>
      <c r="F108" s="72"/>
      <c r="G108" s="72"/>
      <c r="H108" s="72"/>
      <c r="I108" s="72"/>
      <c r="J108" s="72"/>
      <c r="K108" s="72"/>
      <c r="L108" s="72"/>
      <c r="M108" s="72"/>
      <c r="N108" s="72"/>
      <c r="O108" s="72"/>
      <c r="P108" s="72"/>
      <c r="Q108" s="72"/>
      <c r="R108" s="72"/>
    </row>
    <row customHeight="true" hidden="true" ht="14.880952380952381" r="109">
      <c r="A109" s="73" t="s">
        <v>406</v>
      </c>
      <c r="B109" s="73" t="s">
        <v>619</v>
      </c>
      <c r="C109" s="74" t="s">
        <v>620</v>
      </c>
      <c r="D109" s="71"/>
      <c r="E109" s="72"/>
      <c r="F109" s="72"/>
      <c r="G109" s="72"/>
      <c r="H109" s="72"/>
      <c r="I109" s="72"/>
      <c r="J109" s="72"/>
      <c r="K109" s="72"/>
      <c r="L109" s="72"/>
      <c r="M109" s="72"/>
      <c r="N109" s="72"/>
      <c r="O109" s="72"/>
      <c r="P109" s="72"/>
      <c r="Q109" s="72"/>
      <c r="R109" s="72"/>
    </row>
    <row customHeight="true" hidden="true" ht="14.880952380952381" r="110">
      <c r="A110" s="73" t="s">
        <v>406</v>
      </c>
      <c r="B110" s="73" t="s">
        <v>621</v>
      </c>
      <c r="C110" s="74" t="s">
        <v>622</v>
      </c>
      <c r="D110" s="71"/>
      <c r="E110" s="72"/>
      <c r="F110" s="72"/>
      <c r="G110" s="72"/>
      <c r="H110" s="72"/>
      <c r="I110" s="72"/>
      <c r="J110" s="72"/>
      <c r="K110" s="72"/>
      <c r="L110" s="72"/>
      <c r="M110" s="72"/>
      <c r="N110" s="72"/>
      <c r="O110" s="72"/>
      <c r="P110" s="72"/>
      <c r="Q110" s="72"/>
      <c r="R110" s="72"/>
    </row>
    <row customHeight="true" hidden="true" ht="14.880952380952381" r="111">
      <c r="A111" s="73" t="s">
        <v>406</v>
      </c>
      <c r="B111" s="73" t="s">
        <v>623</v>
      </c>
      <c r="C111" s="74" t="s">
        <v>624</v>
      </c>
      <c r="D111" s="71"/>
      <c r="E111" s="72"/>
      <c r="F111" s="72"/>
      <c r="G111" s="72"/>
      <c r="H111" s="72"/>
      <c r="I111" s="72"/>
      <c r="J111" s="72"/>
      <c r="K111" s="72"/>
      <c r="L111" s="72"/>
      <c r="M111" s="72"/>
      <c r="N111" s="72"/>
      <c r="O111" s="72"/>
      <c r="P111" s="72"/>
      <c r="Q111" s="72"/>
      <c r="R111" s="72"/>
    </row>
    <row customHeight="true" hidden="true" ht="14.880952380952381" r="112">
      <c r="A112" s="73" t="s">
        <v>406</v>
      </c>
      <c r="B112" s="73" t="s">
        <v>625</v>
      </c>
      <c r="C112" s="74" t="s">
        <v>626</v>
      </c>
      <c r="D112" s="71"/>
      <c r="E112" s="72"/>
      <c r="F112" s="72"/>
      <c r="G112" s="72"/>
      <c r="H112" s="72"/>
      <c r="I112" s="72"/>
      <c r="J112" s="72"/>
      <c r="K112" s="72"/>
      <c r="L112" s="72"/>
      <c r="M112" s="72"/>
      <c r="N112" s="72"/>
      <c r="O112" s="72"/>
      <c r="P112" s="72"/>
      <c r="Q112" s="72"/>
      <c r="R112" s="72"/>
    </row>
    <row customHeight="true" hidden="true" ht="14.880952380952381" r="113">
      <c r="A113" s="73" t="s">
        <v>406</v>
      </c>
      <c r="B113" s="73" t="s">
        <v>627</v>
      </c>
      <c r="C113" s="74" t="s">
        <v>628</v>
      </c>
      <c r="D113" s="71"/>
      <c r="E113" s="72"/>
      <c r="F113" s="72"/>
      <c r="G113" s="72"/>
      <c r="H113" s="72"/>
      <c r="I113" s="72"/>
      <c r="J113" s="72"/>
      <c r="K113" s="72"/>
      <c r="L113" s="72"/>
      <c r="M113" s="72"/>
      <c r="N113" s="72"/>
      <c r="O113" s="72"/>
      <c r="P113" s="72"/>
      <c r="Q113" s="72"/>
      <c r="R113" s="72"/>
    </row>
    <row customHeight="true" hidden="true" ht="14.880952380952381" r="114">
      <c r="A114" s="73" t="s">
        <v>406</v>
      </c>
      <c r="B114" s="73" t="s">
        <v>629</v>
      </c>
      <c r="C114" s="74" t="s">
        <v>630</v>
      </c>
      <c r="D114" s="71"/>
      <c r="E114" s="72"/>
      <c r="F114" s="72"/>
      <c r="G114" s="72"/>
      <c r="H114" s="72"/>
      <c r="I114" s="72"/>
      <c r="J114" s="72"/>
      <c r="K114" s="72"/>
      <c r="L114" s="72"/>
      <c r="M114" s="72"/>
      <c r="N114" s="72"/>
      <c r="O114" s="72"/>
      <c r="P114" s="72"/>
      <c r="Q114" s="72"/>
      <c r="R114" s="72"/>
    </row>
    <row customHeight="true" hidden="true" ht="14.880952380952381" r="115">
      <c r="A115" s="73" t="s">
        <v>406</v>
      </c>
      <c r="B115" s="73" t="s">
        <v>631</v>
      </c>
      <c r="C115" s="74" t="s">
        <v>632</v>
      </c>
      <c r="D115" s="71"/>
      <c r="E115" s="72"/>
      <c r="F115" s="72"/>
      <c r="G115" s="72"/>
      <c r="H115" s="72"/>
      <c r="I115" s="72"/>
      <c r="J115" s="72"/>
      <c r="K115" s="72"/>
      <c r="L115" s="72"/>
      <c r="M115" s="72"/>
      <c r="N115" s="72"/>
      <c r="O115" s="72"/>
      <c r="P115" s="72"/>
      <c r="Q115" s="72"/>
      <c r="R115" s="72"/>
    </row>
    <row customHeight="true" hidden="true" ht="14.880952380952381" r="116">
      <c r="A116" s="73" t="s">
        <v>406</v>
      </c>
      <c r="B116" s="73" t="s">
        <v>633</v>
      </c>
      <c r="C116" s="74" t="s">
        <v>634</v>
      </c>
      <c r="D116" s="71"/>
      <c r="E116" s="72"/>
      <c r="F116" s="72"/>
      <c r="G116" s="72"/>
      <c r="H116" s="72"/>
      <c r="I116" s="72"/>
      <c r="J116" s="72"/>
      <c r="K116" s="72"/>
      <c r="L116" s="72"/>
      <c r="M116" s="72"/>
      <c r="N116" s="72"/>
      <c r="O116" s="72"/>
      <c r="P116" s="72"/>
      <c r="Q116" s="72"/>
      <c r="R116" s="72"/>
    </row>
    <row customHeight="true" hidden="true" ht="14.880952380952381" r="117">
      <c r="A117" s="73" t="s">
        <v>406</v>
      </c>
      <c r="B117" s="73" t="s">
        <v>635</v>
      </c>
      <c r="C117" s="74" t="s">
        <v>636</v>
      </c>
      <c r="D117" s="71"/>
      <c r="E117" s="72"/>
      <c r="F117" s="72"/>
      <c r="G117" s="72"/>
      <c r="H117" s="72"/>
      <c r="I117" s="72"/>
      <c r="J117" s="72"/>
      <c r="K117" s="72"/>
      <c r="L117" s="72"/>
      <c r="M117" s="72"/>
      <c r="N117" s="72"/>
      <c r="O117" s="72"/>
      <c r="P117" s="72"/>
      <c r="Q117" s="72"/>
      <c r="R117" s="72"/>
    </row>
    <row customHeight="true" hidden="true" ht="14.880952380952381" r="118">
      <c r="A118" s="73" t="s">
        <v>406</v>
      </c>
      <c r="B118" s="73" t="s">
        <v>637</v>
      </c>
      <c r="C118" s="74" t="s">
        <v>638</v>
      </c>
      <c r="D118" s="71"/>
      <c r="E118" s="72"/>
      <c r="F118" s="72"/>
      <c r="G118" s="72"/>
      <c r="H118" s="72"/>
      <c r="I118" s="72"/>
      <c r="J118" s="72"/>
      <c r="K118" s="72"/>
      <c r="L118" s="72"/>
      <c r="M118" s="72"/>
      <c r="N118" s="72"/>
      <c r="O118" s="72"/>
      <c r="P118" s="72"/>
      <c r="Q118" s="72"/>
      <c r="R118" s="72"/>
    </row>
    <row customHeight="true" hidden="true" ht="14.880952380952381" r="119">
      <c r="A119" s="73" t="s">
        <v>406</v>
      </c>
      <c r="B119" s="73" t="s">
        <v>639</v>
      </c>
      <c r="C119" s="74" t="s">
        <v>640</v>
      </c>
      <c r="D119" s="71"/>
      <c r="E119" s="72"/>
      <c r="F119" s="72"/>
      <c r="G119" s="72"/>
      <c r="H119" s="72"/>
      <c r="I119" s="72"/>
      <c r="J119" s="72"/>
      <c r="K119" s="72"/>
      <c r="L119" s="72"/>
      <c r="M119" s="72"/>
      <c r="N119" s="72"/>
      <c r="O119" s="72"/>
      <c r="P119" s="72"/>
      <c r="Q119" s="72"/>
      <c r="R119" s="72"/>
    </row>
    <row customHeight="true" hidden="true" ht="14.880952380952381" r="120">
      <c r="A120" s="73" t="s">
        <v>406</v>
      </c>
      <c r="B120" s="73" t="s">
        <v>641</v>
      </c>
      <c r="C120" s="74" t="s">
        <v>642</v>
      </c>
      <c r="D120" s="71"/>
      <c r="E120" s="72"/>
      <c r="F120" s="72"/>
      <c r="G120" s="72"/>
      <c r="H120" s="72"/>
      <c r="I120" s="72"/>
      <c r="J120" s="72"/>
      <c r="K120" s="72"/>
      <c r="L120" s="72"/>
      <c r="M120" s="72"/>
      <c r="N120" s="72"/>
      <c r="O120" s="72"/>
      <c r="P120" s="72"/>
      <c r="Q120" s="72"/>
      <c r="R120" s="72"/>
    </row>
    <row customHeight="true" hidden="true" ht="14.880952380952381" r="121">
      <c r="A121" s="73" t="s">
        <v>406</v>
      </c>
      <c r="B121" s="73" t="s">
        <v>643</v>
      </c>
      <c r="C121" s="74" t="s">
        <v>644</v>
      </c>
      <c r="D121" s="71"/>
      <c r="E121" s="72"/>
      <c r="F121" s="72"/>
      <c r="G121" s="72"/>
      <c r="H121" s="72"/>
      <c r="I121" s="72"/>
      <c r="J121" s="72"/>
      <c r="K121" s="72"/>
      <c r="L121" s="72"/>
      <c r="M121" s="72"/>
      <c r="N121" s="72"/>
      <c r="O121" s="72"/>
      <c r="P121" s="72"/>
      <c r="Q121" s="72"/>
      <c r="R121" s="72"/>
    </row>
    <row customHeight="true" hidden="true" ht="14.880952380952381" r="122">
      <c r="A122" s="73" t="s">
        <v>406</v>
      </c>
      <c r="B122" s="73" t="s">
        <v>645</v>
      </c>
      <c r="C122" s="74" t="s">
        <v>646</v>
      </c>
      <c r="D122" s="71"/>
      <c r="E122" s="72"/>
      <c r="F122" s="72"/>
      <c r="G122" s="72"/>
      <c r="H122" s="72"/>
      <c r="I122" s="72"/>
      <c r="J122" s="72"/>
      <c r="K122" s="72"/>
      <c r="L122" s="72"/>
      <c r="M122" s="72"/>
      <c r="N122" s="72"/>
      <c r="O122" s="72"/>
      <c r="P122" s="72"/>
      <c r="Q122" s="72"/>
      <c r="R122" s="72"/>
    </row>
    <row customHeight="true" hidden="true" ht="14.880952380952381" r="123">
      <c r="A123" s="73" t="s">
        <v>406</v>
      </c>
      <c r="B123" s="73" t="s">
        <v>647</v>
      </c>
      <c r="C123" s="74" t="s">
        <v>648</v>
      </c>
      <c r="D123" s="71"/>
      <c r="E123" s="72"/>
      <c r="F123" s="72"/>
      <c r="G123" s="72"/>
      <c r="H123" s="72"/>
      <c r="I123" s="72"/>
      <c r="J123" s="72"/>
      <c r="K123" s="72"/>
      <c r="L123" s="72"/>
      <c r="M123" s="72"/>
      <c r="N123" s="72"/>
      <c r="O123" s="72"/>
      <c r="P123" s="72"/>
      <c r="Q123" s="72"/>
      <c r="R123" s="72"/>
    </row>
    <row customHeight="true" hidden="true" ht="14.880952380952381" r="124">
      <c r="A124" s="73" t="s">
        <v>406</v>
      </c>
      <c r="B124" s="73" t="s">
        <v>649</v>
      </c>
      <c r="C124" s="74" t="s">
        <v>650</v>
      </c>
      <c r="D124" s="71"/>
      <c r="E124" s="72"/>
      <c r="F124" s="72"/>
      <c r="G124" s="72"/>
      <c r="H124" s="72"/>
      <c r="I124" s="72"/>
      <c r="J124" s="72"/>
      <c r="K124" s="72"/>
      <c r="L124" s="72"/>
      <c r="M124" s="72"/>
      <c r="N124" s="72"/>
      <c r="O124" s="72"/>
      <c r="P124" s="72"/>
      <c r="Q124" s="72"/>
      <c r="R124" s="72"/>
    </row>
    <row customHeight="true" hidden="true" ht="14.880952380952381" r="125">
      <c r="A125" s="73" t="s">
        <v>406</v>
      </c>
      <c r="B125" s="73" t="s">
        <v>651</v>
      </c>
      <c r="C125" s="74" t="s">
        <v>652</v>
      </c>
      <c r="D125" s="71"/>
      <c r="E125" s="72"/>
      <c r="F125" s="72"/>
      <c r="G125" s="72"/>
      <c r="H125" s="72"/>
      <c r="I125" s="72"/>
      <c r="J125" s="72"/>
      <c r="K125" s="72"/>
      <c r="L125" s="72"/>
      <c r="M125" s="72"/>
      <c r="N125" s="72"/>
      <c r="O125" s="72"/>
      <c r="P125" s="72"/>
      <c r="Q125" s="72"/>
      <c r="R125" s="72"/>
    </row>
    <row customHeight="true" hidden="true" ht="14.880952380952381" r="126">
      <c r="A126" s="73" t="s">
        <v>406</v>
      </c>
      <c r="B126" s="73" t="s">
        <v>653</v>
      </c>
      <c r="C126" s="74" t="s">
        <v>654</v>
      </c>
      <c r="D126" s="71"/>
      <c r="E126" s="72"/>
      <c r="F126" s="72"/>
      <c r="G126" s="72"/>
      <c r="H126" s="72"/>
      <c r="I126" s="72"/>
      <c r="J126" s="72"/>
      <c r="K126" s="72"/>
      <c r="L126" s="72"/>
      <c r="M126" s="72"/>
      <c r="N126" s="72"/>
      <c r="O126" s="72"/>
      <c r="P126" s="72"/>
      <c r="Q126" s="72"/>
      <c r="R126" s="72"/>
    </row>
    <row customHeight="true" hidden="true" ht="14.880952380952381" r="127">
      <c r="A127" s="73" t="s">
        <v>406</v>
      </c>
      <c r="B127" s="73" t="s">
        <v>655</v>
      </c>
      <c r="C127" s="74" t="s">
        <v>656</v>
      </c>
      <c r="D127" s="71"/>
      <c r="E127" s="72"/>
      <c r="F127" s="72"/>
      <c r="G127" s="72"/>
      <c r="H127" s="72"/>
      <c r="I127" s="72"/>
      <c r="J127" s="72"/>
      <c r="K127" s="72"/>
      <c r="L127" s="72"/>
      <c r="M127" s="72"/>
      <c r="N127" s="72"/>
      <c r="O127" s="72"/>
      <c r="P127" s="72"/>
      <c r="Q127" s="72"/>
      <c r="R127" s="72"/>
    </row>
    <row customHeight="true" hidden="true" ht="14.880952380952381" r="128">
      <c r="A128" s="73" t="s">
        <v>406</v>
      </c>
      <c r="B128" s="73" t="s">
        <v>657</v>
      </c>
      <c r="C128" s="74" t="s">
        <v>658</v>
      </c>
      <c r="D128" s="71"/>
      <c r="E128" s="72"/>
      <c r="F128" s="72"/>
      <c r="G128" s="72"/>
      <c r="H128" s="72"/>
      <c r="I128" s="72"/>
      <c r="J128" s="72"/>
      <c r="K128" s="72"/>
      <c r="L128" s="72"/>
      <c r="M128" s="72"/>
      <c r="N128" s="72"/>
      <c r="O128" s="72"/>
      <c r="P128" s="72"/>
      <c r="Q128" s="72"/>
      <c r="R128" s="72"/>
    </row>
    <row customHeight="true" hidden="true" ht="14.880952380952381" r="129">
      <c r="A129" s="73" t="s">
        <v>406</v>
      </c>
      <c r="B129" s="73" t="s">
        <v>659</v>
      </c>
      <c r="C129" s="74" t="s">
        <v>660</v>
      </c>
      <c r="D129" s="71"/>
      <c r="E129" s="72"/>
      <c r="F129" s="72"/>
      <c r="G129" s="72"/>
      <c r="H129" s="72"/>
      <c r="I129" s="72"/>
      <c r="J129" s="72"/>
      <c r="K129" s="72"/>
      <c r="L129" s="72"/>
      <c r="M129" s="72"/>
      <c r="N129" s="72"/>
      <c r="O129" s="72"/>
      <c r="P129" s="72"/>
      <c r="Q129" s="72"/>
      <c r="R129" s="72"/>
    </row>
    <row customHeight="true" hidden="true" ht="14.880952380952381" r="130">
      <c r="A130" s="73" t="s">
        <v>406</v>
      </c>
      <c r="B130" s="73" t="s">
        <v>661</v>
      </c>
      <c r="C130" s="74" t="s">
        <v>662</v>
      </c>
      <c r="D130" s="71"/>
      <c r="E130" s="72"/>
      <c r="F130" s="72"/>
      <c r="G130" s="72"/>
      <c r="H130" s="72"/>
      <c r="I130" s="72"/>
      <c r="J130" s="72"/>
      <c r="K130" s="72"/>
      <c r="L130" s="72"/>
      <c r="M130" s="72"/>
      <c r="N130" s="72"/>
      <c r="O130" s="72"/>
      <c r="P130" s="72"/>
      <c r="Q130" s="72"/>
      <c r="R130" s="72"/>
    </row>
    <row customHeight="true" hidden="true" ht="14.880952380952381" r="131">
      <c r="A131" s="73" t="s">
        <v>406</v>
      </c>
      <c r="B131" s="73" t="s">
        <v>663</v>
      </c>
      <c r="C131" s="74" t="s">
        <v>664</v>
      </c>
      <c r="D131" s="71"/>
      <c r="E131" s="72"/>
      <c r="F131" s="72"/>
      <c r="G131" s="72"/>
      <c r="H131" s="72"/>
      <c r="I131" s="72"/>
      <c r="J131" s="72"/>
      <c r="K131" s="72"/>
      <c r="L131" s="72"/>
      <c r="M131" s="72"/>
      <c r="N131" s="72"/>
      <c r="O131" s="72"/>
      <c r="P131" s="72"/>
      <c r="Q131" s="72"/>
      <c r="R131" s="72"/>
    </row>
    <row customHeight="true" hidden="true" ht="14.880952380952381" r="132">
      <c r="A132" s="73" t="s">
        <v>406</v>
      </c>
      <c r="B132" s="73" t="s">
        <v>665</v>
      </c>
      <c r="C132" s="74" t="s">
        <v>666</v>
      </c>
      <c r="D132" s="71"/>
      <c r="E132" s="72"/>
      <c r="F132" s="72"/>
      <c r="G132" s="72"/>
      <c r="H132" s="72"/>
      <c r="I132" s="72"/>
      <c r="J132" s="72"/>
      <c r="K132" s="72"/>
      <c r="L132" s="72"/>
      <c r="M132" s="72"/>
      <c r="N132" s="72"/>
      <c r="O132" s="72"/>
      <c r="P132" s="72"/>
      <c r="Q132" s="72"/>
      <c r="R132" s="72"/>
    </row>
    <row customHeight="true" hidden="true" ht="14.880952380952381" r="133">
      <c r="A133" s="73" t="s">
        <v>406</v>
      </c>
      <c r="B133" s="73" t="s">
        <v>667</v>
      </c>
      <c r="C133" s="74" t="s">
        <v>668</v>
      </c>
      <c r="D133" s="71"/>
      <c r="E133" s="72"/>
      <c r="F133" s="72"/>
      <c r="G133" s="72"/>
      <c r="H133" s="72"/>
      <c r="I133" s="72"/>
      <c r="J133" s="72"/>
      <c r="K133" s="72"/>
      <c r="L133" s="72"/>
      <c r="M133" s="72"/>
      <c r="N133" s="72"/>
      <c r="O133" s="72"/>
      <c r="P133" s="72"/>
      <c r="Q133" s="72"/>
      <c r="R133" s="72"/>
    </row>
    <row customHeight="true" hidden="true" ht="14.880952380952381" r="134">
      <c r="A134" s="73" t="s">
        <v>406</v>
      </c>
      <c r="B134" s="73" t="s">
        <v>669</v>
      </c>
      <c r="C134" s="74" t="s">
        <v>670</v>
      </c>
      <c r="D134" s="71"/>
      <c r="E134" s="72"/>
      <c r="F134" s="72"/>
      <c r="G134" s="72"/>
      <c r="H134" s="72"/>
      <c r="I134" s="72"/>
      <c r="J134" s="72"/>
      <c r="K134" s="72"/>
      <c r="L134" s="72"/>
      <c r="M134" s="72"/>
      <c r="N134" s="72"/>
      <c r="O134" s="72"/>
      <c r="P134" s="72"/>
      <c r="Q134" s="72"/>
      <c r="R134" s="72"/>
    </row>
    <row customHeight="true" hidden="true" ht="14.880952380952381" r="135">
      <c r="A135" s="73" t="s">
        <v>406</v>
      </c>
      <c r="B135" s="73" t="s">
        <v>671</v>
      </c>
      <c r="C135" s="74" t="s">
        <v>672</v>
      </c>
      <c r="D135" s="71"/>
      <c r="E135" s="72"/>
      <c r="F135" s="72"/>
      <c r="G135" s="72"/>
      <c r="H135" s="72"/>
      <c r="I135" s="72"/>
      <c r="J135" s="72"/>
      <c r="K135" s="72"/>
      <c r="L135" s="72"/>
      <c r="M135" s="72"/>
      <c r="N135" s="72"/>
      <c r="O135" s="72"/>
      <c r="P135" s="72"/>
      <c r="Q135" s="72"/>
      <c r="R135" s="72"/>
    </row>
    <row customHeight="true" hidden="true" ht="14.880952380952381" r="136">
      <c r="A136" s="73" t="s">
        <v>406</v>
      </c>
      <c r="B136" s="73" t="s">
        <v>673</v>
      </c>
      <c r="C136" s="74" t="s">
        <v>674</v>
      </c>
      <c r="D136" s="71"/>
      <c r="E136" s="72"/>
      <c r="F136" s="72"/>
      <c r="G136" s="72"/>
      <c r="H136" s="72"/>
      <c r="I136" s="72"/>
      <c r="J136" s="72"/>
      <c r="K136" s="72"/>
      <c r="L136" s="72"/>
      <c r="M136" s="72"/>
      <c r="N136" s="72"/>
      <c r="O136" s="72"/>
      <c r="P136" s="72"/>
      <c r="Q136" s="72"/>
      <c r="R136" s="72"/>
    </row>
    <row customHeight="true" hidden="true" ht="14.880952380952381" r="137">
      <c r="A137" s="73" t="s">
        <v>406</v>
      </c>
      <c r="B137" s="73" t="s">
        <v>675</v>
      </c>
      <c r="C137" s="74" t="s">
        <v>676</v>
      </c>
      <c r="D137" s="71"/>
      <c r="E137" s="72"/>
      <c r="F137" s="72"/>
      <c r="G137" s="72"/>
      <c r="H137" s="72"/>
      <c r="I137" s="72"/>
      <c r="J137" s="72"/>
      <c r="K137" s="72"/>
      <c r="L137" s="72"/>
      <c r="M137" s="72"/>
      <c r="N137" s="72"/>
      <c r="O137" s="72"/>
      <c r="P137" s="72"/>
      <c r="Q137" s="72"/>
      <c r="R137" s="72"/>
    </row>
    <row customHeight="true" hidden="true" ht="14.880952380952381" r="138">
      <c r="A138" s="73" t="s">
        <v>406</v>
      </c>
      <c r="B138" s="73" t="s">
        <v>677</v>
      </c>
      <c r="C138" s="74" t="s">
        <v>678</v>
      </c>
      <c r="D138" s="71"/>
      <c r="E138" s="72"/>
      <c r="F138" s="72"/>
      <c r="G138" s="72"/>
      <c r="H138" s="72"/>
      <c r="I138" s="72"/>
      <c r="J138" s="72"/>
      <c r="K138" s="72"/>
      <c r="L138" s="72"/>
      <c r="M138" s="72"/>
      <c r="N138" s="72"/>
      <c r="O138" s="72"/>
      <c r="P138" s="72"/>
      <c r="Q138" s="72"/>
      <c r="R138" s="72"/>
    </row>
    <row customHeight="true" hidden="true" ht="14.880952380952381" r="139">
      <c r="A139" s="73" t="s">
        <v>406</v>
      </c>
      <c r="B139" s="73" t="s">
        <v>679</v>
      </c>
      <c r="C139" s="74" t="s">
        <v>680</v>
      </c>
      <c r="D139" s="71"/>
      <c r="E139" s="72"/>
      <c r="F139" s="72"/>
      <c r="G139" s="72"/>
      <c r="H139" s="72"/>
      <c r="I139" s="72"/>
      <c r="J139" s="72"/>
      <c r="K139" s="72"/>
      <c r="L139" s="72"/>
      <c r="M139" s="72"/>
      <c r="N139" s="72"/>
      <c r="O139" s="72"/>
      <c r="P139" s="72"/>
      <c r="Q139" s="72"/>
      <c r="R139" s="72"/>
    </row>
    <row customHeight="true" hidden="true" ht="14.880952380952381" r="140">
      <c r="A140" s="73" t="s">
        <v>406</v>
      </c>
      <c r="B140" s="73" t="s">
        <v>681</v>
      </c>
      <c r="C140" s="74" t="s">
        <v>682</v>
      </c>
      <c r="D140" s="71"/>
      <c r="E140" s="72"/>
      <c r="F140" s="72"/>
      <c r="G140" s="72"/>
      <c r="H140" s="72"/>
      <c r="I140" s="72"/>
      <c r="J140" s="72"/>
      <c r="K140" s="72"/>
      <c r="L140" s="72"/>
      <c r="M140" s="72"/>
      <c r="N140" s="72"/>
      <c r="O140" s="72"/>
      <c r="P140" s="72"/>
      <c r="Q140" s="72"/>
      <c r="R140" s="72"/>
    </row>
    <row customHeight="true" hidden="true" ht="14.880952380952381" r="141">
      <c r="A141" s="73" t="s">
        <v>406</v>
      </c>
      <c r="B141" s="73" t="s">
        <v>683</v>
      </c>
      <c r="C141" s="74" t="s">
        <v>684</v>
      </c>
      <c r="D141" s="71"/>
      <c r="E141" s="72"/>
      <c r="F141" s="72"/>
      <c r="G141" s="72"/>
      <c r="H141" s="72"/>
      <c r="I141" s="72"/>
      <c r="J141" s="72"/>
      <c r="K141" s="72"/>
      <c r="L141" s="72"/>
      <c r="M141" s="72"/>
      <c r="N141" s="72"/>
      <c r="O141" s="72"/>
      <c r="P141" s="72"/>
      <c r="Q141" s="72"/>
      <c r="R141" s="72"/>
    </row>
    <row customHeight="true" hidden="true" ht="14.880952380952381" r="142">
      <c r="A142" s="73" t="s">
        <v>406</v>
      </c>
      <c r="B142" s="73" t="s">
        <v>685</v>
      </c>
      <c r="C142" s="74" t="s">
        <v>686</v>
      </c>
      <c r="D142" s="71"/>
      <c r="E142" s="72"/>
      <c r="F142" s="72"/>
      <c r="G142" s="72"/>
      <c r="H142" s="72"/>
      <c r="I142" s="72"/>
      <c r="J142" s="72"/>
      <c r="K142" s="72"/>
      <c r="L142" s="72"/>
      <c r="M142" s="72"/>
      <c r="N142" s="72"/>
      <c r="O142" s="72"/>
      <c r="P142" s="72"/>
      <c r="Q142" s="72"/>
      <c r="R142" s="72"/>
    </row>
    <row customHeight="true" hidden="true" ht="14.880952380952381" r="143">
      <c r="A143" s="73" t="s">
        <v>406</v>
      </c>
      <c r="B143" s="73" t="s">
        <v>687</v>
      </c>
      <c r="C143" s="74" t="s">
        <v>688</v>
      </c>
      <c r="D143" s="71"/>
      <c r="E143" s="72"/>
      <c r="F143" s="72"/>
      <c r="G143" s="72"/>
      <c r="H143" s="72"/>
      <c r="I143" s="72"/>
      <c r="J143" s="72"/>
      <c r="K143" s="72"/>
      <c r="L143" s="72"/>
      <c r="M143" s="72"/>
      <c r="N143" s="72"/>
      <c r="O143" s="72"/>
      <c r="P143" s="72"/>
      <c r="Q143" s="72"/>
      <c r="R143" s="72"/>
    </row>
    <row customHeight="true" hidden="true" ht="29.761904761904763" r="144">
      <c r="A144" s="73" t="s">
        <v>406</v>
      </c>
      <c r="B144" s="73" t="s">
        <v>689</v>
      </c>
      <c r="C144" s="74" t="s">
        <v>690</v>
      </c>
      <c r="D144" s="71"/>
      <c r="E144" s="72"/>
      <c r="F144" s="72"/>
      <c r="G144" s="72"/>
      <c r="H144" s="72"/>
      <c r="I144" s="72"/>
      <c r="J144" s="72"/>
      <c r="K144" s="72"/>
      <c r="L144" s="72"/>
      <c r="M144" s="72"/>
      <c r="N144" s="72"/>
      <c r="O144" s="72"/>
      <c r="P144" s="72"/>
      <c r="Q144" s="72"/>
      <c r="R144" s="72"/>
    </row>
    <row customHeight="true" hidden="true" ht="14.880952380952381" r="145">
      <c r="A145" s="73" t="s">
        <v>406</v>
      </c>
      <c r="B145" s="73" t="s">
        <v>691</v>
      </c>
      <c r="C145" s="74" t="s">
        <v>692</v>
      </c>
      <c r="D145" s="71"/>
      <c r="E145" s="72"/>
      <c r="F145" s="72"/>
      <c r="G145" s="72"/>
      <c r="H145" s="72"/>
      <c r="I145" s="72"/>
      <c r="J145" s="72"/>
      <c r="K145" s="72"/>
      <c r="L145" s="72"/>
      <c r="M145" s="72"/>
      <c r="N145" s="72"/>
      <c r="O145" s="72"/>
      <c r="P145" s="72"/>
      <c r="Q145" s="72"/>
      <c r="R145" s="72"/>
    </row>
    <row customHeight="true" hidden="true" ht="14.880952380952381" r="146">
      <c r="A146" s="73" t="s">
        <v>406</v>
      </c>
      <c r="B146" s="73" t="s">
        <v>693</v>
      </c>
      <c r="C146" s="74" t="s">
        <v>694</v>
      </c>
      <c r="D146" s="71"/>
      <c r="E146" s="72"/>
      <c r="F146" s="72"/>
      <c r="G146" s="72"/>
      <c r="H146" s="72"/>
      <c r="I146" s="72"/>
      <c r="J146" s="72"/>
      <c r="K146" s="72"/>
      <c r="L146" s="72"/>
      <c r="M146" s="72"/>
      <c r="N146" s="72"/>
      <c r="O146" s="72"/>
      <c r="P146" s="72"/>
      <c r="Q146" s="72"/>
      <c r="R146" s="72"/>
    </row>
    <row customHeight="true" hidden="true" ht="14.880952380952381" r="147">
      <c r="A147" s="73" t="s">
        <v>406</v>
      </c>
      <c r="B147" s="73" t="s">
        <v>695</v>
      </c>
      <c r="C147" s="74" t="s">
        <v>696</v>
      </c>
      <c r="D147" s="71"/>
      <c r="E147" s="72"/>
      <c r="F147" s="72"/>
      <c r="G147" s="72"/>
      <c r="H147" s="72"/>
      <c r="I147" s="72"/>
      <c r="J147" s="72"/>
      <c r="K147" s="72"/>
      <c r="L147" s="72"/>
      <c r="M147" s="72"/>
      <c r="N147" s="72"/>
      <c r="O147" s="72"/>
      <c r="P147" s="72"/>
      <c r="Q147" s="72"/>
      <c r="R147" s="72"/>
    </row>
    <row customHeight="true" hidden="true" ht="29.761904761904763" r="148">
      <c r="A148" s="73" t="s">
        <v>406</v>
      </c>
      <c r="B148" s="73" t="s">
        <v>697</v>
      </c>
      <c r="C148" s="74" t="s">
        <v>698</v>
      </c>
      <c r="D148" s="71"/>
      <c r="E148" s="72"/>
      <c r="F148" s="72"/>
      <c r="G148" s="72"/>
      <c r="H148" s="72"/>
      <c r="I148" s="72"/>
      <c r="J148" s="72"/>
      <c r="K148" s="72"/>
      <c r="L148" s="72"/>
      <c r="M148" s="72"/>
      <c r="N148" s="72"/>
      <c r="O148" s="72"/>
      <c r="P148" s="72"/>
      <c r="Q148" s="72"/>
      <c r="R148" s="72"/>
    </row>
    <row customHeight="true" hidden="true" ht="14.880952380952381" r="149">
      <c r="A149" s="73" t="s">
        <v>406</v>
      </c>
      <c r="B149" s="73" t="s">
        <v>699</v>
      </c>
      <c r="C149" s="74" t="s">
        <v>700</v>
      </c>
      <c r="D149" s="71"/>
      <c r="E149" s="72"/>
      <c r="F149" s="72"/>
      <c r="G149" s="72"/>
      <c r="H149" s="72"/>
      <c r="I149" s="72"/>
      <c r="J149" s="72"/>
      <c r="K149" s="72"/>
      <c r="L149" s="72"/>
      <c r="M149" s="72"/>
      <c r="N149" s="72"/>
      <c r="O149" s="72"/>
      <c r="P149" s="72"/>
      <c r="Q149" s="72"/>
      <c r="R149" s="72"/>
    </row>
    <row customHeight="true" hidden="true" ht="29.761904761904763" r="150">
      <c r="A150" s="73" t="s">
        <v>406</v>
      </c>
      <c r="B150" s="73" t="s">
        <v>701</v>
      </c>
      <c r="C150" s="74" t="s">
        <v>702</v>
      </c>
      <c r="D150" s="71"/>
      <c r="E150" s="72"/>
      <c r="F150" s="72"/>
      <c r="G150" s="72"/>
      <c r="H150" s="72"/>
      <c r="I150" s="72"/>
      <c r="J150" s="72"/>
      <c r="K150" s="72"/>
      <c r="L150" s="72"/>
      <c r="M150" s="72"/>
      <c r="N150" s="72"/>
      <c r="O150" s="72"/>
      <c r="P150" s="72"/>
      <c r="Q150" s="72"/>
      <c r="R150" s="72"/>
    </row>
    <row customHeight="true" hidden="true" ht="14.880952380952381" r="151">
      <c r="A151" s="73" t="s">
        <v>406</v>
      </c>
      <c r="B151" s="73" t="s">
        <v>703</v>
      </c>
      <c r="C151" s="74" t="s">
        <v>704</v>
      </c>
      <c r="D151" s="71"/>
      <c r="E151" s="72"/>
      <c r="F151" s="72"/>
      <c r="G151" s="72"/>
      <c r="H151" s="72"/>
      <c r="I151" s="72"/>
      <c r="J151" s="72"/>
      <c r="K151" s="72"/>
      <c r="L151" s="72"/>
      <c r="M151" s="72"/>
      <c r="N151" s="72"/>
      <c r="O151" s="72"/>
      <c r="P151" s="72"/>
      <c r="Q151" s="72"/>
      <c r="R151" s="72"/>
    </row>
    <row customHeight="true" hidden="true" ht="14.880952380952381" r="152">
      <c r="A152" s="73" t="s">
        <v>406</v>
      </c>
      <c r="B152" s="73" t="s">
        <v>705</v>
      </c>
      <c r="C152" s="74" t="s">
        <v>706</v>
      </c>
      <c r="D152" s="71"/>
      <c r="E152" s="72"/>
      <c r="F152" s="72"/>
      <c r="G152" s="72"/>
      <c r="H152" s="72"/>
      <c r="I152" s="72"/>
      <c r="J152" s="72"/>
      <c r="K152" s="72"/>
      <c r="L152" s="72"/>
      <c r="M152" s="72"/>
      <c r="N152" s="72"/>
      <c r="O152" s="72"/>
      <c r="P152" s="72"/>
      <c r="Q152" s="72"/>
      <c r="R152" s="72"/>
    </row>
    <row customHeight="true" hidden="true" ht="14.880952380952381" r="153">
      <c r="A153" s="73" t="s">
        <v>406</v>
      </c>
      <c r="B153" s="73" t="s">
        <v>707</v>
      </c>
      <c r="C153" s="74" t="s">
        <v>708</v>
      </c>
      <c r="D153" s="71"/>
      <c r="E153" s="72"/>
      <c r="F153" s="72"/>
      <c r="G153" s="72"/>
      <c r="H153" s="72"/>
      <c r="I153" s="72"/>
      <c r="J153" s="72"/>
      <c r="K153" s="72"/>
      <c r="L153" s="72"/>
      <c r="M153" s="72"/>
      <c r="N153" s="72"/>
      <c r="O153" s="72"/>
      <c r="P153" s="72"/>
      <c r="Q153" s="72"/>
      <c r="R153" s="72"/>
    </row>
    <row customHeight="true" hidden="true" ht="14.880952380952381" r="154">
      <c r="A154" s="73" t="s">
        <v>406</v>
      </c>
      <c r="B154" s="73" t="s">
        <v>709</v>
      </c>
      <c r="C154" s="74" t="s">
        <v>710</v>
      </c>
      <c r="D154" s="71"/>
      <c r="E154" s="72"/>
      <c r="F154" s="72"/>
      <c r="G154" s="72"/>
      <c r="H154" s="72"/>
      <c r="I154" s="72"/>
      <c r="J154" s="72"/>
      <c r="K154" s="72"/>
      <c r="L154" s="72"/>
      <c r="M154" s="72"/>
      <c r="N154" s="72"/>
      <c r="O154" s="72"/>
      <c r="P154" s="72"/>
      <c r="Q154" s="72"/>
      <c r="R154" s="72"/>
    </row>
    <row customHeight="true" hidden="true" ht="14.880952380952381" r="155">
      <c r="A155" s="73" t="s">
        <v>406</v>
      </c>
      <c r="B155" s="73" t="s">
        <v>711</v>
      </c>
      <c r="C155" s="74" t="s">
        <v>712</v>
      </c>
      <c r="D155" s="71"/>
      <c r="E155" s="72"/>
      <c r="F155" s="72"/>
      <c r="G155" s="72"/>
      <c r="H155" s="72"/>
      <c r="I155" s="72"/>
      <c r="J155" s="72"/>
      <c r="K155" s="72"/>
      <c r="L155" s="72"/>
      <c r="M155" s="72"/>
      <c r="N155" s="72"/>
      <c r="O155" s="72"/>
      <c r="P155" s="72"/>
      <c r="Q155" s="72"/>
      <c r="R155" s="72"/>
    </row>
    <row customHeight="true" hidden="true" ht="14.880952380952381" r="156">
      <c r="A156" s="73" t="s">
        <v>406</v>
      </c>
      <c r="B156" s="73" t="s">
        <v>713</v>
      </c>
      <c r="C156" s="74" t="s">
        <v>714</v>
      </c>
      <c r="D156" s="71"/>
      <c r="E156" s="72"/>
      <c r="F156" s="72"/>
      <c r="G156" s="72"/>
      <c r="H156" s="72"/>
      <c r="I156" s="72"/>
      <c r="J156" s="72"/>
      <c r="K156" s="72"/>
      <c r="L156" s="72"/>
      <c r="M156" s="72"/>
      <c r="N156" s="72"/>
      <c r="O156" s="72"/>
      <c r="P156" s="72"/>
      <c r="Q156" s="72"/>
      <c r="R156" s="72"/>
    </row>
    <row customHeight="true" hidden="true" ht="14.880952380952381" r="157">
      <c r="A157" s="73" t="s">
        <v>406</v>
      </c>
      <c r="B157" s="73" t="s">
        <v>715</v>
      </c>
      <c r="C157" s="74" t="s">
        <v>716</v>
      </c>
      <c r="D157" s="71"/>
      <c r="E157" s="72"/>
      <c r="F157" s="72"/>
      <c r="G157" s="72"/>
      <c r="H157" s="72"/>
      <c r="I157" s="72"/>
      <c r="J157" s="72"/>
      <c r="K157" s="72"/>
      <c r="L157" s="72"/>
      <c r="M157" s="72"/>
      <c r="N157" s="72"/>
      <c r="O157" s="72"/>
      <c r="P157" s="72"/>
      <c r="Q157" s="72"/>
      <c r="R157" s="72"/>
    </row>
    <row customHeight="true" hidden="true" ht="14.880952380952381" r="158">
      <c r="A158" s="73" t="s">
        <v>406</v>
      </c>
      <c r="B158" s="73" t="s">
        <v>717</v>
      </c>
      <c r="C158" s="74" t="s">
        <v>718</v>
      </c>
      <c r="D158" s="71"/>
      <c r="E158" s="72"/>
      <c r="F158" s="72"/>
      <c r="G158" s="72"/>
      <c r="H158" s="72"/>
      <c r="I158" s="72"/>
      <c r="J158" s="72"/>
      <c r="K158" s="72"/>
      <c r="L158" s="72"/>
      <c r="M158" s="72"/>
      <c r="N158" s="72"/>
      <c r="O158" s="72"/>
      <c r="P158" s="72"/>
      <c r="Q158" s="72"/>
      <c r="R158" s="72"/>
    </row>
    <row customHeight="true" hidden="true" ht="14.880952380952381" r="159">
      <c r="A159" s="73" t="s">
        <v>406</v>
      </c>
      <c r="B159" s="73" t="s">
        <v>719</v>
      </c>
      <c r="C159" s="74" t="s">
        <v>414</v>
      </c>
      <c r="D159" s="71"/>
      <c r="E159" s="72"/>
      <c r="F159" s="72"/>
      <c r="G159" s="72"/>
      <c r="H159" s="72"/>
      <c r="I159" s="72"/>
      <c r="J159" s="72"/>
      <c r="K159" s="72"/>
      <c r="L159" s="72"/>
      <c r="M159" s="72"/>
      <c r="N159" s="72"/>
      <c r="O159" s="72"/>
      <c r="P159" s="72"/>
      <c r="Q159" s="72"/>
      <c r="R159" s="72"/>
    </row>
    <row customHeight="true" hidden="true" ht="14.880952380952381" r="160">
      <c r="A160" s="73" t="s">
        <v>406</v>
      </c>
      <c r="B160" s="73" t="s">
        <v>720</v>
      </c>
      <c r="C160" s="74" t="s">
        <v>416</v>
      </c>
      <c r="D160" s="71"/>
      <c r="E160" s="72"/>
      <c r="F160" s="72"/>
      <c r="G160" s="72"/>
      <c r="H160" s="72"/>
      <c r="I160" s="72"/>
      <c r="J160" s="72"/>
      <c r="K160" s="72"/>
      <c r="L160" s="72"/>
      <c r="M160" s="72"/>
      <c r="N160" s="72"/>
      <c r="O160" s="72"/>
      <c r="P160" s="72"/>
      <c r="Q160" s="72"/>
      <c r="R160" s="72"/>
    </row>
    <row customHeight="true" hidden="true" ht="14.880952380952381" r="161">
      <c r="A161" s="73" t="s">
        <v>406</v>
      </c>
      <c r="B161" s="73" t="s">
        <v>721</v>
      </c>
      <c r="C161" s="74" t="s">
        <v>489</v>
      </c>
      <c r="D161" s="71"/>
      <c r="E161" s="72"/>
      <c r="F161" s="72"/>
      <c r="G161" s="72"/>
      <c r="H161" s="72"/>
      <c r="I161" s="72"/>
      <c r="J161" s="72"/>
      <c r="K161" s="72"/>
      <c r="L161" s="72"/>
      <c r="M161" s="72"/>
      <c r="N161" s="72"/>
      <c r="O161" s="72"/>
      <c r="P161" s="72"/>
      <c r="Q161" s="72"/>
      <c r="R161" s="72"/>
    </row>
    <row customHeight="true" hidden="true" ht="14.880952380952381" r="162">
      <c r="A162" s="73" t="s">
        <v>406</v>
      </c>
      <c r="B162" s="73" t="s">
        <v>722</v>
      </c>
      <c r="C162" s="74" t="s">
        <v>723</v>
      </c>
      <c r="D162" s="71"/>
      <c r="E162" s="72"/>
      <c r="F162" s="72"/>
      <c r="G162" s="72"/>
      <c r="H162" s="72"/>
      <c r="I162" s="72"/>
      <c r="J162" s="72"/>
      <c r="K162" s="72"/>
      <c r="L162" s="72"/>
      <c r="M162" s="72"/>
      <c r="N162" s="72"/>
      <c r="O162" s="72"/>
      <c r="P162" s="72"/>
      <c r="Q162" s="72"/>
      <c r="R162" s="72"/>
    </row>
    <row customHeight="true" hidden="true" ht="14.880952380952381" r="163">
      <c r="A163" s="73" t="s">
        <v>406</v>
      </c>
      <c r="B163" s="73" t="s">
        <v>724</v>
      </c>
      <c r="C163" s="74" t="s">
        <v>441</v>
      </c>
      <c r="D163" s="71"/>
      <c r="E163" s="72"/>
      <c r="F163" s="72"/>
      <c r="G163" s="72"/>
      <c r="H163" s="72"/>
      <c r="I163" s="72"/>
      <c r="J163" s="72"/>
      <c r="K163" s="72"/>
      <c r="L163" s="72"/>
      <c r="M163" s="72"/>
      <c r="N163" s="72"/>
      <c r="O163" s="72"/>
      <c r="P163" s="72"/>
      <c r="Q163" s="72"/>
      <c r="R163" s="72"/>
    </row>
    <row customHeight="true" hidden="true" ht="14.880952380952381" r="164">
      <c r="A164" s="73" t="s">
        <v>406</v>
      </c>
      <c r="B164" s="73" t="s">
        <v>725</v>
      </c>
      <c r="C164" s="74" t="s">
        <v>726</v>
      </c>
      <c r="D164" s="71"/>
      <c r="E164" s="72"/>
      <c r="F164" s="72"/>
      <c r="G164" s="72"/>
      <c r="H164" s="72"/>
      <c r="I164" s="72"/>
      <c r="J164" s="72"/>
      <c r="K164" s="72"/>
      <c r="L164" s="72"/>
      <c r="M164" s="72"/>
      <c r="N164" s="72"/>
      <c r="O164" s="72"/>
      <c r="P164" s="72"/>
      <c r="Q164" s="72"/>
      <c r="R164" s="72"/>
    </row>
    <row customHeight="true" hidden="true" ht="14.880952380952381" r="165">
      <c r="A165" s="73" t="s">
        <v>406</v>
      </c>
      <c r="B165" s="73" t="s">
        <v>727</v>
      </c>
      <c r="C165" s="74" t="s">
        <v>728</v>
      </c>
      <c r="D165" s="71"/>
      <c r="E165" s="72"/>
      <c r="F165" s="72"/>
      <c r="G165" s="72"/>
      <c r="H165" s="72"/>
      <c r="I165" s="72"/>
      <c r="J165" s="72"/>
      <c r="K165" s="72"/>
      <c r="L165" s="72"/>
      <c r="M165" s="72"/>
      <c r="N165" s="72"/>
      <c r="O165" s="72"/>
      <c r="P165" s="72"/>
      <c r="Q165" s="72"/>
      <c r="R165" s="72"/>
    </row>
    <row customHeight="true" hidden="true" ht="14.880952380952381" r="166">
      <c r="A166" s="73" t="s">
        <v>406</v>
      </c>
      <c r="B166" s="73" t="s">
        <v>729</v>
      </c>
      <c r="C166" s="74" t="s">
        <v>730</v>
      </c>
      <c r="D166" s="71"/>
      <c r="E166" s="72"/>
      <c r="F166" s="72"/>
      <c r="G166" s="72"/>
      <c r="H166" s="72"/>
      <c r="I166" s="72"/>
      <c r="J166" s="72"/>
      <c r="K166" s="72"/>
      <c r="L166" s="72"/>
      <c r="M166" s="72"/>
      <c r="N166" s="72"/>
      <c r="O166" s="72"/>
      <c r="P166" s="72"/>
      <c r="Q166" s="72"/>
      <c r="R166" s="72"/>
    </row>
    <row customHeight="true" hidden="true" ht="14.880952380952381" r="167">
      <c r="A167" s="73" t="s">
        <v>406</v>
      </c>
      <c r="B167" s="73" t="s">
        <v>731</v>
      </c>
      <c r="C167" s="74" t="s">
        <v>730</v>
      </c>
      <c r="D167" s="71"/>
      <c r="E167" s="72"/>
      <c r="F167" s="72"/>
      <c r="G167" s="72"/>
      <c r="H167" s="72"/>
      <c r="I167" s="72"/>
      <c r="J167" s="72"/>
      <c r="K167" s="72"/>
      <c r="L167" s="72"/>
      <c r="M167" s="72"/>
      <c r="N167" s="72"/>
      <c r="O167" s="72"/>
      <c r="P167" s="72"/>
      <c r="Q167" s="72"/>
      <c r="R167" s="72"/>
    </row>
    <row customHeight="true" hidden="true" ht="14.880952380952381" r="168">
      <c r="A168" s="73" t="s">
        <v>406</v>
      </c>
      <c r="B168" s="73" t="s">
        <v>732</v>
      </c>
      <c r="C168" s="74" t="s">
        <v>730</v>
      </c>
      <c r="D168" s="71"/>
      <c r="E168" s="72"/>
      <c r="F168" s="72"/>
      <c r="G168" s="72"/>
      <c r="H168" s="72"/>
      <c r="I168" s="72"/>
      <c r="J168" s="72"/>
      <c r="K168" s="72"/>
      <c r="L168" s="72"/>
      <c r="M168" s="72"/>
      <c r="N168" s="72"/>
      <c r="O168" s="72"/>
      <c r="P168" s="72"/>
      <c r="Q168" s="72"/>
      <c r="R168" s="72"/>
    </row>
    <row customHeight="true" hidden="true" ht="14.880952380952381" r="169">
      <c r="A169" s="73" t="s">
        <v>406</v>
      </c>
      <c r="B169" s="73" t="s">
        <v>733</v>
      </c>
      <c r="C169" s="74" t="s">
        <v>730</v>
      </c>
      <c r="D169" s="71"/>
      <c r="E169" s="72"/>
      <c r="F169" s="72"/>
      <c r="G169" s="72"/>
      <c r="H169" s="72"/>
      <c r="I169" s="72"/>
      <c r="J169" s="72"/>
      <c r="K169" s="72"/>
      <c r="L169" s="72"/>
      <c r="M169" s="72"/>
      <c r="N169" s="72"/>
      <c r="O169" s="72"/>
      <c r="P169" s="72"/>
      <c r="Q169" s="72"/>
      <c r="R169" s="72"/>
    </row>
    <row customHeight="true" hidden="true" ht="14.880952380952381" r="170">
      <c r="A170" s="73" t="s">
        <v>406</v>
      </c>
      <c r="B170" s="73" t="s">
        <v>734</v>
      </c>
      <c r="C170" s="74" t="s">
        <v>730</v>
      </c>
      <c r="D170" s="71"/>
      <c r="E170" s="72"/>
      <c r="F170" s="72"/>
      <c r="G170" s="72"/>
      <c r="H170" s="72"/>
      <c r="I170" s="72"/>
      <c r="J170" s="72"/>
      <c r="K170" s="72"/>
      <c r="L170" s="72"/>
      <c r="M170" s="72"/>
      <c r="N170" s="72"/>
      <c r="O170" s="72"/>
      <c r="P170" s="72"/>
      <c r="Q170" s="72"/>
      <c r="R170" s="72"/>
    </row>
    <row customHeight="true" hidden="true" ht="14.880952380952381" r="171">
      <c r="A171" s="73" t="s">
        <v>406</v>
      </c>
      <c r="B171" s="73" t="s">
        <v>735</v>
      </c>
      <c r="C171" s="74"/>
      <c r="D171" s="71"/>
      <c r="E171" s="72"/>
      <c r="F171" s="72"/>
      <c r="G171" s="72"/>
      <c r="H171" s="72"/>
      <c r="I171" s="72"/>
      <c r="J171" s="72"/>
      <c r="K171" s="72"/>
      <c r="L171" s="72"/>
      <c r="M171" s="72"/>
      <c r="N171" s="72"/>
      <c r="O171" s="72"/>
      <c r="P171" s="72"/>
      <c r="Q171" s="72"/>
      <c r="R171" s="72"/>
    </row>
    <row customHeight="true" hidden="true" ht="14.880952380952381" r="172">
      <c r="A172" s="73" t="s">
        <v>406</v>
      </c>
      <c r="B172" s="73" t="s">
        <v>736</v>
      </c>
      <c r="C172" s="74" t="s">
        <v>737</v>
      </c>
      <c r="D172" s="71"/>
      <c r="E172" s="72"/>
      <c r="F172" s="72"/>
      <c r="G172" s="72"/>
      <c r="H172" s="72"/>
      <c r="I172" s="72"/>
      <c r="J172" s="72"/>
      <c r="K172" s="72"/>
      <c r="L172" s="72"/>
      <c r="M172" s="72"/>
      <c r="N172" s="72"/>
      <c r="O172" s="72"/>
      <c r="P172" s="72"/>
      <c r="Q172" s="72"/>
      <c r="R172" s="72"/>
    </row>
    <row customHeight="true" hidden="true" ht="14.880952380952381" r="173">
      <c r="A173" s="73" t="s">
        <v>406</v>
      </c>
      <c r="B173" s="73" t="s">
        <v>738</v>
      </c>
      <c r="C173" s="74" t="s">
        <v>739</v>
      </c>
      <c r="D173" s="71"/>
      <c r="E173" s="72"/>
      <c r="F173" s="72"/>
      <c r="G173" s="72"/>
      <c r="H173" s="72"/>
      <c r="I173" s="72"/>
      <c r="J173" s="72"/>
      <c r="K173" s="72"/>
      <c r="L173" s="72"/>
      <c r="M173" s="72"/>
      <c r="N173" s="72"/>
      <c r="O173" s="72"/>
      <c r="P173" s="72"/>
      <c r="Q173" s="72"/>
      <c r="R173" s="72"/>
    </row>
    <row customHeight="true" hidden="true" ht="14.880952380952381" r="174">
      <c r="A174" s="73" t="s">
        <v>406</v>
      </c>
      <c r="B174" s="73" t="s">
        <v>740</v>
      </c>
      <c r="C174" s="74" t="s">
        <v>741</v>
      </c>
      <c r="D174" s="71"/>
      <c r="E174" s="72"/>
      <c r="F174" s="72"/>
      <c r="G174" s="72"/>
      <c r="H174" s="72"/>
      <c r="I174" s="72"/>
      <c r="J174" s="72"/>
      <c r="K174" s="72"/>
      <c r="L174" s="72"/>
      <c r="M174" s="72"/>
      <c r="N174" s="72"/>
      <c r="O174" s="72"/>
      <c r="P174" s="72"/>
      <c r="Q174" s="72"/>
      <c r="R174" s="72"/>
    </row>
    <row customHeight="true" hidden="true" ht="14.880952380952381" r="175">
      <c r="A175" s="73" t="s">
        <v>406</v>
      </c>
      <c r="B175" s="73" t="s">
        <v>742</v>
      </c>
      <c r="C175" s="74"/>
      <c r="D175" s="71"/>
      <c r="E175" s="72"/>
      <c r="F175" s="72"/>
      <c r="G175" s="72"/>
      <c r="H175" s="72"/>
      <c r="I175" s="72"/>
      <c r="J175" s="72"/>
      <c r="K175" s="72"/>
      <c r="L175" s="72"/>
      <c r="M175" s="72"/>
      <c r="N175" s="72"/>
      <c r="O175" s="72"/>
      <c r="P175" s="72"/>
      <c r="Q175" s="72"/>
      <c r="R175" s="72"/>
    </row>
    <row customHeight="true" hidden="true" ht="14.880952380952381" r="176">
      <c r="A176" s="73" t="s">
        <v>743</v>
      </c>
      <c r="B176" s="73" t="s">
        <v>407</v>
      </c>
      <c r="C176" s="74" t="s">
        <v>408</v>
      </c>
      <c r="D176" s="71"/>
      <c r="E176" s="72"/>
      <c r="F176" s="72"/>
      <c r="G176" s="72"/>
      <c r="H176" s="72"/>
      <c r="I176" s="72"/>
      <c r="J176" s="72"/>
      <c r="K176" s="72"/>
      <c r="L176" s="72"/>
      <c r="M176" s="72"/>
      <c r="N176" s="72"/>
      <c r="O176" s="72"/>
      <c r="P176" s="72"/>
      <c r="Q176" s="72"/>
      <c r="R176" s="72"/>
    </row>
    <row customHeight="true" hidden="true" ht="14.880952380952381" r="177">
      <c r="A177" s="73" t="s">
        <v>743</v>
      </c>
      <c r="B177" s="73" t="s">
        <v>409</v>
      </c>
      <c r="C177" s="74" t="s">
        <v>410</v>
      </c>
      <c r="D177" s="71"/>
      <c r="E177" s="72"/>
      <c r="F177" s="72"/>
      <c r="G177" s="72"/>
      <c r="H177" s="72"/>
      <c r="I177" s="72"/>
      <c r="J177" s="72"/>
      <c r="K177" s="72"/>
      <c r="L177" s="72"/>
      <c r="M177" s="72"/>
      <c r="N177" s="72"/>
      <c r="O177" s="72"/>
      <c r="P177" s="72"/>
      <c r="Q177" s="72"/>
      <c r="R177" s="72"/>
    </row>
    <row customHeight="true" hidden="true" ht="14.880952380952381" r="178">
      <c r="A178" s="73" t="s">
        <v>743</v>
      </c>
      <c r="B178" s="73" t="s">
        <v>744</v>
      </c>
      <c r="C178" s="74" t="s">
        <v>745</v>
      </c>
      <c r="D178" s="71"/>
      <c r="E178" s="72"/>
      <c r="F178" s="72"/>
      <c r="G178" s="72"/>
      <c r="H178" s="72"/>
      <c r="I178" s="72"/>
      <c r="J178" s="72"/>
      <c r="K178" s="72"/>
      <c r="L178" s="72"/>
      <c r="M178" s="72"/>
      <c r="N178" s="72"/>
      <c r="O178" s="72"/>
      <c r="P178" s="72"/>
      <c r="Q178" s="72"/>
      <c r="R178" s="72"/>
    </row>
    <row customHeight="true" hidden="true" ht="14.880952380952381" r="179">
      <c r="A179" s="73" t="s">
        <v>743</v>
      </c>
      <c r="B179" s="73" t="s">
        <v>746</v>
      </c>
      <c r="C179" s="74" t="s">
        <v>747</v>
      </c>
      <c r="D179" s="71"/>
      <c r="E179" s="72"/>
      <c r="F179" s="72"/>
      <c r="G179" s="72"/>
      <c r="H179" s="72"/>
      <c r="I179" s="72"/>
      <c r="J179" s="72"/>
      <c r="K179" s="72"/>
      <c r="L179" s="72"/>
      <c r="M179" s="72"/>
      <c r="N179" s="72"/>
      <c r="O179" s="72"/>
      <c r="P179" s="72"/>
      <c r="Q179" s="72"/>
      <c r="R179" s="72"/>
    </row>
    <row customHeight="true" hidden="true" ht="14.880952380952381" r="180">
      <c r="A180" s="73" t="s">
        <v>743</v>
      </c>
      <c r="B180" s="73" t="s">
        <v>460</v>
      </c>
      <c r="C180" s="74" t="s">
        <v>461</v>
      </c>
      <c r="D180" s="71"/>
      <c r="E180" s="72"/>
      <c r="F180" s="72"/>
      <c r="G180" s="72"/>
      <c r="H180" s="72"/>
      <c r="I180" s="72"/>
      <c r="J180" s="72"/>
      <c r="K180" s="72"/>
      <c r="L180" s="72"/>
      <c r="M180" s="72"/>
      <c r="N180" s="72"/>
      <c r="O180" s="72"/>
      <c r="P180" s="72"/>
      <c r="Q180" s="72"/>
      <c r="R180" s="72"/>
    </row>
    <row customHeight="true" hidden="true" ht="14.880952380952381" r="181">
      <c r="A181" s="73" t="s">
        <v>743</v>
      </c>
      <c r="B181" s="73" t="s">
        <v>462</v>
      </c>
      <c r="C181" s="74" t="s">
        <v>463</v>
      </c>
      <c r="D181" s="71"/>
      <c r="E181" s="72"/>
      <c r="F181" s="72"/>
      <c r="G181" s="72"/>
      <c r="H181" s="72"/>
      <c r="I181" s="72"/>
      <c r="J181" s="72"/>
      <c r="K181" s="72"/>
      <c r="L181" s="72"/>
      <c r="M181" s="72"/>
      <c r="N181" s="72"/>
      <c r="O181" s="72"/>
      <c r="P181" s="72"/>
      <c r="Q181" s="72"/>
      <c r="R181" s="72"/>
    </row>
    <row customHeight="true" hidden="true" ht="14.880952380952381" r="182">
      <c r="A182" s="73" t="s">
        <v>743</v>
      </c>
      <c r="B182" s="73" t="s">
        <v>506</v>
      </c>
      <c r="C182" s="74" t="s">
        <v>748</v>
      </c>
      <c r="D182" s="71"/>
      <c r="E182" s="72"/>
      <c r="F182" s="72"/>
      <c r="G182" s="72"/>
      <c r="H182" s="72"/>
      <c r="I182" s="72"/>
      <c r="J182" s="72"/>
      <c r="K182" s="72"/>
      <c r="L182" s="72"/>
      <c r="M182" s="72"/>
      <c r="N182" s="72"/>
      <c r="O182" s="72"/>
      <c r="P182" s="72"/>
      <c r="Q182" s="72"/>
      <c r="R182" s="72"/>
    </row>
    <row customHeight="true" hidden="true" ht="14.880952380952381" r="183">
      <c r="A183" s="73" t="s">
        <v>743</v>
      </c>
      <c r="B183" s="73" t="s">
        <v>486</v>
      </c>
      <c r="C183" s="74" t="s">
        <v>749</v>
      </c>
      <c r="D183" s="71"/>
      <c r="E183" s="72"/>
      <c r="F183" s="72"/>
      <c r="G183" s="72"/>
      <c r="H183" s="72"/>
      <c r="I183" s="72"/>
      <c r="J183" s="72"/>
      <c r="K183" s="72"/>
      <c r="L183" s="72"/>
      <c r="M183" s="72"/>
      <c r="N183" s="72"/>
      <c r="O183" s="72"/>
      <c r="P183" s="72"/>
      <c r="Q183" s="72"/>
      <c r="R183" s="72"/>
    </row>
    <row customHeight="true" hidden="true" ht="14.880952380952381" r="184">
      <c r="A184" s="73" t="s">
        <v>743</v>
      </c>
      <c r="B184" s="73" t="s">
        <v>750</v>
      </c>
      <c r="C184" s="74" t="s">
        <v>751</v>
      </c>
      <c r="D184" s="71"/>
      <c r="E184" s="72"/>
      <c r="F184" s="72"/>
      <c r="G184" s="72"/>
      <c r="H184" s="72"/>
      <c r="I184" s="72"/>
      <c r="J184" s="72"/>
      <c r="K184" s="72"/>
      <c r="L184" s="72"/>
      <c r="M184" s="72"/>
      <c r="N184" s="72"/>
      <c r="O184" s="72"/>
      <c r="P184" s="72"/>
      <c r="Q184" s="72"/>
      <c r="R184" s="72"/>
    </row>
    <row customHeight="true" hidden="true" ht="14.880952380952381" r="185">
      <c r="A185" s="73" t="s">
        <v>743</v>
      </c>
      <c r="B185" s="73" t="s">
        <v>752</v>
      </c>
      <c r="C185" s="74" t="s">
        <v>753</v>
      </c>
      <c r="D185" s="71"/>
      <c r="E185" s="72"/>
      <c r="F185" s="72"/>
      <c r="G185" s="72"/>
      <c r="H185" s="72"/>
      <c r="I185" s="72"/>
      <c r="J185" s="72"/>
      <c r="K185" s="72"/>
      <c r="L185" s="72"/>
      <c r="M185" s="72"/>
      <c r="N185" s="72"/>
      <c r="O185" s="72"/>
      <c r="P185" s="72"/>
      <c r="Q185" s="72"/>
      <c r="R185" s="72"/>
    </row>
    <row customHeight="true" hidden="true" ht="14.880952380952381" r="186">
      <c r="A186" s="73" t="s">
        <v>743</v>
      </c>
      <c r="B186" s="73" t="s">
        <v>754</v>
      </c>
      <c r="C186" s="74" t="s">
        <v>755</v>
      </c>
      <c r="D186" s="71"/>
      <c r="E186" s="72"/>
      <c r="F186" s="72"/>
      <c r="G186" s="72"/>
      <c r="H186" s="72"/>
      <c r="I186" s="72"/>
      <c r="J186" s="72"/>
      <c r="K186" s="72"/>
      <c r="L186" s="72"/>
      <c r="M186" s="72"/>
      <c r="N186" s="72"/>
      <c r="O186" s="72"/>
      <c r="P186" s="72"/>
      <c r="Q186" s="72"/>
      <c r="R186" s="72"/>
    </row>
    <row customHeight="true" hidden="true" ht="14.880952380952381" r="187">
      <c r="A187" s="73" t="s">
        <v>743</v>
      </c>
      <c r="B187" s="73" t="s">
        <v>452</v>
      </c>
      <c r="C187" s="74" t="s">
        <v>453</v>
      </c>
      <c r="D187" s="71"/>
      <c r="E187" s="72"/>
      <c r="F187" s="72"/>
      <c r="G187" s="72"/>
      <c r="H187" s="72"/>
      <c r="I187" s="72"/>
      <c r="J187" s="72"/>
      <c r="K187" s="72"/>
      <c r="L187" s="72"/>
      <c r="M187" s="72"/>
      <c r="N187" s="72"/>
      <c r="O187" s="72"/>
      <c r="P187" s="72"/>
      <c r="Q187" s="72"/>
      <c r="R187" s="72"/>
    </row>
    <row customHeight="true" hidden="true" ht="14.880952380952381" r="188">
      <c r="A188" s="73" t="s">
        <v>743</v>
      </c>
      <c r="B188" s="73" t="s">
        <v>756</v>
      </c>
      <c r="C188" s="74" t="s">
        <v>757</v>
      </c>
      <c r="D188" s="71"/>
      <c r="E188" s="72"/>
      <c r="F188" s="72"/>
      <c r="G188" s="72"/>
      <c r="H188" s="72"/>
      <c r="I188" s="72"/>
      <c r="J188" s="72"/>
      <c r="K188" s="72"/>
      <c r="L188" s="72"/>
      <c r="M188" s="72"/>
      <c r="N188" s="72"/>
      <c r="O188" s="72"/>
      <c r="P188" s="72"/>
      <c r="Q188" s="72"/>
      <c r="R188" s="72"/>
    </row>
    <row customHeight="true" hidden="true" ht="14.880952380952381" r="189">
      <c r="A189" s="73" t="s">
        <v>743</v>
      </c>
      <c r="B189" s="73" t="s">
        <v>758</v>
      </c>
      <c r="C189" s="74" t="s">
        <v>473</v>
      </c>
      <c r="D189" s="71"/>
      <c r="E189" s="72"/>
      <c r="F189" s="72"/>
      <c r="G189" s="72"/>
      <c r="H189" s="72"/>
      <c r="I189" s="72"/>
      <c r="J189" s="72"/>
      <c r="K189" s="72"/>
      <c r="L189" s="72"/>
      <c r="M189" s="72"/>
      <c r="N189" s="72"/>
      <c r="O189" s="72"/>
      <c r="P189" s="72"/>
      <c r="Q189" s="72"/>
      <c r="R189" s="72"/>
    </row>
    <row customHeight="true" hidden="true" ht="29.761904761904763" r="190">
      <c r="A190" s="73" t="s">
        <v>743</v>
      </c>
      <c r="B190" s="73" t="s">
        <v>759</v>
      </c>
      <c r="C190" s="74" t="s">
        <v>760</v>
      </c>
      <c r="D190" s="71"/>
      <c r="E190" s="72"/>
      <c r="F190" s="72"/>
      <c r="G190" s="72"/>
      <c r="H190" s="72"/>
      <c r="I190" s="72"/>
      <c r="J190" s="72"/>
      <c r="K190" s="72"/>
      <c r="L190" s="72"/>
      <c r="M190" s="72"/>
      <c r="N190" s="72"/>
      <c r="O190" s="72"/>
      <c r="P190" s="72"/>
      <c r="Q190" s="72"/>
      <c r="R190" s="72"/>
    </row>
    <row customHeight="true" hidden="true" ht="29.761904761904763" r="191">
      <c r="A191" s="73" t="s">
        <v>743</v>
      </c>
      <c r="B191" s="73" t="s">
        <v>761</v>
      </c>
      <c r="C191" s="74" t="s">
        <v>762</v>
      </c>
      <c r="D191" s="71"/>
      <c r="E191" s="72"/>
      <c r="F191" s="72"/>
      <c r="G191" s="72"/>
      <c r="H191" s="72"/>
      <c r="I191" s="72"/>
      <c r="J191" s="72"/>
      <c r="K191" s="72"/>
      <c r="L191" s="72"/>
      <c r="M191" s="72"/>
      <c r="N191" s="72"/>
      <c r="O191" s="72"/>
      <c r="P191" s="72"/>
      <c r="Q191" s="72"/>
      <c r="R191" s="72"/>
    </row>
    <row customHeight="true" hidden="true" ht="29.761904761904763" r="192">
      <c r="A192" s="73" t="s">
        <v>743</v>
      </c>
      <c r="B192" s="73" t="s">
        <v>763</v>
      </c>
      <c r="C192" s="74" t="s">
        <v>764</v>
      </c>
      <c r="D192" s="71"/>
      <c r="E192" s="72"/>
      <c r="F192" s="72"/>
      <c r="G192" s="72"/>
      <c r="H192" s="72"/>
      <c r="I192" s="72"/>
      <c r="J192" s="72"/>
      <c r="K192" s="72"/>
      <c r="L192" s="72"/>
      <c r="M192" s="72"/>
      <c r="N192" s="72"/>
      <c r="O192" s="72"/>
      <c r="P192" s="72"/>
      <c r="Q192" s="72"/>
      <c r="R192" s="72"/>
    </row>
    <row customHeight="true" hidden="true" ht="14.880952380952381" r="193">
      <c r="A193" s="73" t="s">
        <v>743</v>
      </c>
      <c r="B193" s="73" t="s">
        <v>765</v>
      </c>
      <c r="C193" s="74" t="s">
        <v>766</v>
      </c>
      <c r="D193" s="71"/>
      <c r="E193" s="72"/>
      <c r="F193" s="72"/>
      <c r="G193" s="72"/>
      <c r="H193" s="72"/>
      <c r="I193" s="72"/>
      <c r="J193" s="72"/>
      <c r="K193" s="72"/>
      <c r="L193" s="72"/>
      <c r="M193" s="72"/>
      <c r="N193" s="72"/>
      <c r="O193" s="72"/>
      <c r="P193" s="72"/>
      <c r="Q193" s="72"/>
      <c r="R193" s="72"/>
    </row>
    <row customHeight="true" hidden="true" ht="29.761904761904763" r="194">
      <c r="A194" s="73" t="s">
        <v>743</v>
      </c>
      <c r="B194" s="73" t="s">
        <v>767</v>
      </c>
      <c r="C194" s="74" t="s">
        <v>768</v>
      </c>
      <c r="D194" s="71"/>
      <c r="E194" s="72"/>
      <c r="F194" s="72"/>
      <c r="G194" s="72"/>
      <c r="H194" s="72"/>
      <c r="I194" s="72"/>
      <c r="J194" s="72"/>
      <c r="K194" s="72"/>
      <c r="L194" s="72"/>
      <c r="M194" s="72"/>
      <c r="N194" s="72"/>
      <c r="O194" s="72"/>
      <c r="P194" s="72"/>
      <c r="Q194" s="72"/>
      <c r="R194" s="72"/>
    </row>
    <row customHeight="true" hidden="true" ht="14.880952380952381" r="195">
      <c r="A195" s="73" t="s">
        <v>743</v>
      </c>
      <c r="B195" s="73" t="s">
        <v>769</v>
      </c>
      <c r="C195" s="74" t="s">
        <v>770</v>
      </c>
      <c r="D195" s="71"/>
      <c r="E195" s="72"/>
      <c r="F195" s="72"/>
      <c r="G195" s="72"/>
      <c r="H195" s="72"/>
      <c r="I195" s="72"/>
      <c r="J195" s="72"/>
      <c r="K195" s="72"/>
      <c r="L195" s="72"/>
      <c r="M195" s="72"/>
      <c r="N195" s="72"/>
      <c r="O195" s="72"/>
      <c r="P195" s="72"/>
      <c r="Q195" s="72"/>
      <c r="R195" s="72"/>
    </row>
    <row customHeight="true" hidden="true" ht="14.880952380952381" r="196">
      <c r="A196" s="73" t="s">
        <v>743</v>
      </c>
      <c r="B196" s="73" t="s">
        <v>771</v>
      </c>
      <c r="C196" s="74" t="s">
        <v>772</v>
      </c>
      <c r="D196" s="71"/>
      <c r="E196" s="72"/>
      <c r="F196" s="72"/>
      <c r="G196" s="72"/>
      <c r="H196" s="72"/>
      <c r="I196" s="72"/>
      <c r="J196" s="72"/>
      <c r="K196" s="72"/>
      <c r="L196" s="72"/>
      <c r="M196" s="72"/>
      <c r="N196" s="72"/>
      <c r="O196" s="72"/>
      <c r="P196" s="72"/>
      <c r="Q196" s="72"/>
      <c r="R196" s="72"/>
    </row>
    <row customHeight="true" hidden="true" ht="14.880952380952381" r="197">
      <c r="A197" s="73" t="s">
        <v>743</v>
      </c>
      <c r="B197" s="73" t="s">
        <v>773</v>
      </c>
      <c r="C197" s="74" t="s">
        <v>774</v>
      </c>
      <c r="D197" s="71"/>
      <c r="E197" s="72"/>
      <c r="F197" s="72"/>
      <c r="G197" s="72"/>
      <c r="H197" s="72"/>
      <c r="I197" s="72"/>
      <c r="J197" s="72"/>
      <c r="K197" s="72"/>
      <c r="L197" s="72"/>
      <c r="M197" s="72"/>
      <c r="N197" s="72"/>
      <c r="O197" s="72"/>
      <c r="P197" s="72"/>
      <c r="Q197" s="72"/>
      <c r="R197" s="72"/>
    </row>
    <row customHeight="true" hidden="true" ht="14.880952380952381" r="198">
      <c r="A198" s="73" t="s">
        <v>743</v>
      </c>
      <c r="B198" s="73" t="s">
        <v>775</v>
      </c>
      <c r="C198" s="74" t="s">
        <v>776</v>
      </c>
      <c r="D198" s="71"/>
      <c r="E198" s="72"/>
      <c r="F198" s="72"/>
      <c r="G198" s="72"/>
      <c r="H198" s="72"/>
      <c r="I198" s="72"/>
      <c r="J198" s="72"/>
      <c r="K198" s="72"/>
      <c r="L198" s="72"/>
      <c r="M198" s="72"/>
      <c r="N198" s="72"/>
      <c r="O198" s="72"/>
      <c r="P198" s="72"/>
      <c r="Q198" s="72"/>
      <c r="R198" s="72"/>
    </row>
    <row customHeight="true" hidden="true" ht="14.880952380952381" r="199">
      <c r="A199" s="73" t="s">
        <v>743</v>
      </c>
      <c r="B199" s="73" t="s">
        <v>777</v>
      </c>
      <c r="C199" s="74" t="s">
        <v>778</v>
      </c>
      <c r="D199" s="71"/>
      <c r="E199" s="72"/>
      <c r="F199" s="72"/>
      <c r="G199" s="72"/>
      <c r="H199" s="72"/>
      <c r="I199" s="72"/>
      <c r="J199" s="72"/>
      <c r="K199" s="72"/>
      <c r="L199" s="72"/>
      <c r="M199" s="72"/>
      <c r="N199" s="72"/>
      <c r="O199" s="72"/>
      <c r="P199" s="72"/>
      <c r="Q199" s="72"/>
      <c r="R199" s="72"/>
    </row>
    <row customHeight="true" hidden="true" ht="14.880952380952381" r="200">
      <c r="A200" s="73" t="s">
        <v>743</v>
      </c>
      <c r="B200" s="73" t="s">
        <v>779</v>
      </c>
      <c r="C200" s="74" t="s">
        <v>780</v>
      </c>
      <c r="D200" s="71"/>
      <c r="E200" s="72"/>
      <c r="F200" s="72"/>
      <c r="G200" s="72"/>
      <c r="H200" s="72"/>
      <c r="I200" s="72"/>
      <c r="J200" s="72"/>
      <c r="K200" s="72"/>
      <c r="L200" s="72"/>
      <c r="M200" s="72"/>
      <c r="N200" s="72"/>
      <c r="O200" s="72"/>
      <c r="P200" s="72"/>
      <c r="Q200" s="72"/>
      <c r="R200" s="72"/>
    </row>
    <row customHeight="true" hidden="true" ht="14.880952380952381" r="201">
      <c r="A201" s="73" t="s">
        <v>743</v>
      </c>
      <c r="B201" s="73" t="s">
        <v>781</v>
      </c>
      <c r="C201" s="74" t="s">
        <v>782</v>
      </c>
      <c r="D201" s="71"/>
      <c r="E201" s="72"/>
      <c r="F201" s="72"/>
      <c r="G201" s="72"/>
      <c r="H201" s="72"/>
      <c r="I201" s="72"/>
      <c r="J201" s="72"/>
      <c r="K201" s="72"/>
      <c r="L201" s="72"/>
      <c r="M201" s="72"/>
      <c r="N201" s="72"/>
      <c r="O201" s="72"/>
      <c r="P201" s="72"/>
      <c r="Q201" s="72"/>
      <c r="R201" s="72"/>
    </row>
    <row customHeight="true" hidden="true" ht="14.880952380952381" r="202">
      <c r="A202" s="73" t="s">
        <v>743</v>
      </c>
      <c r="B202" s="73" t="s">
        <v>783</v>
      </c>
      <c r="C202" s="74" t="s">
        <v>784</v>
      </c>
      <c r="D202" s="71"/>
      <c r="E202" s="72"/>
      <c r="F202" s="72"/>
      <c r="G202" s="72"/>
      <c r="H202" s="72"/>
      <c r="I202" s="72"/>
      <c r="J202" s="72"/>
      <c r="K202" s="72"/>
      <c r="L202" s="72"/>
      <c r="M202" s="72"/>
      <c r="N202" s="72"/>
      <c r="O202" s="72"/>
      <c r="P202" s="72"/>
      <c r="Q202" s="72"/>
      <c r="R202" s="72"/>
    </row>
    <row customHeight="true" hidden="true" ht="14.880952380952381" r="203">
      <c r="A203" s="73" t="s">
        <v>743</v>
      </c>
      <c r="B203" s="73" t="s">
        <v>785</v>
      </c>
      <c r="C203" s="74" t="s">
        <v>786</v>
      </c>
      <c r="D203" s="71"/>
      <c r="E203" s="72"/>
      <c r="F203" s="72"/>
      <c r="G203" s="72"/>
      <c r="H203" s="72"/>
      <c r="I203" s="72"/>
      <c r="J203" s="72"/>
      <c r="K203" s="72"/>
      <c r="L203" s="72"/>
      <c r="M203" s="72"/>
      <c r="N203" s="72"/>
      <c r="O203" s="72"/>
      <c r="P203" s="72"/>
      <c r="Q203" s="72"/>
      <c r="R203" s="72"/>
    </row>
    <row customHeight="true" hidden="true" ht="14.880952380952381" r="204">
      <c r="A204" s="73" t="s">
        <v>743</v>
      </c>
      <c r="B204" s="73" t="s">
        <v>787</v>
      </c>
      <c r="C204" s="74" t="s">
        <v>788</v>
      </c>
      <c r="D204" s="71"/>
      <c r="E204" s="72"/>
      <c r="F204" s="72"/>
      <c r="G204" s="72"/>
      <c r="H204" s="72"/>
      <c r="I204" s="72"/>
      <c r="J204" s="72"/>
      <c r="K204" s="72"/>
      <c r="L204" s="72"/>
      <c r="M204" s="72"/>
      <c r="N204" s="72"/>
      <c r="O204" s="72"/>
      <c r="P204" s="72"/>
      <c r="Q204" s="72"/>
      <c r="R204" s="72"/>
    </row>
    <row customHeight="true" hidden="true" ht="14.880952380952381" r="205">
      <c r="A205" s="73" t="s">
        <v>743</v>
      </c>
      <c r="B205" s="73" t="s">
        <v>789</v>
      </c>
      <c r="C205" s="74" t="s">
        <v>790</v>
      </c>
      <c r="D205" s="71"/>
      <c r="E205" s="72"/>
      <c r="F205" s="72"/>
      <c r="G205" s="72"/>
      <c r="H205" s="72"/>
      <c r="I205" s="72"/>
      <c r="J205" s="72"/>
      <c r="K205" s="72"/>
      <c r="L205" s="72"/>
      <c r="M205" s="72"/>
      <c r="N205" s="72"/>
      <c r="O205" s="72"/>
      <c r="P205" s="72"/>
      <c r="Q205" s="72"/>
      <c r="R205" s="72"/>
    </row>
    <row customHeight="true" hidden="true" ht="14.880952380952381" r="206">
      <c r="A206" s="73" t="s">
        <v>743</v>
      </c>
      <c r="B206" s="73" t="s">
        <v>791</v>
      </c>
      <c r="C206" s="74" t="s">
        <v>792</v>
      </c>
      <c r="D206" s="71"/>
      <c r="E206" s="72"/>
      <c r="F206" s="72"/>
      <c r="G206" s="72"/>
      <c r="H206" s="72"/>
      <c r="I206" s="72"/>
      <c r="J206" s="72"/>
      <c r="K206" s="72"/>
      <c r="L206" s="72"/>
      <c r="M206" s="72"/>
      <c r="N206" s="72"/>
      <c r="O206" s="72"/>
      <c r="P206" s="72"/>
      <c r="Q206" s="72"/>
      <c r="R206" s="72"/>
    </row>
    <row customHeight="true" hidden="true" ht="14.880952380952381" r="207">
      <c r="A207" s="73" t="s">
        <v>743</v>
      </c>
      <c r="B207" s="73" t="s">
        <v>793</v>
      </c>
      <c r="C207" s="74" t="s">
        <v>794</v>
      </c>
      <c r="D207" s="71"/>
      <c r="E207" s="72"/>
      <c r="F207" s="72"/>
      <c r="G207" s="72"/>
      <c r="H207" s="72"/>
      <c r="I207" s="72"/>
      <c r="J207" s="72"/>
      <c r="K207" s="72"/>
      <c r="L207" s="72"/>
      <c r="M207" s="72"/>
      <c r="N207" s="72"/>
      <c r="O207" s="72"/>
      <c r="P207" s="72"/>
      <c r="Q207" s="72"/>
      <c r="R207" s="72"/>
    </row>
    <row customHeight="true" hidden="true" ht="14.880952380952381" r="208">
      <c r="A208" s="73" t="s">
        <v>743</v>
      </c>
      <c r="B208" s="73" t="s">
        <v>795</v>
      </c>
      <c r="C208" s="74" t="s">
        <v>796</v>
      </c>
      <c r="D208" s="71"/>
      <c r="E208" s="72"/>
      <c r="F208" s="72"/>
      <c r="G208" s="72"/>
      <c r="H208" s="72"/>
      <c r="I208" s="72"/>
      <c r="J208" s="72"/>
      <c r="K208" s="72"/>
      <c r="L208" s="72"/>
      <c r="M208" s="72"/>
      <c r="N208" s="72"/>
      <c r="O208" s="72"/>
      <c r="P208" s="72"/>
      <c r="Q208" s="72"/>
      <c r="R208" s="72"/>
    </row>
    <row customHeight="true" hidden="true" ht="14.880952380952381" r="209">
      <c r="A209" s="73" t="s">
        <v>743</v>
      </c>
      <c r="B209" s="73" t="s">
        <v>797</v>
      </c>
      <c r="C209" s="74" t="s">
        <v>798</v>
      </c>
      <c r="D209" s="71"/>
      <c r="E209" s="72"/>
      <c r="F209" s="72"/>
      <c r="G209" s="72"/>
      <c r="H209" s="72"/>
      <c r="I209" s="72"/>
      <c r="J209" s="72"/>
      <c r="K209" s="72"/>
      <c r="L209" s="72"/>
      <c r="M209" s="72"/>
      <c r="N209" s="72"/>
      <c r="O209" s="72"/>
      <c r="P209" s="72"/>
      <c r="Q209" s="72"/>
      <c r="R209" s="72"/>
    </row>
    <row customHeight="true" hidden="true" ht="14.880952380952381" r="210">
      <c r="A210" s="73" t="s">
        <v>743</v>
      </c>
      <c r="B210" s="73" t="s">
        <v>799</v>
      </c>
      <c r="C210" s="74" t="s">
        <v>800</v>
      </c>
      <c r="D210" s="71"/>
      <c r="E210" s="72"/>
      <c r="F210" s="72"/>
      <c r="G210" s="72"/>
      <c r="H210" s="72"/>
      <c r="I210" s="72"/>
      <c r="J210" s="72"/>
      <c r="K210" s="72"/>
      <c r="L210" s="72"/>
      <c r="M210" s="72"/>
      <c r="N210" s="72"/>
      <c r="O210" s="72"/>
      <c r="P210" s="72"/>
      <c r="Q210" s="72"/>
      <c r="R210" s="72"/>
    </row>
    <row customHeight="true" hidden="true" ht="14.880952380952381" r="211">
      <c r="A211" s="73" t="s">
        <v>743</v>
      </c>
      <c r="B211" s="73" t="s">
        <v>801</v>
      </c>
      <c r="C211" s="74" t="s">
        <v>802</v>
      </c>
      <c r="D211" s="71"/>
      <c r="E211" s="72"/>
      <c r="F211" s="72"/>
      <c r="G211" s="72"/>
      <c r="H211" s="72"/>
      <c r="I211" s="72"/>
      <c r="J211" s="72"/>
      <c r="K211" s="72"/>
      <c r="L211" s="72"/>
      <c r="M211" s="72"/>
      <c r="N211" s="72"/>
      <c r="O211" s="72"/>
      <c r="P211" s="72"/>
      <c r="Q211" s="72"/>
      <c r="R211" s="72"/>
    </row>
    <row customHeight="true" hidden="true" ht="14.880952380952381" r="212">
      <c r="A212" s="73" t="s">
        <v>743</v>
      </c>
      <c r="B212" s="73" t="s">
        <v>803</v>
      </c>
      <c r="C212" s="74" t="s">
        <v>804</v>
      </c>
      <c r="D212" s="71"/>
      <c r="E212" s="72"/>
      <c r="F212" s="72"/>
      <c r="G212" s="72"/>
      <c r="H212" s="72"/>
      <c r="I212" s="72"/>
      <c r="J212" s="72"/>
      <c r="K212" s="72"/>
      <c r="L212" s="72"/>
      <c r="M212" s="72"/>
      <c r="N212" s="72"/>
      <c r="O212" s="72"/>
      <c r="P212" s="72"/>
      <c r="Q212" s="72"/>
      <c r="R212" s="72"/>
    </row>
    <row customHeight="true" hidden="true" ht="14.880952380952381" r="213">
      <c r="A213" s="73" t="s">
        <v>743</v>
      </c>
      <c r="B213" s="73" t="s">
        <v>805</v>
      </c>
      <c r="C213" s="74" t="s">
        <v>806</v>
      </c>
      <c r="D213" s="71"/>
      <c r="E213" s="72"/>
      <c r="F213" s="72"/>
      <c r="G213" s="72"/>
      <c r="H213" s="72"/>
      <c r="I213" s="72"/>
      <c r="J213" s="72"/>
      <c r="K213" s="72"/>
      <c r="L213" s="72"/>
      <c r="M213" s="72"/>
      <c r="N213" s="72"/>
      <c r="O213" s="72"/>
      <c r="P213" s="72"/>
      <c r="Q213" s="72"/>
      <c r="R213" s="72"/>
    </row>
    <row customHeight="true" hidden="true" ht="14.880952380952381" r="214">
      <c r="A214" s="73" t="s">
        <v>743</v>
      </c>
      <c r="B214" s="73" t="s">
        <v>807</v>
      </c>
      <c r="C214" s="74" t="s">
        <v>808</v>
      </c>
      <c r="D214" s="71"/>
      <c r="E214" s="72"/>
      <c r="F214" s="72"/>
      <c r="G214" s="72"/>
      <c r="H214" s="72"/>
      <c r="I214" s="72"/>
      <c r="J214" s="72"/>
      <c r="K214" s="72"/>
      <c r="L214" s="72"/>
      <c r="M214" s="72"/>
      <c r="N214" s="72"/>
      <c r="O214" s="72"/>
      <c r="P214" s="72"/>
      <c r="Q214" s="72"/>
      <c r="R214" s="72"/>
    </row>
    <row customHeight="true" hidden="true" ht="14.880952380952381" r="215">
      <c r="A215" s="73" t="s">
        <v>743</v>
      </c>
      <c r="B215" s="73" t="s">
        <v>809</v>
      </c>
      <c r="C215" s="74" t="s">
        <v>810</v>
      </c>
      <c r="D215" s="71"/>
      <c r="E215" s="72"/>
      <c r="F215" s="72"/>
      <c r="G215" s="72"/>
      <c r="H215" s="72"/>
      <c r="I215" s="72"/>
      <c r="J215" s="72"/>
      <c r="K215" s="72"/>
      <c r="L215" s="72"/>
      <c r="M215" s="72"/>
      <c r="N215" s="72"/>
      <c r="O215" s="72"/>
      <c r="P215" s="72"/>
      <c r="Q215" s="72"/>
      <c r="R215" s="72"/>
    </row>
    <row customHeight="true" hidden="true" ht="14.880952380952381" r="216">
      <c r="A216" s="73" t="s">
        <v>743</v>
      </c>
      <c r="B216" s="73" t="s">
        <v>811</v>
      </c>
      <c r="C216" s="74" t="s">
        <v>812</v>
      </c>
      <c r="D216" s="71"/>
      <c r="E216" s="72"/>
      <c r="F216" s="72"/>
      <c r="G216" s="72"/>
      <c r="H216" s="72"/>
      <c r="I216" s="72"/>
      <c r="J216" s="72"/>
      <c r="K216" s="72"/>
      <c r="L216" s="72"/>
      <c r="M216" s="72"/>
      <c r="N216" s="72"/>
      <c r="O216" s="72"/>
      <c r="P216" s="72"/>
      <c r="Q216" s="72"/>
      <c r="R216" s="72"/>
    </row>
    <row customHeight="true" hidden="true" ht="14.880952380952381" r="217">
      <c r="A217" s="73" t="s">
        <v>743</v>
      </c>
      <c r="B217" s="73" t="s">
        <v>813</v>
      </c>
      <c r="C217" s="74" t="s">
        <v>814</v>
      </c>
      <c r="D217" s="71"/>
      <c r="E217" s="72"/>
      <c r="F217" s="72"/>
      <c r="G217" s="72"/>
      <c r="H217" s="72"/>
      <c r="I217" s="72"/>
      <c r="J217" s="72"/>
      <c r="K217" s="72"/>
      <c r="L217" s="72"/>
      <c r="M217" s="72"/>
      <c r="N217" s="72"/>
      <c r="O217" s="72"/>
      <c r="P217" s="72"/>
      <c r="Q217" s="72"/>
      <c r="R217" s="72"/>
    </row>
    <row customHeight="true" hidden="true" ht="14.880952380952381" r="218">
      <c r="A218" s="73" t="s">
        <v>743</v>
      </c>
      <c r="B218" s="73" t="s">
        <v>815</v>
      </c>
      <c r="C218" s="74" t="s">
        <v>816</v>
      </c>
      <c r="D218" s="71"/>
      <c r="E218" s="72"/>
      <c r="F218" s="72"/>
      <c r="G218" s="72"/>
      <c r="H218" s="72"/>
      <c r="I218" s="72"/>
      <c r="J218" s="72"/>
      <c r="K218" s="72"/>
      <c r="L218" s="72"/>
      <c r="M218" s="72"/>
      <c r="N218" s="72"/>
      <c r="O218" s="72"/>
      <c r="P218" s="72"/>
      <c r="Q218" s="72"/>
      <c r="R218" s="72"/>
    </row>
    <row customHeight="true" hidden="true" ht="14.880952380952381" r="219">
      <c r="A219" s="73" t="s">
        <v>743</v>
      </c>
      <c r="B219" s="73" t="s">
        <v>817</v>
      </c>
      <c r="C219" s="74" t="s">
        <v>818</v>
      </c>
      <c r="D219" s="71"/>
      <c r="E219" s="72"/>
      <c r="F219" s="72"/>
      <c r="G219" s="72"/>
      <c r="H219" s="72"/>
      <c r="I219" s="72"/>
      <c r="J219" s="72"/>
      <c r="K219" s="72"/>
      <c r="L219" s="72"/>
      <c r="M219" s="72"/>
      <c r="N219" s="72"/>
      <c r="O219" s="72"/>
      <c r="P219" s="72"/>
      <c r="Q219" s="72"/>
      <c r="R219" s="72"/>
    </row>
    <row customHeight="true" hidden="true" ht="14.880952380952381" r="220">
      <c r="A220" s="73" t="s">
        <v>743</v>
      </c>
      <c r="B220" s="73" t="s">
        <v>819</v>
      </c>
      <c r="C220" s="74" t="s">
        <v>820</v>
      </c>
      <c r="D220" s="71"/>
      <c r="E220" s="72"/>
      <c r="F220" s="72"/>
      <c r="G220" s="72"/>
      <c r="H220" s="72"/>
      <c r="I220" s="72"/>
      <c r="J220" s="72"/>
      <c r="K220" s="72"/>
      <c r="L220" s="72"/>
      <c r="M220" s="72"/>
      <c r="N220" s="72"/>
      <c r="O220" s="72"/>
      <c r="P220" s="72"/>
      <c r="Q220" s="72"/>
      <c r="R220" s="72"/>
    </row>
    <row customHeight="true" hidden="true" ht="14.880952380952381" r="221">
      <c r="A221" s="73" t="s">
        <v>743</v>
      </c>
      <c r="B221" s="73" t="s">
        <v>821</v>
      </c>
      <c r="C221" s="74" t="s">
        <v>822</v>
      </c>
      <c r="D221" s="71"/>
      <c r="E221" s="72"/>
      <c r="F221" s="72"/>
      <c r="G221" s="72"/>
      <c r="H221" s="72"/>
      <c r="I221" s="72"/>
      <c r="J221" s="72"/>
      <c r="K221" s="72"/>
      <c r="L221" s="72"/>
      <c r="M221" s="72"/>
      <c r="N221" s="72"/>
      <c r="O221" s="72"/>
      <c r="P221" s="72"/>
      <c r="Q221" s="72"/>
      <c r="R221" s="72"/>
    </row>
    <row customHeight="true" hidden="true" ht="14.880952380952381" r="222">
      <c r="A222" s="73" t="s">
        <v>743</v>
      </c>
      <c r="B222" s="73" t="s">
        <v>823</v>
      </c>
      <c r="C222" s="74" t="s">
        <v>824</v>
      </c>
      <c r="D222" s="71"/>
      <c r="E222" s="72"/>
      <c r="F222" s="72"/>
      <c r="G222" s="72"/>
      <c r="H222" s="72"/>
      <c r="I222" s="72"/>
      <c r="J222" s="72"/>
      <c r="K222" s="72"/>
      <c r="L222" s="72"/>
      <c r="M222" s="72"/>
      <c r="N222" s="72"/>
      <c r="O222" s="72"/>
      <c r="P222" s="72"/>
      <c r="Q222" s="72"/>
      <c r="R222" s="72"/>
    </row>
    <row customHeight="true" hidden="true" ht="14.880952380952381" r="223">
      <c r="A223" s="73" t="s">
        <v>743</v>
      </c>
      <c r="B223" s="73" t="s">
        <v>825</v>
      </c>
      <c r="C223" s="74" t="s">
        <v>826</v>
      </c>
      <c r="D223" s="71"/>
      <c r="E223" s="72"/>
      <c r="F223" s="72"/>
      <c r="G223" s="72"/>
      <c r="H223" s="72"/>
      <c r="I223" s="72"/>
      <c r="J223" s="72"/>
      <c r="K223" s="72"/>
      <c r="L223" s="72"/>
      <c r="M223" s="72"/>
      <c r="N223" s="72"/>
      <c r="O223" s="72"/>
      <c r="P223" s="72"/>
      <c r="Q223" s="72"/>
      <c r="R223" s="72"/>
    </row>
    <row customHeight="true" hidden="true" ht="14.880952380952381" r="224">
      <c r="A224" s="73" t="s">
        <v>743</v>
      </c>
      <c r="B224" s="73" t="s">
        <v>827</v>
      </c>
      <c r="C224" s="74" t="s">
        <v>828</v>
      </c>
      <c r="D224" s="71"/>
      <c r="E224" s="72"/>
      <c r="F224" s="72"/>
      <c r="G224" s="72"/>
      <c r="H224" s="72"/>
      <c r="I224" s="72"/>
      <c r="J224" s="72"/>
      <c r="K224" s="72"/>
      <c r="L224" s="72"/>
      <c r="M224" s="72"/>
      <c r="N224" s="72"/>
      <c r="O224" s="72"/>
      <c r="P224" s="72"/>
      <c r="Q224" s="72"/>
      <c r="R224" s="72"/>
    </row>
    <row customHeight="true" hidden="true" ht="14.880952380952381" r="225">
      <c r="A225" s="73" t="s">
        <v>743</v>
      </c>
      <c r="B225" s="73" t="s">
        <v>829</v>
      </c>
      <c r="C225" s="74" t="s">
        <v>830</v>
      </c>
      <c r="D225" s="71"/>
      <c r="E225" s="72"/>
      <c r="F225" s="72"/>
      <c r="G225" s="72"/>
      <c r="H225" s="72"/>
      <c r="I225" s="72"/>
      <c r="J225" s="72"/>
      <c r="K225" s="72"/>
      <c r="L225" s="72"/>
      <c r="M225" s="72"/>
      <c r="N225" s="72"/>
      <c r="O225" s="72"/>
      <c r="P225" s="72"/>
      <c r="Q225" s="72"/>
      <c r="R225" s="72"/>
    </row>
    <row customHeight="true" hidden="true" ht="14.880952380952381" r="226">
      <c r="A226" s="73" t="s">
        <v>743</v>
      </c>
      <c r="B226" s="73" t="s">
        <v>831</v>
      </c>
      <c r="C226" s="74" t="s">
        <v>832</v>
      </c>
      <c r="D226" s="71"/>
      <c r="E226" s="72"/>
      <c r="F226" s="72"/>
      <c r="G226" s="72"/>
      <c r="H226" s="72"/>
      <c r="I226" s="72"/>
      <c r="J226" s="72"/>
      <c r="K226" s="72"/>
      <c r="L226" s="72"/>
      <c r="M226" s="72"/>
      <c r="N226" s="72"/>
      <c r="O226" s="72"/>
      <c r="P226" s="72"/>
      <c r="Q226" s="72"/>
      <c r="R226" s="72"/>
    </row>
    <row customHeight="true" hidden="true" ht="14.880952380952381" r="227">
      <c r="A227" s="73" t="s">
        <v>743</v>
      </c>
      <c r="B227" s="73" t="s">
        <v>833</v>
      </c>
      <c r="C227" s="74" t="s">
        <v>834</v>
      </c>
      <c r="D227" s="71"/>
      <c r="E227" s="72"/>
      <c r="F227" s="72"/>
      <c r="G227" s="72"/>
      <c r="H227" s="72"/>
      <c r="I227" s="72"/>
      <c r="J227" s="72"/>
      <c r="K227" s="72"/>
      <c r="L227" s="72"/>
      <c r="M227" s="72"/>
      <c r="N227" s="72"/>
      <c r="O227" s="72"/>
      <c r="P227" s="72"/>
      <c r="Q227" s="72"/>
      <c r="R227" s="72"/>
    </row>
    <row customHeight="true" hidden="true" ht="14.880952380952381" r="228">
      <c r="A228" s="73" t="s">
        <v>743</v>
      </c>
      <c r="B228" s="73" t="s">
        <v>835</v>
      </c>
      <c r="C228" s="74" t="s">
        <v>836</v>
      </c>
      <c r="D228" s="71"/>
      <c r="E228" s="72"/>
      <c r="F228" s="72"/>
      <c r="G228" s="72"/>
      <c r="H228" s="72"/>
      <c r="I228" s="72"/>
      <c r="J228" s="72"/>
      <c r="K228" s="72"/>
      <c r="L228" s="72"/>
      <c r="M228" s="72"/>
      <c r="N228" s="72"/>
      <c r="O228" s="72"/>
      <c r="P228" s="72"/>
      <c r="Q228" s="72"/>
      <c r="R228" s="72"/>
    </row>
    <row customHeight="true" hidden="true" ht="14.880952380952381" r="229">
      <c r="A229" s="73" t="s">
        <v>743</v>
      </c>
      <c r="B229" s="73" t="s">
        <v>837</v>
      </c>
      <c r="C229" s="74" t="s">
        <v>838</v>
      </c>
      <c r="D229" s="71"/>
      <c r="E229" s="72"/>
      <c r="F229" s="72"/>
      <c r="G229" s="72"/>
      <c r="H229" s="72"/>
      <c r="I229" s="72"/>
      <c r="J229" s="72"/>
      <c r="K229" s="72"/>
      <c r="L229" s="72"/>
      <c r="M229" s="72"/>
      <c r="N229" s="72"/>
      <c r="O229" s="72"/>
      <c r="P229" s="72"/>
      <c r="Q229" s="72"/>
      <c r="R229" s="72"/>
    </row>
    <row customHeight="true" hidden="true" ht="14.880952380952381" r="230">
      <c r="A230" s="73" t="s">
        <v>743</v>
      </c>
      <c r="B230" s="73" t="s">
        <v>839</v>
      </c>
      <c r="C230" s="74" t="s">
        <v>840</v>
      </c>
      <c r="D230" s="71"/>
      <c r="E230" s="72"/>
      <c r="F230" s="72"/>
      <c r="G230" s="72"/>
      <c r="H230" s="72"/>
      <c r="I230" s="72"/>
      <c r="J230" s="72"/>
      <c r="K230" s="72"/>
      <c r="L230" s="72"/>
      <c r="M230" s="72"/>
      <c r="N230" s="72"/>
      <c r="O230" s="72"/>
      <c r="P230" s="72"/>
      <c r="Q230" s="72"/>
      <c r="R230" s="72"/>
    </row>
    <row customHeight="true" hidden="true" ht="14.880952380952381" r="231">
      <c r="A231" s="73" t="s">
        <v>743</v>
      </c>
      <c r="B231" s="73" t="s">
        <v>841</v>
      </c>
      <c r="C231" s="74" t="s">
        <v>842</v>
      </c>
      <c r="D231" s="71"/>
      <c r="E231" s="72"/>
      <c r="F231" s="72"/>
      <c r="G231" s="72"/>
      <c r="H231" s="72"/>
      <c r="I231" s="72"/>
      <c r="J231" s="72"/>
      <c r="K231" s="72"/>
      <c r="L231" s="72"/>
      <c r="M231" s="72"/>
      <c r="N231" s="72"/>
      <c r="O231" s="72"/>
      <c r="P231" s="72"/>
      <c r="Q231" s="72"/>
      <c r="R231" s="72"/>
    </row>
    <row customHeight="true" hidden="true" ht="14.880952380952381" r="232">
      <c r="A232" s="73" t="s">
        <v>743</v>
      </c>
      <c r="B232" s="73" t="s">
        <v>843</v>
      </c>
      <c r="C232" s="74" t="s">
        <v>844</v>
      </c>
      <c r="D232" s="71"/>
      <c r="E232" s="72"/>
      <c r="F232" s="72"/>
      <c r="G232" s="72"/>
      <c r="H232" s="72"/>
      <c r="I232" s="72"/>
      <c r="J232" s="72"/>
      <c r="K232" s="72"/>
      <c r="L232" s="72"/>
      <c r="M232" s="72"/>
      <c r="N232" s="72"/>
      <c r="O232" s="72"/>
      <c r="P232" s="72"/>
      <c r="Q232" s="72"/>
      <c r="R232" s="72"/>
    </row>
    <row customHeight="true" hidden="true" ht="14.880952380952381" r="233">
      <c r="A233" s="73" t="s">
        <v>743</v>
      </c>
      <c r="B233" s="73" t="s">
        <v>845</v>
      </c>
      <c r="C233" s="74" t="s">
        <v>846</v>
      </c>
      <c r="D233" s="71"/>
      <c r="E233" s="72"/>
      <c r="F233" s="72"/>
      <c r="G233" s="72"/>
      <c r="H233" s="72"/>
      <c r="I233" s="72"/>
      <c r="J233" s="72"/>
      <c r="K233" s="72"/>
      <c r="L233" s="72"/>
      <c r="M233" s="72"/>
      <c r="N233" s="72"/>
      <c r="O233" s="72"/>
      <c r="P233" s="72"/>
      <c r="Q233" s="72"/>
      <c r="R233" s="72"/>
    </row>
    <row customHeight="true" hidden="true" ht="14.880952380952381" r="234">
      <c r="A234" s="73" t="s">
        <v>743</v>
      </c>
      <c r="B234" s="73" t="s">
        <v>847</v>
      </c>
      <c r="C234" s="74" t="s">
        <v>848</v>
      </c>
      <c r="D234" s="71"/>
      <c r="E234" s="72"/>
      <c r="F234" s="72"/>
      <c r="G234" s="72"/>
      <c r="H234" s="72"/>
      <c r="I234" s="72"/>
      <c r="J234" s="72"/>
      <c r="K234" s="72"/>
      <c r="L234" s="72"/>
      <c r="M234" s="72"/>
      <c r="N234" s="72"/>
      <c r="O234" s="72"/>
      <c r="P234" s="72"/>
      <c r="Q234" s="72"/>
      <c r="R234" s="72"/>
    </row>
    <row customHeight="true" hidden="true" ht="14.880952380952381" r="235">
      <c r="A235" s="73" t="s">
        <v>743</v>
      </c>
      <c r="B235" s="73" t="s">
        <v>849</v>
      </c>
      <c r="C235" s="74" t="s">
        <v>850</v>
      </c>
      <c r="D235" s="71"/>
      <c r="E235" s="72"/>
      <c r="F235" s="72"/>
      <c r="G235" s="72"/>
      <c r="H235" s="72"/>
      <c r="I235" s="72"/>
      <c r="J235" s="72"/>
      <c r="K235" s="72"/>
      <c r="L235" s="72"/>
      <c r="M235" s="72"/>
      <c r="N235" s="72"/>
      <c r="O235" s="72"/>
      <c r="P235" s="72"/>
      <c r="Q235" s="72"/>
      <c r="R235" s="72"/>
    </row>
    <row customHeight="true" hidden="true" ht="14.880952380952381" r="236">
      <c r="A236" s="73" t="s">
        <v>743</v>
      </c>
      <c r="B236" s="73" t="s">
        <v>851</v>
      </c>
      <c r="C236" s="74" t="s">
        <v>852</v>
      </c>
      <c r="D236" s="71"/>
      <c r="E236" s="72"/>
      <c r="F236" s="72"/>
      <c r="G236" s="72"/>
      <c r="H236" s="72"/>
      <c r="I236" s="72"/>
      <c r="J236" s="72"/>
      <c r="K236" s="72"/>
      <c r="L236" s="72"/>
      <c r="M236" s="72"/>
      <c r="N236" s="72"/>
      <c r="O236" s="72"/>
      <c r="P236" s="72"/>
      <c r="Q236" s="72"/>
      <c r="R236" s="72"/>
    </row>
    <row customHeight="true" hidden="true" ht="14.880952380952381" r="237">
      <c r="A237" s="73" t="s">
        <v>743</v>
      </c>
      <c r="B237" s="73" t="s">
        <v>853</v>
      </c>
      <c r="C237" s="74" t="s">
        <v>854</v>
      </c>
      <c r="D237" s="71"/>
      <c r="E237" s="72"/>
      <c r="F237" s="72"/>
      <c r="G237" s="72"/>
      <c r="H237" s="72"/>
      <c r="I237" s="72"/>
      <c r="J237" s="72"/>
      <c r="K237" s="72"/>
      <c r="L237" s="72"/>
      <c r="M237" s="72"/>
      <c r="N237" s="72"/>
      <c r="O237" s="72"/>
      <c r="P237" s="72"/>
      <c r="Q237" s="72"/>
      <c r="R237" s="72"/>
    </row>
    <row customHeight="true" hidden="true" ht="14.880952380952381" r="238">
      <c r="A238" s="73" t="s">
        <v>743</v>
      </c>
      <c r="B238" s="73" t="s">
        <v>855</v>
      </c>
      <c r="C238" s="74" t="s">
        <v>634</v>
      </c>
      <c r="D238" s="71"/>
      <c r="E238" s="72"/>
      <c r="F238" s="72"/>
      <c r="G238" s="72"/>
      <c r="H238" s="72"/>
      <c r="I238" s="72"/>
      <c r="J238" s="72"/>
      <c r="K238" s="72"/>
      <c r="L238" s="72"/>
      <c r="M238" s="72"/>
      <c r="N238" s="72"/>
      <c r="O238" s="72"/>
      <c r="P238" s="72"/>
      <c r="Q238" s="72"/>
      <c r="R238" s="72"/>
    </row>
    <row customHeight="true" hidden="true" ht="14.880952380952381" r="239">
      <c r="A239" s="73" t="s">
        <v>743</v>
      </c>
      <c r="B239" s="73" t="s">
        <v>856</v>
      </c>
      <c r="C239" s="74" t="s">
        <v>857</v>
      </c>
      <c r="D239" s="71"/>
      <c r="E239" s="72"/>
      <c r="F239" s="72"/>
      <c r="G239" s="72"/>
      <c r="H239" s="72"/>
      <c r="I239" s="72"/>
      <c r="J239" s="72"/>
      <c r="K239" s="72"/>
      <c r="L239" s="72"/>
      <c r="M239" s="72"/>
      <c r="N239" s="72"/>
      <c r="O239" s="72"/>
      <c r="P239" s="72"/>
      <c r="Q239" s="72"/>
      <c r="R239" s="72"/>
    </row>
    <row customHeight="true" hidden="true" ht="14.880952380952381" r="240">
      <c r="A240" s="73" t="s">
        <v>743</v>
      </c>
      <c r="B240" s="73" t="s">
        <v>858</v>
      </c>
      <c r="C240" s="74" t="s">
        <v>859</v>
      </c>
      <c r="D240" s="71"/>
      <c r="E240" s="72"/>
      <c r="F240" s="72"/>
      <c r="G240" s="72"/>
      <c r="H240" s="72"/>
      <c r="I240" s="72"/>
      <c r="J240" s="72"/>
      <c r="K240" s="72"/>
      <c r="L240" s="72"/>
      <c r="M240" s="72"/>
      <c r="N240" s="72"/>
      <c r="O240" s="72"/>
      <c r="P240" s="72"/>
      <c r="Q240" s="72"/>
      <c r="R240" s="72"/>
    </row>
    <row customHeight="true" hidden="true" ht="14.880952380952381" r="241">
      <c r="A241" s="73" t="s">
        <v>743</v>
      </c>
      <c r="B241" s="73" t="s">
        <v>860</v>
      </c>
      <c r="C241" s="74" t="s">
        <v>861</v>
      </c>
      <c r="D241" s="71"/>
      <c r="E241" s="72"/>
      <c r="F241" s="72"/>
      <c r="G241" s="72"/>
      <c r="H241" s="72"/>
      <c r="I241" s="72"/>
      <c r="J241" s="72"/>
      <c r="K241" s="72"/>
      <c r="L241" s="72"/>
      <c r="M241" s="72"/>
      <c r="N241" s="72"/>
      <c r="O241" s="72"/>
      <c r="P241" s="72"/>
      <c r="Q241" s="72"/>
      <c r="R241" s="72"/>
    </row>
    <row customHeight="true" hidden="true" ht="14.880952380952381" r="242">
      <c r="A242" s="73" t="s">
        <v>743</v>
      </c>
      <c r="B242" s="73" t="s">
        <v>862</v>
      </c>
      <c r="C242" s="74" t="s">
        <v>863</v>
      </c>
      <c r="D242" s="71"/>
      <c r="E242" s="72"/>
      <c r="F242" s="72"/>
      <c r="G242" s="72"/>
      <c r="H242" s="72"/>
      <c r="I242" s="72"/>
      <c r="J242" s="72"/>
      <c r="K242" s="72"/>
      <c r="L242" s="72"/>
      <c r="M242" s="72"/>
      <c r="N242" s="72"/>
      <c r="O242" s="72"/>
      <c r="P242" s="72"/>
      <c r="Q242" s="72"/>
      <c r="R242" s="72"/>
    </row>
    <row customHeight="true" hidden="true" ht="14.880952380952381" r="243">
      <c r="A243" s="73" t="s">
        <v>743</v>
      </c>
      <c r="B243" s="73" t="s">
        <v>675</v>
      </c>
      <c r="C243" s="74" t="s">
        <v>864</v>
      </c>
      <c r="D243" s="71"/>
      <c r="E243" s="72"/>
      <c r="F243" s="72"/>
      <c r="G243" s="72"/>
      <c r="H243" s="72"/>
      <c r="I243" s="72"/>
      <c r="J243" s="72"/>
      <c r="K243" s="72"/>
      <c r="L243" s="72"/>
      <c r="M243" s="72"/>
      <c r="N243" s="72"/>
      <c r="O243" s="72"/>
      <c r="P243" s="72"/>
      <c r="Q243" s="72"/>
      <c r="R243" s="72"/>
    </row>
    <row customHeight="true" hidden="true" ht="14.880952380952381" r="244">
      <c r="A244" s="73" t="s">
        <v>743</v>
      </c>
      <c r="B244" s="73" t="s">
        <v>677</v>
      </c>
      <c r="C244" s="74" t="s">
        <v>678</v>
      </c>
      <c r="D244" s="71"/>
      <c r="E244" s="72"/>
      <c r="F244" s="72"/>
      <c r="G244" s="72"/>
      <c r="H244" s="72"/>
      <c r="I244" s="72"/>
      <c r="J244" s="72"/>
      <c r="K244" s="72"/>
      <c r="L244" s="72"/>
      <c r="M244" s="72"/>
      <c r="N244" s="72"/>
      <c r="O244" s="72"/>
      <c r="P244" s="72"/>
      <c r="Q244" s="72"/>
      <c r="R244" s="72"/>
    </row>
    <row customHeight="true" hidden="true" ht="14.880952380952381" r="245">
      <c r="A245" s="73" t="s">
        <v>743</v>
      </c>
      <c r="B245" s="73" t="s">
        <v>679</v>
      </c>
      <c r="C245" s="74" t="s">
        <v>680</v>
      </c>
      <c r="D245" s="71"/>
      <c r="E245" s="72"/>
      <c r="F245" s="72"/>
      <c r="G245" s="72"/>
      <c r="H245" s="72"/>
      <c r="I245" s="72"/>
      <c r="J245" s="72"/>
      <c r="K245" s="72"/>
      <c r="L245" s="72"/>
      <c r="M245" s="72"/>
      <c r="N245" s="72"/>
      <c r="O245" s="72"/>
      <c r="P245" s="72"/>
      <c r="Q245" s="72"/>
      <c r="R245" s="72"/>
    </row>
    <row customHeight="true" hidden="true" ht="29.761904761904763" r="246">
      <c r="A246" s="73" t="s">
        <v>743</v>
      </c>
      <c r="B246" s="73" t="s">
        <v>681</v>
      </c>
      <c r="C246" s="74" t="s">
        <v>865</v>
      </c>
      <c r="D246" s="71"/>
      <c r="E246" s="72"/>
      <c r="F246" s="72"/>
      <c r="G246" s="72"/>
      <c r="H246" s="72"/>
      <c r="I246" s="72"/>
      <c r="J246" s="72"/>
      <c r="K246" s="72"/>
      <c r="L246" s="72"/>
      <c r="M246" s="72"/>
      <c r="N246" s="72"/>
      <c r="O246" s="72"/>
      <c r="P246" s="72"/>
      <c r="Q246" s="72"/>
      <c r="R246" s="72"/>
    </row>
    <row customHeight="true" hidden="true" ht="14.880952380952381" r="247">
      <c r="A247" s="73" t="s">
        <v>743</v>
      </c>
      <c r="B247" s="73" t="s">
        <v>866</v>
      </c>
      <c r="C247" s="74" t="s">
        <v>867</v>
      </c>
      <c r="D247" s="71"/>
      <c r="E247" s="72"/>
      <c r="F247" s="72"/>
      <c r="G247" s="72"/>
      <c r="H247" s="72"/>
      <c r="I247" s="72"/>
      <c r="J247" s="72"/>
      <c r="K247" s="72"/>
      <c r="L247" s="72"/>
      <c r="M247" s="72"/>
      <c r="N247" s="72"/>
      <c r="O247" s="72"/>
      <c r="P247" s="72"/>
      <c r="Q247" s="72"/>
      <c r="R247" s="72"/>
    </row>
    <row customHeight="true" hidden="true" ht="14.880952380952381" r="248">
      <c r="A248" s="73" t="s">
        <v>743</v>
      </c>
      <c r="B248" s="73" t="s">
        <v>868</v>
      </c>
      <c r="C248" s="74" t="s">
        <v>869</v>
      </c>
      <c r="D248" s="71"/>
      <c r="E248" s="72"/>
      <c r="F248" s="72"/>
      <c r="G248" s="72"/>
      <c r="H248" s="72"/>
      <c r="I248" s="72"/>
      <c r="J248" s="72"/>
      <c r="K248" s="72"/>
      <c r="L248" s="72"/>
      <c r="M248" s="72"/>
      <c r="N248" s="72"/>
      <c r="O248" s="72"/>
      <c r="P248" s="72"/>
      <c r="Q248" s="72"/>
      <c r="R248" s="72"/>
    </row>
    <row customHeight="true" hidden="true" ht="14.880952380952381" r="249">
      <c r="A249" s="73" t="s">
        <v>743</v>
      </c>
      <c r="B249" s="73" t="s">
        <v>870</v>
      </c>
      <c r="C249" s="74" t="s">
        <v>871</v>
      </c>
      <c r="D249" s="71"/>
      <c r="E249" s="72"/>
      <c r="F249" s="72"/>
      <c r="G249" s="72"/>
      <c r="H249" s="72"/>
      <c r="I249" s="72"/>
      <c r="J249" s="72"/>
      <c r="K249" s="72"/>
      <c r="L249" s="72"/>
      <c r="M249" s="72"/>
      <c r="N249" s="72"/>
      <c r="O249" s="72"/>
      <c r="P249" s="72"/>
      <c r="Q249" s="72"/>
      <c r="R249" s="72"/>
    </row>
    <row customHeight="true" hidden="true" ht="14.880952380952381" r="250">
      <c r="A250" s="73" t="s">
        <v>743</v>
      </c>
      <c r="B250" s="73" t="s">
        <v>872</v>
      </c>
      <c r="C250" s="74" t="s">
        <v>873</v>
      </c>
      <c r="D250" s="71"/>
      <c r="E250" s="72"/>
      <c r="F250" s="72"/>
      <c r="G250" s="72"/>
      <c r="H250" s="72"/>
      <c r="I250" s="72"/>
      <c r="J250" s="72"/>
      <c r="K250" s="72"/>
      <c r="L250" s="72"/>
      <c r="M250" s="72"/>
      <c r="N250" s="72"/>
      <c r="O250" s="72"/>
      <c r="P250" s="72"/>
      <c r="Q250" s="72"/>
      <c r="R250" s="72"/>
    </row>
    <row customHeight="true" hidden="true" ht="14.880952380952381" r="251">
      <c r="A251" s="73" t="s">
        <v>743</v>
      </c>
      <c r="B251" s="73" t="s">
        <v>874</v>
      </c>
      <c r="C251" s="74" t="s">
        <v>875</v>
      </c>
      <c r="D251" s="71"/>
      <c r="E251" s="72"/>
      <c r="F251" s="72"/>
      <c r="G251" s="72"/>
      <c r="H251" s="72"/>
      <c r="I251" s="72"/>
      <c r="J251" s="72"/>
      <c r="K251" s="72"/>
      <c r="L251" s="72"/>
      <c r="M251" s="72"/>
      <c r="N251" s="72"/>
      <c r="O251" s="72"/>
      <c r="P251" s="72"/>
      <c r="Q251" s="72"/>
      <c r="R251" s="72"/>
    </row>
    <row customHeight="true" hidden="true" ht="14.880952380952381" r="252">
      <c r="A252" s="73" t="s">
        <v>743</v>
      </c>
      <c r="B252" s="73" t="s">
        <v>876</v>
      </c>
      <c r="C252" s="74" t="s">
        <v>877</v>
      </c>
      <c r="D252" s="71"/>
      <c r="E252" s="72"/>
      <c r="F252" s="72"/>
      <c r="G252" s="72"/>
      <c r="H252" s="72"/>
      <c r="I252" s="72"/>
      <c r="J252" s="72"/>
      <c r="K252" s="72"/>
      <c r="L252" s="72"/>
      <c r="M252" s="72"/>
      <c r="N252" s="72"/>
      <c r="O252" s="72"/>
      <c r="P252" s="72"/>
      <c r="Q252" s="72"/>
      <c r="R252" s="72"/>
    </row>
    <row customHeight="true" hidden="true" ht="14.880952380952381" r="253">
      <c r="A253" s="73" t="s">
        <v>743</v>
      </c>
      <c r="B253" s="73" t="s">
        <v>735</v>
      </c>
      <c r="C253" s="74"/>
      <c r="D253" s="71"/>
      <c r="E253" s="72"/>
      <c r="F253" s="72"/>
      <c r="G253" s="72"/>
      <c r="H253" s="72"/>
      <c r="I253" s="72"/>
      <c r="J253" s="72"/>
      <c r="K253" s="72"/>
      <c r="L253" s="72"/>
      <c r="M253" s="72"/>
      <c r="N253" s="72"/>
      <c r="O253" s="72"/>
      <c r="P253" s="72"/>
      <c r="Q253" s="72"/>
      <c r="R253" s="72"/>
    </row>
    <row customHeight="true" hidden="true" ht="14.880952380952381" r="254">
      <c r="A254" s="73" t="s">
        <v>878</v>
      </c>
      <c r="B254" s="73" t="s">
        <v>407</v>
      </c>
      <c r="C254" s="74" t="s">
        <v>408</v>
      </c>
      <c r="D254" s="71"/>
      <c r="E254" s="72"/>
      <c r="F254" s="72"/>
      <c r="G254" s="72"/>
      <c r="H254" s="72"/>
      <c r="I254" s="72"/>
      <c r="J254" s="72"/>
      <c r="K254" s="72"/>
      <c r="L254" s="72"/>
      <c r="M254" s="72"/>
      <c r="N254" s="72"/>
      <c r="O254" s="72"/>
      <c r="P254" s="72"/>
      <c r="Q254" s="72"/>
      <c r="R254" s="72"/>
    </row>
    <row customHeight="true" hidden="true" ht="14.880952380952381" r="255">
      <c r="A255" s="73" t="s">
        <v>878</v>
      </c>
      <c r="B255" s="73" t="s">
        <v>508</v>
      </c>
      <c r="C255" s="74" t="s">
        <v>509</v>
      </c>
      <c r="D255" s="71"/>
      <c r="E255" s="72"/>
      <c r="F255" s="72"/>
      <c r="G255" s="72"/>
      <c r="H255" s="72"/>
      <c r="I255" s="72"/>
      <c r="J255" s="72"/>
      <c r="K255" s="72"/>
      <c r="L255" s="72"/>
      <c r="M255" s="72"/>
      <c r="N255" s="72"/>
      <c r="O255" s="72"/>
      <c r="P255" s="72"/>
      <c r="Q255" s="72"/>
      <c r="R255" s="72"/>
    </row>
    <row customHeight="true" hidden="true" ht="14.880952380952381" r="256">
      <c r="A256" s="73" t="s">
        <v>878</v>
      </c>
      <c r="B256" s="73" t="s">
        <v>775</v>
      </c>
      <c r="C256" s="74" t="s">
        <v>776</v>
      </c>
      <c r="D256" s="71"/>
      <c r="E256" s="72"/>
      <c r="F256" s="72"/>
      <c r="G256" s="72"/>
      <c r="H256" s="72"/>
      <c r="I256" s="72"/>
      <c r="J256" s="72"/>
      <c r="K256" s="72"/>
      <c r="L256" s="72"/>
      <c r="M256" s="72"/>
      <c r="N256" s="72"/>
      <c r="O256" s="72"/>
      <c r="P256" s="72"/>
      <c r="Q256" s="72"/>
      <c r="R256" s="72"/>
    </row>
    <row customHeight="true" hidden="true" ht="14.880952380952381" r="257">
      <c r="A257" s="73" t="s">
        <v>878</v>
      </c>
      <c r="B257" s="73" t="s">
        <v>879</v>
      </c>
      <c r="C257" s="74" t="s">
        <v>880</v>
      </c>
      <c r="D257" s="71"/>
      <c r="E257" s="72"/>
      <c r="F257" s="72"/>
      <c r="G257" s="72"/>
      <c r="H257" s="72"/>
      <c r="I257" s="72"/>
      <c r="J257" s="72"/>
      <c r="K257" s="72"/>
      <c r="L257" s="72"/>
      <c r="M257" s="72"/>
      <c r="N257" s="72"/>
      <c r="O257" s="72"/>
      <c r="P257" s="72"/>
      <c r="Q257" s="72"/>
      <c r="R257" s="72"/>
    </row>
    <row customHeight="true" hidden="true" ht="14.880952380952381" r="258">
      <c r="A258" s="73" t="s">
        <v>878</v>
      </c>
      <c r="B258" s="73" t="s">
        <v>881</v>
      </c>
      <c r="C258" s="74" t="s">
        <v>882</v>
      </c>
      <c r="D258" s="71"/>
      <c r="E258" s="72"/>
      <c r="F258" s="72"/>
      <c r="G258" s="72"/>
      <c r="H258" s="72"/>
      <c r="I258" s="72"/>
      <c r="J258" s="72"/>
      <c r="K258" s="72"/>
      <c r="L258" s="72"/>
      <c r="M258" s="72"/>
      <c r="N258" s="72"/>
      <c r="O258" s="72"/>
      <c r="P258" s="72"/>
      <c r="Q258" s="72"/>
      <c r="R258" s="72"/>
    </row>
    <row customHeight="true" hidden="true" ht="14.880952380952381" r="259">
      <c r="A259" s="73" t="s">
        <v>878</v>
      </c>
      <c r="B259" s="73" t="s">
        <v>735</v>
      </c>
      <c r="C259" s="74"/>
      <c r="D259" s="71"/>
      <c r="E259" s="72"/>
      <c r="F259" s="72"/>
      <c r="G259" s="72"/>
      <c r="H259" s="72"/>
      <c r="I259" s="72"/>
      <c r="J259" s="72"/>
      <c r="K259" s="72"/>
      <c r="L259" s="72"/>
      <c r="M259" s="72"/>
      <c r="N259" s="72"/>
      <c r="O259" s="72"/>
      <c r="P259" s="72"/>
      <c r="Q259" s="72"/>
      <c r="R259" s="72"/>
    </row>
    <row r="260">
      <c r="A260" s="76" t="s">
        <v>883</v>
      </c>
      <c r="B260" s="76" t="s">
        <v>407</v>
      </c>
      <c r="C260" s="76" t="s">
        <v>408</v>
      </c>
      <c r="D260" s="71"/>
      <c r="E260" s="71"/>
      <c r="F260" s="71"/>
      <c r="G260" s="71"/>
      <c r="H260" s="71"/>
      <c r="I260" s="71"/>
      <c r="J260" s="71"/>
      <c r="K260" s="71"/>
      <c r="L260" s="71"/>
      <c r="M260" s="71"/>
      <c r="N260" s="71"/>
      <c r="O260" s="71"/>
      <c r="P260" s="71"/>
      <c r="Q260" s="71"/>
      <c r="R260" s="71"/>
    </row>
    <row r="261">
      <c r="A261" s="76" t="s">
        <v>883</v>
      </c>
      <c r="B261" s="76" t="s">
        <v>744</v>
      </c>
      <c r="C261" s="76" t="s">
        <v>745</v>
      </c>
      <c r="D261" s="75"/>
    </row>
    <row r="262">
      <c r="A262" s="76" t="s">
        <v>883</v>
      </c>
      <c r="B262" s="76" t="s">
        <v>409</v>
      </c>
      <c r="C262" s="76" t="s">
        <v>410</v>
      </c>
      <c r="D262" s="75"/>
    </row>
    <row r="263">
      <c r="A263" s="76" t="s">
        <v>883</v>
      </c>
      <c r="B263" s="76" t="s">
        <v>884</v>
      </c>
      <c r="C263" s="76" t="s">
        <v>885</v>
      </c>
      <c r="D263" s="75"/>
    </row>
    <row r="264">
      <c r="A264" s="76" t="s">
        <v>883</v>
      </c>
      <c r="B264" s="76" t="s">
        <v>886</v>
      </c>
      <c r="C264" s="76" t="s">
        <v>887</v>
      </c>
      <c r="D264" s="75"/>
    </row>
    <row r="265">
      <c r="A265" s="76" t="s">
        <v>883</v>
      </c>
      <c r="B265" s="76" t="s">
        <v>888</v>
      </c>
      <c r="C265" s="76" t="s">
        <v>889</v>
      </c>
      <c r="D265" s="75"/>
    </row>
    <row r="266">
      <c r="A266" s="76" t="s">
        <v>883</v>
      </c>
      <c r="B266" s="76" t="s">
        <v>890</v>
      </c>
      <c r="C266" s="76" t="s">
        <v>891</v>
      </c>
      <c r="D266" s="75"/>
    </row>
    <row r="267">
      <c r="A267" s="76" t="s">
        <v>883</v>
      </c>
      <c r="B267" s="76" t="s">
        <v>892</v>
      </c>
      <c r="C267" s="76" t="s">
        <v>893</v>
      </c>
      <c r="D267" s="75"/>
    </row>
    <row r="268">
      <c r="A268" s="76" t="s">
        <v>883</v>
      </c>
      <c r="B268" s="76" t="s">
        <v>894</v>
      </c>
      <c r="C268" s="76" t="s">
        <v>895</v>
      </c>
      <c r="D268" s="75"/>
    </row>
    <row r="269">
      <c r="A269" s="76" t="s">
        <v>883</v>
      </c>
      <c r="B269" s="76" t="s">
        <v>896</v>
      </c>
      <c r="C269" s="76" t="s">
        <v>897</v>
      </c>
      <c r="D269" s="75"/>
    </row>
    <row r="270">
      <c r="A270" s="76" t="s">
        <v>883</v>
      </c>
      <c r="B270" s="77" t="s">
        <v>898</v>
      </c>
      <c r="C270" s="77" t="s">
        <v>899</v>
      </c>
      <c r="D270" s="75"/>
    </row>
    <row r="271">
      <c r="A271" s="76" t="s">
        <v>883</v>
      </c>
      <c r="B271" s="76" t="s">
        <v>900</v>
      </c>
      <c r="C271" s="76" t="s">
        <v>901</v>
      </c>
      <c r="D271" s="75"/>
    </row>
    <row r="272">
      <c r="A272" s="76" t="s">
        <v>883</v>
      </c>
      <c r="B272" s="76" t="s">
        <v>902</v>
      </c>
      <c r="C272" s="76" t="s">
        <v>903</v>
      </c>
      <c r="D272" s="75"/>
    </row>
    <row r="273">
      <c r="A273" s="76" t="s">
        <v>883</v>
      </c>
      <c r="B273" s="76" t="s">
        <v>904</v>
      </c>
      <c r="C273" s="76" t="s">
        <v>905</v>
      </c>
      <c r="D273" s="75"/>
    </row>
    <row r="274">
      <c r="A274" s="76" t="s">
        <v>883</v>
      </c>
      <c r="B274" s="76" t="s">
        <v>906</v>
      </c>
      <c r="C274" s="76" t="s">
        <v>907</v>
      </c>
      <c r="D274" s="75"/>
    </row>
    <row r="275">
      <c r="A275" s="76" t="s">
        <v>883</v>
      </c>
      <c r="B275" s="76" t="s">
        <v>908</v>
      </c>
      <c r="C275" s="76" t="s">
        <v>909</v>
      </c>
      <c r="D275" s="75"/>
    </row>
    <row r="276">
      <c r="A276" s="76" t="s">
        <v>883</v>
      </c>
      <c r="B276" s="76" t="s">
        <v>910</v>
      </c>
      <c r="C276" s="76" t="s">
        <v>911</v>
      </c>
      <c r="D276" s="75"/>
    </row>
    <row r="277">
      <c r="A277" s="76" t="s">
        <v>883</v>
      </c>
      <c r="B277" s="76" t="s">
        <v>912</v>
      </c>
      <c r="C277" s="76" t="s">
        <v>913</v>
      </c>
      <c r="D277" s="75"/>
    </row>
    <row r="278">
      <c r="A278" s="76" t="s">
        <v>883</v>
      </c>
      <c r="B278" s="76" t="s">
        <v>914</v>
      </c>
      <c r="C278" s="76" t="s">
        <v>915</v>
      </c>
      <c r="D278" s="75"/>
    </row>
    <row r="279">
      <c r="A279" s="76" t="s">
        <v>883</v>
      </c>
      <c r="B279" s="76" t="s">
        <v>916</v>
      </c>
      <c r="C279" s="76" t="s">
        <v>917</v>
      </c>
      <c r="D279" s="75"/>
    </row>
    <row r="280">
      <c r="A280" s="76" t="s">
        <v>883</v>
      </c>
      <c r="B280" s="76" t="s">
        <v>918</v>
      </c>
      <c r="C280" s="76" t="s">
        <v>919</v>
      </c>
      <c r="D280" s="75"/>
    </row>
    <row r="281">
      <c r="A281" s="76" t="s">
        <v>883</v>
      </c>
      <c r="B281" s="76" t="s">
        <v>920</v>
      </c>
      <c r="C281" s="76" t="s">
        <v>921</v>
      </c>
      <c r="D281" s="75"/>
    </row>
    <row r="282">
      <c r="A282" s="76" t="s">
        <v>883</v>
      </c>
      <c r="B282" s="76" t="s">
        <v>922</v>
      </c>
      <c r="C282" s="76" t="s">
        <v>923</v>
      </c>
      <c r="D282" s="75"/>
    </row>
    <row r="283">
      <c r="A283" s="76" t="s">
        <v>883</v>
      </c>
      <c r="B283" s="76" t="s">
        <v>924</v>
      </c>
      <c r="C283" s="76" t="s">
        <v>925</v>
      </c>
      <c r="D283" s="75"/>
    </row>
    <row r="284">
      <c r="A284" s="76" t="s">
        <v>883</v>
      </c>
      <c r="B284" s="76" t="s">
        <v>926</v>
      </c>
      <c r="C284" s="76" t="s">
        <v>927</v>
      </c>
      <c r="D284" s="75"/>
    </row>
    <row r="285">
      <c r="A285" s="76" t="s">
        <v>883</v>
      </c>
      <c r="B285" s="76" t="s">
        <v>928</v>
      </c>
      <c r="C285" s="76" t="s">
        <v>929</v>
      </c>
      <c r="D285" s="75"/>
    </row>
    <row r="286">
      <c r="A286" s="76" t="s">
        <v>883</v>
      </c>
      <c r="B286" s="76" t="s">
        <v>930</v>
      </c>
      <c r="C286" s="76" t="s">
        <v>931</v>
      </c>
      <c r="D286" s="75"/>
    </row>
    <row r="287">
      <c r="A287" s="76" t="s">
        <v>883</v>
      </c>
      <c r="B287" s="76" t="s">
        <v>932</v>
      </c>
      <c r="C287" s="76" t="s">
        <v>933</v>
      </c>
      <c r="D287" s="75"/>
    </row>
    <row r="288">
      <c r="A288" s="76" t="s">
        <v>883</v>
      </c>
      <c r="B288" s="76" t="s">
        <v>934</v>
      </c>
      <c r="C288" s="76" t="s">
        <v>935</v>
      </c>
      <c r="D288" s="75"/>
    </row>
    <row r="289">
      <c r="A289" s="76" t="s">
        <v>883</v>
      </c>
      <c r="B289" s="77" t="s">
        <v>936</v>
      </c>
      <c r="C289" s="77" t="s">
        <v>937</v>
      </c>
      <c r="D289" s="75"/>
    </row>
    <row r="290">
      <c r="A290" s="76" t="s">
        <v>883</v>
      </c>
      <c r="B290" s="76" t="s">
        <v>938</v>
      </c>
      <c r="C290" s="76" t="s">
        <v>939</v>
      </c>
      <c r="D290" s="75"/>
    </row>
    <row r="291">
      <c r="A291" s="76" t="s">
        <v>883</v>
      </c>
      <c r="B291" s="76" t="s">
        <v>940</v>
      </c>
      <c r="C291" s="76" t="s">
        <v>941</v>
      </c>
      <c r="D291" s="75"/>
    </row>
    <row r="292">
      <c r="A292" s="76" t="s">
        <v>883</v>
      </c>
      <c r="B292" s="76" t="s">
        <v>942</v>
      </c>
      <c r="C292" s="76" t="s">
        <v>943</v>
      </c>
      <c r="D292" s="75"/>
    </row>
    <row r="293">
      <c r="A293" s="76" t="s">
        <v>883</v>
      </c>
      <c r="B293" s="76" t="s">
        <v>944</v>
      </c>
      <c r="C293" s="76" t="s">
        <v>945</v>
      </c>
      <c r="D293" s="75"/>
    </row>
    <row r="294">
      <c r="A294" s="76" t="s">
        <v>883</v>
      </c>
      <c r="B294" s="76" t="s">
        <v>946</v>
      </c>
      <c r="C294" s="76" t="s">
        <v>947</v>
      </c>
      <c r="D294" s="75"/>
    </row>
    <row r="295">
      <c r="A295" s="76" t="s">
        <v>883</v>
      </c>
      <c r="B295" s="76" t="s">
        <v>948</v>
      </c>
      <c r="C295" s="76" t="s">
        <v>949</v>
      </c>
      <c r="D295" s="75"/>
    </row>
    <row r="296">
      <c r="A296" s="76" t="s">
        <v>883</v>
      </c>
      <c r="B296" s="76" t="s">
        <v>950</v>
      </c>
      <c r="C296" s="76" t="s">
        <v>951</v>
      </c>
      <c r="D296" s="75"/>
    </row>
    <row r="297">
      <c r="A297" s="76" t="s">
        <v>883</v>
      </c>
      <c r="B297" s="76" t="s">
        <v>952</v>
      </c>
      <c r="C297" s="76" t="s">
        <v>953</v>
      </c>
      <c r="D297" s="75"/>
    </row>
    <row r="298">
      <c r="A298" s="76" t="s">
        <v>883</v>
      </c>
      <c r="B298" s="76" t="s">
        <v>954</v>
      </c>
      <c r="C298" s="76" t="s">
        <v>955</v>
      </c>
      <c r="D298" s="75"/>
    </row>
    <row r="299">
      <c r="A299" s="76" t="s">
        <v>883</v>
      </c>
      <c r="B299" s="76" t="s">
        <v>775</v>
      </c>
      <c r="C299" s="76" t="s">
        <v>776</v>
      </c>
      <c r="D299" s="75"/>
    </row>
    <row r="300">
      <c r="A300" s="76" t="s">
        <v>883</v>
      </c>
      <c r="B300" s="76" t="s">
        <v>956</v>
      </c>
      <c r="C300" s="76" t="s">
        <v>957</v>
      </c>
      <c r="D300" s="75"/>
    </row>
    <row r="301">
      <c r="A301" s="76" t="s">
        <v>883</v>
      </c>
      <c r="B301" s="76" t="s">
        <v>958</v>
      </c>
      <c r="C301" s="76" t="s">
        <v>959</v>
      </c>
      <c r="D301" s="75"/>
    </row>
    <row r="302">
      <c r="A302" s="76" t="s">
        <v>883</v>
      </c>
      <c r="B302" s="76" t="s">
        <v>960</v>
      </c>
      <c r="C302" s="76" t="s">
        <v>961</v>
      </c>
      <c r="D302" s="75"/>
    </row>
    <row r="303">
      <c r="A303" s="76" t="s">
        <v>883</v>
      </c>
      <c r="B303" s="76" t="s">
        <v>962</v>
      </c>
      <c r="C303" s="76" t="s">
        <v>963</v>
      </c>
      <c r="D303" s="75"/>
    </row>
    <row r="304">
      <c r="A304" s="76" t="s">
        <v>883</v>
      </c>
      <c r="B304" s="76" t="s">
        <v>964</v>
      </c>
      <c r="C304" s="76" t="s">
        <v>965</v>
      </c>
      <c r="D304" s="75"/>
    </row>
    <row r="305">
      <c r="A305" s="76" t="s">
        <v>883</v>
      </c>
      <c r="B305" s="76" t="s">
        <v>966</v>
      </c>
      <c r="C305" s="76" t="s">
        <v>967</v>
      </c>
      <c r="D305" s="75"/>
    </row>
    <row r="306">
      <c r="A306" s="76" t="s">
        <v>883</v>
      </c>
      <c r="B306" s="76" t="s">
        <v>968</v>
      </c>
      <c r="C306" s="76" t="s">
        <v>969</v>
      </c>
      <c r="D306" s="75"/>
    </row>
    <row r="307">
      <c r="A307" s="76" t="s">
        <v>883</v>
      </c>
      <c r="B307" s="76" t="s">
        <v>970</v>
      </c>
      <c r="C307" s="76" t="s">
        <v>971</v>
      </c>
      <c r="D307" s="75"/>
    </row>
    <row r="308">
      <c r="A308" s="76" t="s">
        <v>883</v>
      </c>
      <c r="B308" s="77" t="s">
        <v>972</v>
      </c>
      <c r="C308" s="77" t="s">
        <v>973</v>
      </c>
      <c r="D308" s="75"/>
    </row>
    <row r="309">
      <c r="A309" s="76" t="s">
        <v>883</v>
      </c>
      <c r="B309" s="76" t="s">
        <v>974</v>
      </c>
      <c r="C309" s="76" t="s">
        <v>975</v>
      </c>
      <c r="D309" s="75"/>
    </row>
    <row r="310">
      <c r="A310" s="76" t="s">
        <v>883</v>
      </c>
      <c r="B310" s="76" t="s">
        <v>976</v>
      </c>
      <c r="C310" s="76" t="s">
        <v>977</v>
      </c>
      <c r="D310" s="75"/>
    </row>
    <row r="311">
      <c r="A311" s="76" t="s">
        <v>883</v>
      </c>
      <c r="B311" s="76" t="s">
        <v>823</v>
      </c>
      <c r="C311" s="76" t="s">
        <v>824</v>
      </c>
      <c r="D311" s="75"/>
    </row>
    <row r="312">
      <c r="A312" s="76" t="s">
        <v>883</v>
      </c>
      <c r="B312" s="76" t="s">
        <v>978</v>
      </c>
      <c r="C312" s="76" t="s">
        <v>979</v>
      </c>
      <c r="D312" s="75"/>
    </row>
    <row r="313">
      <c r="A313" s="76" t="s">
        <v>883</v>
      </c>
      <c r="B313" s="76" t="s">
        <v>980</v>
      </c>
      <c r="C313" s="76" t="s">
        <v>981</v>
      </c>
      <c r="D313" s="75"/>
    </row>
    <row r="314">
      <c r="A314" s="76" t="s">
        <v>883</v>
      </c>
      <c r="B314" s="76" t="s">
        <v>982</v>
      </c>
      <c r="C314" s="76" t="s">
        <v>983</v>
      </c>
      <c r="D314" s="75"/>
    </row>
    <row r="315">
      <c r="A315" s="76" t="s">
        <v>883</v>
      </c>
      <c r="B315" s="76" t="s">
        <v>984</v>
      </c>
      <c r="C315" s="76" t="s">
        <v>985</v>
      </c>
      <c r="D315" s="75"/>
    </row>
    <row r="316">
      <c r="A316" s="76" t="s">
        <v>883</v>
      </c>
      <c r="B316" s="76" t="s">
        <v>986</v>
      </c>
      <c r="C316" s="76" t="s">
        <v>987</v>
      </c>
      <c r="D316" s="75"/>
    </row>
    <row r="317">
      <c r="A317" s="76" t="s">
        <v>883</v>
      </c>
      <c r="B317" s="76" t="s">
        <v>988</v>
      </c>
      <c r="C317" s="76" t="s">
        <v>989</v>
      </c>
      <c r="D317" s="75"/>
    </row>
    <row r="318">
      <c r="A318" s="76" t="s">
        <v>883</v>
      </c>
      <c r="B318" s="76" t="s">
        <v>990</v>
      </c>
      <c r="C318" s="76" t="s">
        <v>991</v>
      </c>
      <c r="D318" s="75"/>
    </row>
    <row r="319">
      <c r="A319" s="76" t="s">
        <v>883</v>
      </c>
      <c r="B319" s="76" t="s">
        <v>992</v>
      </c>
      <c r="C319" s="76" t="s">
        <v>993</v>
      </c>
      <c r="D319" s="75"/>
    </row>
    <row r="320">
      <c r="A320" s="76" t="s">
        <v>883</v>
      </c>
      <c r="B320" s="76" t="s">
        <v>994</v>
      </c>
      <c r="C320" s="76" t="s">
        <v>995</v>
      </c>
      <c r="D320" s="75"/>
    </row>
    <row r="321">
      <c r="A321" s="76" t="s">
        <v>883</v>
      </c>
      <c r="B321" s="76" t="s">
        <v>996</v>
      </c>
      <c r="C321" s="76" t="s">
        <v>997</v>
      </c>
      <c r="D321" s="75"/>
    </row>
    <row r="322">
      <c r="A322" s="76" t="s">
        <v>883</v>
      </c>
      <c r="B322" s="76" t="s">
        <v>998</v>
      </c>
      <c r="C322" s="76" t="s">
        <v>999</v>
      </c>
      <c r="D322" s="75"/>
    </row>
    <row r="323">
      <c r="A323" s="76" t="s">
        <v>883</v>
      </c>
      <c r="B323" s="76" t="s">
        <v>1000</v>
      </c>
      <c r="C323" s="76" t="s">
        <v>1001</v>
      </c>
      <c r="D323" s="75"/>
    </row>
    <row r="324">
      <c r="A324" s="76" t="s">
        <v>883</v>
      </c>
      <c r="B324" s="76" t="s">
        <v>1002</v>
      </c>
      <c r="C324" s="76" t="s">
        <v>1003</v>
      </c>
      <c r="D324" s="75"/>
    </row>
    <row r="325">
      <c r="A325" s="76" t="s">
        <v>883</v>
      </c>
      <c r="B325" s="76" t="s">
        <v>1004</v>
      </c>
      <c r="C325" s="76" t="s">
        <v>1005</v>
      </c>
      <c r="D325" s="75"/>
    </row>
    <row r="326">
      <c r="A326" s="76" t="s">
        <v>883</v>
      </c>
      <c r="B326" s="76" t="s">
        <v>1006</v>
      </c>
      <c r="C326" s="76" t="s">
        <v>1007</v>
      </c>
      <c r="D326" s="75"/>
    </row>
    <row r="327">
      <c r="A327" s="76" t="s">
        <v>883</v>
      </c>
      <c r="B327" s="76" t="s">
        <v>1008</v>
      </c>
      <c r="C327" s="76" t="s">
        <v>1009</v>
      </c>
      <c r="D327" s="75"/>
    </row>
    <row r="328">
      <c r="A328" s="76" t="s">
        <v>883</v>
      </c>
      <c r="B328" s="76" t="s">
        <v>1010</v>
      </c>
      <c r="C328" s="76" t="s">
        <v>1011</v>
      </c>
      <c r="D328" s="75"/>
    </row>
    <row r="329">
      <c r="A329" s="76" t="s">
        <v>883</v>
      </c>
      <c r="B329" s="76" t="s">
        <v>1012</v>
      </c>
      <c r="C329" s="76" t="s">
        <v>1013</v>
      </c>
      <c r="D329" s="75"/>
    </row>
    <row r="330">
      <c r="A330" s="76" t="s">
        <v>883</v>
      </c>
      <c r="B330" s="76" t="s">
        <v>1014</v>
      </c>
      <c r="C330" s="76" t="s">
        <v>1015</v>
      </c>
      <c r="D330" s="75"/>
    </row>
    <row r="331">
      <c r="A331" s="76" t="s">
        <v>883</v>
      </c>
      <c r="B331" s="76" t="s">
        <v>1016</v>
      </c>
      <c r="C331" s="76" t="s">
        <v>1017</v>
      </c>
      <c r="D331" s="75"/>
    </row>
    <row r="332">
      <c r="A332" s="76" t="s">
        <v>883</v>
      </c>
      <c r="B332" s="76" t="s">
        <v>1018</v>
      </c>
      <c r="C332" s="76" t="s">
        <v>1019</v>
      </c>
      <c r="D332" s="75"/>
    </row>
    <row r="333">
      <c r="A333" s="76" t="s">
        <v>883</v>
      </c>
      <c r="B333" s="76" t="s">
        <v>1020</v>
      </c>
      <c r="C333" s="76" t="s">
        <v>1021</v>
      </c>
      <c r="D333" s="75"/>
    </row>
    <row r="334">
      <c r="A334" s="76" t="s">
        <v>883</v>
      </c>
      <c r="B334" s="76" t="s">
        <v>1022</v>
      </c>
      <c r="C334" s="76" t="s">
        <v>1017</v>
      </c>
      <c r="D334" s="75"/>
    </row>
    <row r="335">
      <c r="A335" s="76" t="s">
        <v>883</v>
      </c>
      <c r="B335" s="76" t="s">
        <v>1023</v>
      </c>
      <c r="C335" s="76" t="s">
        <v>1019</v>
      </c>
      <c r="D335" s="75"/>
    </row>
    <row r="336">
      <c r="A336" s="76" t="s">
        <v>883</v>
      </c>
      <c r="B336" s="76" t="s">
        <v>1024</v>
      </c>
      <c r="C336" s="76" t="s">
        <v>1021</v>
      </c>
      <c r="D336" s="75"/>
    </row>
    <row r="337">
      <c r="A337" s="76" t="s">
        <v>883</v>
      </c>
      <c r="B337" s="76" t="s">
        <v>1025</v>
      </c>
      <c r="C337" s="76" t="s">
        <v>1017</v>
      </c>
      <c r="D337" s="75"/>
    </row>
    <row r="338">
      <c r="A338" s="76" t="s">
        <v>883</v>
      </c>
      <c r="B338" s="76" t="s">
        <v>1026</v>
      </c>
      <c r="C338" s="76" t="s">
        <v>1019</v>
      </c>
      <c r="D338" s="75"/>
    </row>
    <row r="339">
      <c r="A339" s="76" t="s">
        <v>883</v>
      </c>
      <c r="B339" s="76" t="s">
        <v>1027</v>
      </c>
      <c r="C339" s="76" t="s">
        <v>1021</v>
      </c>
      <c r="D339" s="75"/>
    </row>
    <row r="340">
      <c r="A340" s="76" t="s">
        <v>883</v>
      </c>
      <c r="B340" s="77" t="s">
        <v>1028</v>
      </c>
      <c r="C340" s="77" t="s">
        <v>1029</v>
      </c>
      <c r="D340" s="75"/>
    </row>
    <row r="341">
      <c r="A341" s="76" t="s">
        <v>883</v>
      </c>
      <c r="B341" s="76" t="s">
        <v>530</v>
      </c>
      <c r="C341" s="76" t="s">
        <v>531</v>
      </c>
      <c r="D341" s="75"/>
    </row>
    <row r="342">
      <c r="A342" s="76" t="s">
        <v>883</v>
      </c>
      <c r="B342" s="77" t="s">
        <v>1030</v>
      </c>
      <c r="C342" s="77" t="s">
        <v>1031</v>
      </c>
      <c r="D342" s="75"/>
    </row>
    <row r="343">
      <c r="A343" s="76" t="s">
        <v>883</v>
      </c>
      <c r="B343" s="76" t="s">
        <v>1032</v>
      </c>
      <c r="C343" s="76" t="s">
        <v>1033</v>
      </c>
      <c r="D343" s="75"/>
    </row>
    <row r="344">
      <c r="A344" s="76" t="s">
        <v>883</v>
      </c>
      <c r="B344" s="76" t="s">
        <v>1034</v>
      </c>
      <c r="C344" s="76" t="s">
        <v>1035</v>
      </c>
      <c r="D344" s="75"/>
    </row>
    <row r="345">
      <c r="A345" s="76" t="s">
        <v>883</v>
      </c>
      <c r="B345" s="76" t="s">
        <v>532</v>
      </c>
      <c r="C345" s="76" t="s">
        <v>533</v>
      </c>
      <c r="D345" s="75"/>
    </row>
    <row r="346">
      <c r="A346" s="76" t="s">
        <v>883</v>
      </c>
      <c r="B346" s="76" t="s">
        <v>1036</v>
      </c>
      <c r="C346" s="76" t="s">
        <v>1037</v>
      </c>
      <c r="D346" s="75"/>
    </row>
    <row r="347">
      <c r="A347" s="76" t="s">
        <v>883</v>
      </c>
      <c r="B347" s="76" t="s">
        <v>1038</v>
      </c>
      <c r="C347" s="76" t="s">
        <v>1039</v>
      </c>
      <c r="D347" s="75"/>
    </row>
    <row r="348">
      <c r="A348" s="76" t="s">
        <v>883</v>
      </c>
      <c r="B348" s="76" t="s">
        <v>1040</v>
      </c>
      <c r="C348" s="76" t="s">
        <v>1041</v>
      </c>
      <c r="D348" s="75"/>
    </row>
    <row r="349">
      <c r="A349" s="76" t="s">
        <v>883</v>
      </c>
      <c r="B349" s="76" t="s">
        <v>1042</v>
      </c>
      <c r="C349" s="76" t="s">
        <v>1043</v>
      </c>
      <c r="D349" s="75"/>
    </row>
    <row r="350">
      <c r="A350" s="76" t="s">
        <v>883</v>
      </c>
      <c r="B350" s="76" t="s">
        <v>1044</v>
      </c>
      <c r="C350" s="76" t="s">
        <v>1045</v>
      </c>
      <c r="D350" s="75"/>
    </row>
    <row r="351">
      <c r="A351" s="76" t="s">
        <v>883</v>
      </c>
      <c r="B351" s="76" t="s">
        <v>1046</v>
      </c>
      <c r="C351" s="76" t="s">
        <v>1047</v>
      </c>
      <c r="D351" s="75"/>
    </row>
    <row r="352">
      <c r="A352" s="76" t="s">
        <v>883</v>
      </c>
      <c r="B352" s="76" t="s">
        <v>1048</v>
      </c>
      <c r="C352" s="76" t="s">
        <v>1049</v>
      </c>
      <c r="D352" s="75"/>
    </row>
    <row r="353">
      <c r="A353" s="76" t="s">
        <v>883</v>
      </c>
      <c r="B353" s="76" t="s">
        <v>1050</v>
      </c>
      <c r="C353" s="76" t="s">
        <v>1051</v>
      </c>
      <c r="D353" s="75"/>
    </row>
    <row r="354">
      <c r="A354" s="76" t="s">
        <v>883</v>
      </c>
      <c r="B354" s="76" t="s">
        <v>1052</v>
      </c>
      <c r="C354" s="76" t="s">
        <v>1053</v>
      </c>
      <c r="D354" s="75"/>
    </row>
    <row r="355">
      <c r="A355" s="76" t="s">
        <v>883</v>
      </c>
      <c r="B355" s="76" t="s">
        <v>1054</v>
      </c>
      <c r="C355" s="76" t="s">
        <v>1055</v>
      </c>
      <c r="D355" s="75"/>
    </row>
    <row r="356">
      <c r="A356" s="76" t="s">
        <v>883</v>
      </c>
      <c r="B356" s="76" t="s">
        <v>1056</v>
      </c>
      <c r="C356" s="76" t="s">
        <v>1057</v>
      </c>
      <c r="D356" s="75"/>
    </row>
    <row r="357">
      <c r="A357" s="76" t="s">
        <v>883</v>
      </c>
      <c r="B357" s="76" t="s">
        <v>1058</v>
      </c>
      <c r="C357" s="76" t="s">
        <v>1059</v>
      </c>
      <c r="D357" s="75"/>
    </row>
    <row r="358">
      <c r="A358" s="76" t="s">
        <v>883</v>
      </c>
      <c r="B358" s="76" t="s">
        <v>1060</v>
      </c>
      <c r="C358" s="76" t="s">
        <v>1061</v>
      </c>
      <c r="D358" s="75"/>
    </row>
    <row r="359">
      <c r="A359" s="76" t="s">
        <v>883</v>
      </c>
      <c r="B359" s="76" t="s">
        <v>1062</v>
      </c>
      <c r="C359" s="76" t="s">
        <v>1063</v>
      </c>
      <c r="D359" s="75"/>
    </row>
    <row r="360">
      <c r="A360" s="76" t="s">
        <v>883</v>
      </c>
      <c r="B360" s="76" t="s">
        <v>1064</v>
      </c>
      <c r="C360" s="76" t="s">
        <v>1065</v>
      </c>
      <c r="D360" s="75"/>
    </row>
    <row r="361">
      <c r="A361" s="76" t="s">
        <v>883</v>
      </c>
      <c r="B361" s="76" t="s">
        <v>1066</v>
      </c>
      <c r="C361" s="76" t="s">
        <v>1067</v>
      </c>
      <c r="D361" s="75"/>
    </row>
    <row r="362">
      <c r="A362" s="76" t="s">
        <v>883</v>
      </c>
      <c r="B362" s="76" t="s">
        <v>1068</v>
      </c>
      <c r="C362" s="76" t="s">
        <v>1069</v>
      </c>
      <c r="D362" s="75"/>
    </row>
    <row r="363">
      <c r="A363" s="76" t="s">
        <v>883</v>
      </c>
      <c r="B363" s="76" t="s">
        <v>1070</v>
      </c>
      <c r="C363" s="76" t="s">
        <v>1069</v>
      </c>
      <c r="D363" s="75"/>
    </row>
    <row r="364">
      <c r="A364" s="76" t="s">
        <v>883</v>
      </c>
      <c r="B364" s="76" t="s">
        <v>1071</v>
      </c>
      <c r="C364" s="76" t="s">
        <v>1069</v>
      </c>
      <c r="D364" s="75"/>
    </row>
    <row r="365">
      <c r="A365" s="76" t="s">
        <v>883</v>
      </c>
      <c r="B365" s="76" t="s">
        <v>1072</v>
      </c>
      <c r="C365" s="76" t="s">
        <v>1073</v>
      </c>
      <c r="D365" s="75"/>
    </row>
    <row r="366">
      <c r="A366" s="76" t="s">
        <v>883</v>
      </c>
      <c r="B366" s="76" t="s">
        <v>1074</v>
      </c>
      <c r="C366" s="76" t="s">
        <v>1073</v>
      </c>
      <c r="D366" s="75"/>
    </row>
    <row r="367">
      <c r="A367" s="76" t="s">
        <v>883</v>
      </c>
      <c r="B367" s="76" t="s">
        <v>1075</v>
      </c>
      <c r="C367" s="76" t="s">
        <v>1073</v>
      </c>
      <c r="D367" s="75"/>
    </row>
    <row r="368">
      <c r="A368" s="76" t="s">
        <v>883</v>
      </c>
      <c r="B368" s="76" t="s">
        <v>1076</v>
      </c>
      <c r="C368" s="76" t="s">
        <v>1077</v>
      </c>
      <c r="D368" s="75"/>
    </row>
    <row r="369">
      <c r="A369" s="76" t="s">
        <v>883</v>
      </c>
      <c r="B369" s="76" t="s">
        <v>1078</v>
      </c>
      <c r="C369" s="76" t="s">
        <v>1079</v>
      </c>
      <c r="D369" s="75"/>
    </row>
    <row r="370">
      <c r="A370" s="76" t="s">
        <v>883</v>
      </c>
      <c r="B370" s="76" t="s">
        <v>839</v>
      </c>
      <c r="C370" s="76" t="s">
        <v>840</v>
      </c>
      <c r="D370" s="75"/>
    </row>
    <row r="371">
      <c r="A371" s="76" t="s">
        <v>883</v>
      </c>
      <c r="B371" s="76" t="s">
        <v>1080</v>
      </c>
      <c r="C371" s="76" t="s">
        <v>1081</v>
      </c>
      <c r="D371" s="75"/>
    </row>
    <row r="372">
      <c r="A372" s="76" t="s">
        <v>883</v>
      </c>
      <c r="B372" s="76" t="s">
        <v>1082</v>
      </c>
      <c r="C372" s="76" t="s">
        <v>1083</v>
      </c>
      <c r="D372" s="75"/>
    </row>
    <row r="373">
      <c r="A373" s="76" t="s">
        <v>883</v>
      </c>
      <c r="B373" s="76" t="s">
        <v>1084</v>
      </c>
      <c r="C373" s="76" t="s">
        <v>1085</v>
      </c>
      <c r="D373" s="75"/>
    </row>
    <row r="374">
      <c r="A374" s="76" t="s">
        <v>883</v>
      </c>
      <c r="B374" s="76" t="s">
        <v>1086</v>
      </c>
      <c r="C374" s="76" t="s">
        <v>1087</v>
      </c>
      <c r="D374" s="75"/>
    </row>
    <row r="375">
      <c r="A375" s="76" t="s">
        <v>883</v>
      </c>
      <c r="B375" s="76" t="s">
        <v>1088</v>
      </c>
      <c r="C375" s="76" t="s">
        <v>1089</v>
      </c>
      <c r="D375" s="75"/>
    </row>
    <row r="376">
      <c r="A376" s="76" t="s">
        <v>883</v>
      </c>
      <c r="B376" s="76" t="s">
        <v>1090</v>
      </c>
      <c r="C376" s="76" t="s">
        <v>1091</v>
      </c>
      <c r="D376" s="75"/>
    </row>
    <row r="377">
      <c r="A377" s="76" t="s">
        <v>883</v>
      </c>
      <c r="B377" s="76" t="s">
        <v>1092</v>
      </c>
      <c r="C377" s="76" t="s">
        <v>1091</v>
      </c>
      <c r="D377" s="75"/>
    </row>
    <row r="378">
      <c r="A378" s="76" t="s">
        <v>883</v>
      </c>
      <c r="B378" s="76" t="s">
        <v>1093</v>
      </c>
      <c r="C378" s="76" t="s">
        <v>1094</v>
      </c>
      <c r="D378" s="75"/>
    </row>
    <row r="379">
      <c r="A379" s="76" t="s">
        <v>883</v>
      </c>
      <c r="B379" s="76" t="s">
        <v>1095</v>
      </c>
      <c r="C379" s="76" t="s">
        <v>1096</v>
      </c>
      <c r="D379" s="75"/>
    </row>
    <row r="380">
      <c r="A380" s="76" t="s">
        <v>883</v>
      </c>
      <c r="B380" s="76" t="s">
        <v>1097</v>
      </c>
      <c r="C380" s="76" t="s">
        <v>1098</v>
      </c>
      <c r="D380" s="75"/>
    </row>
    <row r="381">
      <c r="A381" s="76" t="s">
        <v>883</v>
      </c>
      <c r="B381" s="76" t="s">
        <v>1099</v>
      </c>
      <c r="C381" s="76" t="s">
        <v>1100</v>
      </c>
      <c r="D381" s="75"/>
    </row>
    <row r="382">
      <c r="A382" s="76" t="s">
        <v>883</v>
      </c>
      <c r="B382" s="76" t="s">
        <v>1101</v>
      </c>
      <c r="C382" s="76" t="s">
        <v>1102</v>
      </c>
      <c r="D382" s="75"/>
    </row>
    <row r="383">
      <c r="A383" s="76" t="s">
        <v>883</v>
      </c>
      <c r="B383" s="76" t="s">
        <v>1103</v>
      </c>
      <c r="C383" s="76" t="s">
        <v>1104</v>
      </c>
      <c r="D383" s="75"/>
    </row>
    <row r="384">
      <c r="A384" s="76" t="s">
        <v>883</v>
      </c>
      <c r="B384" s="76" t="s">
        <v>1105</v>
      </c>
      <c r="C384" s="76" t="s">
        <v>1106</v>
      </c>
      <c r="D384" s="75"/>
    </row>
    <row r="385">
      <c r="A385" s="76" t="s">
        <v>883</v>
      </c>
      <c r="B385" s="76" t="s">
        <v>1107</v>
      </c>
      <c r="C385" s="76" t="s">
        <v>1108</v>
      </c>
      <c r="D385" s="75"/>
    </row>
    <row r="386">
      <c r="A386" s="76" t="s">
        <v>883</v>
      </c>
      <c r="B386" s="76" t="s">
        <v>1109</v>
      </c>
      <c r="C386" s="76" t="s">
        <v>1110</v>
      </c>
      <c r="D386" s="75"/>
    </row>
    <row r="387">
      <c r="A387" s="76" t="s">
        <v>883</v>
      </c>
      <c r="B387" s="76" t="s">
        <v>1111</v>
      </c>
      <c r="C387" s="76" t="s">
        <v>1112</v>
      </c>
      <c r="D387" s="75"/>
    </row>
    <row r="388">
      <c r="A388" s="76" t="s">
        <v>883</v>
      </c>
      <c r="B388" s="76" t="s">
        <v>1113</v>
      </c>
      <c r="C388" s="76" t="s">
        <v>1114</v>
      </c>
      <c r="D388" s="75"/>
    </row>
    <row r="389">
      <c r="A389" s="76" t="s">
        <v>883</v>
      </c>
      <c r="B389" s="76" t="s">
        <v>1115</v>
      </c>
      <c r="C389" s="76" t="s">
        <v>1116</v>
      </c>
      <c r="D389" s="75"/>
    </row>
    <row r="390">
      <c r="A390" s="76" t="s">
        <v>883</v>
      </c>
      <c r="B390" s="76" t="s">
        <v>1117</v>
      </c>
      <c r="C390" s="76" t="s">
        <v>1118</v>
      </c>
      <c r="D390" s="75"/>
    </row>
    <row r="391">
      <c r="A391" s="76" t="s">
        <v>883</v>
      </c>
      <c r="B391" s="76" t="s">
        <v>1119</v>
      </c>
      <c r="C391" s="76" t="s">
        <v>1120</v>
      </c>
      <c r="D391" s="75"/>
    </row>
    <row r="392">
      <c r="A392" s="76" t="s">
        <v>883</v>
      </c>
      <c r="B392" s="76" t="s">
        <v>1121</v>
      </c>
      <c r="C392" s="76" t="s">
        <v>1122</v>
      </c>
      <c r="D392" s="75"/>
    </row>
    <row r="393">
      <c r="A393" s="76" t="s">
        <v>883</v>
      </c>
      <c r="B393" s="76" t="s">
        <v>1123</v>
      </c>
      <c r="C393" s="76" t="s">
        <v>1124</v>
      </c>
      <c r="D393" s="75"/>
    </row>
    <row r="394">
      <c r="A394" s="76" t="s">
        <v>883</v>
      </c>
      <c r="B394" s="76" t="s">
        <v>1125</v>
      </c>
      <c r="C394" s="76" t="s">
        <v>1126</v>
      </c>
      <c r="D394" s="75"/>
    </row>
    <row r="395">
      <c r="A395" s="76" t="s">
        <v>883</v>
      </c>
      <c r="B395" s="76" t="s">
        <v>1127</v>
      </c>
      <c r="C395" s="76" t="s">
        <v>1128</v>
      </c>
      <c r="D395" s="75"/>
    </row>
    <row r="396">
      <c r="A396" s="76" t="s">
        <v>883</v>
      </c>
      <c r="B396" s="76" t="s">
        <v>1129</v>
      </c>
      <c r="C396" s="76" t="s">
        <v>1130</v>
      </c>
      <c r="D396" s="75"/>
    </row>
    <row r="397">
      <c r="A397" s="76" t="s">
        <v>883</v>
      </c>
      <c r="B397" s="76" t="s">
        <v>1131</v>
      </c>
      <c r="C397" s="76" t="s">
        <v>1132</v>
      </c>
      <c r="D397" s="75"/>
    </row>
    <row r="398">
      <c r="A398" s="76" t="s">
        <v>883</v>
      </c>
      <c r="B398" s="76" t="s">
        <v>1133</v>
      </c>
      <c r="C398" s="76" t="s">
        <v>1134</v>
      </c>
      <c r="D398" s="75"/>
    </row>
    <row r="399">
      <c r="A399" s="76" t="s">
        <v>883</v>
      </c>
      <c r="B399" s="76" t="s">
        <v>1135</v>
      </c>
      <c r="C399" s="76" t="s">
        <v>1136</v>
      </c>
      <c r="D399" s="75"/>
    </row>
    <row r="400">
      <c r="A400" s="76" t="s">
        <v>883</v>
      </c>
      <c r="B400" s="76" t="s">
        <v>1137</v>
      </c>
      <c r="C400" s="76" t="s">
        <v>1138</v>
      </c>
      <c r="D400" s="75"/>
    </row>
    <row r="401">
      <c r="A401" s="76" t="s">
        <v>883</v>
      </c>
      <c r="B401" s="76" t="s">
        <v>1139</v>
      </c>
      <c r="C401" s="76" t="s">
        <v>1140</v>
      </c>
      <c r="D401" s="75"/>
    </row>
    <row r="402">
      <c r="A402" s="76" t="s">
        <v>883</v>
      </c>
      <c r="B402" s="76" t="s">
        <v>1141</v>
      </c>
      <c r="C402" s="76" t="s">
        <v>1142</v>
      </c>
      <c r="D402" s="75"/>
    </row>
    <row r="403">
      <c r="A403" s="76" t="s">
        <v>883</v>
      </c>
      <c r="B403" s="76" t="s">
        <v>1143</v>
      </c>
      <c r="C403" s="76" t="s">
        <v>1144</v>
      </c>
      <c r="D403" s="75"/>
    </row>
    <row r="404">
      <c r="A404" s="76" t="s">
        <v>883</v>
      </c>
      <c r="B404" s="76" t="s">
        <v>1145</v>
      </c>
      <c r="C404" s="76" t="s">
        <v>1146</v>
      </c>
      <c r="D404" s="75"/>
    </row>
    <row r="405">
      <c r="A405" s="76" t="s">
        <v>883</v>
      </c>
      <c r="B405" s="76" t="s">
        <v>1147</v>
      </c>
      <c r="C405" s="76" t="s">
        <v>1148</v>
      </c>
      <c r="D405" s="75"/>
    </row>
    <row r="406">
      <c r="A406" s="76" t="s">
        <v>883</v>
      </c>
      <c r="B406" s="76" t="s">
        <v>1149</v>
      </c>
      <c r="C406" s="76" t="s">
        <v>1150</v>
      </c>
      <c r="D406" s="75"/>
    </row>
    <row r="407">
      <c r="A407" s="76" t="s">
        <v>883</v>
      </c>
      <c r="B407" s="76" t="s">
        <v>1151</v>
      </c>
      <c r="C407" s="76" t="s">
        <v>1152</v>
      </c>
      <c r="D407" s="75"/>
    </row>
    <row r="408">
      <c r="A408" s="76" t="s">
        <v>883</v>
      </c>
      <c r="B408" s="76" t="s">
        <v>1153</v>
      </c>
      <c r="C408" s="76" t="s">
        <v>1154</v>
      </c>
      <c r="D408" s="75"/>
    </row>
    <row r="409">
      <c r="A409" s="76" t="s">
        <v>883</v>
      </c>
      <c r="B409" s="76" t="s">
        <v>1155</v>
      </c>
      <c r="C409" s="76" t="s">
        <v>1156</v>
      </c>
      <c r="D409" s="75"/>
    </row>
    <row r="410">
      <c r="A410" s="76" t="s">
        <v>883</v>
      </c>
      <c r="B410" s="76" t="s">
        <v>1157</v>
      </c>
      <c r="C410" s="76" t="s">
        <v>1158</v>
      </c>
      <c r="D410" s="75"/>
    </row>
    <row r="411">
      <c r="A411" s="76" t="s">
        <v>883</v>
      </c>
      <c r="B411" s="76" t="s">
        <v>1159</v>
      </c>
      <c r="C411" s="76" t="s">
        <v>1160</v>
      </c>
      <c r="D411" s="75"/>
    </row>
    <row r="412">
      <c r="A412" s="76" t="s">
        <v>883</v>
      </c>
      <c r="B412" s="76" t="s">
        <v>868</v>
      </c>
      <c r="C412" s="76" t="s">
        <v>869</v>
      </c>
      <c r="D412" s="75"/>
    </row>
    <row r="413">
      <c r="A413" s="76" t="s">
        <v>883</v>
      </c>
      <c r="B413" s="76" t="s">
        <v>1161</v>
      </c>
      <c r="C413" s="76" t="s">
        <v>1162</v>
      </c>
      <c r="D413" s="75"/>
    </row>
    <row r="414">
      <c r="A414" s="76" t="s">
        <v>883</v>
      </c>
      <c r="B414" s="76" t="s">
        <v>1163</v>
      </c>
      <c r="C414" s="76" t="s">
        <v>1164</v>
      </c>
      <c r="D414" s="75"/>
    </row>
    <row r="415">
      <c r="A415" s="76" t="s">
        <v>883</v>
      </c>
      <c r="B415" s="76" t="s">
        <v>1165</v>
      </c>
      <c r="C415" s="76" t="s">
        <v>1166</v>
      </c>
      <c r="D415" s="75"/>
    </row>
    <row r="416">
      <c r="A416" s="76" t="s">
        <v>883</v>
      </c>
      <c r="B416" s="76" t="s">
        <v>1167</v>
      </c>
      <c r="C416" s="76" t="s">
        <v>1168</v>
      </c>
      <c r="D416" s="75"/>
    </row>
    <row r="417">
      <c r="A417" s="76" t="s">
        <v>883</v>
      </c>
      <c r="B417" s="76" t="s">
        <v>1169</v>
      </c>
      <c r="C417" s="76" t="s">
        <v>1170</v>
      </c>
      <c r="D417" s="75"/>
    </row>
    <row r="418">
      <c r="A418" s="76" t="s">
        <v>883</v>
      </c>
      <c r="B418" s="76" t="s">
        <v>1171</v>
      </c>
      <c r="C418" s="76" t="s">
        <v>1172</v>
      </c>
      <c r="D418" s="75"/>
    </row>
    <row r="419">
      <c r="A419" s="76" t="s">
        <v>883</v>
      </c>
      <c r="B419" s="76" t="s">
        <v>1173</v>
      </c>
      <c r="C419" s="76" t="s">
        <v>1174</v>
      </c>
      <c r="D419" s="75"/>
    </row>
    <row r="420">
      <c r="A420" s="76" t="s">
        <v>883</v>
      </c>
      <c r="B420" s="76" t="s">
        <v>1175</v>
      </c>
      <c r="C420" s="76" t="s">
        <v>1176</v>
      </c>
      <c r="D420" s="75"/>
    </row>
    <row r="421">
      <c r="A421" s="76" t="s">
        <v>883</v>
      </c>
      <c r="B421" s="76" t="s">
        <v>1177</v>
      </c>
      <c r="C421" s="76" t="s">
        <v>1178</v>
      </c>
      <c r="D421" s="75"/>
    </row>
    <row r="422">
      <c r="A422" s="76" t="s">
        <v>883</v>
      </c>
      <c r="B422" s="76" t="s">
        <v>1179</v>
      </c>
      <c r="C422" s="76" t="s">
        <v>1180</v>
      </c>
      <c r="D422" s="75"/>
    </row>
    <row r="423">
      <c r="A423" s="76" t="s">
        <v>883</v>
      </c>
      <c r="B423" s="76" t="s">
        <v>1181</v>
      </c>
      <c r="C423" s="76" t="s">
        <v>1182</v>
      </c>
      <c r="D423" s="75"/>
    </row>
    <row r="424">
      <c r="A424" s="76" t="s">
        <v>883</v>
      </c>
      <c r="B424" s="76" t="s">
        <v>1183</v>
      </c>
      <c r="C424" s="76" t="s">
        <v>1184</v>
      </c>
      <c r="D424" s="75"/>
    </row>
    <row r="425">
      <c r="A425" s="76" t="s">
        <v>883</v>
      </c>
      <c r="B425" s="76" t="s">
        <v>1185</v>
      </c>
      <c r="C425" s="76" t="s">
        <v>1186</v>
      </c>
      <c r="D425" s="75"/>
    </row>
    <row r="426">
      <c r="A426" s="76" t="s">
        <v>883</v>
      </c>
      <c r="B426" s="76" t="s">
        <v>1187</v>
      </c>
      <c r="C426" s="76" t="s">
        <v>1188</v>
      </c>
      <c r="D426" s="75"/>
    </row>
    <row r="427">
      <c r="A427" s="76" t="s">
        <v>883</v>
      </c>
      <c r="B427" s="76" t="s">
        <v>1189</v>
      </c>
      <c r="C427" s="76" t="s">
        <v>1190</v>
      </c>
      <c r="D427" s="75"/>
    </row>
    <row r="428">
      <c r="A428" s="76" t="s">
        <v>883</v>
      </c>
      <c r="B428" s="76" t="s">
        <v>1191</v>
      </c>
      <c r="C428" s="76" t="s">
        <v>1192</v>
      </c>
      <c r="D428" s="75"/>
    </row>
    <row r="429">
      <c r="A429" s="76" t="s">
        <v>883</v>
      </c>
      <c r="B429" s="76" t="s">
        <v>1193</v>
      </c>
      <c r="C429" s="76" t="s">
        <v>1194</v>
      </c>
      <c r="D429" s="75"/>
    </row>
    <row r="430">
      <c r="A430" s="76" t="s">
        <v>883</v>
      </c>
      <c r="B430" s="76" t="s">
        <v>1195</v>
      </c>
      <c r="C430" s="76" t="s">
        <v>1196</v>
      </c>
      <c r="D430" s="75"/>
    </row>
    <row r="431">
      <c r="A431" s="76" t="s">
        <v>883</v>
      </c>
      <c r="B431" s="76" t="s">
        <v>1197</v>
      </c>
      <c r="C431" s="76" t="s">
        <v>1198</v>
      </c>
      <c r="D431" s="75"/>
    </row>
    <row r="432">
      <c r="A432" s="76" t="s">
        <v>883</v>
      </c>
      <c r="B432" s="76" t="s">
        <v>1199</v>
      </c>
      <c r="C432" s="76" t="s">
        <v>1200</v>
      </c>
      <c r="D432" s="75"/>
    </row>
    <row r="433">
      <c r="A433" s="76" t="s">
        <v>883</v>
      </c>
      <c r="B433" s="76" t="s">
        <v>1201</v>
      </c>
      <c r="C433" s="76" t="s">
        <v>1202</v>
      </c>
      <c r="D433" s="75"/>
    </row>
    <row r="434">
      <c r="A434" s="76" t="s">
        <v>883</v>
      </c>
      <c r="B434" s="76" t="s">
        <v>1203</v>
      </c>
      <c r="C434" s="76" t="s">
        <v>1204</v>
      </c>
      <c r="D434" s="75"/>
    </row>
    <row r="435">
      <c r="A435" s="76" t="s">
        <v>883</v>
      </c>
      <c r="B435" s="76" t="s">
        <v>1205</v>
      </c>
      <c r="C435" s="76" t="s">
        <v>1206</v>
      </c>
      <c r="D435" s="75"/>
    </row>
    <row r="436">
      <c r="A436" s="76" t="s">
        <v>883</v>
      </c>
      <c r="B436" s="76" t="s">
        <v>1207</v>
      </c>
      <c r="C436" s="76" t="s">
        <v>1208</v>
      </c>
      <c r="D436" s="75"/>
    </row>
    <row r="437">
      <c r="A437" s="76" t="s">
        <v>883</v>
      </c>
      <c r="B437" s="76" t="s">
        <v>1209</v>
      </c>
      <c r="C437" s="76" t="s">
        <v>1210</v>
      </c>
      <c r="D437" s="75"/>
    </row>
    <row r="438">
      <c r="A438" s="76" t="s">
        <v>883</v>
      </c>
      <c r="B438" s="76" t="s">
        <v>1211</v>
      </c>
      <c r="C438" s="76" t="s">
        <v>1212</v>
      </c>
      <c r="D438" s="75"/>
    </row>
    <row r="439">
      <c r="A439" s="76" t="s">
        <v>883</v>
      </c>
      <c r="B439" s="76" t="s">
        <v>735</v>
      </c>
      <c r="C439" s="76"/>
      <c r="D439" s="75"/>
    </row>
    <row hidden="true" r="440">
      <c r="A440" s="76" t="s">
        <v>1213</v>
      </c>
      <c r="B440" s="76" t="s">
        <v>407</v>
      </c>
      <c r="C440" s="76" t="s">
        <v>408</v>
      </c>
      <c r="D440" s="75"/>
    </row>
    <row hidden="true" r="441">
      <c r="A441" s="76" t="s">
        <v>1213</v>
      </c>
      <c r="B441" s="76" t="s">
        <v>744</v>
      </c>
      <c r="C441" s="76" t="s">
        <v>745</v>
      </c>
      <c r="D441" s="75"/>
    </row>
    <row hidden="true" r="442">
      <c r="A442" s="76" t="s">
        <v>1213</v>
      </c>
      <c r="B442" s="76" t="s">
        <v>409</v>
      </c>
      <c r="C442" s="76" t="s">
        <v>410</v>
      </c>
      <c r="D442" s="75"/>
    </row>
    <row hidden="true" r="443">
      <c r="A443" s="76" t="s">
        <v>1213</v>
      </c>
      <c r="B443" s="76" t="s">
        <v>884</v>
      </c>
      <c r="C443" s="76" t="s">
        <v>885</v>
      </c>
      <c r="D443" s="75"/>
    </row>
    <row hidden="true" r="444">
      <c r="A444" s="76" t="s">
        <v>1213</v>
      </c>
      <c r="B444" s="76" t="s">
        <v>886</v>
      </c>
      <c r="C444" s="76" t="s">
        <v>887</v>
      </c>
      <c r="D444" s="75"/>
    </row>
    <row hidden="true" r="445">
      <c r="A445" s="76" t="s">
        <v>1213</v>
      </c>
      <c r="B445" s="76" t="s">
        <v>888</v>
      </c>
      <c r="C445" s="76" t="s">
        <v>889</v>
      </c>
      <c r="D445" s="75"/>
    </row>
    <row hidden="true" r="446">
      <c r="A446" s="76" t="s">
        <v>1213</v>
      </c>
      <c r="B446" s="76" t="s">
        <v>890</v>
      </c>
      <c r="C446" s="76" t="s">
        <v>891</v>
      </c>
      <c r="D446" s="75"/>
    </row>
    <row hidden="true" r="447">
      <c r="A447" s="76" t="s">
        <v>1213</v>
      </c>
      <c r="B447" s="76" t="s">
        <v>892</v>
      </c>
      <c r="C447" s="76" t="s">
        <v>893</v>
      </c>
      <c r="D447" s="75"/>
    </row>
    <row hidden="true" r="448">
      <c r="A448" s="76" t="s">
        <v>1213</v>
      </c>
      <c r="B448" s="76" t="s">
        <v>894</v>
      </c>
      <c r="C448" s="76" t="s">
        <v>895</v>
      </c>
      <c r="D448" s="75"/>
    </row>
    <row hidden="true" r="449">
      <c r="A449" s="76" t="s">
        <v>1213</v>
      </c>
      <c r="B449" s="76" t="s">
        <v>896</v>
      </c>
      <c r="C449" s="76" t="s">
        <v>897</v>
      </c>
      <c r="D449" s="75"/>
    </row>
    <row hidden="true" r="450">
      <c r="A450" s="76" t="s">
        <v>1213</v>
      </c>
      <c r="B450" s="76" t="s">
        <v>898</v>
      </c>
      <c r="C450" s="76" t="s">
        <v>899</v>
      </c>
      <c r="D450" s="75"/>
    </row>
    <row hidden="true" r="451">
      <c r="A451" s="76" t="s">
        <v>1213</v>
      </c>
      <c r="B451" s="76" t="s">
        <v>900</v>
      </c>
      <c r="C451" s="76" t="s">
        <v>901</v>
      </c>
      <c r="D451" s="75"/>
    </row>
    <row hidden="true" r="452">
      <c r="A452" s="76" t="s">
        <v>1213</v>
      </c>
      <c r="B452" s="76" t="s">
        <v>902</v>
      </c>
      <c r="C452" s="76" t="s">
        <v>903</v>
      </c>
      <c r="D452" s="75"/>
    </row>
    <row hidden="true" r="453">
      <c r="A453" s="76" t="s">
        <v>1213</v>
      </c>
      <c r="B453" s="76" t="s">
        <v>904</v>
      </c>
      <c r="C453" s="76" t="s">
        <v>905</v>
      </c>
      <c r="D453" s="75"/>
    </row>
    <row hidden="true" r="454">
      <c r="A454" s="76" t="s">
        <v>1213</v>
      </c>
      <c r="B454" s="76" t="s">
        <v>906</v>
      </c>
      <c r="C454" s="76" t="s">
        <v>907</v>
      </c>
      <c r="D454" s="75"/>
    </row>
    <row hidden="true" r="455">
      <c r="A455" s="76" t="s">
        <v>1213</v>
      </c>
      <c r="B455" s="76" t="s">
        <v>908</v>
      </c>
      <c r="C455" s="76" t="s">
        <v>909</v>
      </c>
      <c r="D455" s="75"/>
    </row>
    <row hidden="true" r="456">
      <c r="A456" s="76" t="s">
        <v>1213</v>
      </c>
      <c r="B456" s="76" t="s">
        <v>910</v>
      </c>
      <c r="C456" s="76" t="s">
        <v>911</v>
      </c>
      <c r="D456" s="75"/>
    </row>
    <row hidden="true" r="457">
      <c r="A457" s="76" t="s">
        <v>1213</v>
      </c>
      <c r="B457" s="76" t="s">
        <v>912</v>
      </c>
      <c r="C457" s="76" t="s">
        <v>913</v>
      </c>
      <c r="D457" s="75"/>
    </row>
    <row hidden="true" r="458">
      <c r="A458" s="76" t="s">
        <v>1213</v>
      </c>
      <c r="B458" s="76" t="s">
        <v>914</v>
      </c>
      <c r="C458" s="76" t="s">
        <v>915</v>
      </c>
      <c r="D458" s="75"/>
    </row>
    <row hidden="true" r="459">
      <c r="A459" s="76" t="s">
        <v>1213</v>
      </c>
      <c r="B459" s="76" t="s">
        <v>916</v>
      </c>
      <c r="C459" s="76" t="s">
        <v>917</v>
      </c>
      <c r="D459" s="75"/>
    </row>
    <row hidden="true" r="460">
      <c r="A460" s="76" t="s">
        <v>1213</v>
      </c>
      <c r="B460" s="76" t="s">
        <v>918</v>
      </c>
      <c r="C460" s="76" t="s">
        <v>919</v>
      </c>
      <c r="D460" s="75"/>
    </row>
    <row hidden="true" r="461">
      <c r="A461" s="76" t="s">
        <v>1213</v>
      </c>
      <c r="B461" s="76" t="s">
        <v>920</v>
      </c>
      <c r="C461" s="76" t="s">
        <v>921</v>
      </c>
      <c r="D461" s="75"/>
    </row>
    <row hidden="true" r="462">
      <c r="A462" s="76" t="s">
        <v>1213</v>
      </c>
      <c r="B462" s="76" t="s">
        <v>922</v>
      </c>
      <c r="C462" s="76" t="s">
        <v>923</v>
      </c>
      <c r="D462" s="75"/>
    </row>
    <row hidden="true" r="463">
      <c r="A463" s="76" t="s">
        <v>1213</v>
      </c>
      <c r="B463" s="76" t="s">
        <v>924</v>
      </c>
      <c r="C463" s="76" t="s">
        <v>925</v>
      </c>
      <c r="D463" s="75"/>
    </row>
    <row hidden="true" r="464">
      <c r="A464" s="76" t="s">
        <v>1213</v>
      </c>
      <c r="B464" s="76" t="s">
        <v>926</v>
      </c>
      <c r="C464" s="76" t="s">
        <v>927</v>
      </c>
      <c r="D464" s="75"/>
    </row>
    <row hidden="true" r="465">
      <c r="A465" s="76" t="s">
        <v>1213</v>
      </c>
      <c r="B465" s="76" t="s">
        <v>928</v>
      </c>
      <c r="C465" s="76" t="s">
        <v>929</v>
      </c>
      <c r="D465" s="75"/>
    </row>
    <row hidden="true" r="466">
      <c r="A466" s="76" t="s">
        <v>1213</v>
      </c>
      <c r="B466" s="76" t="s">
        <v>930</v>
      </c>
      <c r="C466" s="76" t="s">
        <v>931</v>
      </c>
      <c r="D466" s="75"/>
    </row>
    <row hidden="true" r="467">
      <c r="A467" s="76" t="s">
        <v>1213</v>
      </c>
      <c r="B467" s="76" t="s">
        <v>932</v>
      </c>
      <c r="C467" s="76" t="s">
        <v>933</v>
      </c>
      <c r="D467" s="75"/>
    </row>
    <row hidden="true" r="468">
      <c r="A468" s="76" t="s">
        <v>1213</v>
      </c>
      <c r="B468" s="76" t="s">
        <v>934</v>
      </c>
      <c r="C468" s="76" t="s">
        <v>935</v>
      </c>
      <c r="D468" s="75"/>
    </row>
    <row hidden="true" r="469">
      <c r="A469" s="76" t="s">
        <v>1213</v>
      </c>
      <c r="B469" s="76" t="s">
        <v>936</v>
      </c>
      <c r="C469" s="76" t="s">
        <v>937</v>
      </c>
      <c r="D469" s="75"/>
    </row>
    <row hidden="true" r="470">
      <c r="A470" s="76" t="s">
        <v>1213</v>
      </c>
      <c r="B470" s="76" t="s">
        <v>938</v>
      </c>
      <c r="C470" s="76" t="s">
        <v>939</v>
      </c>
      <c r="D470" s="75"/>
    </row>
    <row hidden="true" r="471">
      <c r="A471" s="76" t="s">
        <v>1213</v>
      </c>
      <c r="B471" s="76" t="s">
        <v>940</v>
      </c>
      <c r="C471" s="76" t="s">
        <v>941</v>
      </c>
      <c r="D471" s="75"/>
    </row>
    <row hidden="true" r="472">
      <c r="A472" s="76" t="s">
        <v>1213</v>
      </c>
      <c r="B472" s="76" t="s">
        <v>942</v>
      </c>
      <c r="C472" s="76" t="s">
        <v>943</v>
      </c>
      <c r="D472" s="75"/>
    </row>
    <row hidden="true" r="473">
      <c r="A473" s="76" t="s">
        <v>1213</v>
      </c>
      <c r="B473" s="76" t="s">
        <v>944</v>
      </c>
      <c r="C473" s="76" t="s">
        <v>945</v>
      </c>
      <c r="D473" s="75"/>
    </row>
    <row hidden="true" r="474">
      <c r="A474" s="76" t="s">
        <v>1213</v>
      </c>
      <c r="B474" s="76" t="s">
        <v>946</v>
      </c>
      <c r="C474" s="76" t="s">
        <v>947</v>
      </c>
      <c r="D474" s="75"/>
    </row>
    <row hidden="true" r="475">
      <c r="A475" s="76" t="s">
        <v>1213</v>
      </c>
      <c r="B475" s="76" t="s">
        <v>948</v>
      </c>
      <c r="C475" s="76" t="s">
        <v>949</v>
      </c>
      <c r="D475" s="75"/>
    </row>
    <row hidden="true" r="476">
      <c r="A476" s="76" t="s">
        <v>1213</v>
      </c>
      <c r="B476" s="76" t="s">
        <v>950</v>
      </c>
      <c r="C476" s="76" t="s">
        <v>951</v>
      </c>
      <c r="D476" s="75"/>
    </row>
    <row hidden="true" r="477">
      <c r="A477" s="76" t="s">
        <v>1213</v>
      </c>
      <c r="B477" s="76" t="s">
        <v>952</v>
      </c>
      <c r="C477" s="76" t="s">
        <v>953</v>
      </c>
      <c r="D477" s="75"/>
    </row>
    <row hidden="true" r="478">
      <c r="A478" s="76" t="s">
        <v>1213</v>
      </c>
      <c r="B478" s="76" t="s">
        <v>954</v>
      </c>
      <c r="C478" s="76" t="s">
        <v>955</v>
      </c>
      <c r="D478" s="75"/>
    </row>
    <row hidden="true" r="479">
      <c r="A479" s="76" t="s">
        <v>1213</v>
      </c>
      <c r="B479" s="76" t="s">
        <v>775</v>
      </c>
      <c r="C479" s="76" t="s">
        <v>776</v>
      </c>
      <c r="D479" s="75"/>
    </row>
    <row hidden="true" r="480">
      <c r="A480" s="76" t="s">
        <v>1213</v>
      </c>
      <c r="B480" s="76" t="s">
        <v>956</v>
      </c>
      <c r="C480" s="76" t="s">
        <v>957</v>
      </c>
      <c r="D480" s="75"/>
    </row>
    <row hidden="true" r="481">
      <c r="A481" s="76" t="s">
        <v>1213</v>
      </c>
      <c r="B481" s="76" t="s">
        <v>958</v>
      </c>
      <c r="C481" s="76" t="s">
        <v>959</v>
      </c>
      <c r="D481" s="75"/>
    </row>
    <row hidden="true" r="482">
      <c r="A482" s="76" t="s">
        <v>1213</v>
      </c>
      <c r="B482" s="76" t="s">
        <v>960</v>
      </c>
      <c r="C482" s="76" t="s">
        <v>961</v>
      </c>
      <c r="D482" s="75"/>
    </row>
    <row hidden="true" r="483">
      <c r="A483" s="76" t="s">
        <v>1213</v>
      </c>
      <c r="B483" s="76" t="s">
        <v>962</v>
      </c>
      <c r="C483" s="76" t="s">
        <v>963</v>
      </c>
      <c r="D483" s="75"/>
    </row>
    <row hidden="true" r="484">
      <c r="A484" s="76" t="s">
        <v>1213</v>
      </c>
      <c r="B484" s="76" t="s">
        <v>964</v>
      </c>
      <c r="C484" s="76" t="s">
        <v>965</v>
      </c>
      <c r="D484" s="75"/>
    </row>
    <row hidden="true" r="485">
      <c r="A485" s="76" t="s">
        <v>1213</v>
      </c>
      <c r="B485" s="76" t="s">
        <v>966</v>
      </c>
      <c r="C485" s="76" t="s">
        <v>967</v>
      </c>
      <c r="D485" s="75"/>
    </row>
    <row hidden="true" r="486">
      <c r="A486" s="76" t="s">
        <v>1213</v>
      </c>
      <c r="B486" s="76" t="s">
        <v>968</v>
      </c>
      <c r="C486" s="76" t="s">
        <v>969</v>
      </c>
      <c r="D486" s="75"/>
    </row>
    <row hidden="true" r="487">
      <c r="A487" s="76" t="s">
        <v>1213</v>
      </c>
      <c r="B487" s="76" t="s">
        <v>970</v>
      </c>
      <c r="C487" s="76" t="s">
        <v>971</v>
      </c>
      <c r="D487" s="75"/>
    </row>
    <row hidden="true" r="488">
      <c r="A488" s="76" t="s">
        <v>1213</v>
      </c>
      <c r="B488" s="76" t="s">
        <v>972</v>
      </c>
      <c r="C488" s="76" t="s">
        <v>973</v>
      </c>
      <c r="D488" s="75"/>
    </row>
    <row hidden="true" r="489">
      <c r="A489" s="76" t="s">
        <v>1213</v>
      </c>
      <c r="B489" s="76" t="s">
        <v>974</v>
      </c>
      <c r="C489" s="76" t="s">
        <v>975</v>
      </c>
      <c r="D489" s="75"/>
    </row>
    <row hidden="true" r="490">
      <c r="A490" s="76" t="s">
        <v>1213</v>
      </c>
      <c r="B490" s="76" t="s">
        <v>976</v>
      </c>
      <c r="C490" s="76" t="s">
        <v>977</v>
      </c>
      <c r="D490" s="75"/>
    </row>
    <row hidden="true" r="491">
      <c r="A491" s="76" t="s">
        <v>1213</v>
      </c>
      <c r="B491" s="76" t="s">
        <v>823</v>
      </c>
      <c r="C491" s="76" t="s">
        <v>824</v>
      </c>
      <c r="D491" s="75"/>
    </row>
    <row hidden="true" r="492">
      <c r="A492" s="76" t="s">
        <v>1213</v>
      </c>
      <c r="B492" s="76" t="s">
        <v>978</v>
      </c>
      <c r="C492" s="76" t="s">
        <v>979</v>
      </c>
      <c r="D492" s="75"/>
    </row>
    <row hidden="true" r="493">
      <c r="A493" s="76" t="s">
        <v>1213</v>
      </c>
      <c r="B493" s="76" t="s">
        <v>980</v>
      </c>
      <c r="C493" s="76" t="s">
        <v>981</v>
      </c>
      <c r="D493" s="75"/>
    </row>
    <row hidden="true" r="494">
      <c r="A494" s="76" t="s">
        <v>1213</v>
      </c>
      <c r="B494" s="76" t="s">
        <v>982</v>
      </c>
      <c r="C494" s="76" t="s">
        <v>983</v>
      </c>
      <c r="D494" s="75"/>
    </row>
    <row hidden="true" r="495">
      <c r="A495" s="76" t="s">
        <v>1213</v>
      </c>
      <c r="B495" s="76" t="s">
        <v>984</v>
      </c>
      <c r="C495" s="76" t="s">
        <v>985</v>
      </c>
      <c r="D495" s="75"/>
    </row>
    <row hidden="true" r="496">
      <c r="A496" s="76" t="s">
        <v>1213</v>
      </c>
      <c r="B496" s="76" t="s">
        <v>986</v>
      </c>
      <c r="C496" s="76" t="s">
        <v>987</v>
      </c>
      <c r="D496" s="75"/>
    </row>
    <row hidden="true" r="497">
      <c r="A497" s="76" t="s">
        <v>1213</v>
      </c>
      <c r="B497" s="76" t="s">
        <v>988</v>
      </c>
      <c r="C497" s="76" t="s">
        <v>989</v>
      </c>
      <c r="D497" s="75"/>
    </row>
    <row hidden="true" r="498">
      <c r="A498" s="76" t="s">
        <v>1213</v>
      </c>
      <c r="B498" s="76" t="s">
        <v>990</v>
      </c>
      <c r="C498" s="76" t="s">
        <v>991</v>
      </c>
      <c r="D498" s="75"/>
    </row>
    <row hidden="true" r="499">
      <c r="A499" s="76" t="s">
        <v>1213</v>
      </c>
      <c r="B499" s="76" t="s">
        <v>992</v>
      </c>
      <c r="C499" s="76" t="s">
        <v>993</v>
      </c>
      <c r="D499" s="75"/>
    </row>
    <row hidden="true" r="500">
      <c r="A500" s="76" t="s">
        <v>1213</v>
      </c>
      <c r="B500" s="76" t="s">
        <v>994</v>
      </c>
      <c r="C500" s="76" t="s">
        <v>995</v>
      </c>
      <c r="D500" s="75"/>
    </row>
    <row hidden="true" r="501">
      <c r="A501" s="76" t="s">
        <v>1213</v>
      </c>
      <c r="B501" s="76" t="s">
        <v>996</v>
      </c>
      <c r="C501" s="76" t="s">
        <v>997</v>
      </c>
      <c r="D501" s="75"/>
    </row>
    <row hidden="true" r="502">
      <c r="A502" s="76" t="s">
        <v>1213</v>
      </c>
      <c r="B502" s="76" t="s">
        <v>998</v>
      </c>
      <c r="C502" s="76" t="s">
        <v>999</v>
      </c>
      <c r="D502" s="75"/>
    </row>
    <row hidden="true" r="503">
      <c r="A503" s="76" t="s">
        <v>1213</v>
      </c>
      <c r="B503" s="76" t="s">
        <v>1000</v>
      </c>
      <c r="C503" s="76" t="s">
        <v>1001</v>
      </c>
      <c r="D503" s="75"/>
    </row>
    <row hidden="true" r="504">
      <c r="A504" s="76" t="s">
        <v>1213</v>
      </c>
      <c r="B504" s="76" t="s">
        <v>1002</v>
      </c>
      <c r="C504" s="76" t="s">
        <v>1003</v>
      </c>
      <c r="D504" s="75"/>
    </row>
    <row hidden="true" r="505">
      <c r="A505" s="76" t="s">
        <v>1213</v>
      </c>
      <c r="B505" s="76" t="s">
        <v>1004</v>
      </c>
      <c r="C505" s="76" t="s">
        <v>1005</v>
      </c>
      <c r="D505" s="75"/>
    </row>
    <row hidden="true" r="506">
      <c r="A506" s="76" t="s">
        <v>1213</v>
      </c>
      <c r="B506" s="76" t="s">
        <v>1006</v>
      </c>
      <c r="C506" s="76" t="s">
        <v>1007</v>
      </c>
      <c r="D506" s="75"/>
    </row>
    <row hidden="true" r="507">
      <c r="A507" s="76" t="s">
        <v>1213</v>
      </c>
      <c r="B507" s="76" t="s">
        <v>1008</v>
      </c>
      <c r="C507" s="76" t="s">
        <v>1009</v>
      </c>
      <c r="D507" s="75"/>
    </row>
    <row hidden="true" r="508">
      <c r="A508" s="76" t="s">
        <v>1213</v>
      </c>
      <c r="B508" s="76" t="s">
        <v>1010</v>
      </c>
      <c r="C508" s="76" t="s">
        <v>1011</v>
      </c>
      <c r="D508" s="75"/>
    </row>
    <row hidden="true" r="509">
      <c r="A509" s="76" t="s">
        <v>1213</v>
      </c>
      <c r="B509" s="76" t="s">
        <v>1012</v>
      </c>
      <c r="C509" s="76" t="s">
        <v>1013</v>
      </c>
      <c r="D509" s="75"/>
    </row>
    <row hidden="true" r="510">
      <c r="A510" s="76" t="s">
        <v>1213</v>
      </c>
      <c r="B510" s="76" t="s">
        <v>1014</v>
      </c>
      <c r="C510" s="76" t="s">
        <v>1015</v>
      </c>
      <c r="D510" s="75"/>
    </row>
    <row hidden="true" r="511">
      <c r="A511" s="76" t="s">
        <v>1213</v>
      </c>
      <c r="B511" s="76" t="s">
        <v>1016</v>
      </c>
      <c r="C511" s="76" t="s">
        <v>1017</v>
      </c>
      <c r="D511" s="75"/>
    </row>
    <row hidden="true" r="512">
      <c r="A512" s="76" t="s">
        <v>1213</v>
      </c>
      <c r="B512" s="76" t="s">
        <v>1018</v>
      </c>
      <c r="C512" s="76" t="s">
        <v>1019</v>
      </c>
      <c r="D512" s="75"/>
    </row>
    <row hidden="true" r="513">
      <c r="A513" s="76" t="s">
        <v>1213</v>
      </c>
      <c r="B513" s="76" t="s">
        <v>1020</v>
      </c>
      <c r="C513" s="76" t="s">
        <v>1021</v>
      </c>
      <c r="D513" s="75"/>
    </row>
    <row hidden="true" r="514">
      <c r="A514" s="76" t="s">
        <v>1213</v>
      </c>
      <c r="B514" s="76" t="s">
        <v>1022</v>
      </c>
      <c r="C514" s="76" t="s">
        <v>1017</v>
      </c>
      <c r="D514" s="75"/>
    </row>
    <row hidden="true" r="515">
      <c r="A515" s="76" t="s">
        <v>1213</v>
      </c>
      <c r="B515" s="76" t="s">
        <v>1023</v>
      </c>
      <c r="C515" s="76" t="s">
        <v>1019</v>
      </c>
      <c r="D515" s="75"/>
    </row>
    <row hidden="true" r="516">
      <c r="A516" s="76" t="s">
        <v>1213</v>
      </c>
      <c r="B516" s="76" t="s">
        <v>1024</v>
      </c>
      <c r="C516" s="76" t="s">
        <v>1021</v>
      </c>
      <c r="D516" s="75"/>
    </row>
    <row hidden="true" r="517">
      <c r="A517" s="76" t="s">
        <v>1213</v>
      </c>
      <c r="B517" s="76" t="s">
        <v>1025</v>
      </c>
      <c r="C517" s="76" t="s">
        <v>1017</v>
      </c>
      <c r="D517" s="75"/>
    </row>
    <row hidden="true" r="518">
      <c r="A518" s="76" t="s">
        <v>1213</v>
      </c>
      <c r="B518" s="76" t="s">
        <v>1026</v>
      </c>
      <c r="C518" s="76" t="s">
        <v>1019</v>
      </c>
      <c r="D518" s="75"/>
    </row>
    <row hidden="true" r="519">
      <c r="A519" s="76" t="s">
        <v>1213</v>
      </c>
      <c r="B519" s="76" t="s">
        <v>1027</v>
      </c>
      <c r="C519" s="76" t="s">
        <v>1021</v>
      </c>
      <c r="D519" s="75"/>
    </row>
    <row hidden="true" r="520">
      <c r="A520" s="76" t="s">
        <v>1213</v>
      </c>
      <c r="B520" s="76" t="s">
        <v>1028</v>
      </c>
      <c r="C520" s="76" t="s">
        <v>1029</v>
      </c>
      <c r="D520" s="75"/>
    </row>
    <row hidden="true" r="521">
      <c r="A521" s="76" t="s">
        <v>1213</v>
      </c>
      <c r="B521" s="76" t="s">
        <v>530</v>
      </c>
      <c r="C521" s="76" t="s">
        <v>531</v>
      </c>
      <c r="D521" s="75"/>
    </row>
    <row hidden="true" r="522">
      <c r="A522" s="76" t="s">
        <v>1213</v>
      </c>
      <c r="B522" s="76" t="s">
        <v>1030</v>
      </c>
      <c r="C522" s="76" t="s">
        <v>1031</v>
      </c>
      <c r="D522" s="75"/>
    </row>
    <row hidden="true" r="523">
      <c r="A523" s="76" t="s">
        <v>1213</v>
      </c>
      <c r="B523" s="76" t="s">
        <v>1032</v>
      </c>
      <c r="C523" s="76" t="s">
        <v>1033</v>
      </c>
      <c r="D523" s="75"/>
    </row>
    <row hidden="true" r="524">
      <c r="A524" s="76" t="s">
        <v>1213</v>
      </c>
      <c r="B524" s="76" t="s">
        <v>1034</v>
      </c>
      <c r="C524" s="76" t="s">
        <v>1035</v>
      </c>
      <c r="D524" s="75"/>
    </row>
    <row hidden="true" r="525">
      <c r="A525" s="76" t="s">
        <v>1213</v>
      </c>
      <c r="B525" s="76" t="s">
        <v>532</v>
      </c>
      <c r="C525" s="76" t="s">
        <v>533</v>
      </c>
      <c r="D525" s="75"/>
    </row>
    <row hidden="true" r="526">
      <c r="A526" s="76" t="s">
        <v>1213</v>
      </c>
      <c r="B526" s="76" t="s">
        <v>1036</v>
      </c>
      <c r="C526" s="76" t="s">
        <v>1037</v>
      </c>
      <c r="D526" s="75"/>
    </row>
    <row hidden="true" r="527">
      <c r="A527" s="76" t="s">
        <v>1213</v>
      </c>
      <c r="B527" s="76" t="s">
        <v>1038</v>
      </c>
      <c r="C527" s="76" t="s">
        <v>1039</v>
      </c>
      <c r="D527" s="75"/>
    </row>
    <row hidden="true" r="528">
      <c r="A528" s="76" t="s">
        <v>1213</v>
      </c>
      <c r="B528" s="76" t="s">
        <v>1040</v>
      </c>
      <c r="C528" s="76" t="s">
        <v>1041</v>
      </c>
      <c r="D528" s="75"/>
    </row>
    <row hidden="true" r="529">
      <c r="A529" s="76" t="s">
        <v>1213</v>
      </c>
      <c r="B529" s="76" t="s">
        <v>1042</v>
      </c>
      <c r="C529" s="76" t="s">
        <v>1043</v>
      </c>
      <c r="D529" s="75"/>
    </row>
    <row hidden="true" r="530">
      <c r="A530" s="76" t="s">
        <v>1213</v>
      </c>
      <c r="B530" s="76" t="s">
        <v>1044</v>
      </c>
      <c r="C530" s="76" t="s">
        <v>1045</v>
      </c>
      <c r="D530" s="75"/>
    </row>
    <row hidden="true" r="531">
      <c r="A531" s="76" t="s">
        <v>1213</v>
      </c>
      <c r="B531" s="76" t="s">
        <v>1046</v>
      </c>
      <c r="C531" s="76" t="s">
        <v>1047</v>
      </c>
      <c r="D531" s="75"/>
    </row>
    <row hidden="true" r="532">
      <c r="A532" s="76" t="s">
        <v>1213</v>
      </c>
      <c r="B532" s="76" t="s">
        <v>1048</v>
      </c>
      <c r="C532" s="76" t="s">
        <v>1049</v>
      </c>
      <c r="D532" s="75"/>
    </row>
    <row hidden="true" r="533">
      <c r="A533" s="76" t="s">
        <v>1213</v>
      </c>
      <c r="B533" s="76" t="s">
        <v>1050</v>
      </c>
      <c r="C533" s="76" t="s">
        <v>1051</v>
      </c>
      <c r="D533" s="75"/>
    </row>
    <row hidden="true" r="534">
      <c r="A534" s="76" t="s">
        <v>1213</v>
      </c>
      <c r="B534" s="76" t="s">
        <v>1052</v>
      </c>
      <c r="C534" s="76" t="s">
        <v>1053</v>
      </c>
      <c r="D534" s="75"/>
    </row>
    <row hidden="true" r="535">
      <c r="A535" s="76" t="s">
        <v>1213</v>
      </c>
      <c r="B535" s="76" t="s">
        <v>1054</v>
      </c>
      <c r="C535" s="76" t="s">
        <v>1055</v>
      </c>
      <c r="D535" s="75"/>
    </row>
    <row hidden="true" r="536">
      <c r="A536" s="76" t="s">
        <v>1213</v>
      </c>
      <c r="B536" s="76" t="s">
        <v>1056</v>
      </c>
      <c r="C536" s="76" t="s">
        <v>1057</v>
      </c>
      <c r="D536" s="75"/>
    </row>
    <row hidden="true" r="537">
      <c r="A537" s="76" t="s">
        <v>1213</v>
      </c>
      <c r="B537" s="76" t="s">
        <v>1058</v>
      </c>
      <c r="C537" s="76" t="s">
        <v>1059</v>
      </c>
      <c r="D537" s="75"/>
    </row>
    <row hidden="true" r="538">
      <c r="A538" s="76" t="s">
        <v>1213</v>
      </c>
      <c r="B538" s="76" t="s">
        <v>1060</v>
      </c>
      <c r="C538" s="76" t="s">
        <v>1061</v>
      </c>
      <c r="D538" s="75"/>
    </row>
    <row hidden="true" r="539">
      <c r="A539" s="76" t="s">
        <v>1213</v>
      </c>
      <c r="B539" s="76" t="s">
        <v>1062</v>
      </c>
      <c r="C539" s="76" t="s">
        <v>1063</v>
      </c>
      <c r="D539" s="75"/>
    </row>
    <row hidden="true" r="540">
      <c r="A540" s="76" t="s">
        <v>1213</v>
      </c>
      <c r="B540" s="76" t="s">
        <v>1064</v>
      </c>
      <c r="C540" s="76" t="s">
        <v>1065</v>
      </c>
      <c r="D540" s="75"/>
    </row>
    <row hidden="true" r="541">
      <c r="A541" s="76" t="s">
        <v>1213</v>
      </c>
      <c r="B541" s="76" t="s">
        <v>1066</v>
      </c>
      <c r="C541" s="76" t="s">
        <v>1067</v>
      </c>
      <c r="D541" s="75"/>
    </row>
    <row hidden="true" r="542">
      <c r="A542" s="76" t="s">
        <v>1213</v>
      </c>
      <c r="B542" s="76" t="s">
        <v>1068</v>
      </c>
      <c r="C542" s="76" t="s">
        <v>1069</v>
      </c>
      <c r="D542" s="75"/>
    </row>
    <row hidden="true" r="543">
      <c r="A543" s="76" t="s">
        <v>1213</v>
      </c>
      <c r="B543" s="76" t="s">
        <v>1070</v>
      </c>
      <c r="C543" s="76" t="s">
        <v>1069</v>
      </c>
      <c r="D543" s="75"/>
    </row>
    <row hidden="true" r="544">
      <c r="A544" s="76" t="s">
        <v>1213</v>
      </c>
      <c r="B544" s="76" t="s">
        <v>1071</v>
      </c>
      <c r="C544" s="76" t="s">
        <v>1069</v>
      </c>
      <c r="D544" s="75"/>
    </row>
    <row hidden="true" r="545">
      <c r="A545" s="76" t="s">
        <v>1213</v>
      </c>
      <c r="B545" s="76" t="s">
        <v>1072</v>
      </c>
      <c r="C545" s="76" t="s">
        <v>1073</v>
      </c>
      <c r="D545" s="75"/>
    </row>
    <row hidden="true" r="546">
      <c r="A546" s="76" t="s">
        <v>1213</v>
      </c>
      <c r="B546" s="76" t="s">
        <v>1074</v>
      </c>
      <c r="C546" s="76" t="s">
        <v>1073</v>
      </c>
      <c r="D546" s="75"/>
    </row>
    <row hidden="true" r="547">
      <c r="A547" s="76" t="s">
        <v>1213</v>
      </c>
      <c r="B547" s="76" t="s">
        <v>1075</v>
      </c>
      <c r="C547" s="76" t="s">
        <v>1073</v>
      </c>
      <c r="D547" s="75"/>
    </row>
    <row hidden="true" r="548">
      <c r="A548" s="76" t="s">
        <v>1213</v>
      </c>
      <c r="B548" s="76" t="s">
        <v>1076</v>
      </c>
      <c r="C548" s="76" t="s">
        <v>1077</v>
      </c>
      <c r="D548" s="75"/>
    </row>
    <row hidden="true" r="549">
      <c r="A549" s="76" t="s">
        <v>1213</v>
      </c>
      <c r="B549" s="76" t="s">
        <v>1078</v>
      </c>
      <c r="C549" s="76" t="s">
        <v>1079</v>
      </c>
      <c r="D549" s="75"/>
    </row>
    <row hidden="true" r="550">
      <c r="A550" s="76" t="s">
        <v>1213</v>
      </c>
      <c r="B550" s="76" t="s">
        <v>839</v>
      </c>
      <c r="C550" s="76" t="s">
        <v>840</v>
      </c>
      <c r="D550" s="75"/>
    </row>
    <row hidden="true" r="551">
      <c r="A551" s="76" t="s">
        <v>1213</v>
      </c>
      <c r="B551" s="76" t="s">
        <v>1080</v>
      </c>
      <c r="C551" s="76" t="s">
        <v>1081</v>
      </c>
      <c r="D551" s="75"/>
    </row>
    <row hidden="true" r="552">
      <c r="A552" s="76" t="s">
        <v>1213</v>
      </c>
      <c r="B552" s="76" t="s">
        <v>1082</v>
      </c>
      <c r="C552" s="76" t="s">
        <v>1083</v>
      </c>
      <c r="D552" s="75"/>
    </row>
    <row hidden="true" r="553">
      <c r="A553" s="76" t="s">
        <v>1213</v>
      </c>
      <c r="B553" s="76" t="s">
        <v>1084</v>
      </c>
      <c r="C553" s="76" t="s">
        <v>1085</v>
      </c>
      <c r="D553" s="75"/>
    </row>
    <row hidden="true" r="554">
      <c r="A554" s="76" t="s">
        <v>1213</v>
      </c>
      <c r="B554" s="76" t="s">
        <v>1086</v>
      </c>
      <c r="C554" s="76" t="s">
        <v>1087</v>
      </c>
      <c r="D554" s="75"/>
    </row>
    <row hidden="true" r="555">
      <c r="A555" s="76" t="s">
        <v>1213</v>
      </c>
      <c r="B555" s="76" t="s">
        <v>1088</v>
      </c>
      <c r="C555" s="76" t="s">
        <v>1089</v>
      </c>
      <c r="D555" s="75"/>
    </row>
    <row hidden="true" r="556">
      <c r="A556" s="76" t="s">
        <v>1213</v>
      </c>
      <c r="B556" s="76" t="s">
        <v>1090</v>
      </c>
      <c r="C556" s="76" t="s">
        <v>1091</v>
      </c>
      <c r="D556" s="75"/>
    </row>
    <row hidden="true" r="557">
      <c r="A557" s="76" t="s">
        <v>1213</v>
      </c>
      <c r="B557" s="76" t="s">
        <v>1092</v>
      </c>
      <c r="C557" s="76" t="s">
        <v>1091</v>
      </c>
      <c r="D557" s="75"/>
    </row>
    <row hidden="true" r="558">
      <c r="A558" s="76" t="s">
        <v>1213</v>
      </c>
      <c r="B558" s="76" t="s">
        <v>1093</v>
      </c>
      <c r="C558" s="76" t="s">
        <v>1094</v>
      </c>
      <c r="D558" s="75"/>
    </row>
    <row hidden="true" r="559">
      <c r="A559" s="76" t="s">
        <v>1213</v>
      </c>
      <c r="B559" s="76" t="s">
        <v>1095</v>
      </c>
      <c r="C559" s="76" t="s">
        <v>1096</v>
      </c>
      <c r="D559" s="75"/>
    </row>
    <row hidden="true" r="560">
      <c r="A560" s="76" t="s">
        <v>1213</v>
      </c>
      <c r="B560" s="76" t="s">
        <v>1097</v>
      </c>
      <c r="C560" s="76" t="s">
        <v>1098</v>
      </c>
      <c r="D560" s="75"/>
    </row>
    <row hidden="true" r="561">
      <c r="A561" s="76" t="s">
        <v>1213</v>
      </c>
      <c r="B561" s="76" t="s">
        <v>1099</v>
      </c>
      <c r="C561" s="76" t="s">
        <v>1100</v>
      </c>
      <c r="D561" s="75"/>
    </row>
    <row hidden="true" r="562">
      <c r="A562" s="76" t="s">
        <v>1213</v>
      </c>
      <c r="B562" s="76" t="s">
        <v>1101</v>
      </c>
      <c r="C562" s="76" t="s">
        <v>1102</v>
      </c>
      <c r="D562" s="75"/>
    </row>
    <row hidden="true" r="563">
      <c r="A563" s="76" t="s">
        <v>1213</v>
      </c>
      <c r="B563" s="76" t="s">
        <v>1103</v>
      </c>
      <c r="C563" s="76" t="s">
        <v>1104</v>
      </c>
      <c r="D563" s="75"/>
    </row>
    <row hidden="true" r="564">
      <c r="A564" s="76" t="s">
        <v>1213</v>
      </c>
      <c r="B564" s="76" t="s">
        <v>1105</v>
      </c>
      <c r="C564" s="76" t="s">
        <v>1106</v>
      </c>
      <c r="D564" s="75"/>
    </row>
    <row hidden="true" r="565">
      <c r="A565" s="76" t="s">
        <v>1213</v>
      </c>
      <c r="B565" s="76" t="s">
        <v>1107</v>
      </c>
      <c r="C565" s="76" t="s">
        <v>1108</v>
      </c>
      <c r="D565" s="75"/>
    </row>
    <row hidden="true" r="566">
      <c r="A566" s="76" t="s">
        <v>1213</v>
      </c>
      <c r="B566" s="76" t="s">
        <v>1109</v>
      </c>
      <c r="C566" s="76" t="s">
        <v>1110</v>
      </c>
      <c r="D566" s="75"/>
    </row>
    <row hidden="true" r="567">
      <c r="A567" s="76" t="s">
        <v>1213</v>
      </c>
      <c r="B567" s="76" t="s">
        <v>1111</v>
      </c>
      <c r="C567" s="76" t="s">
        <v>1112</v>
      </c>
      <c r="D567" s="75"/>
    </row>
    <row hidden="true" r="568">
      <c r="A568" s="76" t="s">
        <v>1213</v>
      </c>
      <c r="B568" s="76" t="s">
        <v>1113</v>
      </c>
      <c r="C568" s="76" t="s">
        <v>1114</v>
      </c>
      <c r="D568" s="75"/>
    </row>
    <row hidden="true" r="569">
      <c r="A569" s="76" t="s">
        <v>1213</v>
      </c>
      <c r="B569" s="76" t="s">
        <v>1115</v>
      </c>
      <c r="C569" s="76" t="s">
        <v>1116</v>
      </c>
      <c r="D569" s="75"/>
    </row>
    <row hidden="true" r="570">
      <c r="A570" s="76" t="s">
        <v>1213</v>
      </c>
      <c r="B570" s="76" t="s">
        <v>1117</v>
      </c>
      <c r="C570" s="76" t="s">
        <v>1118</v>
      </c>
      <c r="D570" s="75"/>
    </row>
    <row hidden="true" r="571">
      <c r="A571" s="76" t="s">
        <v>1213</v>
      </c>
      <c r="B571" s="76" t="s">
        <v>1119</v>
      </c>
      <c r="C571" s="76" t="s">
        <v>1120</v>
      </c>
      <c r="D571" s="75"/>
    </row>
    <row hidden="true" r="572">
      <c r="A572" s="76" t="s">
        <v>1213</v>
      </c>
      <c r="B572" s="76" t="s">
        <v>1121</v>
      </c>
      <c r="C572" s="76" t="s">
        <v>1122</v>
      </c>
      <c r="D572" s="75"/>
    </row>
    <row hidden="true" r="573">
      <c r="A573" s="76" t="s">
        <v>1213</v>
      </c>
      <c r="B573" s="76" t="s">
        <v>1123</v>
      </c>
      <c r="C573" s="76" t="s">
        <v>1124</v>
      </c>
      <c r="D573" s="75"/>
    </row>
    <row hidden="true" r="574">
      <c r="A574" s="76" t="s">
        <v>1213</v>
      </c>
      <c r="B574" s="76" t="s">
        <v>1125</v>
      </c>
      <c r="C574" s="76" t="s">
        <v>1126</v>
      </c>
      <c r="D574" s="75"/>
    </row>
    <row hidden="true" r="575">
      <c r="A575" s="76" t="s">
        <v>1213</v>
      </c>
      <c r="B575" s="76" t="s">
        <v>1127</v>
      </c>
      <c r="C575" s="76" t="s">
        <v>1128</v>
      </c>
      <c r="D575" s="75"/>
    </row>
    <row hidden="true" r="576">
      <c r="A576" s="76" t="s">
        <v>1213</v>
      </c>
      <c r="B576" s="76" t="s">
        <v>1129</v>
      </c>
      <c r="C576" s="76" t="s">
        <v>1130</v>
      </c>
      <c r="D576" s="75"/>
    </row>
    <row hidden="true" r="577">
      <c r="A577" s="76" t="s">
        <v>1213</v>
      </c>
      <c r="B577" s="76" t="s">
        <v>1131</v>
      </c>
      <c r="C577" s="76" t="s">
        <v>1132</v>
      </c>
      <c r="D577" s="75"/>
    </row>
    <row hidden="true" r="578">
      <c r="A578" s="76" t="s">
        <v>1213</v>
      </c>
      <c r="B578" s="76" t="s">
        <v>1133</v>
      </c>
      <c r="C578" s="76" t="s">
        <v>1134</v>
      </c>
      <c r="D578" s="75"/>
    </row>
    <row hidden="true" r="579">
      <c r="A579" s="76" t="s">
        <v>1213</v>
      </c>
      <c r="B579" s="76" t="s">
        <v>1135</v>
      </c>
      <c r="C579" s="76" t="s">
        <v>1136</v>
      </c>
      <c r="D579" s="75"/>
    </row>
    <row hidden="true" r="580">
      <c r="A580" s="76" t="s">
        <v>1213</v>
      </c>
      <c r="B580" s="76" t="s">
        <v>1137</v>
      </c>
      <c r="C580" s="76" t="s">
        <v>1138</v>
      </c>
      <c r="D580" s="75"/>
    </row>
    <row hidden="true" r="581">
      <c r="A581" s="76" t="s">
        <v>1213</v>
      </c>
      <c r="B581" s="76" t="s">
        <v>1139</v>
      </c>
      <c r="C581" s="76" t="s">
        <v>1140</v>
      </c>
      <c r="D581" s="75"/>
    </row>
    <row hidden="true" r="582">
      <c r="A582" s="76" t="s">
        <v>1213</v>
      </c>
      <c r="B582" s="76" t="s">
        <v>1141</v>
      </c>
      <c r="C582" s="76" t="s">
        <v>1142</v>
      </c>
      <c r="D582" s="75"/>
    </row>
    <row hidden="true" r="583">
      <c r="A583" s="76" t="s">
        <v>1213</v>
      </c>
      <c r="B583" s="76" t="s">
        <v>1143</v>
      </c>
      <c r="C583" s="76" t="s">
        <v>1144</v>
      </c>
      <c r="D583" s="75"/>
    </row>
    <row hidden="true" r="584">
      <c r="A584" s="76" t="s">
        <v>1213</v>
      </c>
      <c r="B584" s="76" t="s">
        <v>1145</v>
      </c>
      <c r="C584" s="76" t="s">
        <v>1146</v>
      </c>
      <c r="D584" s="75"/>
    </row>
    <row hidden="true" r="585">
      <c r="A585" s="76" t="s">
        <v>1213</v>
      </c>
      <c r="B585" s="76" t="s">
        <v>1147</v>
      </c>
      <c r="C585" s="76" t="s">
        <v>1148</v>
      </c>
      <c r="D585" s="75"/>
    </row>
    <row hidden="true" r="586">
      <c r="A586" s="76" t="s">
        <v>1213</v>
      </c>
      <c r="B586" s="76" t="s">
        <v>1149</v>
      </c>
      <c r="C586" s="76" t="s">
        <v>1150</v>
      </c>
      <c r="D586" s="75"/>
    </row>
    <row hidden="true" r="587">
      <c r="A587" s="76" t="s">
        <v>1213</v>
      </c>
      <c r="B587" s="76" t="s">
        <v>1151</v>
      </c>
      <c r="C587" s="76" t="s">
        <v>1152</v>
      </c>
      <c r="D587" s="75"/>
    </row>
    <row hidden="true" r="588">
      <c r="A588" s="76" t="s">
        <v>1213</v>
      </c>
      <c r="B588" s="76" t="s">
        <v>1153</v>
      </c>
      <c r="C588" s="76" t="s">
        <v>1154</v>
      </c>
      <c r="D588" s="75"/>
    </row>
    <row hidden="true" r="589">
      <c r="A589" s="76" t="s">
        <v>1213</v>
      </c>
      <c r="B589" s="76" t="s">
        <v>1155</v>
      </c>
      <c r="C589" s="76" t="s">
        <v>1156</v>
      </c>
      <c r="D589" s="75"/>
    </row>
    <row hidden="true" r="590">
      <c r="A590" s="76" t="s">
        <v>1213</v>
      </c>
      <c r="B590" s="76" t="s">
        <v>1157</v>
      </c>
      <c r="C590" s="76" t="s">
        <v>1158</v>
      </c>
      <c r="D590" s="75"/>
    </row>
    <row hidden="true" r="591">
      <c r="A591" s="76" t="s">
        <v>1213</v>
      </c>
      <c r="B591" s="76" t="s">
        <v>1159</v>
      </c>
      <c r="C591" s="76" t="s">
        <v>1160</v>
      </c>
      <c r="D591" s="75"/>
    </row>
    <row hidden="true" r="592">
      <c r="A592" s="76" t="s">
        <v>1213</v>
      </c>
      <c r="B592" s="76" t="s">
        <v>868</v>
      </c>
      <c r="C592" s="76" t="s">
        <v>869</v>
      </c>
      <c r="D592" s="75"/>
    </row>
    <row hidden="true" r="593">
      <c r="A593" s="76" t="s">
        <v>1213</v>
      </c>
      <c r="B593" s="76" t="s">
        <v>1161</v>
      </c>
      <c r="C593" s="76" t="s">
        <v>1162</v>
      </c>
      <c r="D593" s="75"/>
    </row>
    <row hidden="true" r="594">
      <c r="A594" s="76" t="s">
        <v>1213</v>
      </c>
      <c r="B594" s="76" t="s">
        <v>1163</v>
      </c>
      <c r="C594" s="76" t="s">
        <v>1164</v>
      </c>
      <c r="D594" s="75"/>
    </row>
    <row hidden="true" r="595">
      <c r="A595" s="76" t="s">
        <v>1213</v>
      </c>
      <c r="B595" s="76" t="s">
        <v>1165</v>
      </c>
      <c r="C595" s="76" t="s">
        <v>1166</v>
      </c>
      <c r="D595" s="75"/>
    </row>
    <row hidden="true" r="596">
      <c r="A596" s="76" t="s">
        <v>1213</v>
      </c>
      <c r="B596" s="76" t="s">
        <v>1167</v>
      </c>
      <c r="C596" s="76" t="s">
        <v>1168</v>
      </c>
      <c r="D596" s="75"/>
    </row>
    <row hidden="true" r="597">
      <c r="A597" s="76" t="s">
        <v>1213</v>
      </c>
      <c r="B597" s="76" t="s">
        <v>1169</v>
      </c>
      <c r="C597" s="76" t="s">
        <v>1170</v>
      </c>
      <c r="D597" s="75"/>
    </row>
    <row hidden="true" r="598">
      <c r="A598" s="76" t="s">
        <v>1213</v>
      </c>
      <c r="B598" s="76" t="s">
        <v>1171</v>
      </c>
      <c r="C598" s="76" t="s">
        <v>1172</v>
      </c>
      <c r="D598" s="75"/>
    </row>
    <row hidden="true" r="599">
      <c r="A599" s="76" t="s">
        <v>1213</v>
      </c>
      <c r="B599" s="76" t="s">
        <v>1173</v>
      </c>
      <c r="C599" s="76" t="s">
        <v>1174</v>
      </c>
      <c r="D599" s="75"/>
    </row>
    <row hidden="true" r="600">
      <c r="A600" s="76" t="s">
        <v>1213</v>
      </c>
      <c r="B600" s="76" t="s">
        <v>1175</v>
      </c>
      <c r="C600" s="76" t="s">
        <v>1176</v>
      </c>
      <c r="D600" s="75"/>
    </row>
    <row hidden="true" r="601">
      <c r="A601" s="76" t="s">
        <v>1213</v>
      </c>
      <c r="B601" s="76" t="s">
        <v>1177</v>
      </c>
      <c r="C601" s="76" t="s">
        <v>1178</v>
      </c>
      <c r="D601" s="75"/>
    </row>
    <row hidden="true" r="602">
      <c r="A602" s="76" t="s">
        <v>1213</v>
      </c>
      <c r="B602" s="76" t="s">
        <v>1179</v>
      </c>
      <c r="C602" s="76" t="s">
        <v>1180</v>
      </c>
      <c r="D602" s="75"/>
    </row>
    <row hidden="true" r="603">
      <c r="A603" s="76" t="s">
        <v>1213</v>
      </c>
      <c r="B603" s="76" t="s">
        <v>1181</v>
      </c>
      <c r="C603" s="76" t="s">
        <v>1182</v>
      </c>
      <c r="D603" s="75"/>
    </row>
    <row hidden="true" r="604">
      <c r="A604" s="76" t="s">
        <v>1213</v>
      </c>
      <c r="B604" s="76" t="s">
        <v>1183</v>
      </c>
      <c r="C604" s="76" t="s">
        <v>1184</v>
      </c>
      <c r="D604" s="75"/>
    </row>
    <row hidden="true" r="605">
      <c r="A605" s="76" t="s">
        <v>1213</v>
      </c>
      <c r="B605" s="76" t="s">
        <v>1185</v>
      </c>
      <c r="C605" s="76" t="s">
        <v>1186</v>
      </c>
      <c r="D605" s="75"/>
    </row>
    <row hidden="true" r="606">
      <c r="A606" s="76" t="s">
        <v>1213</v>
      </c>
      <c r="B606" s="76" t="s">
        <v>1187</v>
      </c>
      <c r="C606" s="76" t="s">
        <v>1188</v>
      </c>
      <c r="D606" s="75"/>
    </row>
    <row hidden="true" r="607">
      <c r="A607" s="76" t="s">
        <v>1213</v>
      </c>
      <c r="B607" s="76" t="s">
        <v>1189</v>
      </c>
      <c r="C607" s="76" t="s">
        <v>1190</v>
      </c>
      <c r="D607" s="75"/>
    </row>
    <row hidden="true" r="608">
      <c r="A608" s="76" t="s">
        <v>1213</v>
      </c>
      <c r="B608" s="76" t="s">
        <v>1199</v>
      </c>
      <c r="C608" s="76" t="s">
        <v>1200</v>
      </c>
      <c r="D608" s="75"/>
    </row>
    <row hidden="true" r="609">
      <c r="A609" s="76" t="s">
        <v>1213</v>
      </c>
      <c r="B609" s="76" t="s">
        <v>1201</v>
      </c>
      <c r="C609" s="76" t="s">
        <v>1202</v>
      </c>
      <c r="D609" s="75"/>
    </row>
    <row hidden="true" r="610">
      <c r="A610" s="76" t="s">
        <v>1213</v>
      </c>
      <c r="B610" s="76" t="s">
        <v>1203</v>
      </c>
      <c r="C610" s="76" t="s">
        <v>1204</v>
      </c>
      <c r="D610" s="75"/>
    </row>
    <row hidden="true" r="611">
      <c r="A611" s="76" t="s">
        <v>1213</v>
      </c>
      <c r="B611" s="76" t="s">
        <v>1205</v>
      </c>
      <c r="C611" s="76" t="s">
        <v>1206</v>
      </c>
      <c r="D611" s="75"/>
    </row>
    <row hidden="true" r="612">
      <c r="A612" s="76" t="s">
        <v>1213</v>
      </c>
      <c r="B612" s="76" t="s">
        <v>1207</v>
      </c>
      <c r="C612" s="76" t="s">
        <v>1208</v>
      </c>
      <c r="D612" s="75"/>
    </row>
    <row hidden="true" r="613">
      <c r="A613" s="76" t="s">
        <v>1213</v>
      </c>
      <c r="B613" s="76" t="s">
        <v>1209</v>
      </c>
      <c r="C613" s="76" t="s">
        <v>1210</v>
      </c>
      <c r="D613" s="75"/>
    </row>
    <row hidden="true" r="614">
      <c r="A614" s="76" t="s">
        <v>1213</v>
      </c>
      <c r="B614" s="76" t="s">
        <v>1211</v>
      </c>
      <c r="C614" s="76" t="s">
        <v>1212</v>
      </c>
      <c r="D614" s="75"/>
    </row>
    <row hidden="true" r="615">
      <c r="A615" s="76" t="s">
        <v>1213</v>
      </c>
      <c r="B615" s="76" t="s">
        <v>735</v>
      </c>
      <c r="C615" s="76"/>
      <c r="D615" s="75"/>
    </row>
    <row hidden="true" r="616">
      <c r="A616" s="76" t="s">
        <v>1214</v>
      </c>
      <c r="B616" s="76" t="s">
        <v>407</v>
      </c>
      <c r="C616" s="76" t="s">
        <v>408</v>
      </c>
      <c r="D616" s="75"/>
    </row>
    <row hidden="true" r="617">
      <c r="A617" s="76" t="s">
        <v>1214</v>
      </c>
      <c r="B617" s="76" t="s">
        <v>744</v>
      </c>
      <c r="C617" s="76" t="s">
        <v>745</v>
      </c>
      <c r="D617" s="75"/>
    </row>
    <row hidden="true" r="618">
      <c r="A618" s="76" t="s">
        <v>1214</v>
      </c>
      <c r="B618" s="76" t="s">
        <v>409</v>
      </c>
      <c r="C618" s="76" t="s">
        <v>1215</v>
      </c>
      <c r="D618" s="75"/>
    </row>
    <row hidden="true" r="619">
      <c r="A619" s="76" t="s">
        <v>1214</v>
      </c>
      <c r="B619" s="76" t="s">
        <v>884</v>
      </c>
      <c r="C619" s="76" t="s">
        <v>885</v>
      </c>
      <c r="D619" s="75"/>
    </row>
    <row hidden="true" r="620">
      <c r="A620" s="76" t="s">
        <v>1214</v>
      </c>
      <c r="B620" s="76" t="s">
        <v>886</v>
      </c>
      <c r="C620" s="76" t="s">
        <v>1216</v>
      </c>
      <c r="D620" s="75"/>
    </row>
    <row hidden="true" r="621">
      <c r="A621" s="76" t="s">
        <v>1214</v>
      </c>
      <c r="B621" s="76" t="s">
        <v>888</v>
      </c>
      <c r="C621" s="76" t="s">
        <v>889</v>
      </c>
      <c r="D621" s="75"/>
    </row>
    <row hidden="true" r="622">
      <c r="A622" s="76" t="s">
        <v>1214</v>
      </c>
      <c r="B622" s="76" t="s">
        <v>890</v>
      </c>
      <c r="C622" s="76" t="s">
        <v>891</v>
      </c>
      <c r="D622" s="75"/>
    </row>
    <row hidden="true" r="623">
      <c r="A623" s="76" t="s">
        <v>1214</v>
      </c>
      <c r="B623" s="76" t="s">
        <v>892</v>
      </c>
      <c r="C623" s="76" t="s">
        <v>893</v>
      </c>
      <c r="D623" s="75"/>
    </row>
    <row hidden="true" r="624">
      <c r="A624" s="76" t="s">
        <v>1214</v>
      </c>
      <c r="B624" s="76" t="s">
        <v>894</v>
      </c>
      <c r="C624" s="76" t="s">
        <v>1217</v>
      </c>
      <c r="D624" s="75"/>
    </row>
    <row hidden="true" r="625">
      <c r="A625" s="76" t="s">
        <v>1214</v>
      </c>
      <c r="B625" s="76" t="s">
        <v>896</v>
      </c>
      <c r="C625" s="76" t="s">
        <v>897</v>
      </c>
      <c r="D625" s="75"/>
    </row>
    <row hidden="true" r="626">
      <c r="A626" s="76" t="s">
        <v>1214</v>
      </c>
      <c r="B626" s="76" t="s">
        <v>898</v>
      </c>
      <c r="C626" s="76" t="s">
        <v>899</v>
      </c>
      <c r="D626" s="75"/>
    </row>
    <row hidden="true" r="627">
      <c r="A627" s="76" t="s">
        <v>1214</v>
      </c>
      <c r="B627" s="76" t="s">
        <v>900</v>
      </c>
      <c r="C627" s="76" t="s">
        <v>1218</v>
      </c>
      <c r="D627" s="75"/>
    </row>
    <row hidden="true" r="628">
      <c r="A628" s="76" t="s">
        <v>1214</v>
      </c>
      <c r="B628" s="76" t="s">
        <v>902</v>
      </c>
      <c r="C628" s="76" t="s">
        <v>903</v>
      </c>
      <c r="D628" s="75"/>
    </row>
    <row hidden="true" r="629">
      <c r="A629" s="76" t="s">
        <v>1214</v>
      </c>
      <c r="B629" s="76" t="s">
        <v>904</v>
      </c>
      <c r="C629" s="76" t="s">
        <v>905</v>
      </c>
      <c r="D629" s="75"/>
    </row>
    <row hidden="true" r="630">
      <c r="A630" s="76" t="s">
        <v>1214</v>
      </c>
      <c r="B630" s="76" t="s">
        <v>906</v>
      </c>
      <c r="C630" s="76" t="s">
        <v>907</v>
      </c>
      <c r="D630" s="75"/>
    </row>
    <row hidden="true" r="631">
      <c r="A631" s="76" t="s">
        <v>1214</v>
      </c>
      <c r="B631" s="76" t="s">
        <v>908</v>
      </c>
      <c r="C631" s="76" t="s">
        <v>909</v>
      </c>
      <c r="D631" s="75"/>
    </row>
    <row hidden="true" r="632">
      <c r="A632" s="76" t="s">
        <v>1214</v>
      </c>
      <c r="B632" s="76" t="s">
        <v>910</v>
      </c>
      <c r="C632" s="76" t="s">
        <v>911</v>
      </c>
      <c r="D632" s="75"/>
    </row>
    <row hidden="true" r="633">
      <c r="A633" s="76" t="s">
        <v>1214</v>
      </c>
      <c r="B633" s="76" t="s">
        <v>912</v>
      </c>
      <c r="C633" s="76" t="s">
        <v>913</v>
      </c>
      <c r="D633" s="75"/>
    </row>
    <row hidden="true" r="634">
      <c r="A634" s="76" t="s">
        <v>1214</v>
      </c>
      <c r="B634" s="76" t="s">
        <v>914</v>
      </c>
      <c r="C634" s="76" t="s">
        <v>915</v>
      </c>
      <c r="D634" s="75"/>
    </row>
    <row hidden="true" r="635">
      <c r="A635" s="76" t="s">
        <v>1214</v>
      </c>
      <c r="B635" s="76" t="s">
        <v>916</v>
      </c>
      <c r="C635" s="76" t="s">
        <v>917</v>
      </c>
      <c r="D635" s="75"/>
    </row>
    <row hidden="true" r="636">
      <c r="A636" s="76" t="s">
        <v>1214</v>
      </c>
      <c r="B636" s="76" t="s">
        <v>918</v>
      </c>
      <c r="C636" s="76" t="s">
        <v>919</v>
      </c>
      <c r="D636" s="75"/>
    </row>
    <row hidden="true" r="637">
      <c r="A637" s="76" t="s">
        <v>1214</v>
      </c>
      <c r="B637" s="76" t="s">
        <v>920</v>
      </c>
      <c r="C637" s="76" t="s">
        <v>921</v>
      </c>
      <c r="D637" s="75"/>
    </row>
    <row hidden="true" r="638">
      <c r="A638" s="76" t="s">
        <v>1214</v>
      </c>
      <c r="B638" s="76" t="s">
        <v>922</v>
      </c>
      <c r="C638" s="76" t="s">
        <v>1219</v>
      </c>
      <c r="D638" s="75"/>
    </row>
    <row hidden="true" r="639">
      <c r="A639" s="76" t="s">
        <v>1214</v>
      </c>
      <c r="B639" s="76" t="s">
        <v>924</v>
      </c>
      <c r="C639" s="76" t="s">
        <v>925</v>
      </c>
      <c r="D639" s="75"/>
    </row>
    <row hidden="true" r="640">
      <c r="A640" s="76" t="s">
        <v>1214</v>
      </c>
      <c r="B640" s="76" t="s">
        <v>926</v>
      </c>
      <c r="C640" s="76" t="s">
        <v>927</v>
      </c>
      <c r="D640" s="75"/>
    </row>
    <row hidden="true" r="641">
      <c r="A641" s="76" t="s">
        <v>1214</v>
      </c>
      <c r="B641" s="76" t="s">
        <v>928</v>
      </c>
      <c r="C641" s="76" t="s">
        <v>929</v>
      </c>
      <c r="D641" s="75"/>
    </row>
    <row hidden="true" r="642">
      <c r="A642" s="76" t="s">
        <v>1214</v>
      </c>
      <c r="B642" s="76" t="s">
        <v>930</v>
      </c>
      <c r="C642" s="76" t="s">
        <v>931</v>
      </c>
      <c r="D642" s="75"/>
    </row>
    <row hidden="true" r="643">
      <c r="A643" s="76" t="s">
        <v>1214</v>
      </c>
      <c r="B643" s="76" t="s">
        <v>932</v>
      </c>
      <c r="C643" s="76" t="s">
        <v>933</v>
      </c>
      <c r="D643" s="75"/>
    </row>
    <row hidden="true" r="644">
      <c r="A644" s="76" t="s">
        <v>1214</v>
      </c>
      <c r="B644" s="76" t="s">
        <v>934</v>
      </c>
      <c r="C644" s="76" t="s">
        <v>935</v>
      </c>
      <c r="D644" s="75"/>
    </row>
    <row hidden="true" r="645">
      <c r="A645" s="76" t="s">
        <v>1214</v>
      </c>
      <c r="B645" s="76" t="s">
        <v>936</v>
      </c>
      <c r="C645" s="76" t="s">
        <v>937</v>
      </c>
      <c r="D645" s="75"/>
    </row>
    <row hidden="true" r="646">
      <c r="A646" s="76" t="s">
        <v>1214</v>
      </c>
      <c r="B646" s="76" t="s">
        <v>938</v>
      </c>
      <c r="C646" s="76" t="s">
        <v>1220</v>
      </c>
      <c r="D646" s="75"/>
    </row>
    <row hidden="true" r="647">
      <c r="A647" s="76" t="s">
        <v>1214</v>
      </c>
      <c r="B647" s="76" t="s">
        <v>940</v>
      </c>
      <c r="C647" s="76" t="s">
        <v>941</v>
      </c>
      <c r="D647" s="75"/>
    </row>
    <row hidden="true" r="648">
      <c r="A648" s="76" t="s">
        <v>1214</v>
      </c>
      <c r="B648" s="76" t="s">
        <v>942</v>
      </c>
      <c r="C648" s="76" t="s">
        <v>943</v>
      </c>
      <c r="D648" s="75"/>
    </row>
    <row hidden="true" r="649">
      <c r="A649" s="76" t="s">
        <v>1214</v>
      </c>
      <c r="B649" s="76" t="s">
        <v>944</v>
      </c>
      <c r="C649" s="76" t="s">
        <v>945</v>
      </c>
      <c r="D649" s="75"/>
    </row>
    <row hidden="true" r="650">
      <c r="A650" s="76" t="s">
        <v>1214</v>
      </c>
      <c r="B650" s="76" t="s">
        <v>946</v>
      </c>
      <c r="C650" s="76" t="s">
        <v>1221</v>
      </c>
      <c r="D650" s="75"/>
    </row>
    <row hidden="true" r="651">
      <c r="A651" s="76" t="s">
        <v>1214</v>
      </c>
      <c r="B651" s="76" t="s">
        <v>948</v>
      </c>
      <c r="C651" s="76" t="s">
        <v>1222</v>
      </c>
      <c r="D651" s="75"/>
    </row>
    <row hidden="true" r="652">
      <c r="A652" s="76" t="s">
        <v>1214</v>
      </c>
      <c r="B652" s="76" t="s">
        <v>950</v>
      </c>
      <c r="C652" s="76" t="s">
        <v>951</v>
      </c>
      <c r="D652" s="75"/>
    </row>
    <row hidden="true" r="653">
      <c r="A653" s="76" t="s">
        <v>1214</v>
      </c>
      <c r="B653" s="76" t="s">
        <v>952</v>
      </c>
      <c r="C653" s="76" t="s">
        <v>953</v>
      </c>
      <c r="D653" s="75"/>
    </row>
    <row hidden="true" r="654">
      <c r="A654" s="76" t="s">
        <v>1214</v>
      </c>
      <c r="B654" s="76" t="s">
        <v>954</v>
      </c>
      <c r="C654" s="76" t="s">
        <v>955</v>
      </c>
      <c r="D654" s="75"/>
    </row>
    <row hidden="true" r="655">
      <c r="A655" s="76" t="s">
        <v>1214</v>
      </c>
      <c r="B655" s="76" t="s">
        <v>775</v>
      </c>
      <c r="C655" s="76" t="s">
        <v>776</v>
      </c>
      <c r="D655" s="75"/>
    </row>
    <row hidden="true" r="656">
      <c r="A656" s="76" t="s">
        <v>1214</v>
      </c>
      <c r="B656" s="76" t="s">
        <v>956</v>
      </c>
      <c r="C656" s="76" t="s">
        <v>957</v>
      </c>
      <c r="D656" s="75"/>
    </row>
    <row hidden="true" r="657">
      <c r="A657" s="76" t="s">
        <v>1214</v>
      </c>
      <c r="B657" s="76" t="s">
        <v>958</v>
      </c>
      <c r="C657" s="76" t="s">
        <v>959</v>
      </c>
      <c r="D657" s="75"/>
    </row>
    <row hidden="true" r="658">
      <c r="A658" s="76" t="s">
        <v>1214</v>
      </c>
      <c r="B658" s="76" t="s">
        <v>960</v>
      </c>
      <c r="C658" s="76" t="s">
        <v>961</v>
      </c>
      <c r="D658" s="75"/>
    </row>
    <row hidden="true" r="659">
      <c r="A659" s="76" t="s">
        <v>1214</v>
      </c>
      <c r="B659" s="76" t="s">
        <v>962</v>
      </c>
      <c r="C659" s="76" t="s">
        <v>963</v>
      </c>
      <c r="D659" s="75"/>
    </row>
    <row hidden="true" r="660">
      <c r="A660" s="76" t="s">
        <v>1214</v>
      </c>
      <c r="B660" s="76" t="s">
        <v>964</v>
      </c>
      <c r="C660" s="76" t="s">
        <v>965</v>
      </c>
      <c r="D660" s="75"/>
    </row>
    <row hidden="true" r="661">
      <c r="A661" s="76" t="s">
        <v>1214</v>
      </c>
      <c r="B661" s="76" t="s">
        <v>966</v>
      </c>
      <c r="C661" s="76" t="s">
        <v>967</v>
      </c>
      <c r="D661" s="75"/>
    </row>
    <row hidden="true" r="662">
      <c r="A662" s="76" t="s">
        <v>1214</v>
      </c>
      <c r="B662" s="76" t="s">
        <v>968</v>
      </c>
      <c r="C662" s="76" t="s">
        <v>969</v>
      </c>
      <c r="D662" s="75"/>
    </row>
    <row hidden="true" r="663">
      <c r="A663" s="76" t="s">
        <v>1214</v>
      </c>
      <c r="B663" s="76" t="s">
        <v>970</v>
      </c>
      <c r="C663" s="76" t="s">
        <v>971</v>
      </c>
      <c r="D663" s="75"/>
    </row>
    <row hidden="true" r="664">
      <c r="A664" s="76" t="s">
        <v>1214</v>
      </c>
      <c r="B664" s="76" t="s">
        <v>972</v>
      </c>
      <c r="C664" s="76" t="s">
        <v>973</v>
      </c>
      <c r="D664" s="75"/>
    </row>
    <row hidden="true" r="665">
      <c r="A665" s="76" t="s">
        <v>1214</v>
      </c>
      <c r="B665" s="76" t="s">
        <v>974</v>
      </c>
      <c r="C665" s="76" t="s">
        <v>975</v>
      </c>
      <c r="D665" s="75"/>
    </row>
    <row hidden="true" r="666">
      <c r="A666" s="76" t="s">
        <v>1214</v>
      </c>
      <c r="B666" s="76" t="s">
        <v>976</v>
      </c>
      <c r="C666" s="76" t="s">
        <v>977</v>
      </c>
      <c r="D666" s="75"/>
    </row>
    <row hidden="true" r="667">
      <c r="A667" s="76" t="s">
        <v>1214</v>
      </c>
      <c r="B667" s="76" t="s">
        <v>823</v>
      </c>
      <c r="C667" s="76" t="s">
        <v>824</v>
      </c>
      <c r="D667" s="75"/>
    </row>
    <row hidden="true" r="668">
      <c r="A668" s="76" t="s">
        <v>1214</v>
      </c>
      <c r="B668" s="76" t="s">
        <v>978</v>
      </c>
      <c r="C668" s="76" t="s">
        <v>979</v>
      </c>
      <c r="D668" s="75"/>
    </row>
    <row hidden="true" r="669">
      <c r="A669" s="76" t="s">
        <v>1214</v>
      </c>
      <c r="B669" s="76" t="s">
        <v>980</v>
      </c>
      <c r="C669" s="76" t="s">
        <v>981</v>
      </c>
      <c r="D669" s="75"/>
    </row>
    <row hidden="true" r="670">
      <c r="A670" s="76" t="s">
        <v>1214</v>
      </c>
      <c r="B670" s="76" t="s">
        <v>982</v>
      </c>
      <c r="C670" s="76" t="s">
        <v>983</v>
      </c>
      <c r="D670" s="75"/>
    </row>
    <row hidden="true" r="671">
      <c r="A671" s="76" t="s">
        <v>1214</v>
      </c>
      <c r="B671" s="76" t="s">
        <v>984</v>
      </c>
      <c r="C671" s="76" t="s">
        <v>985</v>
      </c>
      <c r="D671" s="75"/>
    </row>
    <row hidden="true" r="672">
      <c r="A672" s="76" t="s">
        <v>1214</v>
      </c>
      <c r="B672" s="76" t="s">
        <v>986</v>
      </c>
      <c r="C672" s="76" t="s">
        <v>987</v>
      </c>
      <c r="D672" s="75"/>
    </row>
    <row hidden="true" r="673">
      <c r="A673" s="76" t="s">
        <v>1214</v>
      </c>
      <c r="B673" s="76" t="s">
        <v>988</v>
      </c>
      <c r="C673" s="76" t="s">
        <v>989</v>
      </c>
      <c r="D673" s="75"/>
    </row>
    <row hidden="true" r="674">
      <c r="A674" s="76" t="s">
        <v>1214</v>
      </c>
      <c r="B674" s="76" t="s">
        <v>990</v>
      </c>
      <c r="C674" s="76" t="s">
        <v>991</v>
      </c>
      <c r="D674" s="75"/>
    </row>
    <row hidden="true" r="675">
      <c r="A675" s="76" t="s">
        <v>1214</v>
      </c>
      <c r="B675" s="76" t="s">
        <v>992</v>
      </c>
      <c r="C675" s="76" t="s">
        <v>993</v>
      </c>
      <c r="D675" s="75"/>
    </row>
    <row hidden="true" r="676">
      <c r="A676" s="76" t="s">
        <v>1214</v>
      </c>
      <c r="B676" s="76" t="s">
        <v>994</v>
      </c>
      <c r="C676" s="76" t="s">
        <v>995</v>
      </c>
      <c r="D676" s="75"/>
    </row>
    <row hidden="true" r="677">
      <c r="A677" s="76" t="s">
        <v>1214</v>
      </c>
      <c r="B677" s="76" t="s">
        <v>996</v>
      </c>
      <c r="C677" s="76" t="s">
        <v>997</v>
      </c>
      <c r="D677" s="75"/>
    </row>
    <row hidden="true" r="678">
      <c r="A678" s="76" t="s">
        <v>1214</v>
      </c>
      <c r="B678" s="76" t="s">
        <v>998</v>
      </c>
      <c r="C678" s="76" t="s">
        <v>999</v>
      </c>
      <c r="D678" s="75"/>
    </row>
    <row hidden="true" r="679">
      <c r="A679" s="76" t="s">
        <v>1214</v>
      </c>
      <c r="B679" s="76" t="s">
        <v>1000</v>
      </c>
      <c r="C679" s="76" t="s">
        <v>1001</v>
      </c>
      <c r="D679" s="75"/>
    </row>
    <row hidden="true" r="680">
      <c r="A680" s="76" t="s">
        <v>1214</v>
      </c>
      <c r="B680" s="76" t="s">
        <v>1002</v>
      </c>
      <c r="C680" s="76" t="s">
        <v>1003</v>
      </c>
      <c r="D680" s="75"/>
    </row>
    <row hidden="true" r="681">
      <c r="A681" s="76" t="s">
        <v>1214</v>
      </c>
      <c r="B681" s="76" t="s">
        <v>1004</v>
      </c>
      <c r="C681" s="76" t="s">
        <v>1005</v>
      </c>
      <c r="D681" s="75"/>
    </row>
    <row hidden="true" r="682">
      <c r="A682" s="76" t="s">
        <v>1214</v>
      </c>
      <c r="B682" s="76" t="s">
        <v>1006</v>
      </c>
      <c r="C682" s="76" t="s">
        <v>1007</v>
      </c>
      <c r="D682" s="75"/>
    </row>
    <row hidden="true" r="683">
      <c r="A683" s="76" t="s">
        <v>1214</v>
      </c>
      <c r="B683" s="76" t="s">
        <v>1008</v>
      </c>
      <c r="C683" s="76" t="s">
        <v>1009</v>
      </c>
      <c r="D683" s="75"/>
    </row>
    <row hidden="true" r="684">
      <c r="A684" s="76" t="s">
        <v>1214</v>
      </c>
      <c r="B684" s="76" t="s">
        <v>1010</v>
      </c>
      <c r="C684" s="76" t="s">
        <v>1011</v>
      </c>
      <c r="D684" s="75"/>
    </row>
    <row hidden="true" r="685">
      <c r="A685" s="76" t="s">
        <v>1214</v>
      </c>
      <c r="B685" s="76" t="s">
        <v>1012</v>
      </c>
      <c r="C685" s="76" t="s">
        <v>1013</v>
      </c>
      <c r="D685" s="75"/>
    </row>
    <row hidden="true" r="686">
      <c r="A686" s="76" t="s">
        <v>1214</v>
      </c>
      <c r="B686" s="76" t="s">
        <v>1014</v>
      </c>
      <c r="C686" s="76" t="s">
        <v>1015</v>
      </c>
      <c r="D686" s="75"/>
    </row>
    <row hidden="true" r="687">
      <c r="A687" s="76" t="s">
        <v>1214</v>
      </c>
      <c r="B687" s="76" t="s">
        <v>1016</v>
      </c>
      <c r="C687" s="76" t="s">
        <v>1017</v>
      </c>
      <c r="D687" s="75"/>
    </row>
    <row hidden="true" r="688">
      <c r="A688" s="76" t="s">
        <v>1214</v>
      </c>
      <c r="B688" s="76" t="s">
        <v>1018</v>
      </c>
      <c r="C688" s="76" t="s">
        <v>1019</v>
      </c>
      <c r="D688" s="75"/>
    </row>
    <row hidden="true" r="689">
      <c r="A689" s="76" t="s">
        <v>1214</v>
      </c>
      <c r="B689" s="76" t="s">
        <v>1020</v>
      </c>
      <c r="C689" s="76" t="s">
        <v>1021</v>
      </c>
      <c r="D689" s="75"/>
    </row>
    <row hidden="true" r="690">
      <c r="A690" s="76" t="s">
        <v>1214</v>
      </c>
      <c r="B690" s="76" t="s">
        <v>1022</v>
      </c>
      <c r="C690" s="76" t="s">
        <v>1017</v>
      </c>
      <c r="D690" s="75"/>
    </row>
    <row hidden="true" r="691">
      <c r="A691" s="76" t="s">
        <v>1214</v>
      </c>
      <c r="B691" s="76" t="s">
        <v>1023</v>
      </c>
      <c r="C691" s="76" t="s">
        <v>1019</v>
      </c>
      <c r="D691" s="75"/>
    </row>
    <row hidden="true" r="692">
      <c r="A692" s="76" t="s">
        <v>1214</v>
      </c>
      <c r="B692" s="76" t="s">
        <v>1024</v>
      </c>
      <c r="C692" s="76" t="s">
        <v>1021</v>
      </c>
      <c r="D692" s="75"/>
    </row>
    <row hidden="true" r="693">
      <c r="A693" s="76" t="s">
        <v>1214</v>
      </c>
      <c r="B693" s="76" t="s">
        <v>1025</v>
      </c>
      <c r="C693" s="76" t="s">
        <v>1017</v>
      </c>
      <c r="D693" s="75"/>
    </row>
    <row hidden="true" r="694">
      <c r="A694" s="76" t="s">
        <v>1214</v>
      </c>
      <c r="B694" s="76" t="s">
        <v>1026</v>
      </c>
      <c r="C694" s="76" t="s">
        <v>1019</v>
      </c>
      <c r="D694" s="75"/>
    </row>
    <row hidden="true" r="695">
      <c r="A695" s="76" t="s">
        <v>1214</v>
      </c>
      <c r="B695" s="76" t="s">
        <v>1027</v>
      </c>
      <c r="C695" s="76" t="s">
        <v>1021</v>
      </c>
      <c r="D695" s="75"/>
    </row>
    <row hidden="true" r="696">
      <c r="A696" s="76" t="s">
        <v>1214</v>
      </c>
      <c r="B696" s="76" t="s">
        <v>1028</v>
      </c>
      <c r="C696" s="76" t="s">
        <v>1029</v>
      </c>
      <c r="D696" s="75"/>
    </row>
    <row hidden="true" r="697">
      <c r="A697" s="76" t="s">
        <v>1214</v>
      </c>
      <c r="B697" s="76" t="s">
        <v>530</v>
      </c>
      <c r="C697" s="76" t="s">
        <v>531</v>
      </c>
      <c r="D697" s="75"/>
    </row>
    <row hidden="true" r="698">
      <c r="A698" s="76" t="s">
        <v>1214</v>
      </c>
      <c r="B698" s="76" t="s">
        <v>1030</v>
      </c>
      <c r="C698" s="76" t="s">
        <v>1031</v>
      </c>
      <c r="D698" s="75"/>
    </row>
    <row hidden="true" r="699">
      <c r="A699" s="76" t="s">
        <v>1214</v>
      </c>
      <c r="B699" s="76" t="s">
        <v>1032</v>
      </c>
      <c r="C699" s="76" t="s">
        <v>1033</v>
      </c>
      <c r="D699" s="75"/>
    </row>
    <row hidden="true" r="700">
      <c r="A700" s="76" t="s">
        <v>1214</v>
      </c>
      <c r="B700" s="76" t="s">
        <v>1034</v>
      </c>
      <c r="C700" s="76" t="s">
        <v>1035</v>
      </c>
      <c r="D700" s="75"/>
    </row>
    <row hidden="true" r="701">
      <c r="A701" s="76" t="s">
        <v>1214</v>
      </c>
      <c r="B701" s="76" t="s">
        <v>532</v>
      </c>
      <c r="C701" s="76" t="s">
        <v>533</v>
      </c>
      <c r="D701" s="75"/>
    </row>
    <row hidden="true" r="702">
      <c r="A702" s="76" t="s">
        <v>1214</v>
      </c>
      <c r="B702" s="76" t="s">
        <v>1036</v>
      </c>
      <c r="C702" s="76" t="s">
        <v>1037</v>
      </c>
      <c r="D702" s="75"/>
    </row>
    <row hidden="true" r="703">
      <c r="A703" s="76" t="s">
        <v>1214</v>
      </c>
      <c r="B703" s="76" t="s">
        <v>1038</v>
      </c>
      <c r="C703" s="76" t="s">
        <v>1039</v>
      </c>
      <c r="D703" s="75"/>
    </row>
    <row hidden="true" r="704">
      <c r="A704" s="76" t="s">
        <v>1214</v>
      </c>
      <c r="B704" s="76" t="s">
        <v>1040</v>
      </c>
      <c r="C704" s="76" t="s">
        <v>1041</v>
      </c>
      <c r="D704" s="75"/>
    </row>
    <row hidden="true" r="705">
      <c r="A705" s="76" t="s">
        <v>1214</v>
      </c>
      <c r="B705" s="76" t="s">
        <v>1042</v>
      </c>
      <c r="C705" s="76" t="s">
        <v>1043</v>
      </c>
      <c r="D705" s="75"/>
    </row>
    <row hidden="true" r="706">
      <c r="A706" s="76" t="s">
        <v>1214</v>
      </c>
      <c r="B706" s="76" t="s">
        <v>1044</v>
      </c>
      <c r="C706" s="76" t="s">
        <v>1045</v>
      </c>
      <c r="D706" s="75"/>
    </row>
    <row hidden="true" r="707">
      <c r="A707" s="76" t="s">
        <v>1214</v>
      </c>
      <c r="B707" s="76" t="s">
        <v>1046</v>
      </c>
      <c r="C707" s="76" t="s">
        <v>1047</v>
      </c>
      <c r="D707" s="75"/>
    </row>
    <row hidden="true" r="708">
      <c r="A708" s="76" t="s">
        <v>1214</v>
      </c>
      <c r="B708" s="76" t="s">
        <v>1048</v>
      </c>
      <c r="C708" s="76" t="s">
        <v>1049</v>
      </c>
      <c r="D708" s="75"/>
    </row>
    <row hidden="true" r="709">
      <c r="A709" s="76" t="s">
        <v>1214</v>
      </c>
      <c r="B709" s="76" t="s">
        <v>1050</v>
      </c>
      <c r="C709" s="76" t="s">
        <v>1051</v>
      </c>
      <c r="D709" s="75"/>
    </row>
    <row hidden="true" r="710">
      <c r="A710" s="76" t="s">
        <v>1214</v>
      </c>
      <c r="B710" s="76" t="s">
        <v>1052</v>
      </c>
      <c r="C710" s="76" t="s">
        <v>1053</v>
      </c>
      <c r="D710" s="75"/>
    </row>
    <row hidden="true" r="711">
      <c r="A711" s="76" t="s">
        <v>1214</v>
      </c>
      <c r="B711" s="76" t="s">
        <v>1054</v>
      </c>
      <c r="C711" s="76" t="s">
        <v>1055</v>
      </c>
      <c r="D711" s="75"/>
    </row>
    <row hidden="true" r="712">
      <c r="A712" s="76" t="s">
        <v>1214</v>
      </c>
      <c r="B712" s="76" t="s">
        <v>1056</v>
      </c>
      <c r="C712" s="76" t="s">
        <v>1057</v>
      </c>
      <c r="D712" s="75"/>
    </row>
    <row hidden="true" r="713">
      <c r="A713" s="76" t="s">
        <v>1214</v>
      </c>
      <c r="B713" s="76" t="s">
        <v>1058</v>
      </c>
      <c r="C713" s="76" t="s">
        <v>1059</v>
      </c>
      <c r="D713" s="75"/>
    </row>
    <row hidden="true" r="714">
      <c r="A714" s="76" t="s">
        <v>1214</v>
      </c>
      <c r="B714" s="76" t="s">
        <v>1060</v>
      </c>
      <c r="C714" s="76" t="s">
        <v>1061</v>
      </c>
      <c r="D714" s="75"/>
    </row>
    <row hidden="true" r="715">
      <c r="A715" s="76" t="s">
        <v>1214</v>
      </c>
      <c r="B715" s="76" t="s">
        <v>1062</v>
      </c>
      <c r="C715" s="76" t="s">
        <v>1063</v>
      </c>
      <c r="D715" s="75"/>
    </row>
    <row hidden="true" r="716">
      <c r="A716" s="76" t="s">
        <v>1214</v>
      </c>
      <c r="B716" s="76" t="s">
        <v>1064</v>
      </c>
      <c r="C716" s="76" t="s">
        <v>1065</v>
      </c>
      <c r="D716" s="75"/>
    </row>
    <row hidden="true" r="717">
      <c r="A717" s="76" t="s">
        <v>1214</v>
      </c>
      <c r="B717" s="76" t="s">
        <v>1066</v>
      </c>
      <c r="C717" s="76" t="s">
        <v>1067</v>
      </c>
      <c r="D717" s="75"/>
    </row>
    <row hidden="true" r="718">
      <c r="A718" s="76" t="s">
        <v>1214</v>
      </c>
      <c r="B718" s="76" t="s">
        <v>1068</v>
      </c>
      <c r="C718" s="76" t="s">
        <v>1069</v>
      </c>
      <c r="D718" s="75"/>
    </row>
    <row hidden="true" r="719">
      <c r="A719" s="76" t="s">
        <v>1214</v>
      </c>
      <c r="B719" s="76" t="s">
        <v>1070</v>
      </c>
      <c r="C719" s="76" t="s">
        <v>1069</v>
      </c>
      <c r="D719" s="75"/>
    </row>
    <row hidden="true" r="720">
      <c r="A720" s="76" t="s">
        <v>1214</v>
      </c>
      <c r="B720" s="76" t="s">
        <v>1071</v>
      </c>
      <c r="C720" s="76" t="s">
        <v>1069</v>
      </c>
      <c r="D720" s="75"/>
    </row>
    <row hidden="true" r="721">
      <c r="A721" s="76" t="s">
        <v>1214</v>
      </c>
      <c r="B721" s="76" t="s">
        <v>1072</v>
      </c>
      <c r="C721" s="76" t="s">
        <v>1073</v>
      </c>
      <c r="D721" s="75"/>
    </row>
    <row hidden="true" r="722">
      <c r="A722" s="76" t="s">
        <v>1214</v>
      </c>
      <c r="B722" s="76" t="s">
        <v>1074</v>
      </c>
      <c r="C722" s="76" t="s">
        <v>1073</v>
      </c>
      <c r="D722" s="75"/>
    </row>
    <row hidden="true" r="723">
      <c r="A723" s="76" t="s">
        <v>1214</v>
      </c>
      <c r="B723" s="76" t="s">
        <v>1075</v>
      </c>
      <c r="C723" s="76" t="s">
        <v>1073</v>
      </c>
      <c r="D723" s="75"/>
    </row>
    <row hidden="true" r="724">
      <c r="A724" s="76" t="s">
        <v>1214</v>
      </c>
      <c r="B724" s="76" t="s">
        <v>1076</v>
      </c>
      <c r="C724" s="76" t="s">
        <v>1077</v>
      </c>
      <c r="D724" s="75"/>
    </row>
    <row hidden="true" r="725">
      <c r="A725" s="76" t="s">
        <v>1214</v>
      </c>
      <c r="B725" s="76" t="s">
        <v>1078</v>
      </c>
      <c r="C725" s="76" t="s">
        <v>1079</v>
      </c>
      <c r="D725" s="75"/>
    </row>
    <row hidden="true" r="726">
      <c r="A726" s="76" t="s">
        <v>1214</v>
      </c>
      <c r="B726" s="76" t="s">
        <v>839</v>
      </c>
      <c r="C726" s="76" t="s">
        <v>840</v>
      </c>
      <c r="D726" s="75"/>
    </row>
    <row hidden="true" r="727">
      <c r="A727" s="76" t="s">
        <v>1214</v>
      </c>
      <c r="B727" s="76" t="s">
        <v>1080</v>
      </c>
      <c r="C727" s="76" t="s">
        <v>1081</v>
      </c>
      <c r="D727" s="75"/>
    </row>
    <row hidden="true" r="728">
      <c r="A728" s="76" t="s">
        <v>1214</v>
      </c>
      <c r="B728" s="76" t="s">
        <v>1082</v>
      </c>
      <c r="C728" s="76" t="s">
        <v>1083</v>
      </c>
      <c r="D728" s="75"/>
    </row>
    <row hidden="true" r="729">
      <c r="A729" s="76" t="s">
        <v>1214</v>
      </c>
      <c r="B729" s="76" t="s">
        <v>1084</v>
      </c>
      <c r="C729" s="76" t="s">
        <v>1085</v>
      </c>
      <c r="D729" s="75"/>
    </row>
    <row hidden="true" r="730">
      <c r="A730" s="76" t="s">
        <v>1214</v>
      </c>
      <c r="B730" s="76" t="s">
        <v>1086</v>
      </c>
      <c r="C730" s="76" t="s">
        <v>1087</v>
      </c>
      <c r="D730" s="75"/>
    </row>
    <row hidden="true" r="731">
      <c r="A731" s="76" t="s">
        <v>1214</v>
      </c>
      <c r="B731" s="76" t="s">
        <v>1088</v>
      </c>
      <c r="C731" s="76" t="s">
        <v>1089</v>
      </c>
      <c r="D731" s="75"/>
    </row>
    <row hidden="true" r="732">
      <c r="A732" s="76" t="s">
        <v>1214</v>
      </c>
      <c r="B732" s="76" t="s">
        <v>1090</v>
      </c>
      <c r="C732" s="76" t="s">
        <v>1091</v>
      </c>
      <c r="D732" s="75"/>
    </row>
    <row hidden="true" r="733">
      <c r="A733" s="76" t="s">
        <v>1214</v>
      </c>
      <c r="B733" s="76" t="s">
        <v>1092</v>
      </c>
      <c r="C733" s="76" t="s">
        <v>1091</v>
      </c>
      <c r="D733" s="75"/>
    </row>
    <row hidden="true" r="734">
      <c r="A734" s="76" t="s">
        <v>1214</v>
      </c>
      <c r="B734" s="76" t="s">
        <v>1093</v>
      </c>
      <c r="C734" s="76" t="s">
        <v>1094</v>
      </c>
      <c r="D734" s="75"/>
    </row>
    <row hidden="true" r="735">
      <c r="A735" s="76" t="s">
        <v>1214</v>
      </c>
      <c r="B735" s="76" t="s">
        <v>1095</v>
      </c>
      <c r="C735" s="76" t="s">
        <v>1096</v>
      </c>
      <c r="D735" s="75"/>
    </row>
    <row hidden="true" r="736">
      <c r="A736" s="76" t="s">
        <v>1214</v>
      </c>
      <c r="B736" s="76" t="s">
        <v>1097</v>
      </c>
      <c r="C736" s="76" t="s">
        <v>1098</v>
      </c>
      <c r="D736" s="75"/>
    </row>
    <row hidden="true" r="737">
      <c r="A737" s="76" t="s">
        <v>1214</v>
      </c>
      <c r="B737" s="76" t="s">
        <v>1099</v>
      </c>
      <c r="C737" s="76" t="s">
        <v>1100</v>
      </c>
      <c r="D737" s="75"/>
    </row>
    <row hidden="true" r="738">
      <c r="A738" s="76" t="s">
        <v>1214</v>
      </c>
      <c r="B738" s="76" t="s">
        <v>1101</v>
      </c>
      <c r="C738" s="76" t="s">
        <v>1102</v>
      </c>
      <c r="D738" s="75"/>
    </row>
    <row hidden="true" r="739">
      <c r="A739" s="76" t="s">
        <v>1214</v>
      </c>
      <c r="B739" s="76" t="s">
        <v>1103</v>
      </c>
      <c r="C739" s="76" t="s">
        <v>1104</v>
      </c>
      <c r="D739" s="75"/>
    </row>
    <row hidden="true" r="740">
      <c r="A740" s="76" t="s">
        <v>1214</v>
      </c>
      <c r="B740" s="76" t="s">
        <v>1105</v>
      </c>
      <c r="C740" s="76" t="s">
        <v>1106</v>
      </c>
      <c r="D740" s="75"/>
    </row>
    <row hidden="true" r="741">
      <c r="A741" s="76" t="s">
        <v>1214</v>
      </c>
      <c r="B741" s="76" t="s">
        <v>1107</v>
      </c>
      <c r="C741" s="76" t="s">
        <v>1108</v>
      </c>
      <c r="D741" s="75"/>
    </row>
    <row hidden="true" r="742">
      <c r="A742" s="76" t="s">
        <v>1214</v>
      </c>
      <c r="B742" s="76" t="s">
        <v>1109</v>
      </c>
      <c r="C742" s="76" t="s">
        <v>1110</v>
      </c>
      <c r="D742" s="75"/>
    </row>
    <row hidden="true" r="743">
      <c r="A743" s="76" t="s">
        <v>1214</v>
      </c>
      <c r="B743" s="76" t="s">
        <v>1111</v>
      </c>
      <c r="C743" s="76" t="s">
        <v>1112</v>
      </c>
      <c r="D743" s="75"/>
    </row>
    <row hidden="true" r="744">
      <c r="A744" s="76" t="s">
        <v>1214</v>
      </c>
      <c r="B744" s="76" t="s">
        <v>1113</v>
      </c>
      <c r="C744" s="76" t="s">
        <v>1114</v>
      </c>
      <c r="D744" s="75"/>
    </row>
    <row hidden="true" r="745">
      <c r="A745" s="76" t="s">
        <v>1214</v>
      </c>
      <c r="B745" s="76" t="s">
        <v>1115</v>
      </c>
      <c r="C745" s="76" t="s">
        <v>1116</v>
      </c>
      <c r="D745" s="75"/>
    </row>
    <row hidden="true" r="746">
      <c r="A746" s="76" t="s">
        <v>1214</v>
      </c>
      <c r="B746" s="76" t="s">
        <v>1117</v>
      </c>
      <c r="C746" s="76" t="s">
        <v>1118</v>
      </c>
      <c r="D746" s="75"/>
    </row>
    <row hidden="true" r="747">
      <c r="A747" s="76" t="s">
        <v>1214</v>
      </c>
      <c r="B747" s="76" t="s">
        <v>1119</v>
      </c>
      <c r="C747" s="76" t="s">
        <v>1120</v>
      </c>
      <c r="D747" s="75"/>
    </row>
    <row hidden="true" r="748">
      <c r="A748" s="76" t="s">
        <v>1214</v>
      </c>
      <c r="B748" s="76" t="s">
        <v>1121</v>
      </c>
      <c r="C748" s="76" t="s">
        <v>1122</v>
      </c>
      <c r="D748" s="75"/>
    </row>
    <row hidden="true" r="749">
      <c r="A749" s="76" t="s">
        <v>1214</v>
      </c>
      <c r="B749" s="76" t="s">
        <v>1123</v>
      </c>
      <c r="C749" s="76" t="s">
        <v>1124</v>
      </c>
      <c r="D749" s="75"/>
    </row>
    <row hidden="true" r="750">
      <c r="A750" s="76" t="s">
        <v>1214</v>
      </c>
      <c r="B750" s="76" t="s">
        <v>1125</v>
      </c>
      <c r="C750" s="76" t="s">
        <v>1126</v>
      </c>
      <c r="D750" s="75"/>
    </row>
    <row hidden="true" r="751">
      <c r="A751" s="76" t="s">
        <v>1214</v>
      </c>
      <c r="B751" s="76" t="s">
        <v>1127</v>
      </c>
      <c r="C751" s="76" t="s">
        <v>1128</v>
      </c>
      <c r="D751" s="75"/>
    </row>
    <row hidden="true" r="752">
      <c r="A752" s="76" t="s">
        <v>1214</v>
      </c>
      <c r="B752" s="76" t="s">
        <v>1129</v>
      </c>
      <c r="C752" s="76" t="s">
        <v>1130</v>
      </c>
      <c r="D752" s="75"/>
    </row>
    <row hidden="true" r="753">
      <c r="A753" s="76" t="s">
        <v>1214</v>
      </c>
      <c r="B753" s="76" t="s">
        <v>1131</v>
      </c>
      <c r="C753" s="76" t="s">
        <v>1132</v>
      </c>
      <c r="D753" s="75"/>
    </row>
    <row hidden="true" r="754">
      <c r="A754" s="76" t="s">
        <v>1214</v>
      </c>
      <c r="B754" s="76" t="s">
        <v>1133</v>
      </c>
      <c r="C754" s="76" t="s">
        <v>1134</v>
      </c>
      <c r="D754" s="75"/>
    </row>
    <row hidden="true" r="755">
      <c r="A755" s="76" t="s">
        <v>1214</v>
      </c>
      <c r="B755" s="76" t="s">
        <v>1135</v>
      </c>
      <c r="C755" s="76" t="s">
        <v>1136</v>
      </c>
      <c r="D755" s="75"/>
    </row>
    <row hidden="true" r="756">
      <c r="A756" s="76" t="s">
        <v>1214</v>
      </c>
      <c r="B756" s="76" t="s">
        <v>1137</v>
      </c>
      <c r="C756" s="76" t="s">
        <v>1138</v>
      </c>
      <c r="D756" s="75"/>
    </row>
    <row hidden="true" r="757">
      <c r="A757" s="76" t="s">
        <v>1214</v>
      </c>
      <c r="B757" s="76" t="s">
        <v>1139</v>
      </c>
      <c r="C757" s="76" t="s">
        <v>1140</v>
      </c>
      <c r="D757" s="75"/>
    </row>
    <row hidden="true" r="758">
      <c r="A758" s="76" t="s">
        <v>1214</v>
      </c>
      <c r="B758" s="76" t="s">
        <v>1141</v>
      </c>
      <c r="C758" s="76" t="s">
        <v>1142</v>
      </c>
      <c r="D758" s="75"/>
    </row>
    <row hidden="true" r="759">
      <c r="A759" s="76" t="s">
        <v>1214</v>
      </c>
      <c r="B759" s="76" t="s">
        <v>1143</v>
      </c>
      <c r="C759" s="76" t="s">
        <v>1144</v>
      </c>
      <c r="D759" s="75"/>
    </row>
    <row hidden="true" r="760">
      <c r="A760" s="76" t="s">
        <v>1214</v>
      </c>
      <c r="B760" s="76" t="s">
        <v>1145</v>
      </c>
      <c r="C760" s="76" t="s">
        <v>1223</v>
      </c>
      <c r="D760" s="75"/>
    </row>
    <row hidden="true" r="761">
      <c r="A761" s="76" t="s">
        <v>1214</v>
      </c>
      <c r="B761" s="76" t="s">
        <v>1147</v>
      </c>
      <c r="C761" s="76" t="s">
        <v>1148</v>
      </c>
      <c r="D761" s="75"/>
    </row>
    <row hidden="true" r="762">
      <c r="A762" s="76" t="s">
        <v>1214</v>
      </c>
      <c r="B762" s="76" t="s">
        <v>1149</v>
      </c>
      <c r="C762" s="76" t="s">
        <v>1150</v>
      </c>
      <c r="D762" s="75"/>
    </row>
    <row hidden="true" r="763">
      <c r="A763" s="76" t="s">
        <v>1214</v>
      </c>
      <c r="B763" s="76" t="s">
        <v>1151</v>
      </c>
      <c r="C763" s="76" t="s">
        <v>1152</v>
      </c>
      <c r="D763" s="75"/>
    </row>
    <row hidden="true" r="764">
      <c r="A764" s="76" t="s">
        <v>1214</v>
      </c>
      <c r="B764" s="76" t="s">
        <v>1153</v>
      </c>
      <c r="C764" s="76" t="s">
        <v>1154</v>
      </c>
      <c r="D764" s="75"/>
    </row>
    <row hidden="true" r="765">
      <c r="A765" s="76" t="s">
        <v>1214</v>
      </c>
      <c r="B765" s="76" t="s">
        <v>1155</v>
      </c>
      <c r="C765" s="76" t="s">
        <v>1156</v>
      </c>
      <c r="D765" s="75"/>
    </row>
    <row hidden="true" r="766">
      <c r="A766" s="76" t="s">
        <v>1214</v>
      </c>
      <c r="B766" s="76" t="s">
        <v>1157</v>
      </c>
      <c r="C766" s="76" t="s">
        <v>1158</v>
      </c>
      <c r="D766" s="75"/>
    </row>
    <row hidden="true" r="767">
      <c r="A767" s="76" t="s">
        <v>1214</v>
      </c>
      <c r="B767" s="76" t="s">
        <v>1159</v>
      </c>
      <c r="C767" s="76" t="s">
        <v>1160</v>
      </c>
      <c r="D767" s="75"/>
    </row>
    <row hidden="true" r="768">
      <c r="A768" s="76" t="s">
        <v>1214</v>
      </c>
      <c r="B768" s="76" t="s">
        <v>868</v>
      </c>
      <c r="C768" s="76" t="s">
        <v>869</v>
      </c>
      <c r="D768" s="75"/>
    </row>
    <row hidden="true" r="769">
      <c r="A769" s="76" t="s">
        <v>1214</v>
      </c>
      <c r="B769" s="76" t="s">
        <v>1161</v>
      </c>
      <c r="C769" s="76" t="s">
        <v>1162</v>
      </c>
      <c r="D769" s="75"/>
    </row>
    <row hidden="true" r="770">
      <c r="A770" s="76" t="s">
        <v>1214</v>
      </c>
      <c r="B770" s="76" t="s">
        <v>1163</v>
      </c>
      <c r="C770" s="76" t="s">
        <v>1164</v>
      </c>
      <c r="D770" s="75"/>
    </row>
    <row hidden="true" r="771">
      <c r="A771" s="76" t="s">
        <v>1214</v>
      </c>
      <c r="B771" s="76" t="s">
        <v>1165</v>
      </c>
      <c r="C771" s="76" t="s">
        <v>1166</v>
      </c>
      <c r="D771" s="75"/>
    </row>
    <row hidden="true" r="772">
      <c r="A772" s="76" t="s">
        <v>1214</v>
      </c>
      <c r="B772" s="76" t="s">
        <v>1167</v>
      </c>
      <c r="C772" s="76" t="s">
        <v>1168</v>
      </c>
      <c r="D772" s="75"/>
    </row>
    <row hidden="true" r="773">
      <c r="A773" s="76" t="s">
        <v>1214</v>
      </c>
      <c r="B773" s="76" t="s">
        <v>1169</v>
      </c>
      <c r="C773" s="76" t="s">
        <v>1170</v>
      </c>
      <c r="D773" s="75"/>
    </row>
    <row hidden="true" r="774">
      <c r="A774" s="76" t="s">
        <v>1214</v>
      </c>
      <c r="B774" s="76" t="s">
        <v>1171</v>
      </c>
      <c r="C774" s="76" t="s">
        <v>1172</v>
      </c>
      <c r="D774" s="75"/>
    </row>
    <row hidden="true" r="775">
      <c r="A775" s="76" t="s">
        <v>1214</v>
      </c>
      <c r="B775" s="76" t="s">
        <v>1173</v>
      </c>
      <c r="C775" s="76" t="s">
        <v>1174</v>
      </c>
      <c r="D775" s="75"/>
    </row>
    <row hidden="true" r="776">
      <c r="A776" s="76" t="s">
        <v>1214</v>
      </c>
      <c r="B776" s="76" t="s">
        <v>1175</v>
      </c>
      <c r="C776" s="76" t="s">
        <v>1176</v>
      </c>
      <c r="D776" s="75"/>
    </row>
    <row hidden="true" r="777">
      <c r="A777" s="76" t="s">
        <v>1214</v>
      </c>
      <c r="B777" s="76" t="s">
        <v>1177</v>
      </c>
      <c r="C777" s="76" t="s">
        <v>1178</v>
      </c>
      <c r="D777" s="75"/>
    </row>
    <row hidden="true" r="778">
      <c r="A778" s="76" t="s">
        <v>1214</v>
      </c>
      <c r="B778" s="76" t="s">
        <v>1179</v>
      </c>
      <c r="C778" s="76" t="s">
        <v>1180</v>
      </c>
      <c r="D778" s="75"/>
    </row>
    <row hidden="true" r="779">
      <c r="A779" s="76" t="s">
        <v>1214</v>
      </c>
      <c r="B779" s="76" t="s">
        <v>1181</v>
      </c>
      <c r="C779" s="76" t="s">
        <v>1182</v>
      </c>
      <c r="D779" s="75"/>
    </row>
    <row hidden="true" r="780">
      <c r="A780" s="76" t="s">
        <v>1214</v>
      </c>
      <c r="B780" s="76" t="s">
        <v>1183</v>
      </c>
      <c r="C780" s="76" t="s">
        <v>1184</v>
      </c>
      <c r="D780" s="75"/>
    </row>
    <row hidden="true" r="781">
      <c r="A781" s="76" t="s">
        <v>1214</v>
      </c>
      <c r="B781" s="76" t="s">
        <v>1185</v>
      </c>
      <c r="C781" s="76" t="s">
        <v>1186</v>
      </c>
      <c r="D781" s="75"/>
    </row>
    <row hidden="true" r="782">
      <c r="A782" s="76" t="s">
        <v>1214</v>
      </c>
      <c r="B782" s="76" t="s">
        <v>1187</v>
      </c>
      <c r="C782" s="76" t="s">
        <v>1188</v>
      </c>
      <c r="D782" s="75"/>
    </row>
    <row hidden="true" r="783">
      <c r="A783" s="76" t="s">
        <v>1214</v>
      </c>
      <c r="B783" s="76" t="s">
        <v>1189</v>
      </c>
      <c r="C783" s="76" t="s">
        <v>1190</v>
      </c>
      <c r="D783" s="75"/>
    </row>
    <row hidden="true" r="784">
      <c r="A784" s="76" t="s">
        <v>1214</v>
      </c>
      <c r="B784" s="76" t="s">
        <v>1199</v>
      </c>
      <c r="C784" s="76" t="s">
        <v>1200</v>
      </c>
      <c r="D784" s="75"/>
    </row>
    <row hidden="true" r="785">
      <c r="A785" s="76" t="s">
        <v>1214</v>
      </c>
      <c r="B785" s="76" t="s">
        <v>1201</v>
      </c>
      <c r="C785" s="76" t="s">
        <v>1202</v>
      </c>
      <c r="D785" s="75"/>
    </row>
    <row hidden="true" r="786">
      <c r="A786" s="76" t="s">
        <v>1214</v>
      </c>
      <c r="B786" s="76" t="s">
        <v>1203</v>
      </c>
      <c r="C786" s="76" t="s">
        <v>1204</v>
      </c>
      <c r="D786" s="75"/>
    </row>
    <row hidden="true" r="787">
      <c r="A787" s="76" t="s">
        <v>1214</v>
      </c>
      <c r="B787" s="76" t="s">
        <v>1205</v>
      </c>
      <c r="C787" s="76" t="s">
        <v>1206</v>
      </c>
      <c r="D787" s="75"/>
    </row>
    <row hidden="true" r="788">
      <c r="A788" s="76" t="s">
        <v>1214</v>
      </c>
      <c r="B788" s="76" t="s">
        <v>1207</v>
      </c>
      <c r="C788" s="76" t="s">
        <v>1208</v>
      </c>
      <c r="D788" s="75"/>
    </row>
    <row hidden="true" r="789">
      <c r="A789" s="76" t="s">
        <v>1214</v>
      </c>
      <c r="B789" s="76" t="s">
        <v>1209</v>
      </c>
      <c r="C789" s="76" t="s">
        <v>1210</v>
      </c>
      <c r="D789" s="75"/>
    </row>
    <row hidden="true" r="790">
      <c r="A790" s="76" t="s">
        <v>1214</v>
      </c>
      <c r="B790" s="76" t="s">
        <v>1211</v>
      </c>
      <c r="C790" s="76" t="s">
        <v>1224</v>
      </c>
      <c r="D790" s="75"/>
    </row>
    <row hidden="true" r="791">
      <c r="A791" s="76" t="s">
        <v>1214</v>
      </c>
      <c r="B791" s="76" t="s">
        <v>735</v>
      </c>
      <c r="C791" s="76"/>
      <c r="D791" s="75"/>
    </row>
    <row hidden="true" r="792">
      <c r="A792" s="76" t="s">
        <v>1225</v>
      </c>
      <c r="B792" s="76" t="s">
        <v>407</v>
      </c>
      <c r="C792" s="76" t="s">
        <v>1226</v>
      </c>
      <c r="D792" s="75"/>
    </row>
    <row hidden="true" r="793">
      <c r="A793" s="76" t="s">
        <v>1225</v>
      </c>
      <c r="B793" s="76" t="s">
        <v>744</v>
      </c>
      <c r="C793" s="76" t="s">
        <v>745</v>
      </c>
      <c r="D793" s="75"/>
    </row>
    <row hidden="true" r="794">
      <c r="A794" s="76" t="s">
        <v>1225</v>
      </c>
      <c r="B794" s="76" t="s">
        <v>409</v>
      </c>
      <c r="C794" s="76" t="s">
        <v>1215</v>
      </c>
      <c r="D794" s="75"/>
    </row>
    <row hidden="true" r="795">
      <c r="A795" s="76" t="s">
        <v>1225</v>
      </c>
      <c r="B795" s="76" t="s">
        <v>884</v>
      </c>
      <c r="C795" s="76" t="s">
        <v>1227</v>
      </c>
      <c r="D795" s="75"/>
    </row>
    <row hidden="true" r="796">
      <c r="A796" s="76" t="s">
        <v>1225</v>
      </c>
      <c r="B796" s="76" t="s">
        <v>886</v>
      </c>
      <c r="C796" s="76" t="s">
        <v>1228</v>
      </c>
      <c r="D796" s="75"/>
    </row>
    <row hidden="true" r="797">
      <c r="A797" s="76" t="s">
        <v>1225</v>
      </c>
      <c r="B797" s="76" t="s">
        <v>888</v>
      </c>
      <c r="C797" s="76" t="s">
        <v>889</v>
      </c>
      <c r="D797" s="75"/>
    </row>
    <row hidden="true" r="798">
      <c r="A798" s="76" t="s">
        <v>1225</v>
      </c>
      <c r="B798" s="76" t="s">
        <v>890</v>
      </c>
      <c r="C798" s="76" t="s">
        <v>891</v>
      </c>
      <c r="D798" s="75"/>
    </row>
    <row hidden="true" r="799">
      <c r="A799" s="76" t="s">
        <v>1225</v>
      </c>
      <c r="B799" s="76" t="s">
        <v>892</v>
      </c>
      <c r="C799" s="76" t="s">
        <v>893</v>
      </c>
      <c r="D799" s="75"/>
    </row>
    <row hidden="true" r="800">
      <c r="A800" s="76" t="s">
        <v>1225</v>
      </c>
      <c r="B800" s="76" t="s">
        <v>894</v>
      </c>
      <c r="C800" s="76" t="s">
        <v>1217</v>
      </c>
      <c r="D800" s="75"/>
    </row>
    <row hidden="true" r="801">
      <c r="A801" s="76" t="s">
        <v>1225</v>
      </c>
      <c r="B801" s="76" t="s">
        <v>896</v>
      </c>
      <c r="C801" s="76" t="s">
        <v>1229</v>
      </c>
      <c r="D801" s="75"/>
    </row>
    <row hidden="true" r="802">
      <c r="A802" s="76" t="s">
        <v>1225</v>
      </c>
      <c r="B802" s="76" t="s">
        <v>898</v>
      </c>
      <c r="C802" s="76" t="s">
        <v>899</v>
      </c>
      <c r="D802" s="75"/>
    </row>
    <row hidden="true" r="803">
      <c r="A803" s="76" t="s">
        <v>1225</v>
      </c>
      <c r="B803" s="76" t="s">
        <v>900</v>
      </c>
      <c r="C803" s="76" t="s">
        <v>1230</v>
      </c>
      <c r="D803" s="75"/>
    </row>
    <row hidden="true" r="804">
      <c r="A804" s="76" t="s">
        <v>1225</v>
      </c>
      <c r="B804" s="76" t="s">
        <v>902</v>
      </c>
      <c r="C804" s="76" t="s">
        <v>903</v>
      </c>
      <c r="D804" s="75"/>
    </row>
    <row hidden="true" r="805">
      <c r="A805" s="76" t="s">
        <v>1225</v>
      </c>
      <c r="B805" s="76" t="s">
        <v>904</v>
      </c>
      <c r="C805" s="76" t="s">
        <v>905</v>
      </c>
      <c r="D805" s="75"/>
    </row>
    <row hidden="true" r="806">
      <c r="A806" s="76" t="s">
        <v>1225</v>
      </c>
      <c r="B806" s="76" t="s">
        <v>906</v>
      </c>
      <c r="C806" s="76" t="s">
        <v>1231</v>
      </c>
      <c r="D806" s="75"/>
    </row>
    <row hidden="true" r="807">
      <c r="A807" s="76" t="s">
        <v>1225</v>
      </c>
      <c r="B807" s="76" t="s">
        <v>908</v>
      </c>
      <c r="C807" s="76" t="s">
        <v>909</v>
      </c>
      <c r="D807" s="75"/>
    </row>
    <row hidden="true" r="808">
      <c r="A808" s="76" t="s">
        <v>1225</v>
      </c>
      <c r="B808" s="76" t="s">
        <v>910</v>
      </c>
      <c r="C808" s="76" t="s">
        <v>911</v>
      </c>
      <c r="D808" s="75"/>
    </row>
    <row hidden="true" r="809">
      <c r="A809" s="76" t="s">
        <v>1225</v>
      </c>
      <c r="B809" s="76" t="s">
        <v>912</v>
      </c>
      <c r="C809" s="76" t="s">
        <v>913</v>
      </c>
      <c r="D809" s="75"/>
    </row>
    <row hidden="true" r="810">
      <c r="A810" s="76" t="s">
        <v>1225</v>
      </c>
      <c r="B810" s="76" t="s">
        <v>914</v>
      </c>
      <c r="C810" s="76" t="s">
        <v>915</v>
      </c>
      <c r="D810" s="75"/>
    </row>
    <row hidden="true" r="811">
      <c r="A811" s="76" t="s">
        <v>1225</v>
      </c>
      <c r="B811" s="76" t="s">
        <v>916</v>
      </c>
      <c r="C811" s="76" t="s">
        <v>917</v>
      </c>
      <c r="D811" s="75"/>
    </row>
    <row hidden="true" r="812">
      <c r="A812" s="76" t="s">
        <v>1225</v>
      </c>
      <c r="B812" s="76" t="s">
        <v>918</v>
      </c>
      <c r="C812" s="76" t="s">
        <v>919</v>
      </c>
      <c r="D812" s="75"/>
    </row>
    <row hidden="true" r="813">
      <c r="A813" s="76" t="s">
        <v>1225</v>
      </c>
      <c r="B813" s="76" t="s">
        <v>920</v>
      </c>
      <c r="C813" s="76" t="s">
        <v>921</v>
      </c>
      <c r="D813" s="75"/>
    </row>
    <row hidden="true" r="814">
      <c r="A814" s="76" t="s">
        <v>1225</v>
      </c>
      <c r="B814" s="76" t="s">
        <v>922</v>
      </c>
      <c r="C814" s="76" t="s">
        <v>923</v>
      </c>
      <c r="D814" s="75"/>
    </row>
    <row hidden="true" r="815">
      <c r="A815" s="76" t="s">
        <v>1225</v>
      </c>
      <c r="B815" s="76" t="s">
        <v>924</v>
      </c>
      <c r="C815" s="76" t="s">
        <v>925</v>
      </c>
      <c r="D815" s="75"/>
    </row>
    <row hidden="true" r="816">
      <c r="A816" s="76" t="s">
        <v>1225</v>
      </c>
      <c r="B816" s="76" t="s">
        <v>926</v>
      </c>
      <c r="C816" s="76" t="s">
        <v>927</v>
      </c>
      <c r="D816" s="75"/>
    </row>
    <row hidden="true" r="817">
      <c r="A817" s="76" t="s">
        <v>1225</v>
      </c>
      <c r="B817" s="76" t="s">
        <v>928</v>
      </c>
      <c r="C817" s="76" t="s">
        <v>929</v>
      </c>
      <c r="D817" s="75"/>
    </row>
    <row hidden="true" r="818">
      <c r="A818" s="76" t="s">
        <v>1225</v>
      </c>
      <c r="B818" s="76" t="s">
        <v>930</v>
      </c>
      <c r="C818" s="76" t="s">
        <v>931</v>
      </c>
      <c r="D818" s="75"/>
    </row>
    <row hidden="true" r="819">
      <c r="A819" s="76" t="s">
        <v>1225</v>
      </c>
      <c r="B819" s="76" t="s">
        <v>932</v>
      </c>
      <c r="C819" s="76" t="s">
        <v>933</v>
      </c>
      <c r="D819" s="75"/>
    </row>
    <row hidden="true" r="820">
      <c r="A820" s="76" t="s">
        <v>1225</v>
      </c>
      <c r="B820" s="76" t="s">
        <v>934</v>
      </c>
      <c r="C820" s="76" t="s">
        <v>935</v>
      </c>
      <c r="D820" s="75"/>
    </row>
    <row hidden="true" r="821">
      <c r="A821" s="76" t="s">
        <v>1225</v>
      </c>
      <c r="B821" s="76" t="s">
        <v>936</v>
      </c>
      <c r="C821" s="76" t="s">
        <v>937</v>
      </c>
      <c r="D821" s="75"/>
    </row>
    <row hidden="true" r="822">
      <c r="A822" s="76" t="s">
        <v>1225</v>
      </c>
      <c r="B822" s="76" t="s">
        <v>938</v>
      </c>
      <c r="C822" s="76" t="s">
        <v>1220</v>
      </c>
      <c r="D822" s="75"/>
    </row>
    <row hidden="true" r="823">
      <c r="A823" s="76" t="s">
        <v>1225</v>
      </c>
      <c r="B823" s="76" t="s">
        <v>940</v>
      </c>
      <c r="C823" s="76" t="s">
        <v>1232</v>
      </c>
      <c r="D823" s="75"/>
    </row>
    <row hidden="true" r="824">
      <c r="A824" s="76" t="s">
        <v>1225</v>
      </c>
      <c r="B824" s="76" t="s">
        <v>942</v>
      </c>
      <c r="C824" s="76" t="s">
        <v>943</v>
      </c>
      <c r="D824" s="75"/>
    </row>
    <row hidden="true" r="825">
      <c r="A825" s="76" t="s">
        <v>1225</v>
      </c>
      <c r="B825" s="76" t="s">
        <v>944</v>
      </c>
      <c r="C825" s="76" t="s">
        <v>945</v>
      </c>
      <c r="D825" s="75"/>
    </row>
    <row hidden="true" r="826">
      <c r="A826" s="76" t="s">
        <v>1225</v>
      </c>
      <c r="B826" s="76" t="s">
        <v>946</v>
      </c>
      <c r="C826" s="76" t="s">
        <v>1233</v>
      </c>
      <c r="D826" s="75"/>
    </row>
    <row hidden="true" r="827">
      <c r="A827" s="76" t="s">
        <v>1225</v>
      </c>
      <c r="B827" s="76" t="s">
        <v>948</v>
      </c>
      <c r="C827" s="76" t="s">
        <v>1222</v>
      </c>
      <c r="D827" s="75"/>
    </row>
    <row hidden="true" r="828">
      <c r="A828" s="76" t="s">
        <v>1225</v>
      </c>
      <c r="B828" s="76" t="s">
        <v>950</v>
      </c>
      <c r="C828" s="76" t="s">
        <v>951</v>
      </c>
      <c r="D828" s="75"/>
    </row>
    <row hidden="true" r="829">
      <c r="A829" s="76" t="s">
        <v>1225</v>
      </c>
      <c r="B829" s="76" t="s">
        <v>952</v>
      </c>
      <c r="C829" s="76" t="s">
        <v>953</v>
      </c>
      <c r="D829" s="75"/>
    </row>
    <row hidden="true" r="830">
      <c r="A830" s="76" t="s">
        <v>1225</v>
      </c>
      <c r="B830" s="76" t="s">
        <v>954</v>
      </c>
      <c r="C830" s="76" t="s">
        <v>955</v>
      </c>
      <c r="D830" s="75"/>
    </row>
    <row hidden="true" r="831">
      <c r="A831" s="76" t="s">
        <v>1225</v>
      </c>
      <c r="B831" s="76" t="s">
        <v>775</v>
      </c>
      <c r="C831" s="76" t="s">
        <v>1234</v>
      </c>
      <c r="D831" s="75"/>
    </row>
    <row hidden="true" r="832">
      <c r="A832" s="76" t="s">
        <v>1225</v>
      </c>
      <c r="B832" s="76" t="s">
        <v>956</v>
      </c>
      <c r="C832" s="76" t="s">
        <v>957</v>
      </c>
      <c r="D832" s="75"/>
    </row>
    <row hidden="true" r="833">
      <c r="A833" s="76" t="s">
        <v>1225</v>
      </c>
      <c r="B833" s="76" t="s">
        <v>958</v>
      </c>
      <c r="C833" s="76" t="s">
        <v>959</v>
      </c>
      <c r="D833" s="75"/>
    </row>
    <row hidden="true" r="834">
      <c r="A834" s="76" t="s">
        <v>1225</v>
      </c>
      <c r="B834" s="76" t="s">
        <v>960</v>
      </c>
      <c r="C834" s="76" t="s">
        <v>961</v>
      </c>
      <c r="D834" s="75"/>
    </row>
    <row hidden="true" r="835">
      <c r="A835" s="76" t="s">
        <v>1225</v>
      </c>
      <c r="B835" s="76" t="s">
        <v>962</v>
      </c>
      <c r="C835" s="76" t="s">
        <v>1235</v>
      </c>
      <c r="D835" s="75"/>
    </row>
    <row hidden="true" r="836">
      <c r="A836" s="76" t="s">
        <v>1225</v>
      </c>
      <c r="B836" s="76" t="s">
        <v>964</v>
      </c>
      <c r="C836" s="76" t="s">
        <v>1236</v>
      </c>
      <c r="D836" s="75"/>
    </row>
    <row hidden="true" r="837">
      <c r="A837" s="76" t="s">
        <v>1225</v>
      </c>
      <c r="B837" s="76" t="s">
        <v>966</v>
      </c>
      <c r="C837" s="76" t="s">
        <v>967</v>
      </c>
      <c r="D837" s="75"/>
    </row>
    <row hidden="true" r="838">
      <c r="A838" s="76" t="s">
        <v>1225</v>
      </c>
      <c r="B838" s="76" t="s">
        <v>968</v>
      </c>
      <c r="C838" s="76" t="s">
        <v>969</v>
      </c>
      <c r="D838" s="75"/>
    </row>
    <row hidden="true" r="839">
      <c r="A839" s="76" t="s">
        <v>1225</v>
      </c>
      <c r="B839" s="76" t="s">
        <v>970</v>
      </c>
      <c r="C839" s="76" t="s">
        <v>971</v>
      </c>
      <c r="D839" s="75"/>
    </row>
    <row hidden="true" r="840">
      <c r="A840" s="76" t="s">
        <v>1225</v>
      </c>
      <c r="B840" s="76" t="s">
        <v>972</v>
      </c>
      <c r="C840" s="76" t="s">
        <v>1237</v>
      </c>
      <c r="D840" s="75"/>
    </row>
    <row hidden="true" r="841">
      <c r="A841" s="76" t="s">
        <v>1225</v>
      </c>
      <c r="B841" s="76" t="s">
        <v>974</v>
      </c>
      <c r="C841" s="76" t="s">
        <v>975</v>
      </c>
      <c r="D841" s="75"/>
    </row>
    <row hidden="true" r="842">
      <c r="A842" s="76" t="s">
        <v>1225</v>
      </c>
      <c r="B842" s="76" t="s">
        <v>976</v>
      </c>
      <c r="C842" s="76" t="s">
        <v>977</v>
      </c>
      <c r="D842" s="75"/>
    </row>
    <row hidden="true" r="843">
      <c r="A843" s="76" t="s">
        <v>1225</v>
      </c>
      <c r="B843" s="76" t="s">
        <v>823</v>
      </c>
      <c r="C843" s="76" t="s">
        <v>824</v>
      </c>
      <c r="D843" s="75"/>
    </row>
    <row hidden="true" r="844">
      <c r="A844" s="76" t="s">
        <v>1225</v>
      </c>
      <c r="B844" s="76" t="s">
        <v>978</v>
      </c>
      <c r="C844" s="76" t="s">
        <v>1238</v>
      </c>
      <c r="D844" s="75"/>
    </row>
    <row hidden="true" r="845">
      <c r="A845" s="76" t="s">
        <v>1225</v>
      </c>
      <c r="B845" s="76" t="s">
        <v>980</v>
      </c>
      <c r="C845" s="76" t="s">
        <v>981</v>
      </c>
      <c r="D845" s="75"/>
    </row>
    <row hidden="true" r="846">
      <c r="A846" s="76" t="s">
        <v>1225</v>
      </c>
      <c r="B846" s="76" t="s">
        <v>982</v>
      </c>
      <c r="C846" s="76" t="s">
        <v>983</v>
      </c>
      <c r="D846" s="75"/>
    </row>
    <row hidden="true" r="847">
      <c r="A847" s="76" t="s">
        <v>1225</v>
      </c>
      <c r="B847" s="76" t="s">
        <v>984</v>
      </c>
      <c r="C847" s="76" t="s">
        <v>985</v>
      </c>
      <c r="D847" s="75"/>
    </row>
    <row hidden="true" r="848">
      <c r="A848" s="76" t="s">
        <v>1225</v>
      </c>
      <c r="B848" s="76" t="s">
        <v>986</v>
      </c>
      <c r="C848" s="76" t="s">
        <v>987</v>
      </c>
      <c r="D848" s="75"/>
    </row>
    <row hidden="true" r="849">
      <c r="A849" s="76" t="s">
        <v>1225</v>
      </c>
      <c r="B849" s="76" t="s">
        <v>988</v>
      </c>
      <c r="C849" s="76" t="s">
        <v>989</v>
      </c>
      <c r="D849" s="75"/>
    </row>
    <row hidden="true" r="850">
      <c r="A850" s="76" t="s">
        <v>1225</v>
      </c>
      <c r="B850" s="76" t="s">
        <v>990</v>
      </c>
      <c r="C850" s="76" t="s">
        <v>991</v>
      </c>
      <c r="D850" s="75"/>
    </row>
    <row hidden="true" r="851">
      <c r="A851" s="76" t="s">
        <v>1225</v>
      </c>
      <c r="B851" s="76" t="s">
        <v>992</v>
      </c>
      <c r="C851" s="76" t="s">
        <v>993</v>
      </c>
      <c r="D851" s="75"/>
    </row>
    <row hidden="true" r="852">
      <c r="A852" s="76" t="s">
        <v>1225</v>
      </c>
      <c r="B852" s="76" t="s">
        <v>994</v>
      </c>
      <c r="C852" s="76" t="s">
        <v>995</v>
      </c>
      <c r="D852" s="75"/>
    </row>
    <row hidden="true" r="853">
      <c r="A853" s="76" t="s">
        <v>1225</v>
      </c>
      <c r="B853" s="76" t="s">
        <v>996</v>
      </c>
      <c r="C853" s="76" t="s">
        <v>997</v>
      </c>
      <c r="D853" s="75"/>
    </row>
    <row hidden="true" r="854">
      <c r="A854" s="76" t="s">
        <v>1225</v>
      </c>
      <c r="B854" s="76" t="s">
        <v>998</v>
      </c>
      <c r="C854" s="76" t="s">
        <v>1239</v>
      </c>
      <c r="D854" s="75"/>
    </row>
    <row hidden="true" r="855">
      <c r="A855" s="76" t="s">
        <v>1225</v>
      </c>
      <c r="B855" s="76" t="s">
        <v>1000</v>
      </c>
      <c r="C855" s="76" t="s">
        <v>1001</v>
      </c>
      <c r="D855" s="75"/>
    </row>
    <row hidden="true" r="856">
      <c r="A856" s="76" t="s">
        <v>1225</v>
      </c>
      <c r="B856" s="76" t="s">
        <v>1002</v>
      </c>
      <c r="C856" s="76" t="s">
        <v>1003</v>
      </c>
      <c r="D856" s="75"/>
    </row>
    <row hidden="true" r="857">
      <c r="A857" s="76" t="s">
        <v>1225</v>
      </c>
      <c r="B857" s="76" t="s">
        <v>1004</v>
      </c>
      <c r="C857" s="76" t="s">
        <v>1005</v>
      </c>
      <c r="D857" s="75"/>
    </row>
    <row hidden="true" r="858">
      <c r="A858" s="76" t="s">
        <v>1225</v>
      </c>
      <c r="B858" s="76" t="s">
        <v>1006</v>
      </c>
      <c r="C858" s="76" t="s">
        <v>1007</v>
      </c>
      <c r="D858" s="75"/>
    </row>
    <row hidden="true" r="859">
      <c r="A859" s="76" t="s">
        <v>1225</v>
      </c>
      <c r="B859" s="76" t="s">
        <v>1008</v>
      </c>
      <c r="C859" s="76" t="s">
        <v>1009</v>
      </c>
      <c r="D859" s="75"/>
    </row>
    <row hidden="true" r="860">
      <c r="A860" s="76" t="s">
        <v>1225</v>
      </c>
      <c r="B860" s="76" t="s">
        <v>1010</v>
      </c>
      <c r="C860" s="76" t="s">
        <v>1011</v>
      </c>
      <c r="D860" s="75"/>
    </row>
    <row hidden="true" r="861">
      <c r="A861" s="76" t="s">
        <v>1225</v>
      </c>
      <c r="B861" s="76" t="s">
        <v>1012</v>
      </c>
      <c r="C861" s="76" t="s">
        <v>1013</v>
      </c>
      <c r="D861" s="75"/>
    </row>
    <row hidden="true" r="862">
      <c r="A862" s="76" t="s">
        <v>1225</v>
      </c>
      <c r="B862" s="76" t="s">
        <v>1014</v>
      </c>
      <c r="C862" s="76" t="s">
        <v>1015</v>
      </c>
      <c r="D862" s="75"/>
    </row>
    <row hidden="true" r="863">
      <c r="A863" s="76" t="s">
        <v>1225</v>
      </c>
      <c r="B863" s="76" t="s">
        <v>1016</v>
      </c>
      <c r="C863" s="76" t="s">
        <v>1017</v>
      </c>
      <c r="D863" s="75"/>
    </row>
    <row hidden="true" r="864">
      <c r="A864" s="76" t="s">
        <v>1225</v>
      </c>
      <c r="B864" s="76" t="s">
        <v>1018</v>
      </c>
      <c r="C864" s="76" t="s">
        <v>1019</v>
      </c>
      <c r="D864" s="75"/>
    </row>
    <row hidden="true" r="865">
      <c r="A865" s="76" t="s">
        <v>1225</v>
      </c>
      <c r="B865" s="76" t="s">
        <v>1020</v>
      </c>
      <c r="C865" s="76" t="s">
        <v>1021</v>
      </c>
      <c r="D865" s="75"/>
    </row>
    <row hidden="true" r="866">
      <c r="A866" s="76" t="s">
        <v>1225</v>
      </c>
      <c r="B866" s="76" t="s">
        <v>1022</v>
      </c>
      <c r="C866" s="76" t="s">
        <v>1017</v>
      </c>
      <c r="D866" s="75"/>
    </row>
    <row hidden="true" r="867">
      <c r="A867" s="76" t="s">
        <v>1225</v>
      </c>
      <c r="B867" s="76" t="s">
        <v>1023</v>
      </c>
      <c r="C867" s="76" t="s">
        <v>1019</v>
      </c>
      <c r="D867" s="75"/>
    </row>
    <row hidden="true" r="868">
      <c r="A868" s="76" t="s">
        <v>1225</v>
      </c>
      <c r="B868" s="76" t="s">
        <v>1024</v>
      </c>
      <c r="C868" s="76" t="s">
        <v>1021</v>
      </c>
      <c r="D868" s="75"/>
    </row>
    <row hidden="true" r="869">
      <c r="A869" s="76" t="s">
        <v>1225</v>
      </c>
      <c r="B869" s="76" t="s">
        <v>1025</v>
      </c>
      <c r="C869" s="76" t="s">
        <v>1017</v>
      </c>
      <c r="D869" s="75"/>
    </row>
    <row hidden="true" r="870">
      <c r="A870" s="76" t="s">
        <v>1225</v>
      </c>
      <c r="B870" s="76" t="s">
        <v>1026</v>
      </c>
      <c r="C870" s="76" t="s">
        <v>1019</v>
      </c>
      <c r="D870" s="75"/>
    </row>
    <row hidden="true" r="871">
      <c r="A871" s="76" t="s">
        <v>1225</v>
      </c>
      <c r="B871" s="76" t="s">
        <v>1027</v>
      </c>
      <c r="C871" s="76" t="s">
        <v>1021</v>
      </c>
      <c r="D871" s="75"/>
    </row>
    <row hidden="true" r="872">
      <c r="A872" s="76" t="s">
        <v>1225</v>
      </c>
      <c r="B872" s="76" t="s">
        <v>1028</v>
      </c>
      <c r="C872" s="76" t="s">
        <v>1029</v>
      </c>
      <c r="D872" s="75"/>
    </row>
    <row hidden="true" r="873">
      <c r="A873" s="76" t="s">
        <v>1225</v>
      </c>
      <c r="B873" s="76" t="s">
        <v>530</v>
      </c>
      <c r="C873" s="76" t="s">
        <v>1240</v>
      </c>
      <c r="D873" s="75"/>
    </row>
    <row hidden="true" r="874">
      <c r="A874" s="76" t="s">
        <v>1225</v>
      </c>
      <c r="B874" s="76" t="s">
        <v>1030</v>
      </c>
      <c r="C874" s="76" t="s">
        <v>1031</v>
      </c>
      <c r="D874" s="75"/>
    </row>
    <row hidden="true" r="875">
      <c r="A875" s="76" t="s">
        <v>1225</v>
      </c>
      <c r="B875" s="76" t="s">
        <v>1032</v>
      </c>
      <c r="C875" s="76" t="s">
        <v>1033</v>
      </c>
      <c r="D875" s="75"/>
    </row>
    <row hidden="true" r="876">
      <c r="A876" s="76" t="s">
        <v>1225</v>
      </c>
      <c r="B876" s="76" t="s">
        <v>1034</v>
      </c>
      <c r="C876" s="76" t="s">
        <v>1035</v>
      </c>
      <c r="D876" s="75"/>
    </row>
    <row hidden="true" r="877">
      <c r="A877" s="76" t="s">
        <v>1225</v>
      </c>
      <c r="B877" s="76" t="s">
        <v>532</v>
      </c>
      <c r="C877" s="76" t="s">
        <v>533</v>
      </c>
      <c r="D877" s="75"/>
    </row>
    <row hidden="true" r="878">
      <c r="A878" s="76" t="s">
        <v>1225</v>
      </c>
      <c r="B878" s="76" t="s">
        <v>1036</v>
      </c>
      <c r="C878" s="76" t="s">
        <v>1037</v>
      </c>
      <c r="D878" s="75"/>
    </row>
    <row hidden="true" r="879">
      <c r="A879" s="76" t="s">
        <v>1225</v>
      </c>
      <c r="B879" s="76" t="s">
        <v>1038</v>
      </c>
      <c r="C879" s="76" t="s">
        <v>1039</v>
      </c>
      <c r="D879" s="75"/>
    </row>
    <row hidden="true" r="880">
      <c r="A880" s="76" t="s">
        <v>1225</v>
      </c>
      <c r="B880" s="76" t="s">
        <v>1040</v>
      </c>
      <c r="C880" s="76" t="s">
        <v>1041</v>
      </c>
      <c r="D880" s="75"/>
    </row>
    <row hidden="true" r="881">
      <c r="A881" s="76" t="s">
        <v>1225</v>
      </c>
      <c r="B881" s="76" t="s">
        <v>1042</v>
      </c>
      <c r="C881" s="76" t="s">
        <v>1043</v>
      </c>
      <c r="D881" s="75"/>
    </row>
    <row hidden="true" r="882">
      <c r="A882" s="76" t="s">
        <v>1225</v>
      </c>
      <c r="B882" s="76" t="s">
        <v>1044</v>
      </c>
      <c r="C882" s="76" t="s">
        <v>1045</v>
      </c>
      <c r="D882" s="75"/>
    </row>
    <row hidden="true" r="883">
      <c r="A883" s="76" t="s">
        <v>1225</v>
      </c>
      <c r="B883" s="76" t="s">
        <v>1046</v>
      </c>
      <c r="C883" s="76" t="s">
        <v>1047</v>
      </c>
      <c r="D883" s="75"/>
    </row>
    <row hidden="true" r="884">
      <c r="A884" s="76" t="s">
        <v>1225</v>
      </c>
      <c r="B884" s="76" t="s">
        <v>1048</v>
      </c>
      <c r="C884" s="76" t="s">
        <v>1241</v>
      </c>
      <c r="D884" s="75"/>
    </row>
    <row hidden="true" r="885">
      <c r="A885" s="76" t="s">
        <v>1225</v>
      </c>
      <c r="B885" s="76" t="s">
        <v>1050</v>
      </c>
      <c r="C885" s="76" t="s">
        <v>1051</v>
      </c>
      <c r="D885" s="75"/>
    </row>
    <row hidden="true" r="886">
      <c r="A886" s="76" t="s">
        <v>1225</v>
      </c>
      <c r="B886" s="76" t="s">
        <v>1052</v>
      </c>
      <c r="C886" s="76" t="s">
        <v>1053</v>
      </c>
      <c r="D886" s="75"/>
    </row>
    <row hidden="true" r="887">
      <c r="A887" s="76" t="s">
        <v>1225</v>
      </c>
      <c r="B887" s="76" t="s">
        <v>1054</v>
      </c>
      <c r="C887" s="76" t="s">
        <v>1055</v>
      </c>
      <c r="D887" s="75"/>
    </row>
    <row hidden="true" r="888">
      <c r="A888" s="76" t="s">
        <v>1225</v>
      </c>
      <c r="B888" s="76" t="s">
        <v>1056</v>
      </c>
      <c r="C888" s="76" t="s">
        <v>1057</v>
      </c>
      <c r="D888" s="75"/>
    </row>
    <row hidden="true" r="889">
      <c r="A889" s="76" t="s">
        <v>1225</v>
      </c>
      <c r="B889" s="76" t="s">
        <v>1058</v>
      </c>
      <c r="C889" s="76" t="s">
        <v>1059</v>
      </c>
      <c r="D889" s="75"/>
    </row>
    <row hidden="true" r="890">
      <c r="A890" s="76" t="s">
        <v>1225</v>
      </c>
      <c r="B890" s="76" t="s">
        <v>1060</v>
      </c>
      <c r="C890" s="76" t="s">
        <v>1061</v>
      </c>
      <c r="D890" s="75"/>
    </row>
    <row hidden="true" r="891">
      <c r="A891" s="76" t="s">
        <v>1225</v>
      </c>
      <c r="B891" s="76" t="s">
        <v>1062</v>
      </c>
      <c r="C891" s="76" t="s">
        <v>1063</v>
      </c>
      <c r="D891" s="75"/>
    </row>
    <row hidden="true" r="892">
      <c r="A892" s="76" t="s">
        <v>1225</v>
      </c>
      <c r="B892" s="76" t="s">
        <v>1064</v>
      </c>
      <c r="C892" s="76" t="s">
        <v>1065</v>
      </c>
      <c r="D892" s="75"/>
    </row>
    <row hidden="true" r="893">
      <c r="A893" s="76" t="s">
        <v>1225</v>
      </c>
      <c r="B893" s="76" t="s">
        <v>1066</v>
      </c>
      <c r="C893" s="76" t="s">
        <v>1067</v>
      </c>
      <c r="D893" s="75"/>
    </row>
    <row hidden="true" r="894">
      <c r="A894" s="76" t="s">
        <v>1225</v>
      </c>
      <c r="B894" s="76" t="s">
        <v>1068</v>
      </c>
      <c r="C894" s="76" t="s">
        <v>1069</v>
      </c>
      <c r="D894" s="75"/>
    </row>
    <row hidden="true" r="895">
      <c r="A895" s="76" t="s">
        <v>1225</v>
      </c>
      <c r="B895" s="76" t="s">
        <v>1070</v>
      </c>
      <c r="C895" s="76" t="s">
        <v>1069</v>
      </c>
      <c r="D895" s="75"/>
    </row>
    <row hidden="true" r="896">
      <c r="A896" s="76" t="s">
        <v>1225</v>
      </c>
      <c r="B896" s="76" t="s">
        <v>1071</v>
      </c>
      <c r="C896" s="76" t="s">
        <v>1069</v>
      </c>
      <c r="D896" s="75"/>
    </row>
    <row hidden="true" r="897">
      <c r="A897" s="76" t="s">
        <v>1225</v>
      </c>
      <c r="B897" s="76" t="s">
        <v>1072</v>
      </c>
      <c r="C897" s="76" t="s">
        <v>1073</v>
      </c>
      <c r="D897" s="75"/>
    </row>
    <row hidden="true" r="898">
      <c r="A898" s="76" t="s">
        <v>1225</v>
      </c>
      <c r="B898" s="76" t="s">
        <v>1074</v>
      </c>
      <c r="C898" s="76" t="s">
        <v>1073</v>
      </c>
      <c r="D898" s="75"/>
    </row>
    <row hidden="true" r="899">
      <c r="A899" s="76" t="s">
        <v>1225</v>
      </c>
      <c r="B899" s="76" t="s">
        <v>1075</v>
      </c>
      <c r="C899" s="76" t="s">
        <v>1073</v>
      </c>
      <c r="D899" s="75"/>
    </row>
    <row hidden="true" r="900">
      <c r="A900" s="76" t="s">
        <v>1225</v>
      </c>
      <c r="B900" s="76" t="s">
        <v>1076</v>
      </c>
      <c r="C900" s="76" t="s">
        <v>1077</v>
      </c>
      <c r="D900" s="75"/>
    </row>
    <row hidden="true" r="901">
      <c r="A901" s="76" t="s">
        <v>1225</v>
      </c>
      <c r="B901" s="76" t="s">
        <v>1078</v>
      </c>
      <c r="C901" s="76" t="s">
        <v>1079</v>
      </c>
      <c r="D901" s="75"/>
    </row>
    <row hidden="true" r="902">
      <c r="A902" s="76" t="s">
        <v>1225</v>
      </c>
      <c r="B902" s="76" t="s">
        <v>839</v>
      </c>
      <c r="C902" s="76" t="s">
        <v>840</v>
      </c>
      <c r="D902" s="75"/>
    </row>
    <row hidden="true" r="903">
      <c r="A903" s="76" t="s">
        <v>1225</v>
      </c>
      <c r="B903" s="76" t="s">
        <v>1080</v>
      </c>
      <c r="C903" s="76" t="s">
        <v>1081</v>
      </c>
      <c r="D903" s="75"/>
    </row>
    <row hidden="true" r="904">
      <c r="A904" s="76" t="s">
        <v>1225</v>
      </c>
      <c r="B904" s="76" t="s">
        <v>1082</v>
      </c>
      <c r="C904" s="76" t="s">
        <v>1083</v>
      </c>
      <c r="D904" s="75"/>
    </row>
    <row hidden="true" r="905">
      <c r="A905" s="76" t="s">
        <v>1225</v>
      </c>
      <c r="B905" s="76" t="s">
        <v>1084</v>
      </c>
      <c r="C905" s="76" t="s">
        <v>1085</v>
      </c>
      <c r="D905" s="75"/>
    </row>
    <row hidden="true" r="906">
      <c r="A906" s="76" t="s">
        <v>1225</v>
      </c>
      <c r="B906" s="76" t="s">
        <v>1086</v>
      </c>
      <c r="C906" s="76" t="s">
        <v>1087</v>
      </c>
      <c r="D906" s="75"/>
    </row>
    <row hidden="true" r="907">
      <c r="A907" s="76" t="s">
        <v>1225</v>
      </c>
      <c r="B907" s="76" t="s">
        <v>1088</v>
      </c>
      <c r="C907" s="76" t="s">
        <v>1089</v>
      </c>
      <c r="D907" s="75"/>
    </row>
    <row hidden="true" r="908">
      <c r="A908" s="76" t="s">
        <v>1225</v>
      </c>
      <c r="B908" s="76" t="s">
        <v>1090</v>
      </c>
      <c r="C908" s="76" t="s">
        <v>1091</v>
      </c>
      <c r="D908" s="75"/>
    </row>
    <row hidden="true" r="909">
      <c r="A909" s="76" t="s">
        <v>1225</v>
      </c>
      <c r="B909" s="76" t="s">
        <v>1092</v>
      </c>
      <c r="C909" s="76" t="s">
        <v>1091</v>
      </c>
      <c r="D909" s="75"/>
    </row>
    <row hidden="true" r="910">
      <c r="A910" s="76" t="s">
        <v>1225</v>
      </c>
      <c r="B910" s="76" t="s">
        <v>1093</v>
      </c>
      <c r="C910" s="76" t="s">
        <v>1094</v>
      </c>
      <c r="D910" s="75"/>
    </row>
    <row hidden="true" r="911">
      <c r="A911" s="76" t="s">
        <v>1225</v>
      </c>
      <c r="B911" s="76" t="s">
        <v>1095</v>
      </c>
      <c r="C911" s="76" t="s">
        <v>1096</v>
      </c>
      <c r="D911" s="75"/>
    </row>
    <row hidden="true" r="912">
      <c r="A912" s="76" t="s">
        <v>1225</v>
      </c>
      <c r="B912" s="76" t="s">
        <v>1097</v>
      </c>
      <c r="C912" s="76" t="s">
        <v>1098</v>
      </c>
      <c r="D912" s="75"/>
    </row>
    <row hidden="true" r="913">
      <c r="A913" s="76" t="s">
        <v>1225</v>
      </c>
      <c r="B913" s="76" t="s">
        <v>1099</v>
      </c>
      <c r="C913" s="76" t="s">
        <v>1242</v>
      </c>
      <c r="D913" s="75"/>
    </row>
    <row hidden="true" r="914">
      <c r="A914" s="76" t="s">
        <v>1225</v>
      </c>
      <c r="B914" s="76" t="s">
        <v>1101</v>
      </c>
      <c r="C914" s="76" t="s">
        <v>1102</v>
      </c>
      <c r="D914" s="75"/>
    </row>
    <row hidden="true" r="915">
      <c r="A915" s="76" t="s">
        <v>1225</v>
      </c>
      <c r="B915" s="76" t="s">
        <v>1103</v>
      </c>
      <c r="C915" s="76" t="s">
        <v>1104</v>
      </c>
      <c r="D915" s="75"/>
    </row>
    <row hidden="true" r="916">
      <c r="A916" s="76" t="s">
        <v>1225</v>
      </c>
      <c r="B916" s="76" t="s">
        <v>1105</v>
      </c>
      <c r="C916" s="76" t="s">
        <v>1106</v>
      </c>
      <c r="D916" s="75"/>
    </row>
    <row hidden="true" r="917">
      <c r="A917" s="76" t="s">
        <v>1225</v>
      </c>
      <c r="B917" s="76" t="s">
        <v>1107</v>
      </c>
      <c r="C917" s="76" t="s">
        <v>1108</v>
      </c>
      <c r="D917" s="75"/>
    </row>
    <row hidden="true" r="918">
      <c r="A918" s="76" t="s">
        <v>1225</v>
      </c>
      <c r="B918" s="76" t="s">
        <v>1109</v>
      </c>
      <c r="C918" s="76" t="s">
        <v>1110</v>
      </c>
      <c r="D918" s="75"/>
    </row>
    <row hidden="true" r="919">
      <c r="A919" s="76" t="s">
        <v>1225</v>
      </c>
      <c r="B919" s="76" t="s">
        <v>1111</v>
      </c>
      <c r="C919" s="76" t="s">
        <v>1243</v>
      </c>
      <c r="D919" s="75"/>
    </row>
    <row hidden="true" r="920">
      <c r="A920" s="76" t="s">
        <v>1225</v>
      </c>
      <c r="B920" s="76" t="s">
        <v>1113</v>
      </c>
      <c r="C920" s="76" t="s">
        <v>1114</v>
      </c>
      <c r="D920" s="75"/>
    </row>
    <row hidden="true" r="921">
      <c r="A921" s="76" t="s">
        <v>1225</v>
      </c>
      <c r="B921" s="76" t="s">
        <v>1115</v>
      </c>
      <c r="C921" s="76" t="s">
        <v>1116</v>
      </c>
      <c r="D921" s="75"/>
    </row>
    <row hidden="true" r="922">
      <c r="A922" s="76" t="s">
        <v>1225</v>
      </c>
      <c r="B922" s="76" t="s">
        <v>1117</v>
      </c>
      <c r="C922" s="76" t="s">
        <v>1244</v>
      </c>
      <c r="D922" s="75"/>
    </row>
    <row hidden="true" r="923">
      <c r="A923" s="76" t="s">
        <v>1225</v>
      </c>
      <c r="B923" s="76" t="s">
        <v>1119</v>
      </c>
      <c r="C923" s="76" t="s">
        <v>1120</v>
      </c>
      <c r="D923" s="75"/>
    </row>
    <row hidden="true" r="924">
      <c r="A924" s="76" t="s">
        <v>1225</v>
      </c>
      <c r="B924" s="76" t="s">
        <v>1121</v>
      </c>
      <c r="C924" s="76" t="s">
        <v>1122</v>
      </c>
      <c r="D924" s="75"/>
    </row>
    <row hidden="true" r="925">
      <c r="A925" s="76" t="s">
        <v>1225</v>
      </c>
      <c r="B925" s="76" t="s">
        <v>1123</v>
      </c>
      <c r="C925" s="76" t="s">
        <v>1124</v>
      </c>
      <c r="D925" s="75"/>
    </row>
    <row hidden="true" r="926">
      <c r="A926" s="76" t="s">
        <v>1225</v>
      </c>
      <c r="B926" s="76" t="s">
        <v>1125</v>
      </c>
      <c r="C926" s="76" t="s">
        <v>1245</v>
      </c>
      <c r="D926" s="75"/>
    </row>
    <row hidden="true" r="927">
      <c r="A927" s="76" t="s">
        <v>1225</v>
      </c>
      <c r="B927" s="76" t="s">
        <v>1127</v>
      </c>
      <c r="C927" s="76" t="s">
        <v>1128</v>
      </c>
      <c r="D927" s="75"/>
    </row>
    <row hidden="true" r="928">
      <c r="A928" s="76" t="s">
        <v>1225</v>
      </c>
      <c r="B928" s="76" t="s">
        <v>1129</v>
      </c>
      <c r="C928" s="76" t="s">
        <v>1130</v>
      </c>
      <c r="D928" s="75"/>
    </row>
    <row hidden="true" r="929">
      <c r="A929" s="76" t="s">
        <v>1225</v>
      </c>
      <c r="B929" s="76" t="s">
        <v>1131</v>
      </c>
      <c r="C929" s="76" t="s">
        <v>1132</v>
      </c>
      <c r="D929" s="75"/>
    </row>
    <row hidden="true" r="930">
      <c r="A930" s="76" t="s">
        <v>1225</v>
      </c>
      <c r="B930" s="76" t="s">
        <v>1133</v>
      </c>
      <c r="C930" s="76" t="s">
        <v>1134</v>
      </c>
      <c r="D930" s="75"/>
    </row>
    <row hidden="true" r="931">
      <c r="A931" s="76" t="s">
        <v>1225</v>
      </c>
      <c r="B931" s="76" t="s">
        <v>1135</v>
      </c>
      <c r="C931" s="76" t="s">
        <v>1136</v>
      </c>
      <c r="D931" s="75"/>
    </row>
    <row hidden="true" r="932">
      <c r="A932" s="76" t="s">
        <v>1225</v>
      </c>
      <c r="B932" s="76" t="s">
        <v>1137</v>
      </c>
      <c r="C932" s="76" t="s">
        <v>1138</v>
      </c>
      <c r="D932" s="75"/>
    </row>
    <row hidden="true" r="933">
      <c r="A933" s="76" t="s">
        <v>1225</v>
      </c>
      <c r="B933" s="76" t="s">
        <v>1139</v>
      </c>
      <c r="C933" s="76" t="s">
        <v>1140</v>
      </c>
      <c r="D933" s="75"/>
    </row>
    <row hidden="true" r="934">
      <c r="A934" s="76" t="s">
        <v>1225</v>
      </c>
      <c r="B934" s="76" t="s">
        <v>1141</v>
      </c>
      <c r="C934" s="76" t="s">
        <v>1142</v>
      </c>
      <c r="D934" s="75"/>
    </row>
    <row hidden="true" r="935">
      <c r="A935" s="76" t="s">
        <v>1225</v>
      </c>
      <c r="B935" s="76" t="s">
        <v>1143</v>
      </c>
      <c r="C935" s="76" t="s">
        <v>1144</v>
      </c>
      <c r="D935" s="75"/>
    </row>
    <row hidden="true" r="936">
      <c r="A936" s="76" t="s">
        <v>1225</v>
      </c>
      <c r="B936" s="76" t="s">
        <v>1145</v>
      </c>
      <c r="C936" s="76" t="s">
        <v>1223</v>
      </c>
      <c r="D936" s="75"/>
    </row>
    <row hidden="true" r="937">
      <c r="A937" s="76" t="s">
        <v>1225</v>
      </c>
      <c r="B937" s="76" t="s">
        <v>1147</v>
      </c>
      <c r="C937" s="76" t="s">
        <v>1148</v>
      </c>
      <c r="D937" s="75"/>
    </row>
    <row hidden="true" r="938">
      <c r="A938" s="76" t="s">
        <v>1225</v>
      </c>
      <c r="B938" s="76" t="s">
        <v>1149</v>
      </c>
      <c r="C938" s="76" t="s">
        <v>1150</v>
      </c>
      <c r="D938" s="75"/>
    </row>
    <row hidden="true" r="939">
      <c r="A939" s="76" t="s">
        <v>1225</v>
      </c>
      <c r="B939" s="76" t="s">
        <v>1151</v>
      </c>
      <c r="C939" s="76" t="s">
        <v>1152</v>
      </c>
      <c r="D939" s="75"/>
    </row>
    <row hidden="true" r="940">
      <c r="A940" s="76" t="s">
        <v>1225</v>
      </c>
      <c r="B940" s="76" t="s">
        <v>1153</v>
      </c>
      <c r="C940" s="76" t="s">
        <v>1154</v>
      </c>
      <c r="D940" s="75"/>
    </row>
    <row hidden="true" r="941">
      <c r="A941" s="76" t="s">
        <v>1225</v>
      </c>
      <c r="B941" s="76" t="s">
        <v>1155</v>
      </c>
      <c r="C941" s="76" t="s">
        <v>1156</v>
      </c>
      <c r="D941" s="75"/>
    </row>
    <row hidden="true" r="942">
      <c r="A942" s="76" t="s">
        <v>1225</v>
      </c>
      <c r="B942" s="76" t="s">
        <v>1157</v>
      </c>
      <c r="C942" s="76" t="s">
        <v>1158</v>
      </c>
      <c r="D942" s="75"/>
    </row>
    <row hidden="true" r="943">
      <c r="A943" s="76" t="s">
        <v>1225</v>
      </c>
      <c r="B943" s="76" t="s">
        <v>1159</v>
      </c>
      <c r="C943" s="76" t="s">
        <v>1160</v>
      </c>
      <c r="D943" s="75"/>
    </row>
    <row hidden="true" r="944">
      <c r="A944" s="76" t="s">
        <v>1225</v>
      </c>
      <c r="B944" s="76" t="s">
        <v>868</v>
      </c>
      <c r="C944" s="76" t="s">
        <v>869</v>
      </c>
      <c r="D944" s="75"/>
    </row>
    <row hidden="true" r="945">
      <c r="A945" s="76" t="s">
        <v>1225</v>
      </c>
      <c r="B945" s="76" t="s">
        <v>1161</v>
      </c>
      <c r="C945" s="76" t="s">
        <v>1162</v>
      </c>
      <c r="D945" s="75"/>
    </row>
    <row hidden="true" r="946">
      <c r="A946" s="76" t="s">
        <v>1225</v>
      </c>
      <c r="B946" s="76" t="s">
        <v>1163</v>
      </c>
      <c r="C946" s="76" t="s">
        <v>1164</v>
      </c>
      <c r="D946" s="75"/>
    </row>
    <row hidden="true" r="947">
      <c r="A947" s="76" t="s">
        <v>1225</v>
      </c>
      <c r="B947" s="76" t="s">
        <v>1165</v>
      </c>
      <c r="C947" s="76" t="s">
        <v>1166</v>
      </c>
      <c r="D947" s="75"/>
    </row>
    <row hidden="true" r="948">
      <c r="A948" s="76" t="s">
        <v>1225</v>
      </c>
      <c r="B948" s="76" t="s">
        <v>1167</v>
      </c>
      <c r="C948" s="76" t="s">
        <v>1246</v>
      </c>
      <c r="D948" s="75"/>
    </row>
    <row hidden="true" r="949">
      <c r="A949" s="76" t="s">
        <v>1225</v>
      </c>
      <c r="B949" s="76" t="s">
        <v>1169</v>
      </c>
      <c r="C949" s="76" t="s">
        <v>1170</v>
      </c>
      <c r="D949" s="75"/>
    </row>
    <row hidden="true" r="950">
      <c r="A950" s="76" t="s">
        <v>1225</v>
      </c>
      <c r="B950" s="76" t="s">
        <v>1171</v>
      </c>
      <c r="C950" s="76" t="s">
        <v>1172</v>
      </c>
      <c r="D950" s="75"/>
    </row>
    <row hidden="true" r="951">
      <c r="A951" s="76" t="s">
        <v>1225</v>
      </c>
      <c r="B951" s="76" t="s">
        <v>1173</v>
      </c>
      <c r="C951" s="76" t="s">
        <v>1247</v>
      </c>
      <c r="D951" s="75"/>
    </row>
    <row hidden="true" r="952">
      <c r="A952" s="76" t="s">
        <v>1225</v>
      </c>
      <c r="B952" s="76" t="s">
        <v>1175</v>
      </c>
      <c r="C952" s="76" t="s">
        <v>1176</v>
      </c>
      <c r="D952" s="75"/>
    </row>
    <row hidden="true" r="953">
      <c r="A953" s="76" t="s">
        <v>1225</v>
      </c>
      <c r="B953" s="76" t="s">
        <v>1177</v>
      </c>
      <c r="C953" s="76" t="s">
        <v>1178</v>
      </c>
      <c r="D953" s="75"/>
    </row>
    <row hidden="true" r="954">
      <c r="A954" s="76" t="s">
        <v>1225</v>
      </c>
      <c r="B954" s="76" t="s">
        <v>1179</v>
      </c>
      <c r="C954" s="76" t="s">
        <v>1180</v>
      </c>
      <c r="D954" s="75"/>
    </row>
    <row hidden="true" r="955">
      <c r="A955" s="76" t="s">
        <v>1225</v>
      </c>
      <c r="B955" s="76" t="s">
        <v>1181</v>
      </c>
      <c r="C955" s="76" t="s">
        <v>1182</v>
      </c>
      <c r="D955" s="75"/>
    </row>
    <row hidden="true" r="956">
      <c r="A956" s="76" t="s">
        <v>1225</v>
      </c>
      <c r="B956" s="76" t="s">
        <v>1183</v>
      </c>
      <c r="C956" s="76" t="s">
        <v>1184</v>
      </c>
      <c r="D956" s="75"/>
    </row>
    <row hidden="true" r="957">
      <c r="A957" s="76" t="s">
        <v>1225</v>
      </c>
      <c r="B957" s="76" t="s">
        <v>1185</v>
      </c>
      <c r="C957" s="76" t="s">
        <v>1186</v>
      </c>
      <c r="D957" s="75"/>
    </row>
    <row hidden="true" r="958">
      <c r="A958" s="76" t="s">
        <v>1225</v>
      </c>
      <c r="B958" s="76" t="s">
        <v>1187</v>
      </c>
      <c r="C958" s="76" t="s">
        <v>1188</v>
      </c>
      <c r="D958" s="75"/>
    </row>
    <row hidden="true" r="959">
      <c r="A959" s="76" t="s">
        <v>1225</v>
      </c>
      <c r="B959" s="76" t="s">
        <v>1199</v>
      </c>
      <c r="C959" s="76" t="s">
        <v>1200</v>
      </c>
      <c r="D959" s="75"/>
    </row>
    <row hidden="true" r="960">
      <c r="A960" s="76" t="s">
        <v>1225</v>
      </c>
      <c r="B960" s="76" t="s">
        <v>1201</v>
      </c>
      <c r="C960" s="76" t="s">
        <v>1202</v>
      </c>
      <c r="D960" s="75"/>
    </row>
    <row hidden="true" r="961">
      <c r="A961" s="76" t="s">
        <v>1225</v>
      </c>
      <c r="B961" s="76" t="s">
        <v>1203</v>
      </c>
      <c r="C961" s="76" t="s">
        <v>1204</v>
      </c>
      <c r="D961" s="75"/>
    </row>
    <row hidden="true" r="962">
      <c r="A962" s="76" t="s">
        <v>1225</v>
      </c>
      <c r="B962" s="76" t="s">
        <v>1205</v>
      </c>
      <c r="C962" s="76" t="s">
        <v>1206</v>
      </c>
      <c r="D962" s="75"/>
    </row>
    <row hidden="true" r="963">
      <c r="A963" s="76" t="s">
        <v>1225</v>
      </c>
      <c r="B963" s="76" t="s">
        <v>1207</v>
      </c>
      <c r="C963" s="76" t="s">
        <v>1208</v>
      </c>
      <c r="D963" s="75"/>
    </row>
    <row hidden="true" r="964">
      <c r="A964" s="76" t="s">
        <v>1225</v>
      </c>
      <c r="B964" s="76" t="s">
        <v>1209</v>
      </c>
      <c r="C964" s="76" t="s">
        <v>1210</v>
      </c>
      <c r="D964" s="75"/>
    </row>
    <row hidden="true" r="965">
      <c r="A965" s="76" t="s">
        <v>1225</v>
      </c>
      <c r="B965" s="76" t="s">
        <v>735</v>
      </c>
      <c r="C965" s="76"/>
      <c r="D965" s="75"/>
    </row>
    <row hidden="true" r="966">
      <c r="A966" s="76" t="s">
        <v>1248</v>
      </c>
      <c r="B966" s="76" t="s">
        <v>407</v>
      </c>
      <c r="C966" s="76" t="s">
        <v>408</v>
      </c>
      <c r="D966" s="75"/>
    </row>
    <row hidden="true" r="967">
      <c r="A967" s="76" t="s">
        <v>1248</v>
      </c>
      <c r="B967" s="76" t="s">
        <v>744</v>
      </c>
      <c r="C967" s="76" t="s">
        <v>745</v>
      </c>
      <c r="D967" s="75"/>
    </row>
    <row hidden="true" r="968">
      <c r="A968" s="76" t="s">
        <v>1248</v>
      </c>
      <c r="B968" s="76" t="s">
        <v>409</v>
      </c>
      <c r="C968" s="76" t="s">
        <v>1215</v>
      </c>
      <c r="D968" s="75"/>
    </row>
    <row hidden="true" r="969">
      <c r="A969" s="76" t="s">
        <v>1248</v>
      </c>
      <c r="B969" s="76" t="s">
        <v>884</v>
      </c>
      <c r="C969" s="76" t="s">
        <v>885</v>
      </c>
      <c r="D969" s="75"/>
    </row>
    <row hidden="true" r="970">
      <c r="A970" s="76" t="s">
        <v>1248</v>
      </c>
      <c r="B970" s="76" t="s">
        <v>886</v>
      </c>
      <c r="C970" s="76" t="s">
        <v>887</v>
      </c>
      <c r="D970" s="75"/>
    </row>
    <row hidden="true" r="971">
      <c r="A971" s="76" t="s">
        <v>1248</v>
      </c>
      <c r="B971" s="76" t="s">
        <v>888</v>
      </c>
      <c r="C971" s="76" t="s">
        <v>889</v>
      </c>
      <c r="D971" s="75"/>
    </row>
    <row hidden="true" r="972">
      <c r="A972" s="76" t="s">
        <v>1248</v>
      </c>
      <c r="B972" s="76" t="s">
        <v>890</v>
      </c>
      <c r="C972" s="76" t="s">
        <v>891</v>
      </c>
      <c r="D972" s="75"/>
    </row>
    <row hidden="true" r="973">
      <c r="A973" s="76" t="s">
        <v>1248</v>
      </c>
      <c r="B973" s="76" t="s">
        <v>892</v>
      </c>
      <c r="C973" s="76" t="s">
        <v>893</v>
      </c>
      <c r="D973" s="75"/>
    </row>
    <row hidden="true" r="974">
      <c r="A974" s="76" t="s">
        <v>1248</v>
      </c>
      <c r="B974" s="76" t="s">
        <v>894</v>
      </c>
      <c r="C974" s="76" t="s">
        <v>1217</v>
      </c>
      <c r="D974" s="75"/>
    </row>
    <row hidden="true" r="975">
      <c r="A975" s="76" t="s">
        <v>1248</v>
      </c>
      <c r="B975" s="76" t="s">
        <v>896</v>
      </c>
      <c r="C975" s="76" t="s">
        <v>897</v>
      </c>
      <c r="D975" s="75"/>
    </row>
    <row hidden="true" r="976">
      <c r="A976" s="76" t="s">
        <v>1248</v>
      </c>
      <c r="B976" s="76" t="s">
        <v>898</v>
      </c>
      <c r="C976" s="76" t="s">
        <v>899</v>
      </c>
      <c r="D976" s="75"/>
    </row>
    <row hidden="true" r="977">
      <c r="A977" s="76" t="s">
        <v>1248</v>
      </c>
      <c r="B977" s="76" t="s">
        <v>900</v>
      </c>
      <c r="C977" s="76" t="s">
        <v>1218</v>
      </c>
      <c r="D977" s="75"/>
    </row>
    <row hidden="true" r="978">
      <c r="A978" s="76" t="s">
        <v>1248</v>
      </c>
      <c r="B978" s="76" t="s">
        <v>902</v>
      </c>
      <c r="C978" s="76" t="s">
        <v>903</v>
      </c>
      <c r="D978" s="75"/>
    </row>
    <row hidden="true" r="979">
      <c r="A979" s="76" t="s">
        <v>1248</v>
      </c>
      <c r="B979" s="76" t="s">
        <v>904</v>
      </c>
      <c r="C979" s="76" t="s">
        <v>905</v>
      </c>
      <c r="D979" s="75"/>
    </row>
    <row hidden="true" r="980">
      <c r="A980" s="76" t="s">
        <v>1248</v>
      </c>
      <c r="B980" s="76" t="s">
        <v>906</v>
      </c>
      <c r="C980" s="76" t="s">
        <v>907</v>
      </c>
      <c r="D980" s="75"/>
    </row>
    <row hidden="true" r="981">
      <c r="A981" s="76" t="s">
        <v>1248</v>
      </c>
      <c r="B981" s="76" t="s">
        <v>908</v>
      </c>
      <c r="C981" s="76" t="s">
        <v>909</v>
      </c>
      <c r="D981" s="75"/>
    </row>
    <row hidden="true" r="982">
      <c r="A982" s="76" t="s">
        <v>1248</v>
      </c>
      <c r="B982" s="76" t="s">
        <v>910</v>
      </c>
      <c r="C982" s="76" t="s">
        <v>911</v>
      </c>
      <c r="D982" s="75"/>
    </row>
    <row hidden="true" r="983">
      <c r="A983" s="76" t="s">
        <v>1248</v>
      </c>
      <c r="B983" s="76" t="s">
        <v>912</v>
      </c>
      <c r="C983" s="76" t="s">
        <v>913</v>
      </c>
      <c r="D983" s="75"/>
    </row>
    <row hidden="true" r="984">
      <c r="A984" s="76" t="s">
        <v>1248</v>
      </c>
      <c r="B984" s="76" t="s">
        <v>914</v>
      </c>
      <c r="C984" s="76" t="s">
        <v>915</v>
      </c>
      <c r="D984" s="75"/>
    </row>
    <row hidden="true" r="985">
      <c r="A985" s="76" t="s">
        <v>1248</v>
      </c>
      <c r="B985" s="76" t="s">
        <v>916</v>
      </c>
      <c r="C985" s="76" t="s">
        <v>917</v>
      </c>
      <c r="D985" s="75"/>
    </row>
    <row hidden="true" r="986">
      <c r="A986" s="76" t="s">
        <v>1248</v>
      </c>
      <c r="B986" s="76" t="s">
        <v>918</v>
      </c>
      <c r="C986" s="76" t="s">
        <v>919</v>
      </c>
      <c r="D986" s="75"/>
    </row>
    <row hidden="true" r="987">
      <c r="A987" s="76" t="s">
        <v>1248</v>
      </c>
      <c r="B987" s="76" t="s">
        <v>920</v>
      </c>
      <c r="C987" s="76" t="s">
        <v>921</v>
      </c>
      <c r="D987" s="75"/>
    </row>
    <row hidden="true" r="988">
      <c r="A988" s="76" t="s">
        <v>1248</v>
      </c>
      <c r="B988" s="76" t="s">
        <v>922</v>
      </c>
      <c r="C988" s="76" t="s">
        <v>1219</v>
      </c>
      <c r="D988" s="75"/>
    </row>
    <row hidden="true" r="989">
      <c r="A989" s="76" t="s">
        <v>1248</v>
      </c>
      <c r="B989" s="76" t="s">
        <v>924</v>
      </c>
      <c r="C989" s="76" t="s">
        <v>925</v>
      </c>
      <c r="D989" s="75"/>
    </row>
    <row hidden="true" r="990">
      <c r="A990" s="76" t="s">
        <v>1248</v>
      </c>
      <c r="B990" s="76" t="s">
        <v>926</v>
      </c>
      <c r="C990" s="76" t="s">
        <v>927</v>
      </c>
      <c r="D990" s="75"/>
    </row>
    <row hidden="true" r="991">
      <c r="A991" s="76" t="s">
        <v>1248</v>
      </c>
      <c r="B991" s="76" t="s">
        <v>928</v>
      </c>
      <c r="C991" s="76" t="s">
        <v>929</v>
      </c>
      <c r="D991" s="75"/>
    </row>
    <row hidden="true" r="992">
      <c r="A992" s="76" t="s">
        <v>1248</v>
      </c>
      <c r="B992" s="76" t="s">
        <v>930</v>
      </c>
      <c r="C992" s="76" t="s">
        <v>931</v>
      </c>
      <c r="D992" s="75"/>
    </row>
    <row hidden="true" r="993">
      <c r="A993" s="76" t="s">
        <v>1248</v>
      </c>
      <c r="B993" s="76" t="s">
        <v>932</v>
      </c>
      <c r="C993" s="76" t="s">
        <v>933</v>
      </c>
      <c r="D993" s="75"/>
    </row>
    <row hidden="true" r="994">
      <c r="A994" s="76" t="s">
        <v>1248</v>
      </c>
      <c r="B994" s="76" t="s">
        <v>934</v>
      </c>
      <c r="C994" s="76" t="s">
        <v>935</v>
      </c>
      <c r="D994" s="75"/>
    </row>
    <row hidden="true" r="995">
      <c r="A995" s="76" t="s">
        <v>1248</v>
      </c>
      <c r="B995" s="76" t="s">
        <v>936</v>
      </c>
      <c r="C995" s="76" t="s">
        <v>937</v>
      </c>
      <c r="D995" s="75"/>
    </row>
    <row hidden="true" r="996">
      <c r="A996" s="76" t="s">
        <v>1248</v>
      </c>
      <c r="B996" s="76" t="s">
        <v>938</v>
      </c>
      <c r="C996" s="76" t="s">
        <v>1220</v>
      </c>
      <c r="D996" s="75"/>
    </row>
    <row hidden="true" r="997">
      <c r="A997" s="76" t="s">
        <v>1248</v>
      </c>
      <c r="B997" s="76" t="s">
        <v>940</v>
      </c>
      <c r="C997" s="76" t="s">
        <v>941</v>
      </c>
      <c r="D997" s="75"/>
    </row>
    <row hidden="true" r="998">
      <c r="A998" s="76" t="s">
        <v>1248</v>
      </c>
      <c r="B998" s="76" t="s">
        <v>942</v>
      </c>
      <c r="C998" s="76" t="s">
        <v>943</v>
      </c>
      <c r="D998" s="75"/>
    </row>
    <row hidden="true" r="999">
      <c r="A999" s="76" t="s">
        <v>1248</v>
      </c>
      <c r="B999" s="76" t="s">
        <v>944</v>
      </c>
      <c r="C999" s="76" t="s">
        <v>945</v>
      </c>
      <c r="D999" s="75"/>
    </row>
    <row hidden="true" r="1000">
      <c r="A1000" s="76" t="s">
        <v>1248</v>
      </c>
      <c r="B1000" s="76" t="s">
        <v>946</v>
      </c>
      <c r="C1000" s="76" t="s">
        <v>1221</v>
      </c>
      <c r="D1000" s="75"/>
    </row>
    <row hidden="true" r="1001">
      <c r="A1001" s="76" t="s">
        <v>1248</v>
      </c>
      <c r="B1001" s="76" t="s">
        <v>948</v>
      </c>
      <c r="C1001" s="76" t="s">
        <v>1222</v>
      </c>
      <c r="D1001" s="75"/>
    </row>
    <row hidden="true" r="1002">
      <c r="A1002" s="76" t="s">
        <v>1248</v>
      </c>
      <c r="B1002" s="76" t="s">
        <v>950</v>
      </c>
      <c r="C1002" s="76" t="s">
        <v>951</v>
      </c>
      <c r="D1002" s="75"/>
    </row>
    <row hidden="true" r="1003">
      <c r="A1003" s="76" t="s">
        <v>1248</v>
      </c>
      <c r="B1003" s="76" t="s">
        <v>952</v>
      </c>
      <c r="C1003" s="76" t="s">
        <v>953</v>
      </c>
      <c r="D1003" s="75"/>
    </row>
    <row hidden="true" r="1004">
      <c r="A1004" s="76" t="s">
        <v>1248</v>
      </c>
      <c r="B1004" s="76" t="s">
        <v>954</v>
      </c>
      <c r="C1004" s="76" t="s">
        <v>955</v>
      </c>
      <c r="D1004" s="75"/>
    </row>
    <row hidden="true" r="1005">
      <c r="A1005" s="76" t="s">
        <v>1248</v>
      </c>
      <c r="B1005" s="76" t="s">
        <v>775</v>
      </c>
      <c r="C1005" s="76" t="s">
        <v>776</v>
      </c>
      <c r="D1005" s="75"/>
    </row>
    <row hidden="true" r="1006">
      <c r="A1006" s="76" t="s">
        <v>1248</v>
      </c>
      <c r="B1006" s="76" t="s">
        <v>956</v>
      </c>
      <c r="C1006" s="76" t="s">
        <v>957</v>
      </c>
      <c r="D1006" s="75"/>
    </row>
    <row hidden="true" r="1007">
      <c r="A1007" s="76" t="s">
        <v>1248</v>
      </c>
      <c r="B1007" s="76" t="s">
        <v>958</v>
      </c>
      <c r="C1007" s="76" t="s">
        <v>959</v>
      </c>
      <c r="D1007" s="75"/>
    </row>
    <row hidden="true" r="1008">
      <c r="A1008" s="76" t="s">
        <v>1248</v>
      </c>
      <c r="B1008" s="76" t="s">
        <v>960</v>
      </c>
      <c r="C1008" s="76" t="s">
        <v>961</v>
      </c>
      <c r="D1008" s="75"/>
    </row>
    <row hidden="true" r="1009">
      <c r="A1009" s="76" t="s">
        <v>1248</v>
      </c>
      <c r="B1009" s="76" t="s">
        <v>962</v>
      </c>
      <c r="C1009" s="76" t="s">
        <v>963</v>
      </c>
      <c r="D1009" s="75"/>
    </row>
    <row hidden="true" r="1010">
      <c r="A1010" s="76" t="s">
        <v>1248</v>
      </c>
      <c r="B1010" s="76" t="s">
        <v>964</v>
      </c>
      <c r="C1010" s="76" t="s">
        <v>965</v>
      </c>
      <c r="D1010" s="75"/>
    </row>
    <row hidden="true" r="1011">
      <c r="A1011" s="76" t="s">
        <v>1248</v>
      </c>
      <c r="B1011" s="76" t="s">
        <v>966</v>
      </c>
      <c r="C1011" s="76" t="s">
        <v>967</v>
      </c>
      <c r="D1011" s="75"/>
    </row>
    <row hidden="true" r="1012">
      <c r="A1012" s="76" t="s">
        <v>1248</v>
      </c>
      <c r="B1012" s="76" t="s">
        <v>968</v>
      </c>
      <c r="C1012" s="76" t="s">
        <v>969</v>
      </c>
      <c r="D1012" s="75"/>
    </row>
    <row hidden="true" r="1013">
      <c r="A1013" s="76" t="s">
        <v>1248</v>
      </c>
      <c r="B1013" s="76" t="s">
        <v>970</v>
      </c>
      <c r="C1013" s="76" t="s">
        <v>971</v>
      </c>
      <c r="D1013" s="75"/>
    </row>
    <row hidden="true" r="1014">
      <c r="A1014" s="76" t="s">
        <v>1248</v>
      </c>
      <c r="B1014" s="76" t="s">
        <v>972</v>
      </c>
      <c r="C1014" s="76" t="s">
        <v>973</v>
      </c>
      <c r="D1014" s="75"/>
    </row>
    <row hidden="true" r="1015">
      <c r="A1015" s="76" t="s">
        <v>1248</v>
      </c>
      <c r="B1015" s="76" t="s">
        <v>974</v>
      </c>
      <c r="C1015" s="76" t="s">
        <v>975</v>
      </c>
      <c r="D1015" s="75"/>
    </row>
    <row hidden="true" r="1016">
      <c r="A1016" s="76" t="s">
        <v>1248</v>
      </c>
      <c r="B1016" s="76" t="s">
        <v>976</v>
      </c>
      <c r="C1016" s="76" t="s">
        <v>977</v>
      </c>
      <c r="D1016" s="75"/>
    </row>
    <row hidden="true" r="1017">
      <c r="A1017" s="76" t="s">
        <v>1248</v>
      </c>
      <c r="B1017" s="76" t="s">
        <v>823</v>
      </c>
      <c r="C1017" s="76" t="s">
        <v>824</v>
      </c>
      <c r="D1017" s="75"/>
    </row>
    <row hidden="true" r="1018">
      <c r="A1018" s="76" t="s">
        <v>1248</v>
      </c>
      <c r="B1018" s="76" t="s">
        <v>978</v>
      </c>
      <c r="C1018" s="76" t="s">
        <v>979</v>
      </c>
      <c r="D1018" s="75"/>
    </row>
    <row hidden="true" r="1019">
      <c r="A1019" s="76" t="s">
        <v>1248</v>
      </c>
      <c r="B1019" s="76" t="s">
        <v>980</v>
      </c>
      <c r="C1019" s="76" t="s">
        <v>981</v>
      </c>
      <c r="D1019" s="75"/>
    </row>
    <row hidden="true" r="1020">
      <c r="A1020" s="76" t="s">
        <v>1248</v>
      </c>
      <c r="B1020" s="76" t="s">
        <v>982</v>
      </c>
      <c r="C1020" s="76" t="s">
        <v>983</v>
      </c>
      <c r="D1020" s="75"/>
    </row>
    <row hidden="true" r="1021">
      <c r="A1021" s="76" t="s">
        <v>1248</v>
      </c>
      <c r="B1021" s="76" t="s">
        <v>984</v>
      </c>
      <c r="C1021" s="76" t="s">
        <v>985</v>
      </c>
      <c r="D1021" s="75"/>
    </row>
    <row hidden="true" r="1022">
      <c r="A1022" s="76" t="s">
        <v>1248</v>
      </c>
      <c r="B1022" s="76" t="s">
        <v>986</v>
      </c>
      <c r="C1022" s="76" t="s">
        <v>987</v>
      </c>
      <c r="D1022" s="75"/>
    </row>
    <row hidden="true" r="1023">
      <c r="A1023" s="76" t="s">
        <v>1248</v>
      </c>
      <c r="B1023" s="76" t="s">
        <v>988</v>
      </c>
      <c r="C1023" s="76" t="s">
        <v>989</v>
      </c>
      <c r="D1023" s="75"/>
    </row>
    <row hidden="true" r="1024">
      <c r="A1024" s="76" t="s">
        <v>1248</v>
      </c>
      <c r="B1024" s="76" t="s">
        <v>990</v>
      </c>
      <c r="C1024" s="76" t="s">
        <v>991</v>
      </c>
      <c r="D1024" s="75"/>
    </row>
    <row hidden="true" r="1025">
      <c r="A1025" s="76" t="s">
        <v>1248</v>
      </c>
      <c r="B1025" s="76" t="s">
        <v>992</v>
      </c>
      <c r="C1025" s="76" t="s">
        <v>993</v>
      </c>
      <c r="D1025" s="75"/>
    </row>
    <row hidden="true" r="1026">
      <c r="A1026" s="76" t="s">
        <v>1248</v>
      </c>
      <c r="B1026" s="76" t="s">
        <v>994</v>
      </c>
      <c r="C1026" s="76" t="s">
        <v>995</v>
      </c>
      <c r="D1026" s="75"/>
    </row>
    <row hidden="true" r="1027">
      <c r="A1027" s="76" t="s">
        <v>1248</v>
      </c>
      <c r="B1027" s="76" t="s">
        <v>996</v>
      </c>
      <c r="C1027" s="76" t="s">
        <v>997</v>
      </c>
      <c r="D1027" s="75"/>
    </row>
    <row hidden="true" r="1028">
      <c r="A1028" s="76" t="s">
        <v>1248</v>
      </c>
      <c r="B1028" s="76" t="s">
        <v>998</v>
      </c>
      <c r="C1028" s="76" t="s">
        <v>999</v>
      </c>
      <c r="D1028" s="75"/>
    </row>
    <row hidden="true" r="1029">
      <c r="A1029" s="76" t="s">
        <v>1248</v>
      </c>
      <c r="B1029" s="76" t="s">
        <v>1000</v>
      </c>
      <c r="C1029" s="76" t="s">
        <v>1001</v>
      </c>
      <c r="D1029" s="75"/>
    </row>
    <row hidden="true" r="1030">
      <c r="A1030" s="76" t="s">
        <v>1248</v>
      </c>
      <c r="B1030" s="76" t="s">
        <v>1002</v>
      </c>
      <c r="C1030" s="76" t="s">
        <v>1003</v>
      </c>
      <c r="D1030" s="75"/>
    </row>
    <row hidden="true" r="1031">
      <c r="A1031" s="76" t="s">
        <v>1248</v>
      </c>
      <c r="B1031" s="76" t="s">
        <v>1004</v>
      </c>
      <c r="C1031" s="76" t="s">
        <v>1005</v>
      </c>
      <c r="D1031" s="75"/>
    </row>
    <row hidden="true" r="1032">
      <c r="A1032" s="76" t="s">
        <v>1248</v>
      </c>
      <c r="B1032" s="76" t="s">
        <v>1006</v>
      </c>
      <c r="C1032" s="76" t="s">
        <v>1007</v>
      </c>
      <c r="D1032" s="75"/>
    </row>
    <row hidden="true" r="1033">
      <c r="A1033" s="76" t="s">
        <v>1248</v>
      </c>
      <c r="B1033" s="76" t="s">
        <v>1008</v>
      </c>
      <c r="C1033" s="76" t="s">
        <v>1009</v>
      </c>
      <c r="D1033" s="75"/>
    </row>
    <row hidden="true" r="1034">
      <c r="A1034" s="76" t="s">
        <v>1248</v>
      </c>
      <c r="B1034" s="76" t="s">
        <v>1010</v>
      </c>
      <c r="C1034" s="76" t="s">
        <v>1011</v>
      </c>
      <c r="D1034" s="75"/>
    </row>
    <row hidden="true" r="1035">
      <c r="A1035" s="76" t="s">
        <v>1248</v>
      </c>
      <c r="B1035" s="76" t="s">
        <v>1012</v>
      </c>
      <c r="C1035" s="76" t="s">
        <v>1013</v>
      </c>
      <c r="D1035" s="75"/>
    </row>
    <row hidden="true" r="1036">
      <c r="A1036" s="76" t="s">
        <v>1248</v>
      </c>
      <c r="B1036" s="76" t="s">
        <v>1014</v>
      </c>
      <c r="C1036" s="76" t="s">
        <v>1015</v>
      </c>
      <c r="D1036" s="75"/>
    </row>
    <row hidden="true" r="1037">
      <c r="A1037" s="76" t="s">
        <v>1248</v>
      </c>
      <c r="B1037" s="76" t="s">
        <v>1016</v>
      </c>
      <c r="C1037" s="76" t="s">
        <v>1017</v>
      </c>
      <c r="D1037" s="75"/>
    </row>
    <row hidden="true" r="1038">
      <c r="A1038" s="76" t="s">
        <v>1248</v>
      </c>
      <c r="B1038" s="76" t="s">
        <v>1018</v>
      </c>
      <c r="C1038" s="76" t="s">
        <v>1019</v>
      </c>
      <c r="D1038" s="75"/>
    </row>
    <row hidden="true" r="1039">
      <c r="A1039" s="76" t="s">
        <v>1248</v>
      </c>
      <c r="B1039" s="76" t="s">
        <v>1020</v>
      </c>
      <c r="C1039" s="76" t="s">
        <v>1021</v>
      </c>
      <c r="D1039" s="75"/>
    </row>
    <row hidden="true" r="1040">
      <c r="A1040" s="76" t="s">
        <v>1248</v>
      </c>
      <c r="B1040" s="76" t="s">
        <v>1022</v>
      </c>
      <c r="C1040" s="76" t="s">
        <v>1017</v>
      </c>
      <c r="D1040" s="75"/>
    </row>
    <row hidden="true" r="1041">
      <c r="A1041" s="76" t="s">
        <v>1248</v>
      </c>
      <c r="B1041" s="76" t="s">
        <v>1023</v>
      </c>
      <c r="C1041" s="76" t="s">
        <v>1019</v>
      </c>
      <c r="D1041" s="75"/>
    </row>
    <row hidden="true" r="1042">
      <c r="A1042" s="76" t="s">
        <v>1248</v>
      </c>
      <c r="B1042" s="76" t="s">
        <v>1024</v>
      </c>
      <c r="C1042" s="76" t="s">
        <v>1021</v>
      </c>
      <c r="D1042" s="75"/>
    </row>
    <row hidden="true" r="1043">
      <c r="A1043" s="76" t="s">
        <v>1248</v>
      </c>
      <c r="B1043" s="76" t="s">
        <v>1025</v>
      </c>
      <c r="C1043" s="76" t="s">
        <v>1017</v>
      </c>
      <c r="D1043" s="75"/>
    </row>
    <row hidden="true" r="1044">
      <c r="A1044" s="76" t="s">
        <v>1248</v>
      </c>
      <c r="B1044" s="76" t="s">
        <v>1026</v>
      </c>
      <c r="C1044" s="76" t="s">
        <v>1019</v>
      </c>
      <c r="D1044" s="75"/>
    </row>
    <row hidden="true" r="1045">
      <c r="A1045" s="76" t="s">
        <v>1248</v>
      </c>
      <c r="B1045" s="76" t="s">
        <v>1027</v>
      </c>
      <c r="C1045" s="76" t="s">
        <v>1021</v>
      </c>
      <c r="D1045" s="75"/>
    </row>
    <row hidden="true" r="1046">
      <c r="A1046" s="76" t="s">
        <v>1248</v>
      </c>
      <c r="B1046" s="76" t="s">
        <v>1028</v>
      </c>
      <c r="C1046" s="76" t="s">
        <v>1029</v>
      </c>
      <c r="D1046" s="75"/>
    </row>
    <row hidden="true" r="1047">
      <c r="A1047" s="76" t="s">
        <v>1248</v>
      </c>
      <c r="B1047" s="76" t="s">
        <v>530</v>
      </c>
      <c r="C1047" s="76" t="s">
        <v>531</v>
      </c>
      <c r="D1047" s="75"/>
    </row>
    <row hidden="true" r="1048">
      <c r="A1048" s="76" t="s">
        <v>1248</v>
      </c>
      <c r="B1048" s="76" t="s">
        <v>1030</v>
      </c>
      <c r="C1048" s="76" t="s">
        <v>1031</v>
      </c>
      <c r="D1048" s="75"/>
    </row>
    <row hidden="true" r="1049">
      <c r="A1049" s="76" t="s">
        <v>1248</v>
      </c>
      <c r="B1049" s="76" t="s">
        <v>1032</v>
      </c>
      <c r="C1049" s="76" t="s">
        <v>1033</v>
      </c>
      <c r="D1049" s="75"/>
    </row>
    <row hidden="true" r="1050">
      <c r="A1050" s="76" t="s">
        <v>1248</v>
      </c>
      <c r="B1050" s="76" t="s">
        <v>1034</v>
      </c>
      <c r="C1050" s="76" t="s">
        <v>1035</v>
      </c>
      <c r="D1050" s="75"/>
    </row>
    <row hidden="true" r="1051">
      <c r="A1051" s="76" t="s">
        <v>1248</v>
      </c>
      <c r="B1051" s="76" t="s">
        <v>532</v>
      </c>
      <c r="C1051" s="76" t="s">
        <v>533</v>
      </c>
      <c r="D1051" s="75"/>
    </row>
    <row hidden="true" r="1052">
      <c r="A1052" s="76" t="s">
        <v>1248</v>
      </c>
      <c r="B1052" s="76" t="s">
        <v>1036</v>
      </c>
      <c r="C1052" s="76" t="s">
        <v>1037</v>
      </c>
      <c r="D1052" s="75"/>
    </row>
    <row hidden="true" r="1053">
      <c r="A1053" s="76" t="s">
        <v>1248</v>
      </c>
      <c r="B1053" s="76" t="s">
        <v>1038</v>
      </c>
      <c r="C1053" s="76" t="s">
        <v>1039</v>
      </c>
      <c r="D1053" s="75"/>
    </row>
    <row hidden="true" r="1054">
      <c r="A1054" s="76" t="s">
        <v>1248</v>
      </c>
      <c r="B1054" s="76" t="s">
        <v>1040</v>
      </c>
      <c r="C1054" s="76" t="s">
        <v>1041</v>
      </c>
      <c r="D1054" s="75"/>
    </row>
    <row hidden="true" r="1055">
      <c r="A1055" s="76" t="s">
        <v>1248</v>
      </c>
      <c r="B1055" s="76" t="s">
        <v>1042</v>
      </c>
      <c r="C1055" s="76" t="s">
        <v>1043</v>
      </c>
      <c r="D1055" s="75"/>
    </row>
    <row hidden="true" r="1056">
      <c r="A1056" s="76" t="s">
        <v>1248</v>
      </c>
      <c r="B1056" s="76" t="s">
        <v>1044</v>
      </c>
      <c r="C1056" s="76" t="s">
        <v>1045</v>
      </c>
      <c r="D1056" s="75"/>
    </row>
    <row hidden="true" r="1057">
      <c r="A1057" s="76" t="s">
        <v>1248</v>
      </c>
      <c r="B1057" s="76" t="s">
        <v>1046</v>
      </c>
      <c r="C1057" s="76" t="s">
        <v>1047</v>
      </c>
      <c r="D1057" s="75"/>
    </row>
    <row hidden="true" r="1058">
      <c r="A1058" s="76" t="s">
        <v>1248</v>
      </c>
      <c r="B1058" s="76" t="s">
        <v>1048</v>
      </c>
      <c r="C1058" s="76" t="s">
        <v>1049</v>
      </c>
      <c r="D1058" s="75"/>
    </row>
    <row hidden="true" r="1059">
      <c r="A1059" s="76" t="s">
        <v>1248</v>
      </c>
      <c r="B1059" s="76" t="s">
        <v>1050</v>
      </c>
      <c r="C1059" s="76" t="s">
        <v>1051</v>
      </c>
      <c r="D1059" s="75"/>
    </row>
    <row hidden="true" r="1060">
      <c r="A1060" s="76" t="s">
        <v>1248</v>
      </c>
      <c r="B1060" s="76" t="s">
        <v>1052</v>
      </c>
      <c r="C1060" s="76" t="s">
        <v>1053</v>
      </c>
      <c r="D1060" s="75"/>
    </row>
    <row hidden="true" r="1061">
      <c r="A1061" s="76" t="s">
        <v>1248</v>
      </c>
      <c r="B1061" s="76" t="s">
        <v>1054</v>
      </c>
      <c r="C1061" s="76" t="s">
        <v>1055</v>
      </c>
      <c r="D1061" s="75"/>
    </row>
    <row hidden="true" r="1062">
      <c r="A1062" s="76" t="s">
        <v>1248</v>
      </c>
      <c r="B1062" s="76" t="s">
        <v>1056</v>
      </c>
      <c r="C1062" s="76" t="s">
        <v>1057</v>
      </c>
      <c r="D1062" s="75"/>
    </row>
    <row hidden="true" r="1063">
      <c r="A1063" s="76" t="s">
        <v>1248</v>
      </c>
      <c r="B1063" s="76" t="s">
        <v>1058</v>
      </c>
      <c r="C1063" s="76" t="s">
        <v>1059</v>
      </c>
      <c r="D1063" s="75"/>
    </row>
    <row hidden="true" r="1064">
      <c r="A1064" s="76" t="s">
        <v>1248</v>
      </c>
      <c r="B1064" s="76" t="s">
        <v>1060</v>
      </c>
      <c r="C1064" s="76" t="s">
        <v>1061</v>
      </c>
      <c r="D1064" s="75"/>
    </row>
    <row hidden="true" r="1065">
      <c r="A1065" s="76" t="s">
        <v>1248</v>
      </c>
      <c r="B1065" s="76" t="s">
        <v>1062</v>
      </c>
      <c r="C1065" s="76" t="s">
        <v>1063</v>
      </c>
      <c r="D1065" s="75"/>
    </row>
    <row hidden="true" r="1066">
      <c r="A1066" s="76" t="s">
        <v>1248</v>
      </c>
      <c r="B1066" s="76" t="s">
        <v>1064</v>
      </c>
      <c r="C1066" s="76" t="s">
        <v>1065</v>
      </c>
      <c r="D1066" s="75"/>
    </row>
    <row hidden="true" r="1067">
      <c r="A1067" s="76" t="s">
        <v>1248</v>
      </c>
      <c r="B1067" s="76" t="s">
        <v>1066</v>
      </c>
      <c r="C1067" s="76" t="s">
        <v>1067</v>
      </c>
      <c r="D1067" s="75"/>
    </row>
    <row hidden="true" r="1068">
      <c r="A1068" s="76" t="s">
        <v>1248</v>
      </c>
      <c r="B1068" s="76" t="s">
        <v>1068</v>
      </c>
      <c r="C1068" s="76" t="s">
        <v>1069</v>
      </c>
      <c r="D1068" s="75"/>
    </row>
    <row hidden="true" r="1069">
      <c r="A1069" s="76" t="s">
        <v>1248</v>
      </c>
      <c r="B1069" s="76" t="s">
        <v>1070</v>
      </c>
      <c r="C1069" s="76" t="s">
        <v>1069</v>
      </c>
      <c r="D1069" s="75"/>
    </row>
    <row hidden="true" r="1070">
      <c r="A1070" s="76" t="s">
        <v>1248</v>
      </c>
      <c r="B1070" s="76" t="s">
        <v>1071</v>
      </c>
      <c r="C1070" s="76" t="s">
        <v>1069</v>
      </c>
      <c r="D1070" s="75"/>
    </row>
    <row hidden="true" r="1071">
      <c r="A1071" s="76" t="s">
        <v>1248</v>
      </c>
      <c r="B1071" s="76" t="s">
        <v>1072</v>
      </c>
      <c r="C1071" s="76" t="s">
        <v>1073</v>
      </c>
      <c r="D1071" s="75"/>
    </row>
    <row hidden="true" r="1072">
      <c r="A1072" s="76" t="s">
        <v>1248</v>
      </c>
      <c r="B1072" s="76" t="s">
        <v>1074</v>
      </c>
      <c r="C1072" s="76" t="s">
        <v>1073</v>
      </c>
      <c r="D1072" s="75"/>
    </row>
    <row hidden="true" r="1073">
      <c r="A1073" s="76" t="s">
        <v>1248</v>
      </c>
      <c r="B1073" s="76" t="s">
        <v>1075</v>
      </c>
      <c r="C1073" s="76" t="s">
        <v>1073</v>
      </c>
      <c r="D1073" s="75"/>
    </row>
    <row hidden="true" r="1074">
      <c r="A1074" s="76" t="s">
        <v>1248</v>
      </c>
      <c r="B1074" s="76" t="s">
        <v>1076</v>
      </c>
      <c r="C1074" s="76" t="s">
        <v>1077</v>
      </c>
      <c r="D1074" s="75"/>
    </row>
    <row hidden="true" r="1075">
      <c r="A1075" s="76" t="s">
        <v>1248</v>
      </c>
      <c r="B1075" s="76" t="s">
        <v>1078</v>
      </c>
      <c r="C1075" s="76" t="s">
        <v>1079</v>
      </c>
      <c r="D1075" s="75"/>
    </row>
    <row hidden="true" r="1076">
      <c r="A1076" s="76" t="s">
        <v>1248</v>
      </c>
      <c r="B1076" s="76" t="s">
        <v>839</v>
      </c>
      <c r="C1076" s="76" t="s">
        <v>840</v>
      </c>
      <c r="D1076" s="75"/>
    </row>
    <row hidden="true" r="1077">
      <c r="A1077" s="76" t="s">
        <v>1248</v>
      </c>
      <c r="B1077" s="76" t="s">
        <v>1080</v>
      </c>
      <c r="C1077" s="76" t="s">
        <v>1081</v>
      </c>
      <c r="D1077" s="75"/>
    </row>
    <row hidden="true" r="1078">
      <c r="A1078" s="76" t="s">
        <v>1248</v>
      </c>
      <c r="B1078" s="76" t="s">
        <v>1082</v>
      </c>
      <c r="C1078" s="76" t="s">
        <v>1083</v>
      </c>
      <c r="D1078" s="75"/>
    </row>
    <row hidden="true" r="1079">
      <c r="A1079" s="76" t="s">
        <v>1248</v>
      </c>
      <c r="B1079" s="76" t="s">
        <v>1084</v>
      </c>
      <c r="C1079" s="76" t="s">
        <v>1085</v>
      </c>
      <c r="D1079" s="75"/>
    </row>
    <row hidden="true" r="1080">
      <c r="A1080" s="76" t="s">
        <v>1248</v>
      </c>
      <c r="B1080" s="76" t="s">
        <v>1086</v>
      </c>
      <c r="C1080" s="76" t="s">
        <v>1087</v>
      </c>
      <c r="D1080" s="75"/>
    </row>
    <row hidden="true" r="1081">
      <c r="A1081" s="76" t="s">
        <v>1248</v>
      </c>
      <c r="B1081" s="76" t="s">
        <v>1088</v>
      </c>
      <c r="C1081" s="76" t="s">
        <v>1089</v>
      </c>
      <c r="D1081" s="75"/>
    </row>
    <row hidden="true" r="1082">
      <c r="A1082" s="76" t="s">
        <v>1248</v>
      </c>
      <c r="B1082" s="76" t="s">
        <v>1090</v>
      </c>
      <c r="C1082" s="76" t="s">
        <v>1091</v>
      </c>
      <c r="D1082" s="75"/>
    </row>
    <row hidden="true" r="1083">
      <c r="A1083" s="76" t="s">
        <v>1248</v>
      </c>
      <c r="B1083" s="76" t="s">
        <v>1092</v>
      </c>
      <c r="C1083" s="76" t="s">
        <v>1091</v>
      </c>
      <c r="D1083" s="75"/>
    </row>
    <row hidden="true" r="1084">
      <c r="A1084" s="76" t="s">
        <v>1248</v>
      </c>
      <c r="B1084" s="76" t="s">
        <v>1093</v>
      </c>
      <c r="C1084" s="76" t="s">
        <v>1094</v>
      </c>
      <c r="D1084" s="75"/>
    </row>
    <row hidden="true" r="1085">
      <c r="A1085" s="76" t="s">
        <v>1248</v>
      </c>
      <c r="B1085" s="76" t="s">
        <v>1095</v>
      </c>
      <c r="C1085" s="76" t="s">
        <v>1096</v>
      </c>
      <c r="D1085" s="75"/>
    </row>
    <row hidden="true" r="1086">
      <c r="A1086" s="76" t="s">
        <v>1248</v>
      </c>
      <c r="B1086" s="76" t="s">
        <v>1097</v>
      </c>
      <c r="C1086" s="76" t="s">
        <v>1098</v>
      </c>
      <c r="D1086" s="75"/>
    </row>
    <row hidden="true" r="1087">
      <c r="A1087" s="76" t="s">
        <v>1248</v>
      </c>
      <c r="B1087" s="76" t="s">
        <v>1099</v>
      </c>
      <c r="C1087" s="76" t="s">
        <v>1100</v>
      </c>
      <c r="D1087" s="75"/>
    </row>
    <row hidden="true" r="1088">
      <c r="A1088" s="76" t="s">
        <v>1248</v>
      </c>
      <c r="B1088" s="76" t="s">
        <v>1101</v>
      </c>
      <c r="C1088" s="76" t="s">
        <v>1102</v>
      </c>
      <c r="D1088" s="75"/>
    </row>
    <row hidden="true" r="1089">
      <c r="A1089" s="76" t="s">
        <v>1248</v>
      </c>
      <c r="B1089" s="76" t="s">
        <v>1103</v>
      </c>
      <c r="C1089" s="76" t="s">
        <v>1104</v>
      </c>
      <c r="D1089" s="75"/>
    </row>
    <row hidden="true" r="1090">
      <c r="A1090" s="76" t="s">
        <v>1248</v>
      </c>
      <c r="B1090" s="76" t="s">
        <v>1105</v>
      </c>
      <c r="C1090" s="76" t="s">
        <v>1106</v>
      </c>
      <c r="D1090" s="75"/>
    </row>
    <row hidden="true" r="1091">
      <c r="A1091" s="76" t="s">
        <v>1248</v>
      </c>
      <c r="B1091" s="76" t="s">
        <v>1107</v>
      </c>
      <c r="C1091" s="76" t="s">
        <v>1108</v>
      </c>
      <c r="D1091" s="75"/>
    </row>
    <row hidden="true" r="1092">
      <c r="A1092" s="76" t="s">
        <v>1248</v>
      </c>
      <c r="B1092" s="76" t="s">
        <v>1109</v>
      </c>
      <c r="C1092" s="76" t="s">
        <v>1110</v>
      </c>
      <c r="D1092" s="75"/>
    </row>
    <row hidden="true" r="1093">
      <c r="A1093" s="76" t="s">
        <v>1248</v>
      </c>
      <c r="B1093" s="76" t="s">
        <v>1111</v>
      </c>
      <c r="C1093" s="76" t="s">
        <v>1112</v>
      </c>
      <c r="D1093" s="75"/>
    </row>
    <row hidden="true" r="1094">
      <c r="A1094" s="76" t="s">
        <v>1248</v>
      </c>
      <c r="B1094" s="76" t="s">
        <v>1113</v>
      </c>
      <c r="C1094" s="76" t="s">
        <v>1114</v>
      </c>
      <c r="D1094" s="75"/>
    </row>
    <row hidden="true" r="1095">
      <c r="A1095" s="76" t="s">
        <v>1248</v>
      </c>
      <c r="B1095" s="76" t="s">
        <v>1115</v>
      </c>
      <c r="C1095" s="76" t="s">
        <v>1116</v>
      </c>
      <c r="D1095" s="75"/>
    </row>
    <row hidden="true" r="1096">
      <c r="A1096" s="76" t="s">
        <v>1248</v>
      </c>
      <c r="B1096" s="76" t="s">
        <v>1117</v>
      </c>
      <c r="C1096" s="76" t="s">
        <v>1118</v>
      </c>
      <c r="D1096" s="75"/>
    </row>
    <row hidden="true" r="1097">
      <c r="A1097" s="76" t="s">
        <v>1248</v>
      </c>
      <c r="B1097" s="76" t="s">
        <v>1119</v>
      </c>
      <c r="C1097" s="76" t="s">
        <v>1120</v>
      </c>
      <c r="D1097" s="75"/>
    </row>
    <row hidden="true" r="1098">
      <c r="A1098" s="76" t="s">
        <v>1248</v>
      </c>
      <c r="B1098" s="76" t="s">
        <v>1121</v>
      </c>
      <c r="C1098" s="76" t="s">
        <v>1122</v>
      </c>
      <c r="D1098" s="75"/>
    </row>
    <row hidden="true" r="1099">
      <c r="A1099" s="76" t="s">
        <v>1248</v>
      </c>
      <c r="B1099" s="76" t="s">
        <v>1123</v>
      </c>
      <c r="C1099" s="76" t="s">
        <v>1124</v>
      </c>
      <c r="D1099" s="75"/>
    </row>
    <row hidden="true" r="1100">
      <c r="A1100" s="76" t="s">
        <v>1248</v>
      </c>
      <c r="B1100" s="76" t="s">
        <v>1125</v>
      </c>
      <c r="C1100" s="76" t="s">
        <v>1126</v>
      </c>
      <c r="D1100" s="75"/>
    </row>
    <row hidden="true" r="1101">
      <c r="A1101" s="76" t="s">
        <v>1248</v>
      </c>
      <c r="B1101" s="76" t="s">
        <v>1127</v>
      </c>
      <c r="C1101" s="76" t="s">
        <v>1128</v>
      </c>
      <c r="D1101" s="75"/>
    </row>
    <row hidden="true" r="1102">
      <c r="A1102" s="76" t="s">
        <v>1248</v>
      </c>
      <c r="B1102" s="76" t="s">
        <v>1129</v>
      </c>
      <c r="C1102" s="76" t="s">
        <v>1130</v>
      </c>
      <c r="D1102" s="75"/>
    </row>
    <row hidden="true" r="1103">
      <c r="A1103" s="76" t="s">
        <v>1248</v>
      </c>
      <c r="B1103" s="76" t="s">
        <v>1131</v>
      </c>
      <c r="C1103" s="76" t="s">
        <v>1132</v>
      </c>
      <c r="D1103" s="75"/>
    </row>
    <row hidden="true" r="1104">
      <c r="A1104" s="76" t="s">
        <v>1248</v>
      </c>
      <c r="B1104" s="76" t="s">
        <v>1133</v>
      </c>
      <c r="C1104" s="76" t="s">
        <v>1134</v>
      </c>
      <c r="D1104" s="75"/>
    </row>
    <row hidden="true" r="1105">
      <c r="A1105" s="76" t="s">
        <v>1248</v>
      </c>
      <c r="B1105" s="76" t="s">
        <v>1135</v>
      </c>
      <c r="C1105" s="76" t="s">
        <v>1136</v>
      </c>
      <c r="D1105" s="75"/>
    </row>
    <row hidden="true" r="1106">
      <c r="A1106" s="76" t="s">
        <v>1248</v>
      </c>
      <c r="B1106" s="76" t="s">
        <v>1137</v>
      </c>
      <c r="C1106" s="76" t="s">
        <v>1138</v>
      </c>
      <c r="D1106" s="75"/>
    </row>
    <row hidden="true" r="1107">
      <c r="A1107" s="76" t="s">
        <v>1248</v>
      </c>
      <c r="B1107" s="76" t="s">
        <v>1139</v>
      </c>
      <c r="C1107" s="76" t="s">
        <v>1140</v>
      </c>
      <c r="D1107" s="75"/>
    </row>
    <row hidden="true" r="1108">
      <c r="A1108" s="76" t="s">
        <v>1248</v>
      </c>
      <c r="B1108" s="76" t="s">
        <v>1141</v>
      </c>
      <c r="C1108" s="76" t="s">
        <v>1142</v>
      </c>
      <c r="D1108" s="75"/>
    </row>
    <row hidden="true" r="1109">
      <c r="A1109" s="76" t="s">
        <v>1248</v>
      </c>
      <c r="B1109" s="76" t="s">
        <v>1143</v>
      </c>
      <c r="C1109" s="76" t="s">
        <v>1144</v>
      </c>
      <c r="D1109" s="75"/>
    </row>
    <row hidden="true" r="1110">
      <c r="A1110" s="76" t="s">
        <v>1248</v>
      </c>
      <c r="B1110" s="76" t="s">
        <v>1145</v>
      </c>
      <c r="C1110" s="76" t="s">
        <v>1223</v>
      </c>
      <c r="D1110" s="75"/>
    </row>
    <row hidden="true" r="1111">
      <c r="A1111" s="76" t="s">
        <v>1248</v>
      </c>
      <c r="B1111" s="76" t="s">
        <v>1147</v>
      </c>
      <c r="C1111" s="76" t="s">
        <v>1148</v>
      </c>
      <c r="D1111" s="75"/>
    </row>
    <row hidden="true" r="1112">
      <c r="A1112" s="76" t="s">
        <v>1248</v>
      </c>
      <c r="B1112" s="76" t="s">
        <v>1149</v>
      </c>
      <c r="C1112" s="76" t="s">
        <v>1150</v>
      </c>
      <c r="D1112" s="75"/>
    </row>
    <row hidden="true" r="1113">
      <c r="A1113" s="76" t="s">
        <v>1248</v>
      </c>
      <c r="B1113" s="76" t="s">
        <v>1151</v>
      </c>
      <c r="C1113" s="76" t="s">
        <v>1152</v>
      </c>
      <c r="D1113" s="75"/>
    </row>
    <row hidden="true" r="1114">
      <c r="A1114" s="76" t="s">
        <v>1248</v>
      </c>
      <c r="B1114" s="76" t="s">
        <v>1153</v>
      </c>
      <c r="C1114" s="76" t="s">
        <v>1154</v>
      </c>
      <c r="D1114" s="75"/>
    </row>
    <row hidden="true" r="1115">
      <c r="A1115" s="76" t="s">
        <v>1248</v>
      </c>
      <c r="B1115" s="76" t="s">
        <v>1155</v>
      </c>
      <c r="C1115" s="76" t="s">
        <v>1156</v>
      </c>
      <c r="D1115" s="75"/>
    </row>
    <row hidden="true" r="1116">
      <c r="A1116" s="76" t="s">
        <v>1248</v>
      </c>
      <c r="B1116" s="76" t="s">
        <v>1157</v>
      </c>
      <c r="C1116" s="76" t="s">
        <v>1158</v>
      </c>
      <c r="D1116" s="75"/>
    </row>
    <row hidden="true" r="1117">
      <c r="A1117" s="76" t="s">
        <v>1248</v>
      </c>
      <c r="B1117" s="76" t="s">
        <v>1159</v>
      </c>
      <c r="C1117" s="76" t="s">
        <v>1160</v>
      </c>
      <c r="D1117" s="75"/>
    </row>
    <row hidden="true" r="1118">
      <c r="A1118" s="76" t="s">
        <v>1248</v>
      </c>
      <c r="B1118" s="76" t="s">
        <v>868</v>
      </c>
      <c r="C1118" s="76" t="s">
        <v>869</v>
      </c>
      <c r="D1118" s="75"/>
    </row>
    <row hidden="true" r="1119">
      <c r="A1119" s="76" t="s">
        <v>1248</v>
      </c>
      <c r="B1119" s="76" t="s">
        <v>1161</v>
      </c>
      <c r="C1119" s="76" t="s">
        <v>1162</v>
      </c>
      <c r="D1119" s="75"/>
    </row>
    <row hidden="true" r="1120">
      <c r="A1120" s="76" t="s">
        <v>1248</v>
      </c>
      <c r="B1120" s="76" t="s">
        <v>1163</v>
      </c>
      <c r="C1120" s="76" t="s">
        <v>1164</v>
      </c>
      <c r="D1120" s="75"/>
    </row>
    <row hidden="true" r="1121">
      <c r="A1121" s="76" t="s">
        <v>1248</v>
      </c>
      <c r="B1121" s="76" t="s">
        <v>1165</v>
      </c>
      <c r="C1121" s="76" t="s">
        <v>1166</v>
      </c>
      <c r="D1121" s="75"/>
    </row>
    <row hidden="true" r="1122">
      <c r="A1122" s="76" t="s">
        <v>1248</v>
      </c>
      <c r="B1122" s="76" t="s">
        <v>1167</v>
      </c>
      <c r="C1122" s="76" t="s">
        <v>1168</v>
      </c>
      <c r="D1122" s="75"/>
    </row>
    <row hidden="true" r="1123">
      <c r="A1123" s="76" t="s">
        <v>1248</v>
      </c>
      <c r="B1123" s="76" t="s">
        <v>1169</v>
      </c>
      <c r="C1123" s="76" t="s">
        <v>1170</v>
      </c>
      <c r="D1123" s="75"/>
    </row>
    <row hidden="true" r="1124">
      <c r="A1124" s="76" t="s">
        <v>1248</v>
      </c>
      <c r="B1124" s="76" t="s">
        <v>1171</v>
      </c>
      <c r="C1124" s="76" t="s">
        <v>1172</v>
      </c>
      <c r="D1124" s="75"/>
    </row>
    <row hidden="true" r="1125">
      <c r="A1125" s="76" t="s">
        <v>1248</v>
      </c>
      <c r="B1125" s="76" t="s">
        <v>1173</v>
      </c>
      <c r="C1125" s="76" t="s">
        <v>1174</v>
      </c>
      <c r="D1125" s="75"/>
    </row>
    <row hidden="true" r="1126">
      <c r="A1126" s="76" t="s">
        <v>1248</v>
      </c>
      <c r="B1126" s="76" t="s">
        <v>1175</v>
      </c>
      <c r="C1126" s="76" t="s">
        <v>1176</v>
      </c>
      <c r="D1126" s="75"/>
    </row>
    <row hidden="true" r="1127">
      <c r="A1127" s="76" t="s">
        <v>1248</v>
      </c>
      <c r="B1127" s="76" t="s">
        <v>1177</v>
      </c>
      <c r="C1127" s="76" t="s">
        <v>1178</v>
      </c>
      <c r="D1127" s="75"/>
    </row>
    <row hidden="true" r="1128">
      <c r="A1128" s="76" t="s">
        <v>1248</v>
      </c>
      <c r="B1128" s="76" t="s">
        <v>1179</v>
      </c>
      <c r="C1128" s="76" t="s">
        <v>1180</v>
      </c>
      <c r="D1128" s="75"/>
    </row>
    <row hidden="true" r="1129">
      <c r="A1129" s="76" t="s">
        <v>1248</v>
      </c>
      <c r="B1129" s="76" t="s">
        <v>1181</v>
      </c>
      <c r="C1129" s="76" t="s">
        <v>1182</v>
      </c>
      <c r="D1129" s="75"/>
    </row>
    <row hidden="true" r="1130">
      <c r="A1130" s="76" t="s">
        <v>1248</v>
      </c>
      <c r="B1130" s="76" t="s">
        <v>1183</v>
      </c>
      <c r="C1130" s="76" t="s">
        <v>1184</v>
      </c>
      <c r="D1130" s="75"/>
    </row>
    <row hidden="true" r="1131">
      <c r="A1131" s="76" t="s">
        <v>1248</v>
      </c>
      <c r="B1131" s="76" t="s">
        <v>1185</v>
      </c>
      <c r="C1131" s="76" t="s">
        <v>1186</v>
      </c>
      <c r="D1131" s="75"/>
    </row>
    <row hidden="true" r="1132">
      <c r="A1132" s="76" t="s">
        <v>1248</v>
      </c>
      <c r="B1132" s="76" t="s">
        <v>1187</v>
      </c>
      <c r="C1132" s="76" t="s">
        <v>1188</v>
      </c>
      <c r="D1132" s="75"/>
    </row>
    <row hidden="true" r="1133">
      <c r="A1133" s="76" t="s">
        <v>1248</v>
      </c>
      <c r="B1133" s="76" t="s">
        <v>1189</v>
      </c>
      <c r="C1133" s="76" t="s">
        <v>1190</v>
      </c>
      <c r="D1133" s="75"/>
    </row>
    <row hidden="true" r="1134">
      <c r="A1134" s="76" t="s">
        <v>1248</v>
      </c>
      <c r="B1134" s="76" t="s">
        <v>1191</v>
      </c>
      <c r="C1134" s="76" t="s">
        <v>1192</v>
      </c>
      <c r="D1134" s="75"/>
    </row>
    <row hidden="true" r="1135">
      <c r="A1135" s="76" t="s">
        <v>1248</v>
      </c>
      <c r="B1135" s="76" t="s">
        <v>1199</v>
      </c>
      <c r="C1135" s="76" t="s">
        <v>1200</v>
      </c>
      <c r="D1135" s="75"/>
    </row>
    <row hidden="true" r="1136">
      <c r="A1136" s="76" t="s">
        <v>1248</v>
      </c>
      <c r="B1136" s="76" t="s">
        <v>1201</v>
      </c>
      <c r="C1136" s="76" t="s">
        <v>1202</v>
      </c>
      <c r="D1136" s="75"/>
    </row>
    <row hidden="true" r="1137">
      <c r="A1137" s="76" t="s">
        <v>1248</v>
      </c>
      <c r="B1137" s="76" t="s">
        <v>1203</v>
      </c>
      <c r="C1137" s="76" t="s">
        <v>1204</v>
      </c>
      <c r="D1137" s="75"/>
    </row>
    <row hidden="true" r="1138">
      <c r="A1138" s="76" t="s">
        <v>1248</v>
      </c>
      <c r="B1138" s="76" t="s">
        <v>1205</v>
      </c>
      <c r="C1138" s="76" t="s">
        <v>1206</v>
      </c>
      <c r="D1138" s="75"/>
    </row>
    <row hidden="true" r="1139">
      <c r="A1139" s="76" t="s">
        <v>1248</v>
      </c>
      <c r="B1139" s="76" t="s">
        <v>1207</v>
      </c>
      <c r="C1139" s="76" t="s">
        <v>1208</v>
      </c>
      <c r="D1139" s="75"/>
    </row>
    <row hidden="true" r="1140">
      <c r="A1140" s="76" t="s">
        <v>1248</v>
      </c>
      <c r="B1140" s="76" t="s">
        <v>1209</v>
      </c>
      <c r="C1140" s="76" t="s">
        <v>1210</v>
      </c>
      <c r="D1140" s="75"/>
    </row>
    <row hidden="true" r="1141">
      <c r="A1141" s="76" t="s">
        <v>1248</v>
      </c>
      <c r="B1141" s="76" t="s">
        <v>1211</v>
      </c>
      <c r="C1141" s="76"/>
      <c r="D1141" s="75"/>
    </row>
    <row hidden="true" r="1142">
      <c r="A1142" s="76" t="s">
        <v>1248</v>
      </c>
      <c r="B1142" s="76" t="s">
        <v>735</v>
      </c>
      <c r="C1142" s="76"/>
      <c r="D1142" s="75"/>
    </row>
    <row hidden="true" r="1143">
      <c r="A1143" s="76" t="s">
        <v>1249</v>
      </c>
      <c r="B1143" s="76" t="s">
        <v>407</v>
      </c>
      <c r="C1143" s="76" t="s">
        <v>408</v>
      </c>
      <c r="D1143" s="75"/>
    </row>
    <row hidden="true" r="1144">
      <c r="A1144" s="76" t="s">
        <v>1249</v>
      </c>
      <c r="B1144" s="76" t="s">
        <v>744</v>
      </c>
      <c r="C1144" s="76" t="s">
        <v>745</v>
      </c>
      <c r="D1144" s="75"/>
    </row>
    <row hidden="true" r="1145">
      <c r="A1145" s="76" t="s">
        <v>1249</v>
      </c>
      <c r="B1145" s="76" t="s">
        <v>409</v>
      </c>
      <c r="C1145" s="76" t="s">
        <v>410</v>
      </c>
      <c r="D1145" s="75"/>
    </row>
    <row hidden="true" r="1146">
      <c r="A1146" s="76" t="s">
        <v>1249</v>
      </c>
      <c r="B1146" s="76" t="s">
        <v>884</v>
      </c>
      <c r="C1146" s="76" t="s">
        <v>885</v>
      </c>
      <c r="D1146" s="75"/>
    </row>
    <row hidden="true" r="1147">
      <c r="A1147" s="76" t="s">
        <v>1249</v>
      </c>
      <c r="B1147" s="76" t="s">
        <v>886</v>
      </c>
      <c r="C1147" s="76" t="s">
        <v>887</v>
      </c>
      <c r="D1147" s="75"/>
    </row>
    <row hidden="true" r="1148">
      <c r="A1148" s="76" t="s">
        <v>1249</v>
      </c>
      <c r="B1148" s="76" t="s">
        <v>888</v>
      </c>
      <c r="C1148" s="76" t="s">
        <v>889</v>
      </c>
      <c r="D1148" s="75"/>
    </row>
    <row hidden="true" r="1149">
      <c r="A1149" s="76" t="s">
        <v>1249</v>
      </c>
      <c r="B1149" s="76" t="s">
        <v>890</v>
      </c>
      <c r="C1149" s="76" t="s">
        <v>891</v>
      </c>
      <c r="D1149" s="75"/>
    </row>
    <row hidden="true" r="1150">
      <c r="A1150" s="76" t="s">
        <v>1249</v>
      </c>
      <c r="B1150" s="76" t="s">
        <v>892</v>
      </c>
      <c r="C1150" s="76" t="s">
        <v>893</v>
      </c>
      <c r="D1150" s="75"/>
    </row>
    <row hidden="true" r="1151">
      <c r="A1151" s="76" t="s">
        <v>1249</v>
      </c>
      <c r="B1151" s="76" t="s">
        <v>894</v>
      </c>
      <c r="C1151" s="76" t="s">
        <v>895</v>
      </c>
      <c r="D1151" s="75"/>
    </row>
    <row hidden="true" r="1152">
      <c r="A1152" s="76" t="s">
        <v>1249</v>
      </c>
      <c r="B1152" s="76" t="s">
        <v>896</v>
      </c>
      <c r="C1152" s="76" t="s">
        <v>897</v>
      </c>
      <c r="D1152" s="75"/>
    </row>
    <row hidden="true" r="1153">
      <c r="A1153" s="76" t="s">
        <v>1249</v>
      </c>
      <c r="B1153" s="76" t="s">
        <v>898</v>
      </c>
      <c r="C1153" s="76" t="s">
        <v>899</v>
      </c>
      <c r="D1153" s="75"/>
    </row>
    <row hidden="true" r="1154">
      <c r="A1154" s="76" t="s">
        <v>1249</v>
      </c>
      <c r="B1154" s="76" t="s">
        <v>900</v>
      </c>
      <c r="C1154" s="76" t="s">
        <v>901</v>
      </c>
      <c r="D1154" s="75"/>
    </row>
    <row hidden="true" r="1155">
      <c r="A1155" s="76" t="s">
        <v>1249</v>
      </c>
      <c r="B1155" s="76" t="s">
        <v>902</v>
      </c>
      <c r="C1155" s="76" t="s">
        <v>903</v>
      </c>
      <c r="D1155" s="75"/>
    </row>
    <row hidden="true" r="1156">
      <c r="A1156" s="76" t="s">
        <v>1249</v>
      </c>
      <c r="B1156" s="76" t="s">
        <v>904</v>
      </c>
      <c r="C1156" s="76" t="s">
        <v>905</v>
      </c>
      <c r="D1156" s="75"/>
    </row>
    <row hidden="true" r="1157">
      <c r="A1157" s="76" t="s">
        <v>1249</v>
      </c>
      <c r="B1157" s="76" t="s">
        <v>906</v>
      </c>
      <c r="C1157" s="76" t="s">
        <v>907</v>
      </c>
      <c r="D1157" s="75"/>
    </row>
    <row hidden="true" r="1158">
      <c r="A1158" s="76" t="s">
        <v>1249</v>
      </c>
      <c r="B1158" s="76" t="s">
        <v>908</v>
      </c>
      <c r="C1158" s="76" t="s">
        <v>909</v>
      </c>
      <c r="D1158" s="75"/>
    </row>
    <row hidden="true" r="1159">
      <c r="A1159" s="76" t="s">
        <v>1249</v>
      </c>
      <c r="B1159" s="76" t="s">
        <v>910</v>
      </c>
      <c r="C1159" s="76" t="s">
        <v>911</v>
      </c>
      <c r="D1159" s="75"/>
    </row>
    <row hidden="true" r="1160">
      <c r="A1160" s="76" t="s">
        <v>1249</v>
      </c>
      <c r="B1160" s="76" t="s">
        <v>912</v>
      </c>
      <c r="C1160" s="76" t="s">
        <v>913</v>
      </c>
      <c r="D1160" s="75"/>
    </row>
    <row hidden="true" r="1161">
      <c r="A1161" s="76" t="s">
        <v>1249</v>
      </c>
      <c r="B1161" s="76" t="s">
        <v>914</v>
      </c>
      <c r="C1161" s="76" t="s">
        <v>915</v>
      </c>
      <c r="D1161" s="75"/>
    </row>
    <row hidden="true" r="1162">
      <c r="A1162" s="76" t="s">
        <v>1249</v>
      </c>
      <c r="B1162" s="76" t="s">
        <v>916</v>
      </c>
      <c r="C1162" s="76" t="s">
        <v>917</v>
      </c>
      <c r="D1162" s="75"/>
    </row>
    <row hidden="true" r="1163">
      <c r="A1163" s="76" t="s">
        <v>1249</v>
      </c>
      <c r="B1163" s="76" t="s">
        <v>918</v>
      </c>
      <c r="C1163" s="76" t="s">
        <v>919</v>
      </c>
      <c r="D1163" s="75"/>
    </row>
    <row hidden="true" r="1164">
      <c r="A1164" s="76" t="s">
        <v>1249</v>
      </c>
      <c r="B1164" s="76" t="s">
        <v>920</v>
      </c>
      <c r="C1164" s="76" t="s">
        <v>921</v>
      </c>
      <c r="D1164" s="75"/>
    </row>
    <row hidden="true" r="1165">
      <c r="A1165" s="76" t="s">
        <v>1249</v>
      </c>
      <c r="B1165" s="76" t="s">
        <v>922</v>
      </c>
      <c r="C1165" s="76" t="s">
        <v>923</v>
      </c>
      <c r="D1165" s="75"/>
    </row>
    <row hidden="true" r="1166">
      <c r="A1166" s="76" t="s">
        <v>1249</v>
      </c>
      <c r="B1166" s="76" t="s">
        <v>924</v>
      </c>
      <c r="C1166" s="76" t="s">
        <v>925</v>
      </c>
      <c r="D1166" s="75"/>
    </row>
    <row hidden="true" r="1167">
      <c r="A1167" s="76" t="s">
        <v>1249</v>
      </c>
      <c r="B1167" s="76" t="s">
        <v>926</v>
      </c>
      <c r="C1167" s="76" t="s">
        <v>927</v>
      </c>
      <c r="D1167" s="75"/>
    </row>
    <row hidden="true" r="1168">
      <c r="A1168" s="76" t="s">
        <v>1249</v>
      </c>
      <c r="B1168" s="76" t="s">
        <v>928</v>
      </c>
      <c r="C1168" s="76" t="s">
        <v>929</v>
      </c>
      <c r="D1168" s="75"/>
    </row>
    <row hidden="true" r="1169">
      <c r="A1169" s="76" t="s">
        <v>1249</v>
      </c>
      <c r="B1169" s="76" t="s">
        <v>930</v>
      </c>
      <c r="C1169" s="76" t="s">
        <v>931</v>
      </c>
      <c r="D1169" s="75"/>
    </row>
    <row hidden="true" r="1170">
      <c r="A1170" s="76" t="s">
        <v>1249</v>
      </c>
      <c r="B1170" s="76" t="s">
        <v>932</v>
      </c>
      <c r="C1170" s="76" t="s">
        <v>933</v>
      </c>
      <c r="D1170" s="75"/>
    </row>
    <row hidden="true" r="1171">
      <c r="A1171" s="76" t="s">
        <v>1249</v>
      </c>
      <c r="B1171" s="76" t="s">
        <v>934</v>
      </c>
      <c r="C1171" s="76" t="s">
        <v>935</v>
      </c>
      <c r="D1171" s="75"/>
    </row>
    <row hidden="true" r="1172">
      <c r="A1172" s="76" t="s">
        <v>1249</v>
      </c>
      <c r="B1172" s="76" t="s">
        <v>936</v>
      </c>
      <c r="C1172" s="76" t="s">
        <v>937</v>
      </c>
      <c r="D1172" s="75"/>
    </row>
    <row hidden="true" r="1173">
      <c r="A1173" s="76" t="s">
        <v>1249</v>
      </c>
      <c r="B1173" s="76" t="s">
        <v>938</v>
      </c>
      <c r="C1173" s="76" t="s">
        <v>939</v>
      </c>
      <c r="D1173" s="75"/>
    </row>
    <row hidden="true" r="1174">
      <c r="A1174" s="76" t="s">
        <v>1249</v>
      </c>
      <c r="B1174" s="76" t="s">
        <v>940</v>
      </c>
      <c r="C1174" s="76" t="s">
        <v>941</v>
      </c>
      <c r="D1174" s="75"/>
    </row>
    <row hidden="true" r="1175">
      <c r="A1175" s="76" t="s">
        <v>1249</v>
      </c>
      <c r="B1175" s="76" t="s">
        <v>942</v>
      </c>
      <c r="C1175" s="76" t="s">
        <v>943</v>
      </c>
      <c r="D1175" s="75"/>
    </row>
    <row hidden="true" r="1176">
      <c r="A1176" s="76" t="s">
        <v>1249</v>
      </c>
      <c r="B1176" s="76" t="s">
        <v>944</v>
      </c>
      <c r="C1176" s="76" t="s">
        <v>945</v>
      </c>
      <c r="D1176" s="75"/>
    </row>
    <row hidden="true" r="1177">
      <c r="A1177" s="76" t="s">
        <v>1249</v>
      </c>
      <c r="B1177" s="76" t="s">
        <v>946</v>
      </c>
      <c r="C1177" s="76" t="s">
        <v>947</v>
      </c>
      <c r="D1177" s="75"/>
    </row>
    <row hidden="true" r="1178">
      <c r="A1178" s="76" t="s">
        <v>1249</v>
      </c>
      <c r="B1178" s="76" t="s">
        <v>948</v>
      </c>
      <c r="C1178" s="76" t="s">
        <v>949</v>
      </c>
      <c r="D1178" s="75"/>
    </row>
    <row hidden="true" r="1179">
      <c r="A1179" s="76" t="s">
        <v>1249</v>
      </c>
      <c r="B1179" s="76" t="s">
        <v>950</v>
      </c>
      <c r="C1179" s="76" t="s">
        <v>951</v>
      </c>
      <c r="D1179" s="75"/>
    </row>
    <row hidden="true" r="1180">
      <c r="A1180" s="76" t="s">
        <v>1249</v>
      </c>
      <c r="B1180" s="76" t="s">
        <v>952</v>
      </c>
      <c r="C1180" s="76" t="s">
        <v>953</v>
      </c>
      <c r="D1180" s="75"/>
    </row>
    <row hidden="true" r="1181">
      <c r="A1181" s="76" t="s">
        <v>1249</v>
      </c>
      <c r="B1181" s="76" t="s">
        <v>954</v>
      </c>
      <c r="C1181" s="76" t="s">
        <v>955</v>
      </c>
      <c r="D1181" s="75"/>
    </row>
    <row hidden="true" r="1182">
      <c r="A1182" s="76" t="s">
        <v>1249</v>
      </c>
      <c r="B1182" s="76" t="s">
        <v>775</v>
      </c>
      <c r="C1182" s="76" t="s">
        <v>776</v>
      </c>
      <c r="D1182" s="75"/>
    </row>
    <row hidden="true" r="1183">
      <c r="A1183" s="76" t="s">
        <v>1249</v>
      </c>
      <c r="B1183" s="76" t="s">
        <v>956</v>
      </c>
      <c r="C1183" s="76" t="s">
        <v>957</v>
      </c>
      <c r="D1183" s="75"/>
    </row>
    <row hidden="true" r="1184">
      <c r="A1184" s="76" t="s">
        <v>1249</v>
      </c>
      <c r="B1184" s="76" t="s">
        <v>958</v>
      </c>
      <c r="C1184" s="76" t="s">
        <v>959</v>
      </c>
      <c r="D1184" s="75"/>
    </row>
    <row hidden="true" r="1185">
      <c r="A1185" s="76" t="s">
        <v>1249</v>
      </c>
      <c r="B1185" s="76" t="s">
        <v>960</v>
      </c>
      <c r="C1185" s="76" t="s">
        <v>961</v>
      </c>
      <c r="D1185" s="75"/>
    </row>
    <row hidden="true" r="1186">
      <c r="A1186" s="76" t="s">
        <v>1249</v>
      </c>
      <c r="B1186" s="76" t="s">
        <v>962</v>
      </c>
      <c r="C1186" s="76" t="s">
        <v>963</v>
      </c>
      <c r="D1186" s="75"/>
    </row>
    <row hidden="true" r="1187">
      <c r="A1187" s="76" t="s">
        <v>1249</v>
      </c>
      <c r="B1187" s="76" t="s">
        <v>964</v>
      </c>
      <c r="C1187" s="76" t="s">
        <v>965</v>
      </c>
      <c r="D1187" s="75"/>
    </row>
    <row hidden="true" r="1188">
      <c r="A1188" s="76" t="s">
        <v>1249</v>
      </c>
      <c r="B1188" s="76" t="s">
        <v>966</v>
      </c>
      <c r="C1188" s="76" t="s">
        <v>967</v>
      </c>
      <c r="D1188" s="75"/>
    </row>
    <row hidden="true" r="1189">
      <c r="A1189" s="76" t="s">
        <v>1249</v>
      </c>
      <c r="B1189" s="76" t="s">
        <v>968</v>
      </c>
      <c r="C1189" s="76" t="s">
        <v>969</v>
      </c>
      <c r="D1189" s="75"/>
    </row>
    <row hidden="true" r="1190">
      <c r="A1190" s="76" t="s">
        <v>1249</v>
      </c>
      <c r="B1190" s="76" t="s">
        <v>970</v>
      </c>
      <c r="C1190" s="76" t="s">
        <v>971</v>
      </c>
      <c r="D1190" s="75"/>
    </row>
    <row hidden="true" r="1191">
      <c r="A1191" s="76" t="s">
        <v>1249</v>
      </c>
      <c r="B1191" s="76" t="s">
        <v>972</v>
      </c>
      <c r="C1191" s="76" t="s">
        <v>973</v>
      </c>
      <c r="D1191" s="75"/>
    </row>
    <row hidden="true" r="1192">
      <c r="A1192" s="76" t="s">
        <v>1249</v>
      </c>
      <c r="B1192" s="76" t="s">
        <v>974</v>
      </c>
      <c r="C1192" s="76" t="s">
        <v>975</v>
      </c>
      <c r="D1192" s="75"/>
    </row>
    <row hidden="true" r="1193">
      <c r="A1193" s="76" t="s">
        <v>1249</v>
      </c>
      <c r="B1193" s="76" t="s">
        <v>976</v>
      </c>
      <c r="C1193" s="76" t="s">
        <v>977</v>
      </c>
      <c r="D1193" s="75"/>
    </row>
    <row hidden="true" r="1194">
      <c r="A1194" s="76" t="s">
        <v>1249</v>
      </c>
      <c r="B1194" s="76" t="s">
        <v>823</v>
      </c>
      <c r="C1194" s="76" t="s">
        <v>824</v>
      </c>
      <c r="D1194" s="75"/>
    </row>
    <row hidden="true" r="1195">
      <c r="A1195" s="76" t="s">
        <v>1249</v>
      </c>
      <c r="B1195" s="76" t="s">
        <v>978</v>
      </c>
      <c r="C1195" s="76" t="s">
        <v>979</v>
      </c>
      <c r="D1195" s="75"/>
    </row>
    <row hidden="true" r="1196">
      <c r="A1196" s="76" t="s">
        <v>1249</v>
      </c>
      <c r="B1196" s="76" t="s">
        <v>980</v>
      </c>
      <c r="C1196" s="76" t="s">
        <v>981</v>
      </c>
      <c r="D1196" s="75"/>
    </row>
    <row hidden="true" r="1197">
      <c r="A1197" s="76" t="s">
        <v>1249</v>
      </c>
      <c r="B1197" s="76" t="s">
        <v>982</v>
      </c>
      <c r="C1197" s="76" t="s">
        <v>983</v>
      </c>
      <c r="D1197" s="75"/>
    </row>
    <row hidden="true" r="1198">
      <c r="A1198" s="76" t="s">
        <v>1249</v>
      </c>
      <c r="B1198" s="76" t="s">
        <v>984</v>
      </c>
      <c r="C1198" s="76" t="s">
        <v>985</v>
      </c>
      <c r="D1198" s="75"/>
    </row>
    <row hidden="true" r="1199">
      <c r="A1199" s="76" t="s">
        <v>1249</v>
      </c>
      <c r="B1199" s="76" t="s">
        <v>986</v>
      </c>
      <c r="C1199" s="76" t="s">
        <v>987</v>
      </c>
      <c r="D1199" s="75"/>
    </row>
    <row hidden="true" r="1200">
      <c r="A1200" s="76" t="s">
        <v>1249</v>
      </c>
      <c r="B1200" s="76" t="s">
        <v>988</v>
      </c>
      <c r="C1200" s="76" t="s">
        <v>989</v>
      </c>
      <c r="D1200" s="75"/>
    </row>
    <row hidden="true" r="1201">
      <c r="A1201" s="76" t="s">
        <v>1249</v>
      </c>
      <c r="B1201" s="76" t="s">
        <v>990</v>
      </c>
      <c r="C1201" s="76" t="s">
        <v>991</v>
      </c>
      <c r="D1201" s="75"/>
    </row>
    <row hidden="true" r="1202">
      <c r="A1202" s="76" t="s">
        <v>1249</v>
      </c>
      <c r="B1202" s="76" t="s">
        <v>992</v>
      </c>
      <c r="C1202" s="76" t="s">
        <v>993</v>
      </c>
      <c r="D1202" s="75"/>
    </row>
    <row hidden="true" r="1203">
      <c r="A1203" s="76" t="s">
        <v>1249</v>
      </c>
      <c r="B1203" s="76" t="s">
        <v>994</v>
      </c>
      <c r="C1203" s="76" t="s">
        <v>995</v>
      </c>
      <c r="D1203" s="75"/>
    </row>
    <row hidden="true" r="1204">
      <c r="A1204" s="76" t="s">
        <v>1249</v>
      </c>
      <c r="B1204" s="76" t="s">
        <v>996</v>
      </c>
      <c r="C1204" s="76" t="s">
        <v>997</v>
      </c>
      <c r="D1204" s="75"/>
    </row>
    <row hidden="true" r="1205">
      <c r="A1205" s="76" t="s">
        <v>1249</v>
      </c>
      <c r="B1205" s="76" t="s">
        <v>998</v>
      </c>
      <c r="C1205" s="76" t="s">
        <v>999</v>
      </c>
      <c r="D1205" s="75"/>
    </row>
    <row hidden="true" r="1206">
      <c r="A1206" s="76" t="s">
        <v>1249</v>
      </c>
      <c r="B1206" s="76" t="s">
        <v>1000</v>
      </c>
      <c r="C1206" s="76" t="s">
        <v>1001</v>
      </c>
      <c r="D1206" s="75"/>
    </row>
    <row hidden="true" r="1207">
      <c r="A1207" s="76" t="s">
        <v>1249</v>
      </c>
      <c r="B1207" s="76" t="s">
        <v>1002</v>
      </c>
      <c r="C1207" s="76" t="s">
        <v>1003</v>
      </c>
      <c r="D1207" s="75"/>
    </row>
    <row hidden="true" r="1208">
      <c r="A1208" s="76" t="s">
        <v>1249</v>
      </c>
      <c r="B1208" s="76" t="s">
        <v>1004</v>
      </c>
      <c r="C1208" s="76" t="s">
        <v>1005</v>
      </c>
      <c r="D1208" s="75"/>
    </row>
    <row hidden="true" r="1209">
      <c r="A1209" s="76" t="s">
        <v>1249</v>
      </c>
      <c r="B1209" s="76" t="s">
        <v>1006</v>
      </c>
      <c r="C1209" s="76" t="s">
        <v>1007</v>
      </c>
      <c r="D1209" s="75"/>
    </row>
    <row hidden="true" r="1210">
      <c r="A1210" s="76" t="s">
        <v>1249</v>
      </c>
      <c r="B1210" s="76" t="s">
        <v>1008</v>
      </c>
      <c r="C1210" s="76" t="s">
        <v>1009</v>
      </c>
      <c r="D1210" s="75"/>
    </row>
    <row hidden="true" r="1211">
      <c r="A1211" s="76" t="s">
        <v>1249</v>
      </c>
      <c r="B1211" s="76" t="s">
        <v>1010</v>
      </c>
      <c r="C1211" s="76" t="s">
        <v>1011</v>
      </c>
      <c r="D1211" s="75"/>
    </row>
    <row hidden="true" r="1212">
      <c r="A1212" s="76" t="s">
        <v>1249</v>
      </c>
      <c r="B1212" s="76" t="s">
        <v>1012</v>
      </c>
      <c r="C1212" s="76" t="s">
        <v>1013</v>
      </c>
      <c r="D1212" s="75"/>
    </row>
    <row hidden="true" r="1213">
      <c r="A1213" s="76" t="s">
        <v>1249</v>
      </c>
      <c r="B1213" s="76" t="s">
        <v>1014</v>
      </c>
      <c r="C1213" s="76" t="s">
        <v>1015</v>
      </c>
      <c r="D1213" s="75"/>
    </row>
    <row hidden="true" r="1214">
      <c r="A1214" s="76" t="s">
        <v>1249</v>
      </c>
      <c r="B1214" s="76" t="s">
        <v>1016</v>
      </c>
      <c r="C1214" s="76" t="s">
        <v>1017</v>
      </c>
      <c r="D1214" s="75"/>
    </row>
    <row hidden="true" r="1215">
      <c r="A1215" s="76" t="s">
        <v>1249</v>
      </c>
      <c r="B1215" s="76" t="s">
        <v>1018</v>
      </c>
      <c r="C1215" s="76" t="s">
        <v>1019</v>
      </c>
      <c r="D1215" s="75"/>
    </row>
    <row hidden="true" r="1216">
      <c r="A1216" s="76" t="s">
        <v>1249</v>
      </c>
      <c r="B1216" s="76" t="s">
        <v>1020</v>
      </c>
      <c r="C1216" s="76" t="s">
        <v>1021</v>
      </c>
      <c r="D1216" s="75"/>
    </row>
    <row hidden="true" r="1217">
      <c r="A1217" s="76" t="s">
        <v>1249</v>
      </c>
      <c r="B1217" s="76" t="s">
        <v>1022</v>
      </c>
      <c r="C1217" s="76" t="s">
        <v>1017</v>
      </c>
      <c r="D1217" s="75"/>
    </row>
    <row hidden="true" r="1218">
      <c r="A1218" s="76" t="s">
        <v>1249</v>
      </c>
      <c r="B1218" s="76" t="s">
        <v>1023</v>
      </c>
      <c r="C1218" s="76" t="s">
        <v>1019</v>
      </c>
      <c r="D1218" s="75"/>
    </row>
    <row hidden="true" r="1219">
      <c r="A1219" s="76" t="s">
        <v>1249</v>
      </c>
      <c r="B1219" s="76" t="s">
        <v>1024</v>
      </c>
      <c r="C1219" s="76" t="s">
        <v>1021</v>
      </c>
      <c r="D1219" s="75"/>
    </row>
    <row hidden="true" r="1220">
      <c r="A1220" s="76" t="s">
        <v>1249</v>
      </c>
      <c r="B1220" s="76" t="s">
        <v>1025</v>
      </c>
      <c r="C1220" s="76" t="s">
        <v>1017</v>
      </c>
      <c r="D1220" s="75"/>
    </row>
    <row hidden="true" r="1221">
      <c r="A1221" s="76" t="s">
        <v>1249</v>
      </c>
      <c r="B1221" s="76" t="s">
        <v>1026</v>
      </c>
      <c r="C1221" s="76" t="s">
        <v>1019</v>
      </c>
      <c r="D1221" s="75"/>
    </row>
    <row hidden="true" r="1222">
      <c r="A1222" s="76" t="s">
        <v>1249</v>
      </c>
      <c r="B1222" s="76" t="s">
        <v>1027</v>
      </c>
      <c r="C1222" s="76" t="s">
        <v>1021</v>
      </c>
      <c r="D1222" s="75"/>
    </row>
    <row hidden="true" r="1223">
      <c r="A1223" s="76" t="s">
        <v>1249</v>
      </c>
      <c r="B1223" s="76" t="s">
        <v>1028</v>
      </c>
      <c r="C1223" s="76" t="s">
        <v>1029</v>
      </c>
      <c r="D1223" s="75"/>
    </row>
    <row hidden="true" r="1224">
      <c r="A1224" s="76" t="s">
        <v>1249</v>
      </c>
      <c r="B1224" s="76" t="s">
        <v>530</v>
      </c>
      <c r="C1224" s="76" t="s">
        <v>531</v>
      </c>
      <c r="D1224" s="75"/>
    </row>
    <row hidden="true" r="1225">
      <c r="A1225" s="76" t="s">
        <v>1249</v>
      </c>
      <c r="B1225" s="76" t="s">
        <v>1030</v>
      </c>
      <c r="C1225" s="76" t="s">
        <v>1031</v>
      </c>
      <c r="D1225" s="75"/>
    </row>
    <row hidden="true" r="1226">
      <c r="A1226" s="76" t="s">
        <v>1249</v>
      </c>
      <c r="B1226" s="76" t="s">
        <v>1032</v>
      </c>
      <c r="C1226" s="76" t="s">
        <v>1033</v>
      </c>
      <c r="D1226" s="75"/>
    </row>
    <row hidden="true" r="1227">
      <c r="A1227" s="76" t="s">
        <v>1249</v>
      </c>
      <c r="B1227" s="76" t="s">
        <v>1034</v>
      </c>
      <c r="C1227" s="76" t="s">
        <v>1035</v>
      </c>
      <c r="D1227" s="75"/>
    </row>
    <row hidden="true" r="1228">
      <c r="A1228" s="76" t="s">
        <v>1249</v>
      </c>
      <c r="B1228" s="76" t="s">
        <v>532</v>
      </c>
      <c r="C1228" s="76" t="s">
        <v>533</v>
      </c>
      <c r="D1228" s="75"/>
    </row>
    <row hidden="true" r="1229">
      <c r="A1229" s="76" t="s">
        <v>1249</v>
      </c>
      <c r="B1229" s="76" t="s">
        <v>1036</v>
      </c>
      <c r="C1229" s="76" t="s">
        <v>1037</v>
      </c>
      <c r="D1229" s="75"/>
    </row>
    <row hidden="true" r="1230">
      <c r="A1230" s="76" t="s">
        <v>1249</v>
      </c>
      <c r="B1230" s="76" t="s">
        <v>1038</v>
      </c>
      <c r="C1230" s="76" t="s">
        <v>1039</v>
      </c>
      <c r="D1230" s="75"/>
    </row>
    <row hidden="true" r="1231">
      <c r="A1231" s="76" t="s">
        <v>1249</v>
      </c>
      <c r="B1231" s="76" t="s">
        <v>1040</v>
      </c>
      <c r="C1231" s="76" t="s">
        <v>1041</v>
      </c>
      <c r="D1231" s="75"/>
    </row>
    <row hidden="true" r="1232">
      <c r="A1232" s="76" t="s">
        <v>1249</v>
      </c>
      <c r="B1232" s="76" t="s">
        <v>1042</v>
      </c>
      <c r="C1232" s="76" t="s">
        <v>1043</v>
      </c>
      <c r="D1232" s="75"/>
    </row>
    <row hidden="true" r="1233">
      <c r="A1233" s="76" t="s">
        <v>1249</v>
      </c>
      <c r="B1233" s="76" t="s">
        <v>1044</v>
      </c>
      <c r="C1233" s="76" t="s">
        <v>1045</v>
      </c>
      <c r="D1233" s="75"/>
    </row>
    <row hidden="true" r="1234">
      <c r="A1234" s="76" t="s">
        <v>1249</v>
      </c>
      <c r="B1234" s="76" t="s">
        <v>1046</v>
      </c>
      <c r="C1234" s="76" t="s">
        <v>1047</v>
      </c>
      <c r="D1234" s="75"/>
    </row>
    <row hidden="true" r="1235">
      <c r="A1235" s="76" t="s">
        <v>1249</v>
      </c>
      <c r="B1235" s="76" t="s">
        <v>1048</v>
      </c>
      <c r="C1235" s="76" t="s">
        <v>1049</v>
      </c>
      <c r="D1235" s="75"/>
    </row>
    <row hidden="true" r="1236">
      <c r="A1236" s="76" t="s">
        <v>1249</v>
      </c>
      <c r="B1236" s="76" t="s">
        <v>1050</v>
      </c>
      <c r="C1236" s="76" t="s">
        <v>1051</v>
      </c>
      <c r="D1236" s="75"/>
    </row>
    <row hidden="true" r="1237">
      <c r="A1237" s="76" t="s">
        <v>1249</v>
      </c>
      <c r="B1237" s="76" t="s">
        <v>1052</v>
      </c>
      <c r="C1237" s="76" t="s">
        <v>1053</v>
      </c>
      <c r="D1237" s="75"/>
    </row>
    <row hidden="true" r="1238">
      <c r="A1238" s="76" t="s">
        <v>1249</v>
      </c>
      <c r="B1238" s="76" t="s">
        <v>1054</v>
      </c>
      <c r="C1238" s="76" t="s">
        <v>1055</v>
      </c>
      <c r="D1238" s="75"/>
    </row>
    <row hidden="true" r="1239">
      <c r="A1239" s="76" t="s">
        <v>1249</v>
      </c>
      <c r="B1239" s="76" t="s">
        <v>1056</v>
      </c>
      <c r="C1239" s="76" t="s">
        <v>1057</v>
      </c>
      <c r="D1239" s="75"/>
    </row>
    <row hidden="true" r="1240">
      <c r="A1240" s="76" t="s">
        <v>1249</v>
      </c>
      <c r="B1240" s="76" t="s">
        <v>1058</v>
      </c>
      <c r="C1240" s="76" t="s">
        <v>1059</v>
      </c>
      <c r="D1240" s="75"/>
    </row>
    <row hidden="true" r="1241">
      <c r="A1241" s="76" t="s">
        <v>1249</v>
      </c>
      <c r="B1241" s="76" t="s">
        <v>1060</v>
      </c>
      <c r="C1241" s="76" t="s">
        <v>1061</v>
      </c>
      <c r="D1241" s="75"/>
    </row>
    <row hidden="true" r="1242">
      <c r="A1242" s="76" t="s">
        <v>1249</v>
      </c>
      <c r="B1242" s="76" t="s">
        <v>1062</v>
      </c>
      <c r="C1242" s="76" t="s">
        <v>1063</v>
      </c>
      <c r="D1242" s="75"/>
    </row>
    <row hidden="true" r="1243">
      <c r="A1243" s="76" t="s">
        <v>1249</v>
      </c>
      <c r="B1243" s="76" t="s">
        <v>1064</v>
      </c>
      <c r="C1243" s="76" t="s">
        <v>1065</v>
      </c>
      <c r="D1243" s="75"/>
    </row>
    <row hidden="true" r="1244">
      <c r="A1244" s="76" t="s">
        <v>1249</v>
      </c>
      <c r="B1244" s="76" t="s">
        <v>1066</v>
      </c>
      <c r="C1244" s="76" t="s">
        <v>1067</v>
      </c>
      <c r="D1244" s="75"/>
    </row>
    <row hidden="true" r="1245">
      <c r="A1245" s="76" t="s">
        <v>1249</v>
      </c>
      <c r="B1245" s="76" t="s">
        <v>1068</v>
      </c>
      <c r="C1245" s="76" t="s">
        <v>1069</v>
      </c>
      <c r="D1245" s="75"/>
    </row>
    <row hidden="true" r="1246">
      <c r="A1246" s="76" t="s">
        <v>1249</v>
      </c>
      <c r="B1246" s="76" t="s">
        <v>1070</v>
      </c>
      <c r="C1246" s="76" t="s">
        <v>1069</v>
      </c>
      <c r="D1246" s="75"/>
    </row>
    <row hidden="true" r="1247">
      <c r="A1247" s="76" t="s">
        <v>1249</v>
      </c>
      <c r="B1247" s="76" t="s">
        <v>1071</v>
      </c>
      <c r="C1247" s="76" t="s">
        <v>1069</v>
      </c>
      <c r="D1247" s="75"/>
    </row>
    <row hidden="true" r="1248">
      <c r="A1248" s="76" t="s">
        <v>1249</v>
      </c>
      <c r="B1248" s="76" t="s">
        <v>1072</v>
      </c>
      <c r="C1248" s="76" t="s">
        <v>1073</v>
      </c>
      <c r="D1248" s="75"/>
    </row>
    <row hidden="true" r="1249">
      <c r="A1249" s="76" t="s">
        <v>1249</v>
      </c>
      <c r="B1249" s="76" t="s">
        <v>1074</v>
      </c>
      <c r="C1249" s="76" t="s">
        <v>1073</v>
      </c>
      <c r="D1249" s="75"/>
    </row>
    <row hidden="true" r="1250">
      <c r="A1250" s="76" t="s">
        <v>1249</v>
      </c>
      <c r="B1250" s="76" t="s">
        <v>1075</v>
      </c>
      <c r="C1250" s="76" t="s">
        <v>1073</v>
      </c>
      <c r="D1250" s="75"/>
    </row>
    <row hidden="true" r="1251">
      <c r="A1251" s="76" t="s">
        <v>1249</v>
      </c>
      <c r="B1251" s="76" t="s">
        <v>1076</v>
      </c>
      <c r="C1251" s="76" t="s">
        <v>1077</v>
      </c>
      <c r="D1251" s="75"/>
    </row>
    <row hidden="true" r="1252">
      <c r="A1252" s="76" t="s">
        <v>1249</v>
      </c>
      <c r="B1252" s="76" t="s">
        <v>1078</v>
      </c>
      <c r="C1252" s="76" t="s">
        <v>1079</v>
      </c>
      <c r="D1252" s="75"/>
    </row>
    <row hidden="true" r="1253">
      <c r="A1253" s="76" t="s">
        <v>1249</v>
      </c>
      <c r="B1253" s="76" t="s">
        <v>839</v>
      </c>
      <c r="C1253" s="76" t="s">
        <v>840</v>
      </c>
      <c r="D1253" s="75"/>
    </row>
    <row hidden="true" r="1254">
      <c r="A1254" s="76" t="s">
        <v>1249</v>
      </c>
      <c r="B1254" s="76" t="s">
        <v>1080</v>
      </c>
      <c r="C1254" s="76" t="s">
        <v>1081</v>
      </c>
      <c r="D1254" s="75"/>
    </row>
    <row hidden="true" r="1255">
      <c r="A1255" s="76" t="s">
        <v>1249</v>
      </c>
      <c r="B1255" s="76" t="s">
        <v>1082</v>
      </c>
      <c r="C1255" s="76" t="s">
        <v>1083</v>
      </c>
      <c r="D1255" s="75"/>
    </row>
    <row hidden="true" r="1256">
      <c r="A1256" s="76" t="s">
        <v>1249</v>
      </c>
      <c r="B1256" s="76" t="s">
        <v>1084</v>
      </c>
      <c r="C1256" s="76" t="s">
        <v>1085</v>
      </c>
      <c r="D1256" s="75"/>
    </row>
    <row hidden="true" r="1257">
      <c r="A1257" s="76" t="s">
        <v>1249</v>
      </c>
      <c r="B1257" s="76" t="s">
        <v>1086</v>
      </c>
      <c r="C1257" s="76" t="s">
        <v>1087</v>
      </c>
      <c r="D1257" s="75"/>
    </row>
    <row hidden="true" r="1258">
      <c r="A1258" s="76" t="s">
        <v>1249</v>
      </c>
      <c r="B1258" s="76" t="s">
        <v>1088</v>
      </c>
      <c r="C1258" s="76" t="s">
        <v>1089</v>
      </c>
      <c r="D1258" s="75"/>
    </row>
    <row hidden="true" r="1259">
      <c r="A1259" s="76" t="s">
        <v>1249</v>
      </c>
      <c r="B1259" s="76" t="s">
        <v>1090</v>
      </c>
      <c r="C1259" s="76" t="s">
        <v>1091</v>
      </c>
      <c r="D1259" s="75"/>
    </row>
    <row hidden="true" r="1260">
      <c r="A1260" s="76" t="s">
        <v>1249</v>
      </c>
      <c r="B1260" s="76" t="s">
        <v>1092</v>
      </c>
      <c r="C1260" s="76" t="s">
        <v>1091</v>
      </c>
      <c r="D1260" s="75"/>
    </row>
    <row hidden="true" r="1261">
      <c r="A1261" s="76" t="s">
        <v>1249</v>
      </c>
      <c r="B1261" s="76" t="s">
        <v>1093</v>
      </c>
      <c r="C1261" s="76" t="s">
        <v>1094</v>
      </c>
      <c r="D1261" s="75"/>
    </row>
    <row hidden="true" r="1262">
      <c r="A1262" s="76" t="s">
        <v>1249</v>
      </c>
      <c r="B1262" s="76" t="s">
        <v>1095</v>
      </c>
      <c r="C1262" s="76" t="s">
        <v>1096</v>
      </c>
      <c r="D1262" s="75"/>
    </row>
    <row hidden="true" r="1263">
      <c r="A1263" s="76" t="s">
        <v>1249</v>
      </c>
      <c r="B1263" s="76" t="s">
        <v>1097</v>
      </c>
      <c r="C1263" s="76" t="s">
        <v>1098</v>
      </c>
      <c r="D1263" s="75"/>
    </row>
    <row hidden="true" r="1264">
      <c r="A1264" s="76" t="s">
        <v>1249</v>
      </c>
      <c r="B1264" s="76" t="s">
        <v>1099</v>
      </c>
      <c r="C1264" s="76" t="s">
        <v>1100</v>
      </c>
      <c r="D1264" s="75"/>
    </row>
    <row hidden="true" r="1265">
      <c r="A1265" s="76" t="s">
        <v>1249</v>
      </c>
      <c r="B1265" s="76" t="s">
        <v>1101</v>
      </c>
      <c r="C1265" s="76" t="s">
        <v>1102</v>
      </c>
      <c r="D1265" s="75"/>
    </row>
    <row hidden="true" r="1266">
      <c r="A1266" s="76" t="s">
        <v>1249</v>
      </c>
      <c r="B1266" s="76" t="s">
        <v>1103</v>
      </c>
      <c r="C1266" s="76" t="s">
        <v>1104</v>
      </c>
      <c r="D1266" s="75"/>
    </row>
    <row hidden="true" r="1267">
      <c r="A1267" s="76" t="s">
        <v>1249</v>
      </c>
      <c r="B1267" s="76" t="s">
        <v>1105</v>
      </c>
      <c r="C1267" s="76" t="s">
        <v>1106</v>
      </c>
      <c r="D1267" s="75"/>
    </row>
    <row hidden="true" r="1268">
      <c r="A1268" s="76" t="s">
        <v>1249</v>
      </c>
      <c r="B1268" s="76" t="s">
        <v>1107</v>
      </c>
      <c r="C1268" s="76" t="s">
        <v>1108</v>
      </c>
      <c r="D1268" s="75"/>
    </row>
    <row hidden="true" r="1269">
      <c r="A1269" s="76" t="s">
        <v>1249</v>
      </c>
      <c r="B1269" s="76" t="s">
        <v>1109</v>
      </c>
      <c r="C1269" s="76" t="s">
        <v>1110</v>
      </c>
      <c r="D1269" s="75"/>
    </row>
    <row hidden="true" r="1270">
      <c r="A1270" s="76" t="s">
        <v>1249</v>
      </c>
      <c r="B1270" s="76" t="s">
        <v>1111</v>
      </c>
      <c r="C1270" s="76" t="s">
        <v>1112</v>
      </c>
      <c r="D1270" s="75"/>
    </row>
    <row hidden="true" r="1271">
      <c r="A1271" s="76" t="s">
        <v>1249</v>
      </c>
      <c r="B1271" s="76" t="s">
        <v>1113</v>
      </c>
      <c r="C1271" s="76" t="s">
        <v>1114</v>
      </c>
      <c r="D1271" s="75"/>
    </row>
    <row hidden="true" r="1272">
      <c r="A1272" s="76" t="s">
        <v>1249</v>
      </c>
      <c r="B1272" s="76" t="s">
        <v>1115</v>
      </c>
      <c r="C1272" s="76" t="s">
        <v>1116</v>
      </c>
      <c r="D1272" s="75"/>
    </row>
    <row hidden="true" r="1273">
      <c r="A1273" s="76" t="s">
        <v>1249</v>
      </c>
      <c r="B1273" s="76" t="s">
        <v>1117</v>
      </c>
      <c r="C1273" s="76" t="s">
        <v>1118</v>
      </c>
      <c r="D1273" s="75"/>
    </row>
    <row hidden="true" r="1274">
      <c r="A1274" s="76" t="s">
        <v>1249</v>
      </c>
      <c r="B1274" s="76" t="s">
        <v>1119</v>
      </c>
      <c r="C1274" s="76" t="s">
        <v>1120</v>
      </c>
      <c r="D1274" s="75"/>
    </row>
    <row hidden="true" r="1275">
      <c r="A1275" s="76" t="s">
        <v>1249</v>
      </c>
      <c r="B1275" s="76" t="s">
        <v>1121</v>
      </c>
      <c r="C1275" s="76" t="s">
        <v>1122</v>
      </c>
      <c r="D1275" s="75"/>
    </row>
    <row hidden="true" r="1276">
      <c r="A1276" s="76" t="s">
        <v>1249</v>
      </c>
      <c r="B1276" s="76" t="s">
        <v>1123</v>
      </c>
      <c r="C1276" s="76" t="s">
        <v>1124</v>
      </c>
      <c r="D1276" s="75"/>
    </row>
    <row hidden="true" r="1277">
      <c r="A1277" s="76" t="s">
        <v>1249</v>
      </c>
      <c r="B1277" s="76" t="s">
        <v>1125</v>
      </c>
      <c r="C1277" s="76" t="s">
        <v>1126</v>
      </c>
      <c r="D1277" s="75"/>
    </row>
    <row hidden="true" r="1278">
      <c r="A1278" s="76" t="s">
        <v>1249</v>
      </c>
      <c r="B1278" s="76" t="s">
        <v>1127</v>
      </c>
      <c r="C1278" s="76" t="s">
        <v>1128</v>
      </c>
      <c r="D1278" s="75"/>
    </row>
    <row hidden="true" r="1279">
      <c r="A1279" s="76" t="s">
        <v>1249</v>
      </c>
      <c r="B1279" s="76" t="s">
        <v>1129</v>
      </c>
      <c r="C1279" s="76" t="s">
        <v>1130</v>
      </c>
      <c r="D1279" s="75"/>
    </row>
    <row hidden="true" r="1280">
      <c r="A1280" s="76" t="s">
        <v>1249</v>
      </c>
      <c r="B1280" s="76" t="s">
        <v>1131</v>
      </c>
      <c r="C1280" s="76" t="s">
        <v>1132</v>
      </c>
      <c r="D1280" s="75"/>
    </row>
    <row hidden="true" r="1281">
      <c r="A1281" s="76" t="s">
        <v>1249</v>
      </c>
      <c r="B1281" s="76" t="s">
        <v>1133</v>
      </c>
      <c r="C1281" s="76" t="s">
        <v>1134</v>
      </c>
      <c r="D1281" s="75"/>
    </row>
    <row hidden="true" r="1282">
      <c r="A1282" s="76" t="s">
        <v>1249</v>
      </c>
      <c r="B1282" s="76" t="s">
        <v>1135</v>
      </c>
      <c r="C1282" s="76" t="s">
        <v>1136</v>
      </c>
      <c r="D1282" s="75"/>
    </row>
    <row hidden="true" r="1283">
      <c r="A1283" s="76" t="s">
        <v>1249</v>
      </c>
      <c r="B1283" s="76" t="s">
        <v>1137</v>
      </c>
      <c r="C1283" s="76" t="s">
        <v>1138</v>
      </c>
      <c r="D1283" s="75"/>
    </row>
    <row hidden="true" r="1284">
      <c r="A1284" s="76" t="s">
        <v>1249</v>
      </c>
      <c r="B1284" s="76" t="s">
        <v>1139</v>
      </c>
      <c r="C1284" s="76" t="s">
        <v>1140</v>
      </c>
      <c r="D1284" s="75"/>
    </row>
    <row hidden="true" r="1285">
      <c r="A1285" s="76" t="s">
        <v>1249</v>
      </c>
      <c r="B1285" s="76" t="s">
        <v>1141</v>
      </c>
      <c r="C1285" s="76" t="s">
        <v>1142</v>
      </c>
      <c r="D1285" s="75"/>
    </row>
    <row hidden="true" r="1286">
      <c r="A1286" s="76" t="s">
        <v>1249</v>
      </c>
      <c r="B1286" s="76" t="s">
        <v>1143</v>
      </c>
      <c r="C1286" s="76" t="s">
        <v>1144</v>
      </c>
      <c r="D1286" s="75"/>
    </row>
    <row hidden="true" r="1287">
      <c r="A1287" s="76" t="s">
        <v>1249</v>
      </c>
      <c r="B1287" s="76" t="s">
        <v>1145</v>
      </c>
      <c r="C1287" s="76" t="s">
        <v>1146</v>
      </c>
      <c r="D1287" s="75"/>
    </row>
    <row hidden="true" r="1288">
      <c r="A1288" s="76" t="s">
        <v>1249</v>
      </c>
      <c r="B1288" s="76" t="s">
        <v>1147</v>
      </c>
      <c r="C1288" s="76" t="s">
        <v>1148</v>
      </c>
      <c r="D1288" s="75"/>
    </row>
    <row hidden="true" r="1289">
      <c r="A1289" s="76" t="s">
        <v>1249</v>
      </c>
      <c r="B1289" s="76" t="s">
        <v>1149</v>
      </c>
      <c r="C1289" s="76" t="s">
        <v>1150</v>
      </c>
      <c r="D1289" s="75"/>
    </row>
    <row hidden="true" r="1290">
      <c r="A1290" s="76" t="s">
        <v>1249</v>
      </c>
      <c r="B1290" s="76" t="s">
        <v>1151</v>
      </c>
      <c r="C1290" s="76" t="s">
        <v>1152</v>
      </c>
      <c r="D1290" s="75"/>
    </row>
    <row hidden="true" r="1291">
      <c r="A1291" s="76" t="s">
        <v>1249</v>
      </c>
      <c r="B1291" s="76" t="s">
        <v>1153</v>
      </c>
      <c r="C1291" s="76" t="s">
        <v>1154</v>
      </c>
      <c r="D1291" s="75"/>
    </row>
    <row hidden="true" r="1292">
      <c r="A1292" s="76" t="s">
        <v>1249</v>
      </c>
      <c r="B1292" s="76" t="s">
        <v>1155</v>
      </c>
      <c r="C1292" s="76" t="s">
        <v>1156</v>
      </c>
      <c r="D1292" s="75"/>
    </row>
    <row hidden="true" r="1293">
      <c r="A1293" s="76" t="s">
        <v>1249</v>
      </c>
      <c r="B1293" s="76" t="s">
        <v>1157</v>
      </c>
      <c r="C1293" s="76" t="s">
        <v>1158</v>
      </c>
      <c r="D1293" s="75"/>
    </row>
    <row hidden="true" r="1294">
      <c r="A1294" s="76" t="s">
        <v>1249</v>
      </c>
      <c r="B1294" s="76" t="s">
        <v>1159</v>
      </c>
      <c r="C1294" s="76" t="s">
        <v>1160</v>
      </c>
      <c r="D1294" s="75"/>
    </row>
    <row hidden="true" r="1295">
      <c r="A1295" s="76" t="s">
        <v>1249</v>
      </c>
      <c r="B1295" s="76" t="s">
        <v>868</v>
      </c>
      <c r="C1295" s="76" t="s">
        <v>869</v>
      </c>
      <c r="D1295" s="75"/>
    </row>
    <row hidden="true" r="1296">
      <c r="A1296" s="76" t="s">
        <v>1249</v>
      </c>
      <c r="B1296" s="76" t="s">
        <v>1161</v>
      </c>
      <c r="C1296" s="76" t="s">
        <v>1162</v>
      </c>
      <c r="D1296" s="75"/>
    </row>
    <row hidden="true" r="1297">
      <c r="A1297" s="76" t="s">
        <v>1249</v>
      </c>
      <c r="B1297" s="76" t="s">
        <v>1163</v>
      </c>
      <c r="C1297" s="76" t="s">
        <v>1164</v>
      </c>
      <c r="D1297" s="75"/>
    </row>
    <row hidden="true" r="1298">
      <c r="A1298" s="76" t="s">
        <v>1249</v>
      </c>
      <c r="B1298" s="76" t="s">
        <v>1165</v>
      </c>
      <c r="C1298" s="76" t="s">
        <v>1166</v>
      </c>
      <c r="D1298" s="75"/>
    </row>
    <row hidden="true" r="1299">
      <c r="A1299" s="76" t="s">
        <v>1249</v>
      </c>
      <c r="B1299" s="76" t="s">
        <v>1167</v>
      </c>
      <c r="C1299" s="76" t="s">
        <v>1168</v>
      </c>
      <c r="D1299" s="75"/>
    </row>
    <row hidden="true" r="1300">
      <c r="A1300" s="76" t="s">
        <v>1249</v>
      </c>
      <c r="B1300" s="76" t="s">
        <v>1169</v>
      </c>
      <c r="C1300" s="76" t="s">
        <v>1170</v>
      </c>
      <c r="D1300" s="75"/>
    </row>
    <row hidden="true" r="1301">
      <c r="A1301" s="76" t="s">
        <v>1249</v>
      </c>
      <c r="B1301" s="76" t="s">
        <v>1171</v>
      </c>
      <c r="C1301" s="76" t="s">
        <v>1172</v>
      </c>
      <c r="D1301" s="75"/>
    </row>
    <row hidden="true" r="1302">
      <c r="A1302" s="76" t="s">
        <v>1249</v>
      </c>
      <c r="B1302" s="76" t="s">
        <v>1173</v>
      </c>
      <c r="C1302" s="76" t="s">
        <v>1174</v>
      </c>
      <c r="D1302" s="75"/>
    </row>
    <row hidden="true" r="1303">
      <c r="A1303" s="76" t="s">
        <v>1249</v>
      </c>
      <c r="B1303" s="76" t="s">
        <v>1175</v>
      </c>
      <c r="C1303" s="76" t="s">
        <v>1176</v>
      </c>
      <c r="D1303" s="75"/>
    </row>
    <row hidden="true" r="1304">
      <c r="A1304" s="76" t="s">
        <v>1249</v>
      </c>
      <c r="B1304" s="76" t="s">
        <v>1177</v>
      </c>
      <c r="C1304" s="76" t="s">
        <v>1178</v>
      </c>
      <c r="D1304" s="75"/>
    </row>
    <row hidden="true" r="1305">
      <c r="A1305" s="76" t="s">
        <v>1249</v>
      </c>
      <c r="B1305" s="76" t="s">
        <v>1179</v>
      </c>
      <c r="C1305" s="76" t="s">
        <v>1180</v>
      </c>
      <c r="D1305" s="75"/>
    </row>
    <row hidden="true" r="1306">
      <c r="A1306" s="76" t="s">
        <v>1249</v>
      </c>
      <c r="B1306" s="76" t="s">
        <v>1181</v>
      </c>
      <c r="C1306" s="76" t="s">
        <v>1182</v>
      </c>
      <c r="D1306" s="75"/>
    </row>
    <row hidden="true" r="1307">
      <c r="A1307" s="76" t="s">
        <v>1249</v>
      </c>
      <c r="B1307" s="76" t="s">
        <v>1183</v>
      </c>
      <c r="C1307" s="76" t="s">
        <v>1184</v>
      </c>
      <c r="D1307" s="75"/>
    </row>
    <row hidden="true" r="1308">
      <c r="A1308" s="76" t="s">
        <v>1249</v>
      </c>
      <c r="B1308" s="76" t="s">
        <v>1185</v>
      </c>
      <c r="C1308" s="76" t="s">
        <v>1186</v>
      </c>
      <c r="D1308" s="75"/>
    </row>
    <row hidden="true" r="1309">
      <c r="A1309" s="76" t="s">
        <v>1249</v>
      </c>
      <c r="B1309" s="76" t="s">
        <v>1187</v>
      </c>
      <c r="C1309" s="76" t="s">
        <v>1188</v>
      </c>
      <c r="D1309" s="75"/>
    </row>
    <row hidden="true" r="1310">
      <c r="A1310" s="76" t="s">
        <v>1249</v>
      </c>
      <c r="B1310" s="76" t="s">
        <v>1189</v>
      </c>
      <c r="C1310" s="76" t="s">
        <v>1190</v>
      </c>
      <c r="D1310" s="75"/>
    </row>
    <row hidden="true" r="1311">
      <c r="A1311" s="76" t="s">
        <v>1249</v>
      </c>
      <c r="B1311" s="76" t="s">
        <v>1199</v>
      </c>
      <c r="C1311" s="76" t="s">
        <v>1200</v>
      </c>
      <c r="D1311" s="75"/>
    </row>
    <row hidden="true" r="1312">
      <c r="A1312" s="76" t="s">
        <v>1249</v>
      </c>
      <c r="B1312" s="76" t="s">
        <v>1201</v>
      </c>
      <c r="C1312" s="76" t="s">
        <v>1202</v>
      </c>
      <c r="D1312" s="75"/>
    </row>
    <row hidden="true" r="1313">
      <c r="A1313" s="76" t="s">
        <v>1249</v>
      </c>
      <c r="B1313" s="76" t="s">
        <v>1203</v>
      </c>
      <c r="C1313" s="76" t="s">
        <v>1204</v>
      </c>
      <c r="D1313" s="75"/>
    </row>
    <row hidden="true" r="1314">
      <c r="A1314" s="76" t="s">
        <v>1249</v>
      </c>
      <c r="B1314" s="76" t="s">
        <v>1205</v>
      </c>
      <c r="C1314" s="76" t="s">
        <v>1206</v>
      </c>
      <c r="D1314" s="75"/>
    </row>
    <row hidden="true" r="1315">
      <c r="A1315" s="76" t="s">
        <v>1249</v>
      </c>
      <c r="B1315" s="76" t="s">
        <v>1207</v>
      </c>
      <c r="C1315" s="76" t="s">
        <v>1208</v>
      </c>
      <c r="D1315" s="75"/>
    </row>
    <row hidden="true" r="1316">
      <c r="A1316" s="76" t="s">
        <v>1249</v>
      </c>
      <c r="B1316" s="76" t="s">
        <v>1209</v>
      </c>
      <c r="C1316" s="76" t="s">
        <v>1210</v>
      </c>
      <c r="D1316" s="75"/>
    </row>
    <row hidden="true" r="1317">
      <c r="A1317" s="76" t="s">
        <v>1249</v>
      </c>
      <c r="B1317" s="76" t="s">
        <v>1211</v>
      </c>
      <c r="C1317" s="76" t="s">
        <v>1212</v>
      </c>
      <c r="D1317" s="75"/>
    </row>
    <row hidden="true" r="1318">
      <c r="A1318" s="76" t="s">
        <v>1249</v>
      </c>
      <c r="B1318" s="76" t="s">
        <v>735</v>
      </c>
      <c r="C1318" s="76"/>
      <c r="D1318" s="75"/>
    </row>
    <row hidden="true" r="1319">
      <c r="A1319" s="76" t="s">
        <v>1250</v>
      </c>
      <c r="B1319" s="76" t="s">
        <v>407</v>
      </c>
      <c r="C1319" s="76"/>
      <c r="D1319" s="75"/>
    </row>
    <row hidden="true" r="1320">
      <c r="A1320" s="76" t="s">
        <v>1250</v>
      </c>
      <c r="B1320" s="76" t="s">
        <v>744</v>
      </c>
      <c r="C1320" s="76"/>
      <c r="D1320" s="75"/>
    </row>
    <row hidden="true" r="1321">
      <c r="A1321" s="76" t="s">
        <v>1250</v>
      </c>
      <c r="B1321" s="76" t="s">
        <v>409</v>
      </c>
      <c r="C1321" s="76"/>
      <c r="D1321" s="75"/>
    </row>
    <row hidden="true" r="1322">
      <c r="A1322" s="76" t="s">
        <v>1250</v>
      </c>
      <c r="B1322" s="76" t="s">
        <v>884</v>
      </c>
      <c r="C1322" s="76"/>
      <c r="D1322" s="75"/>
    </row>
    <row hidden="true" r="1323">
      <c r="A1323" s="76" t="s">
        <v>1250</v>
      </c>
      <c r="B1323" s="76" t="s">
        <v>886</v>
      </c>
      <c r="C1323" s="76"/>
      <c r="D1323" s="75"/>
    </row>
    <row hidden="true" r="1324">
      <c r="A1324" s="76" t="s">
        <v>1250</v>
      </c>
      <c r="B1324" s="76" t="s">
        <v>888</v>
      </c>
      <c r="C1324" s="76"/>
      <c r="D1324" s="75"/>
    </row>
    <row hidden="true" r="1325">
      <c r="A1325" s="76" t="s">
        <v>1250</v>
      </c>
      <c r="B1325" s="76" t="s">
        <v>890</v>
      </c>
      <c r="C1325" s="76"/>
      <c r="D1325" s="75"/>
    </row>
    <row hidden="true" r="1326">
      <c r="A1326" s="76" t="s">
        <v>1250</v>
      </c>
      <c r="B1326" s="76" t="s">
        <v>892</v>
      </c>
      <c r="C1326" s="76"/>
      <c r="D1326" s="75"/>
    </row>
    <row hidden="true" r="1327">
      <c r="A1327" s="76" t="s">
        <v>1250</v>
      </c>
      <c r="B1327" s="76" t="s">
        <v>894</v>
      </c>
      <c r="C1327" s="76"/>
      <c r="D1327" s="75"/>
    </row>
    <row hidden="true" r="1328">
      <c r="A1328" s="76" t="s">
        <v>1250</v>
      </c>
      <c r="B1328" s="76" t="s">
        <v>896</v>
      </c>
      <c r="C1328" s="76"/>
      <c r="D1328" s="75"/>
    </row>
    <row hidden="true" r="1329">
      <c r="A1329" s="76" t="s">
        <v>1250</v>
      </c>
      <c r="B1329" s="76" t="s">
        <v>898</v>
      </c>
      <c r="C1329" s="76"/>
      <c r="D1329" s="75"/>
    </row>
    <row hidden="true" r="1330">
      <c r="A1330" s="76" t="s">
        <v>1250</v>
      </c>
      <c r="B1330" s="76" t="s">
        <v>900</v>
      </c>
      <c r="C1330" s="76"/>
      <c r="D1330" s="75"/>
    </row>
    <row hidden="true" r="1331">
      <c r="A1331" s="76" t="s">
        <v>1250</v>
      </c>
      <c r="B1331" s="76" t="s">
        <v>902</v>
      </c>
      <c r="C1331" s="76"/>
      <c r="D1331" s="75"/>
    </row>
    <row hidden="true" r="1332">
      <c r="A1332" s="76" t="s">
        <v>1250</v>
      </c>
      <c r="B1332" s="76" t="s">
        <v>904</v>
      </c>
      <c r="C1332" s="76"/>
      <c r="D1332" s="75"/>
    </row>
    <row hidden="true" r="1333">
      <c r="A1333" s="76" t="s">
        <v>1250</v>
      </c>
      <c r="B1333" s="76" t="s">
        <v>906</v>
      </c>
      <c r="C1333" s="76"/>
      <c r="D1333" s="75"/>
    </row>
    <row hidden="true" r="1334">
      <c r="A1334" s="76" t="s">
        <v>1250</v>
      </c>
      <c r="B1334" s="76" t="s">
        <v>908</v>
      </c>
      <c r="C1334" s="76"/>
      <c r="D1334" s="75"/>
    </row>
    <row hidden="true" r="1335">
      <c r="A1335" s="76" t="s">
        <v>1250</v>
      </c>
      <c r="B1335" s="76" t="s">
        <v>910</v>
      </c>
      <c r="C1335" s="76"/>
      <c r="D1335" s="75"/>
    </row>
    <row hidden="true" r="1336">
      <c r="A1336" s="76" t="s">
        <v>1250</v>
      </c>
      <c r="B1336" s="76" t="s">
        <v>912</v>
      </c>
      <c r="C1336" s="76"/>
      <c r="D1336" s="75"/>
    </row>
    <row hidden="true" r="1337">
      <c r="A1337" s="76" t="s">
        <v>1250</v>
      </c>
      <c r="B1337" s="76" t="s">
        <v>914</v>
      </c>
      <c r="C1337" s="76"/>
      <c r="D1337" s="75"/>
    </row>
    <row hidden="true" r="1338">
      <c r="A1338" s="76" t="s">
        <v>1250</v>
      </c>
      <c r="B1338" s="76" t="s">
        <v>916</v>
      </c>
      <c r="C1338" s="76"/>
      <c r="D1338" s="75"/>
    </row>
    <row hidden="true" r="1339">
      <c r="A1339" s="76" t="s">
        <v>1250</v>
      </c>
      <c r="B1339" s="76" t="s">
        <v>918</v>
      </c>
      <c r="C1339" s="76"/>
      <c r="D1339" s="75"/>
    </row>
    <row hidden="true" r="1340">
      <c r="A1340" s="76" t="s">
        <v>1250</v>
      </c>
      <c r="B1340" s="76" t="s">
        <v>920</v>
      </c>
      <c r="C1340" s="76"/>
      <c r="D1340" s="75"/>
    </row>
    <row hidden="true" r="1341">
      <c r="A1341" s="76" t="s">
        <v>1250</v>
      </c>
      <c r="B1341" s="76" t="s">
        <v>1251</v>
      </c>
      <c r="C1341" s="76"/>
      <c r="D1341" s="75"/>
    </row>
    <row hidden="true" r="1342">
      <c r="A1342" s="76" t="s">
        <v>1250</v>
      </c>
      <c r="B1342" s="76" t="s">
        <v>922</v>
      </c>
      <c r="C1342" s="76"/>
      <c r="D1342" s="75"/>
    </row>
    <row hidden="true" r="1343">
      <c r="A1343" s="76" t="s">
        <v>1250</v>
      </c>
      <c r="B1343" s="76" t="s">
        <v>1252</v>
      </c>
      <c r="C1343" s="76"/>
      <c r="D1343" s="75"/>
    </row>
    <row hidden="true" r="1344">
      <c r="A1344" s="76" t="s">
        <v>1250</v>
      </c>
      <c r="B1344" s="76" t="s">
        <v>924</v>
      </c>
      <c r="C1344" s="76"/>
      <c r="D1344" s="75"/>
    </row>
    <row hidden="true" r="1345">
      <c r="A1345" s="76" t="s">
        <v>1250</v>
      </c>
      <c r="B1345" s="76" t="s">
        <v>926</v>
      </c>
      <c r="C1345" s="76"/>
      <c r="D1345" s="75"/>
    </row>
    <row hidden="true" r="1346">
      <c r="A1346" s="76" t="s">
        <v>1250</v>
      </c>
      <c r="B1346" s="76" t="s">
        <v>1253</v>
      </c>
      <c r="C1346" s="76"/>
      <c r="D1346" s="75"/>
    </row>
    <row hidden="true" r="1347">
      <c r="A1347" s="76" t="s">
        <v>1250</v>
      </c>
      <c r="B1347" s="76" t="s">
        <v>1254</v>
      </c>
      <c r="C1347" s="76"/>
      <c r="D1347" s="75"/>
    </row>
    <row hidden="true" r="1348">
      <c r="A1348" s="76" t="s">
        <v>1250</v>
      </c>
      <c r="B1348" s="76" t="s">
        <v>928</v>
      </c>
      <c r="C1348" s="76"/>
      <c r="D1348" s="75"/>
    </row>
    <row hidden="true" r="1349">
      <c r="A1349" s="76" t="s">
        <v>1250</v>
      </c>
      <c r="B1349" s="76" t="s">
        <v>930</v>
      </c>
      <c r="C1349" s="76"/>
      <c r="D1349" s="75"/>
    </row>
    <row hidden="true" r="1350">
      <c r="A1350" s="76" t="s">
        <v>1250</v>
      </c>
      <c r="B1350" s="76" t="s">
        <v>1255</v>
      </c>
      <c r="C1350" s="76"/>
      <c r="D1350" s="75"/>
    </row>
    <row hidden="true" r="1351">
      <c r="A1351" s="76" t="s">
        <v>1250</v>
      </c>
      <c r="B1351" s="76" t="s">
        <v>932</v>
      </c>
      <c r="C1351" s="76"/>
      <c r="D1351" s="75"/>
    </row>
    <row hidden="true" r="1352">
      <c r="A1352" s="76" t="s">
        <v>1250</v>
      </c>
      <c r="B1352" s="76" t="s">
        <v>934</v>
      </c>
      <c r="C1352" s="76"/>
      <c r="D1352" s="75"/>
    </row>
    <row hidden="true" r="1353">
      <c r="A1353" s="76" t="s">
        <v>1250</v>
      </c>
      <c r="B1353" s="76" t="s">
        <v>936</v>
      </c>
      <c r="C1353" s="76"/>
      <c r="D1353" s="75"/>
    </row>
    <row hidden="true" r="1354">
      <c r="A1354" s="76" t="s">
        <v>1250</v>
      </c>
      <c r="B1354" s="76" t="s">
        <v>938</v>
      </c>
      <c r="C1354" s="76"/>
      <c r="D1354" s="75"/>
    </row>
    <row hidden="true" r="1355">
      <c r="A1355" s="76" t="s">
        <v>1250</v>
      </c>
      <c r="B1355" s="76" t="s">
        <v>940</v>
      </c>
      <c r="C1355" s="76"/>
      <c r="D1355" s="75"/>
    </row>
    <row hidden="true" r="1356">
      <c r="A1356" s="76" t="s">
        <v>1250</v>
      </c>
      <c r="B1356" s="76" t="s">
        <v>942</v>
      </c>
      <c r="C1356" s="76"/>
      <c r="D1356" s="75"/>
    </row>
    <row hidden="true" r="1357">
      <c r="A1357" s="76" t="s">
        <v>1250</v>
      </c>
      <c r="B1357" s="76" t="s">
        <v>944</v>
      </c>
      <c r="C1357" s="76"/>
      <c r="D1357" s="75"/>
    </row>
    <row hidden="true" r="1358">
      <c r="A1358" s="76" t="s">
        <v>1250</v>
      </c>
      <c r="B1358" s="76" t="s">
        <v>946</v>
      </c>
      <c r="C1358" s="76"/>
      <c r="D1358" s="75"/>
    </row>
    <row hidden="true" r="1359">
      <c r="A1359" s="76" t="s">
        <v>1250</v>
      </c>
      <c r="B1359" s="76" t="s">
        <v>948</v>
      </c>
      <c r="C1359" s="76"/>
      <c r="D1359" s="75"/>
    </row>
    <row hidden="true" r="1360">
      <c r="A1360" s="76" t="s">
        <v>1250</v>
      </c>
      <c r="B1360" s="76" t="s">
        <v>950</v>
      </c>
      <c r="C1360" s="76"/>
      <c r="D1360" s="75"/>
    </row>
    <row hidden="true" r="1361">
      <c r="A1361" s="76" t="s">
        <v>1250</v>
      </c>
      <c r="B1361" s="76" t="s">
        <v>952</v>
      </c>
      <c r="C1361" s="76"/>
      <c r="D1361" s="75"/>
    </row>
    <row hidden="true" r="1362">
      <c r="A1362" s="76" t="s">
        <v>1250</v>
      </c>
      <c r="B1362" s="76" t="s">
        <v>954</v>
      </c>
      <c r="C1362" s="76"/>
      <c r="D1362" s="75"/>
    </row>
    <row hidden="true" r="1363">
      <c r="A1363" s="76" t="s">
        <v>1250</v>
      </c>
      <c r="B1363" s="76" t="s">
        <v>775</v>
      </c>
      <c r="C1363" s="76"/>
      <c r="D1363" s="75"/>
    </row>
    <row hidden="true" r="1364">
      <c r="A1364" s="76" t="s">
        <v>1250</v>
      </c>
      <c r="B1364" s="76" t="s">
        <v>956</v>
      </c>
      <c r="C1364" s="76"/>
      <c r="D1364" s="75"/>
    </row>
    <row hidden="true" r="1365">
      <c r="A1365" s="76" t="s">
        <v>1250</v>
      </c>
      <c r="B1365" s="76" t="s">
        <v>958</v>
      </c>
      <c r="C1365" s="76"/>
      <c r="D1365" s="75"/>
    </row>
    <row hidden="true" r="1366">
      <c r="A1366" s="76" t="s">
        <v>1250</v>
      </c>
      <c r="B1366" s="76" t="s">
        <v>960</v>
      </c>
      <c r="C1366" s="76"/>
      <c r="D1366" s="75"/>
    </row>
    <row hidden="true" r="1367">
      <c r="A1367" s="76" t="s">
        <v>1250</v>
      </c>
      <c r="B1367" s="76" t="s">
        <v>962</v>
      </c>
      <c r="C1367" s="76"/>
      <c r="D1367" s="75"/>
    </row>
    <row hidden="true" r="1368">
      <c r="A1368" s="76" t="s">
        <v>1250</v>
      </c>
      <c r="B1368" s="76" t="s">
        <v>964</v>
      </c>
      <c r="C1368" s="76"/>
      <c r="D1368" s="75"/>
    </row>
    <row hidden="true" r="1369">
      <c r="A1369" s="76" t="s">
        <v>1250</v>
      </c>
      <c r="B1369" s="76" t="s">
        <v>966</v>
      </c>
      <c r="C1369" s="76"/>
      <c r="D1369" s="75"/>
    </row>
    <row hidden="true" r="1370">
      <c r="A1370" s="76" t="s">
        <v>1250</v>
      </c>
      <c r="B1370" s="76" t="s">
        <v>968</v>
      </c>
      <c r="C1370" s="76"/>
      <c r="D1370" s="75"/>
    </row>
    <row hidden="true" r="1371">
      <c r="A1371" s="76" t="s">
        <v>1250</v>
      </c>
      <c r="B1371" s="76" t="s">
        <v>970</v>
      </c>
      <c r="C1371" s="76"/>
      <c r="D1371" s="75"/>
    </row>
    <row hidden="true" r="1372">
      <c r="A1372" s="76" t="s">
        <v>1250</v>
      </c>
      <c r="B1372" s="76" t="s">
        <v>972</v>
      </c>
      <c r="C1372" s="76"/>
      <c r="D1372" s="75"/>
    </row>
    <row hidden="true" r="1373">
      <c r="A1373" s="76" t="s">
        <v>1250</v>
      </c>
      <c r="B1373" s="76" t="s">
        <v>974</v>
      </c>
      <c r="C1373" s="76"/>
      <c r="D1373" s="75"/>
    </row>
    <row hidden="true" r="1374">
      <c r="A1374" s="76" t="s">
        <v>1250</v>
      </c>
      <c r="B1374" s="76" t="s">
        <v>976</v>
      </c>
      <c r="C1374" s="76"/>
      <c r="D1374" s="75"/>
    </row>
    <row hidden="true" r="1375">
      <c r="A1375" s="76" t="s">
        <v>1250</v>
      </c>
      <c r="B1375" s="76" t="s">
        <v>823</v>
      </c>
      <c r="C1375" s="76"/>
      <c r="D1375" s="75"/>
    </row>
    <row hidden="true" r="1376">
      <c r="A1376" s="76" t="s">
        <v>1250</v>
      </c>
      <c r="B1376" s="76" t="s">
        <v>978</v>
      </c>
      <c r="C1376" s="76"/>
      <c r="D1376" s="75"/>
    </row>
    <row hidden="true" r="1377">
      <c r="A1377" s="76" t="s">
        <v>1250</v>
      </c>
      <c r="B1377" s="76" t="s">
        <v>980</v>
      </c>
      <c r="C1377" s="76"/>
      <c r="D1377" s="75"/>
    </row>
    <row hidden="true" r="1378">
      <c r="A1378" s="76" t="s">
        <v>1250</v>
      </c>
      <c r="B1378" s="76" t="s">
        <v>982</v>
      </c>
      <c r="C1378" s="76"/>
      <c r="D1378" s="75"/>
    </row>
    <row hidden="true" r="1379">
      <c r="A1379" s="76" t="s">
        <v>1250</v>
      </c>
      <c r="B1379" s="76" t="s">
        <v>984</v>
      </c>
      <c r="C1379" s="76"/>
      <c r="D1379" s="75"/>
    </row>
    <row hidden="true" r="1380">
      <c r="A1380" s="76" t="s">
        <v>1250</v>
      </c>
      <c r="B1380" s="76" t="s">
        <v>986</v>
      </c>
      <c r="C1380" s="76"/>
      <c r="D1380" s="75"/>
    </row>
    <row hidden="true" r="1381">
      <c r="A1381" s="76" t="s">
        <v>1250</v>
      </c>
      <c r="B1381" s="76" t="s">
        <v>988</v>
      </c>
      <c r="C1381" s="76"/>
      <c r="D1381" s="75"/>
    </row>
    <row hidden="true" r="1382">
      <c r="A1382" s="76" t="s">
        <v>1250</v>
      </c>
      <c r="B1382" s="76" t="s">
        <v>990</v>
      </c>
      <c r="C1382" s="76"/>
      <c r="D1382" s="75"/>
    </row>
    <row hidden="true" r="1383">
      <c r="A1383" s="76" t="s">
        <v>1250</v>
      </c>
      <c r="B1383" s="76" t="s">
        <v>992</v>
      </c>
      <c r="C1383" s="76"/>
      <c r="D1383" s="75"/>
    </row>
    <row hidden="true" r="1384">
      <c r="A1384" s="76" t="s">
        <v>1250</v>
      </c>
      <c r="B1384" s="76" t="s">
        <v>994</v>
      </c>
      <c r="C1384" s="76"/>
      <c r="D1384" s="75"/>
    </row>
    <row hidden="true" r="1385">
      <c r="A1385" s="76" t="s">
        <v>1250</v>
      </c>
      <c r="B1385" s="76" t="s">
        <v>996</v>
      </c>
      <c r="C1385" s="76"/>
      <c r="D1385" s="75"/>
    </row>
    <row hidden="true" r="1386">
      <c r="A1386" s="76" t="s">
        <v>1250</v>
      </c>
      <c r="B1386" s="76" t="s">
        <v>998</v>
      </c>
      <c r="C1386" s="76"/>
      <c r="D1386" s="75"/>
    </row>
    <row hidden="true" r="1387">
      <c r="A1387" s="76" t="s">
        <v>1250</v>
      </c>
      <c r="B1387" s="76" t="s">
        <v>1000</v>
      </c>
      <c r="C1387" s="76"/>
      <c r="D1387" s="75"/>
    </row>
    <row hidden="true" r="1388">
      <c r="A1388" s="76" t="s">
        <v>1250</v>
      </c>
      <c r="B1388" s="76" t="s">
        <v>1002</v>
      </c>
      <c r="C1388" s="76"/>
      <c r="D1388" s="75"/>
    </row>
    <row hidden="true" r="1389">
      <c r="A1389" s="76" t="s">
        <v>1250</v>
      </c>
      <c r="B1389" s="76" t="s">
        <v>1004</v>
      </c>
      <c r="C1389" s="76"/>
      <c r="D1389" s="75"/>
    </row>
    <row hidden="true" r="1390">
      <c r="A1390" s="76" t="s">
        <v>1250</v>
      </c>
      <c r="B1390" s="76" t="s">
        <v>1006</v>
      </c>
      <c r="C1390" s="76"/>
      <c r="D1390" s="75"/>
    </row>
    <row hidden="true" r="1391">
      <c r="A1391" s="76" t="s">
        <v>1250</v>
      </c>
      <c r="B1391" s="76" t="s">
        <v>1008</v>
      </c>
      <c r="C1391" s="76"/>
      <c r="D1391" s="75"/>
    </row>
    <row hidden="true" r="1392">
      <c r="A1392" s="76" t="s">
        <v>1250</v>
      </c>
      <c r="B1392" s="76" t="s">
        <v>1010</v>
      </c>
      <c r="C1392" s="76"/>
      <c r="D1392" s="75"/>
    </row>
    <row hidden="true" r="1393">
      <c r="A1393" s="76" t="s">
        <v>1250</v>
      </c>
      <c r="B1393" s="76" t="s">
        <v>1012</v>
      </c>
      <c r="C1393" s="76"/>
      <c r="D1393" s="75"/>
    </row>
    <row hidden="true" r="1394">
      <c r="A1394" s="76" t="s">
        <v>1250</v>
      </c>
      <c r="B1394" s="76" t="s">
        <v>1014</v>
      </c>
      <c r="C1394" s="76"/>
      <c r="D1394" s="75"/>
    </row>
    <row hidden="true" r="1395">
      <c r="A1395" s="76" t="s">
        <v>1250</v>
      </c>
      <c r="B1395" s="76" t="s">
        <v>1016</v>
      </c>
      <c r="C1395" s="76"/>
      <c r="D1395" s="75"/>
    </row>
    <row hidden="true" r="1396">
      <c r="A1396" s="76" t="s">
        <v>1250</v>
      </c>
      <c r="B1396" s="76" t="s">
        <v>1256</v>
      </c>
      <c r="C1396" s="76"/>
      <c r="D1396" s="75"/>
    </row>
    <row hidden="true" r="1397">
      <c r="A1397" s="76" t="s">
        <v>1250</v>
      </c>
      <c r="B1397" s="76" t="s">
        <v>1257</v>
      </c>
      <c r="C1397" s="76"/>
      <c r="D1397" s="75"/>
    </row>
    <row hidden="true" r="1398">
      <c r="A1398" s="76" t="s">
        <v>1250</v>
      </c>
      <c r="B1398" s="76" t="s">
        <v>1018</v>
      </c>
      <c r="C1398" s="76"/>
      <c r="D1398" s="75"/>
    </row>
    <row hidden="true" r="1399">
      <c r="A1399" s="76" t="s">
        <v>1250</v>
      </c>
      <c r="B1399" s="76" t="s">
        <v>1020</v>
      </c>
      <c r="C1399" s="76"/>
      <c r="D1399" s="75"/>
    </row>
    <row hidden="true" r="1400">
      <c r="A1400" s="76" t="s">
        <v>1250</v>
      </c>
      <c r="B1400" s="76" t="s">
        <v>1258</v>
      </c>
      <c r="C1400" s="76"/>
      <c r="D1400" s="75"/>
    </row>
    <row hidden="true" r="1401">
      <c r="A1401" s="76" t="s">
        <v>1250</v>
      </c>
      <c r="B1401" s="76" t="s">
        <v>1022</v>
      </c>
      <c r="C1401" s="76"/>
      <c r="D1401" s="75"/>
    </row>
    <row hidden="true" r="1402">
      <c r="A1402" s="76" t="s">
        <v>1250</v>
      </c>
      <c r="B1402" s="76" t="s">
        <v>1259</v>
      </c>
      <c r="C1402" s="76"/>
      <c r="D1402" s="75"/>
    </row>
    <row hidden="true" r="1403">
      <c r="A1403" s="76" t="s">
        <v>1250</v>
      </c>
      <c r="B1403" s="76" t="s">
        <v>1260</v>
      </c>
      <c r="C1403" s="76"/>
      <c r="D1403" s="75"/>
    </row>
    <row hidden="true" r="1404">
      <c r="A1404" s="76" t="s">
        <v>1250</v>
      </c>
      <c r="B1404" s="76" t="s">
        <v>1023</v>
      </c>
      <c r="C1404" s="76"/>
      <c r="D1404" s="75"/>
    </row>
    <row hidden="true" r="1405">
      <c r="A1405" s="76" t="s">
        <v>1250</v>
      </c>
      <c r="B1405" s="76" t="s">
        <v>1024</v>
      </c>
      <c r="C1405" s="76"/>
      <c r="D1405" s="75"/>
    </row>
    <row hidden="true" r="1406">
      <c r="A1406" s="76" t="s">
        <v>1250</v>
      </c>
      <c r="B1406" s="76" t="s">
        <v>1261</v>
      </c>
      <c r="C1406" s="76"/>
      <c r="D1406" s="75"/>
    </row>
    <row hidden="true" r="1407">
      <c r="A1407" s="76" t="s">
        <v>1250</v>
      </c>
      <c r="B1407" s="76" t="s">
        <v>1025</v>
      </c>
      <c r="C1407" s="76"/>
      <c r="D1407" s="75"/>
    </row>
    <row hidden="true" r="1408">
      <c r="A1408" s="76" t="s">
        <v>1250</v>
      </c>
      <c r="B1408" s="76" t="s">
        <v>1262</v>
      </c>
      <c r="C1408" s="76"/>
      <c r="D1408" s="75"/>
    </row>
    <row hidden="true" r="1409">
      <c r="A1409" s="76" t="s">
        <v>1250</v>
      </c>
      <c r="B1409" s="76" t="s">
        <v>1263</v>
      </c>
      <c r="C1409" s="76"/>
      <c r="D1409" s="75"/>
    </row>
    <row hidden="true" r="1410">
      <c r="A1410" s="76" t="s">
        <v>1250</v>
      </c>
      <c r="B1410" s="76" t="s">
        <v>1026</v>
      </c>
      <c r="C1410" s="76"/>
      <c r="D1410" s="75"/>
    </row>
    <row hidden="true" r="1411">
      <c r="A1411" s="76" t="s">
        <v>1250</v>
      </c>
      <c r="B1411" s="76" t="s">
        <v>1027</v>
      </c>
      <c r="C1411" s="76"/>
      <c r="D1411" s="75"/>
    </row>
    <row hidden="true" r="1412">
      <c r="A1412" s="76" t="s">
        <v>1250</v>
      </c>
      <c r="B1412" s="76" t="s">
        <v>1264</v>
      </c>
      <c r="C1412" s="76"/>
      <c r="D1412" s="75"/>
    </row>
    <row hidden="true" r="1413">
      <c r="A1413" s="76" t="s">
        <v>1250</v>
      </c>
      <c r="B1413" s="76" t="s">
        <v>1265</v>
      </c>
      <c r="C1413" s="76"/>
      <c r="D1413" s="75"/>
    </row>
    <row hidden="true" r="1414">
      <c r="A1414" s="76" t="s">
        <v>1250</v>
      </c>
      <c r="B1414" s="76" t="s">
        <v>1028</v>
      </c>
      <c r="C1414" s="76"/>
      <c r="D1414" s="75"/>
    </row>
    <row hidden="true" r="1415">
      <c r="A1415" s="76" t="s">
        <v>1250</v>
      </c>
      <c r="B1415" s="76" t="s">
        <v>530</v>
      </c>
      <c r="C1415" s="76"/>
      <c r="D1415" s="75"/>
    </row>
    <row hidden="true" r="1416">
      <c r="A1416" s="76" t="s">
        <v>1250</v>
      </c>
      <c r="B1416" s="76" t="s">
        <v>1030</v>
      </c>
      <c r="C1416" s="76"/>
      <c r="D1416" s="75"/>
    </row>
    <row hidden="true" r="1417">
      <c r="A1417" s="76" t="s">
        <v>1250</v>
      </c>
      <c r="B1417" s="76" t="s">
        <v>1032</v>
      </c>
      <c r="C1417" s="76"/>
      <c r="D1417" s="75"/>
    </row>
    <row hidden="true" r="1418">
      <c r="A1418" s="76" t="s">
        <v>1250</v>
      </c>
      <c r="B1418" s="76" t="s">
        <v>1034</v>
      </c>
      <c r="C1418" s="76"/>
      <c r="D1418" s="75"/>
    </row>
    <row hidden="true" r="1419">
      <c r="A1419" s="76" t="s">
        <v>1250</v>
      </c>
      <c r="B1419" s="76" t="s">
        <v>532</v>
      </c>
      <c r="C1419" s="76"/>
      <c r="D1419" s="75"/>
    </row>
    <row hidden="true" r="1420">
      <c r="A1420" s="76" t="s">
        <v>1250</v>
      </c>
      <c r="B1420" s="76" t="s">
        <v>1036</v>
      </c>
      <c r="C1420" s="76"/>
      <c r="D1420" s="75"/>
    </row>
    <row hidden="true" r="1421">
      <c r="A1421" s="76" t="s">
        <v>1250</v>
      </c>
      <c r="B1421" s="76" t="s">
        <v>1038</v>
      </c>
      <c r="C1421" s="76"/>
      <c r="D1421" s="75"/>
    </row>
    <row hidden="true" r="1422">
      <c r="A1422" s="76" t="s">
        <v>1250</v>
      </c>
      <c r="B1422" s="76" t="s">
        <v>1040</v>
      </c>
      <c r="C1422" s="76"/>
      <c r="D1422" s="75"/>
    </row>
    <row hidden="true" r="1423">
      <c r="A1423" s="76" t="s">
        <v>1250</v>
      </c>
      <c r="B1423" s="76" t="s">
        <v>1042</v>
      </c>
      <c r="C1423" s="76"/>
      <c r="D1423" s="75"/>
    </row>
    <row hidden="true" r="1424">
      <c r="A1424" s="76" t="s">
        <v>1250</v>
      </c>
      <c r="B1424" s="76" t="s">
        <v>1044</v>
      </c>
      <c r="C1424" s="76"/>
      <c r="D1424" s="75"/>
    </row>
    <row hidden="true" r="1425">
      <c r="A1425" s="76" t="s">
        <v>1250</v>
      </c>
      <c r="B1425" s="76" t="s">
        <v>1046</v>
      </c>
      <c r="C1425" s="76"/>
      <c r="D1425" s="75"/>
    </row>
    <row hidden="true" r="1426">
      <c r="A1426" s="76" t="s">
        <v>1250</v>
      </c>
      <c r="B1426" s="76" t="s">
        <v>1048</v>
      </c>
      <c r="C1426" s="76"/>
      <c r="D1426" s="75"/>
    </row>
    <row hidden="true" r="1427">
      <c r="A1427" s="76" t="s">
        <v>1250</v>
      </c>
      <c r="B1427" s="76" t="s">
        <v>1050</v>
      </c>
      <c r="C1427" s="76"/>
      <c r="D1427" s="75"/>
    </row>
    <row hidden="true" r="1428">
      <c r="A1428" s="76" t="s">
        <v>1250</v>
      </c>
      <c r="B1428" s="76" t="s">
        <v>1052</v>
      </c>
      <c r="C1428" s="76"/>
      <c r="D1428" s="75"/>
    </row>
    <row hidden="true" r="1429">
      <c r="A1429" s="76" t="s">
        <v>1250</v>
      </c>
      <c r="B1429" s="76" t="s">
        <v>1054</v>
      </c>
      <c r="C1429" s="76"/>
      <c r="D1429" s="75"/>
    </row>
    <row hidden="true" r="1430">
      <c r="A1430" s="76" t="s">
        <v>1250</v>
      </c>
      <c r="B1430" s="76" t="s">
        <v>1056</v>
      </c>
      <c r="C1430" s="76"/>
      <c r="D1430" s="75"/>
    </row>
    <row hidden="true" r="1431">
      <c r="A1431" s="76" t="s">
        <v>1250</v>
      </c>
      <c r="B1431" s="76" t="s">
        <v>1058</v>
      </c>
      <c r="C1431" s="76"/>
      <c r="D1431" s="75"/>
    </row>
    <row hidden="true" r="1432">
      <c r="A1432" s="76" t="s">
        <v>1250</v>
      </c>
      <c r="B1432" s="76" t="s">
        <v>1060</v>
      </c>
      <c r="C1432" s="76"/>
      <c r="D1432" s="75"/>
    </row>
    <row hidden="true" r="1433">
      <c r="A1433" s="76" t="s">
        <v>1250</v>
      </c>
      <c r="B1433" s="76" t="s">
        <v>1062</v>
      </c>
      <c r="C1433" s="76"/>
      <c r="D1433" s="75"/>
    </row>
    <row hidden="true" r="1434">
      <c r="A1434" s="76" t="s">
        <v>1250</v>
      </c>
      <c r="B1434" s="76" t="s">
        <v>1064</v>
      </c>
      <c r="C1434" s="76"/>
      <c r="D1434" s="75"/>
    </row>
    <row hidden="true" r="1435">
      <c r="A1435" s="76" t="s">
        <v>1250</v>
      </c>
      <c r="B1435" s="76" t="s">
        <v>1066</v>
      </c>
      <c r="C1435" s="76"/>
      <c r="D1435" s="75"/>
    </row>
    <row hidden="true" r="1436">
      <c r="A1436" s="76" t="s">
        <v>1250</v>
      </c>
      <c r="B1436" s="76" t="s">
        <v>1068</v>
      </c>
      <c r="C1436" s="76"/>
      <c r="D1436" s="75"/>
    </row>
    <row hidden="true" r="1437">
      <c r="A1437" s="76" t="s">
        <v>1250</v>
      </c>
      <c r="B1437" s="76" t="s">
        <v>1070</v>
      </c>
      <c r="C1437" s="76"/>
      <c r="D1437" s="75"/>
    </row>
    <row hidden="true" r="1438">
      <c r="A1438" s="76" t="s">
        <v>1250</v>
      </c>
      <c r="B1438" s="76" t="s">
        <v>1071</v>
      </c>
      <c r="C1438" s="76"/>
      <c r="D1438" s="75"/>
    </row>
    <row hidden="true" r="1439">
      <c r="A1439" s="76" t="s">
        <v>1250</v>
      </c>
      <c r="B1439" s="76" t="s">
        <v>1072</v>
      </c>
      <c r="C1439" s="76"/>
      <c r="D1439" s="75"/>
    </row>
    <row hidden="true" r="1440">
      <c r="A1440" s="76" t="s">
        <v>1250</v>
      </c>
      <c r="B1440" s="76" t="s">
        <v>1074</v>
      </c>
      <c r="C1440" s="76"/>
      <c r="D1440" s="75"/>
    </row>
    <row hidden="true" r="1441">
      <c r="A1441" s="76" t="s">
        <v>1250</v>
      </c>
      <c r="B1441" s="76" t="s">
        <v>1075</v>
      </c>
      <c r="C1441" s="76"/>
      <c r="D1441" s="75"/>
    </row>
    <row hidden="true" r="1442">
      <c r="A1442" s="76" t="s">
        <v>1250</v>
      </c>
      <c r="B1442" s="76" t="s">
        <v>1076</v>
      </c>
      <c r="C1442" s="76"/>
      <c r="D1442" s="75"/>
    </row>
    <row hidden="true" r="1443">
      <c r="A1443" s="76" t="s">
        <v>1250</v>
      </c>
      <c r="B1443" s="76" t="s">
        <v>1078</v>
      </c>
      <c r="C1443" s="76"/>
      <c r="D1443" s="75"/>
    </row>
    <row hidden="true" r="1444">
      <c r="A1444" s="76" t="s">
        <v>1250</v>
      </c>
      <c r="B1444" s="76" t="s">
        <v>839</v>
      </c>
      <c r="C1444" s="76"/>
      <c r="D1444" s="75"/>
    </row>
    <row hidden="true" r="1445">
      <c r="A1445" s="76" t="s">
        <v>1250</v>
      </c>
      <c r="B1445" s="76" t="s">
        <v>1080</v>
      </c>
      <c r="C1445" s="76"/>
      <c r="D1445" s="75"/>
    </row>
    <row hidden="true" r="1446">
      <c r="A1446" s="76" t="s">
        <v>1250</v>
      </c>
      <c r="B1446" s="76" t="s">
        <v>1082</v>
      </c>
      <c r="C1446" s="76"/>
      <c r="D1446" s="75"/>
    </row>
    <row hidden="true" r="1447">
      <c r="A1447" s="76" t="s">
        <v>1250</v>
      </c>
      <c r="B1447" s="76" t="s">
        <v>1084</v>
      </c>
      <c r="C1447" s="76"/>
      <c r="D1447" s="75"/>
    </row>
    <row hidden="true" r="1448">
      <c r="A1448" s="76" t="s">
        <v>1250</v>
      </c>
      <c r="B1448" s="76" t="s">
        <v>1086</v>
      </c>
      <c r="C1448" s="76"/>
      <c r="D1448" s="75"/>
    </row>
    <row hidden="true" r="1449">
      <c r="A1449" s="76" t="s">
        <v>1250</v>
      </c>
      <c r="B1449" s="76" t="s">
        <v>1088</v>
      </c>
      <c r="C1449" s="76"/>
      <c r="D1449" s="75"/>
    </row>
    <row hidden="true" r="1450">
      <c r="A1450" s="76" t="s">
        <v>1250</v>
      </c>
      <c r="B1450" s="76" t="s">
        <v>1090</v>
      </c>
      <c r="C1450" s="76"/>
      <c r="D1450" s="75"/>
    </row>
    <row hidden="true" r="1451">
      <c r="A1451" s="76" t="s">
        <v>1250</v>
      </c>
      <c r="B1451" s="76" t="s">
        <v>1092</v>
      </c>
      <c r="C1451" s="76"/>
      <c r="D1451" s="75"/>
    </row>
    <row hidden="true" r="1452">
      <c r="A1452" s="76" t="s">
        <v>1250</v>
      </c>
      <c r="B1452" s="76" t="s">
        <v>1093</v>
      </c>
      <c r="C1452" s="76"/>
      <c r="D1452" s="75"/>
    </row>
    <row hidden="true" r="1453">
      <c r="A1453" s="76" t="s">
        <v>1250</v>
      </c>
      <c r="B1453" s="76" t="s">
        <v>1095</v>
      </c>
      <c r="C1453" s="76"/>
      <c r="D1453" s="75"/>
    </row>
    <row hidden="true" r="1454">
      <c r="A1454" s="76" t="s">
        <v>1250</v>
      </c>
      <c r="B1454" s="76" t="s">
        <v>1097</v>
      </c>
      <c r="C1454" s="76"/>
      <c r="D1454" s="75"/>
    </row>
    <row hidden="true" r="1455">
      <c r="A1455" s="76" t="s">
        <v>1250</v>
      </c>
      <c r="B1455" s="76" t="s">
        <v>1099</v>
      </c>
      <c r="C1455" s="76"/>
      <c r="D1455" s="75"/>
    </row>
    <row hidden="true" r="1456">
      <c r="A1456" s="76" t="s">
        <v>1250</v>
      </c>
      <c r="B1456" s="76" t="s">
        <v>1101</v>
      </c>
      <c r="C1456" s="76"/>
      <c r="D1456" s="75"/>
    </row>
    <row hidden="true" r="1457">
      <c r="A1457" s="76" t="s">
        <v>1250</v>
      </c>
      <c r="B1457" s="76" t="s">
        <v>1103</v>
      </c>
      <c r="C1457" s="76"/>
      <c r="D1457" s="75"/>
    </row>
    <row hidden="true" r="1458">
      <c r="A1458" s="76" t="s">
        <v>1250</v>
      </c>
      <c r="B1458" s="76" t="s">
        <v>1105</v>
      </c>
      <c r="C1458" s="76"/>
      <c r="D1458" s="75"/>
    </row>
    <row hidden="true" r="1459">
      <c r="A1459" s="76" t="s">
        <v>1250</v>
      </c>
      <c r="B1459" s="76" t="s">
        <v>1107</v>
      </c>
      <c r="C1459" s="76"/>
      <c r="D1459" s="75"/>
    </row>
    <row hidden="true" r="1460">
      <c r="A1460" s="76" t="s">
        <v>1250</v>
      </c>
      <c r="B1460" s="76" t="s">
        <v>1109</v>
      </c>
      <c r="C1460" s="76"/>
      <c r="D1460" s="75"/>
    </row>
    <row hidden="true" r="1461">
      <c r="A1461" s="76" t="s">
        <v>1250</v>
      </c>
      <c r="B1461" s="76" t="s">
        <v>1111</v>
      </c>
      <c r="C1461" s="76"/>
      <c r="D1461" s="75"/>
    </row>
    <row hidden="true" r="1462">
      <c r="A1462" s="76" t="s">
        <v>1250</v>
      </c>
      <c r="B1462" s="76" t="s">
        <v>1113</v>
      </c>
      <c r="C1462" s="76"/>
      <c r="D1462" s="75"/>
    </row>
    <row hidden="true" r="1463">
      <c r="A1463" s="76" t="s">
        <v>1250</v>
      </c>
      <c r="B1463" s="76" t="s">
        <v>1115</v>
      </c>
      <c r="C1463" s="76"/>
      <c r="D1463" s="75"/>
    </row>
    <row hidden="true" r="1464">
      <c r="A1464" s="76" t="s">
        <v>1250</v>
      </c>
      <c r="B1464" s="76" t="s">
        <v>1117</v>
      </c>
      <c r="C1464" s="76"/>
      <c r="D1464" s="75"/>
    </row>
    <row hidden="true" r="1465">
      <c r="A1465" s="76" t="s">
        <v>1250</v>
      </c>
      <c r="B1465" s="76" t="s">
        <v>1119</v>
      </c>
      <c r="C1465" s="76"/>
      <c r="D1465" s="75"/>
    </row>
    <row hidden="true" r="1466">
      <c r="A1466" s="76" t="s">
        <v>1250</v>
      </c>
      <c r="B1466" s="76" t="s">
        <v>1121</v>
      </c>
      <c r="C1466" s="76"/>
      <c r="D1466" s="75"/>
    </row>
    <row hidden="true" r="1467">
      <c r="A1467" s="76" t="s">
        <v>1250</v>
      </c>
      <c r="B1467" s="76" t="s">
        <v>1123</v>
      </c>
      <c r="C1467" s="76"/>
      <c r="D1467" s="75"/>
    </row>
    <row hidden="true" r="1468">
      <c r="A1468" s="76" t="s">
        <v>1250</v>
      </c>
      <c r="B1468" s="76" t="s">
        <v>1125</v>
      </c>
      <c r="C1468" s="76"/>
      <c r="D1468" s="75"/>
    </row>
    <row hidden="true" r="1469">
      <c r="A1469" s="76" t="s">
        <v>1250</v>
      </c>
      <c r="B1469" s="76" t="s">
        <v>1127</v>
      </c>
      <c r="C1469" s="76"/>
      <c r="D1469" s="75"/>
    </row>
    <row hidden="true" r="1470">
      <c r="A1470" s="76" t="s">
        <v>1250</v>
      </c>
      <c r="B1470" s="76" t="s">
        <v>1129</v>
      </c>
      <c r="C1470" s="76"/>
      <c r="D1470" s="75"/>
    </row>
    <row hidden="true" r="1471">
      <c r="A1471" s="76" t="s">
        <v>1250</v>
      </c>
      <c r="B1471" s="76" t="s">
        <v>1131</v>
      </c>
      <c r="C1471" s="76"/>
      <c r="D1471" s="75"/>
    </row>
    <row hidden="true" r="1472">
      <c r="A1472" s="76" t="s">
        <v>1250</v>
      </c>
      <c r="B1472" s="76" t="s">
        <v>1133</v>
      </c>
      <c r="C1472" s="76"/>
      <c r="D1472" s="75"/>
    </row>
    <row hidden="true" r="1473">
      <c r="A1473" s="76" t="s">
        <v>1250</v>
      </c>
      <c r="B1473" s="76" t="s">
        <v>1135</v>
      </c>
      <c r="C1473" s="76"/>
      <c r="D1473" s="75"/>
    </row>
    <row hidden="true" r="1474">
      <c r="A1474" s="76" t="s">
        <v>1250</v>
      </c>
      <c r="B1474" s="76" t="s">
        <v>1137</v>
      </c>
      <c r="C1474" s="76"/>
      <c r="D1474" s="75"/>
    </row>
    <row hidden="true" r="1475">
      <c r="A1475" s="76" t="s">
        <v>1250</v>
      </c>
      <c r="B1475" s="76" t="s">
        <v>1139</v>
      </c>
      <c r="C1475" s="76"/>
      <c r="D1475" s="75"/>
    </row>
    <row hidden="true" r="1476">
      <c r="A1476" s="76" t="s">
        <v>1250</v>
      </c>
      <c r="B1476" s="76" t="s">
        <v>1141</v>
      </c>
      <c r="C1476" s="76"/>
      <c r="D1476" s="75"/>
    </row>
    <row hidden="true" r="1477">
      <c r="A1477" s="76" t="s">
        <v>1250</v>
      </c>
      <c r="B1477" s="76" t="s">
        <v>1143</v>
      </c>
      <c r="C1477" s="76"/>
      <c r="D1477" s="75"/>
    </row>
    <row hidden="true" r="1478">
      <c r="A1478" s="76" t="s">
        <v>1250</v>
      </c>
      <c r="B1478" s="76" t="s">
        <v>1145</v>
      </c>
      <c r="C1478" s="76"/>
      <c r="D1478" s="75"/>
    </row>
    <row hidden="true" r="1479">
      <c r="A1479" s="76" t="s">
        <v>1250</v>
      </c>
      <c r="B1479" s="76" t="s">
        <v>1147</v>
      </c>
      <c r="C1479" s="76"/>
      <c r="D1479" s="75"/>
    </row>
    <row hidden="true" r="1480">
      <c r="A1480" s="76" t="s">
        <v>1250</v>
      </c>
      <c r="B1480" s="76" t="s">
        <v>1149</v>
      </c>
      <c r="C1480" s="76"/>
      <c r="D1480" s="75"/>
    </row>
    <row hidden="true" r="1481">
      <c r="A1481" s="76" t="s">
        <v>1250</v>
      </c>
      <c r="B1481" s="76" t="s">
        <v>1151</v>
      </c>
      <c r="C1481" s="76"/>
      <c r="D1481" s="75"/>
    </row>
    <row hidden="true" r="1482">
      <c r="A1482" s="76" t="s">
        <v>1250</v>
      </c>
      <c r="B1482" s="76" t="s">
        <v>1153</v>
      </c>
      <c r="C1482" s="76"/>
      <c r="D1482" s="75"/>
    </row>
    <row hidden="true" r="1483">
      <c r="A1483" s="76" t="s">
        <v>1250</v>
      </c>
      <c r="B1483" s="76" t="s">
        <v>1155</v>
      </c>
      <c r="C1483" s="76"/>
      <c r="D1483" s="75"/>
    </row>
    <row hidden="true" r="1484">
      <c r="A1484" s="76" t="s">
        <v>1250</v>
      </c>
      <c r="B1484" s="76" t="s">
        <v>1157</v>
      </c>
      <c r="C1484" s="76"/>
      <c r="D1484" s="75"/>
    </row>
    <row hidden="true" r="1485">
      <c r="A1485" s="76" t="s">
        <v>1250</v>
      </c>
      <c r="B1485" s="76" t="s">
        <v>1159</v>
      </c>
      <c r="C1485" s="76"/>
      <c r="D1485" s="75"/>
    </row>
    <row hidden="true" r="1486">
      <c r="A1486" s="76" t="s">
        <v>1250</v>
      </c>
      <c r="B1486" s="76" t="s">
        <v>868</v>
      </c>
      <c r="C1486" s="76"/>
      <c r="D1486" s="75"/>
    </row>
    <row hidden="true" r="1487">
      <c r="A1487" s="76" t="s">
        <v>1250</v>
      </c>
      <c r="B1487" s="76" t="s">
        <v>1161</v>
      </c>
      <c r="C1487" s="76"/>
      <c r="D1487" s="75"/>
    </row>
    <row hidden="true" r="1488">
      <c r="A1488" s="76" t="s">
        <v>1250</v>
      </c>
      <c r="B1488" s="76" t="s">
        <v>1163</v>
      </c>
      <c r="C1488" s="76"/>
      <c r="D1488" s="75"/>
    </row>
    <row hidden="true" r="1489">
      <c r="A1489" s="76" t="s">
        <v>1250</v>
      </c>
      <c r="B1489" s="76" t="s">
        <v>1165</v>
      </c>
      <c r="C1489" s="76"/>
      <c r="D1489" s="75"/>
    </row>
    <row hidden="true" r="1490">
      <c r="A1490" s="76" t="s">
        <v>1250</v>
      </c>
      <c r="B1490" s="76" t="s">
        <v>1167</v>
      </c>
      <c r="C1490" s="76"/>
      <c r="D1490" s="75"/>
    </row>
    <row hidden="true" r="1491">
      <c r="A1491" s="76" t="s">
        <v>1250</v>
      </c>
      <c r="B1491" s="76" t="s">
        <v>1169</v>
      </c>
      <c r="C1491" s="76"/>
      <c r="D1491" s="75"/>
    </row>
    <row hidden="true" r="1492">
      <c r="A1492" s="76" t="s">
        <v>1250</v>
      </c>
      <c r="B1492" s="76" t="s">
        <v>1171</v>
      </c>
      <c r="C1492" s="76"/>
      <c r="D1492" s="75"/>
    </row>
    <row hidden="true" r="1493">
      <c r="A1493" s="76" t="s">
        <v>1250</v>
      </c>
      <c r="B1493" s="76" t="s">
        <v>1173</v>
      </c>
      <c r="C1493" s="76"/>
      <c r="D1493" s="75"/>
    </row>
    <row hidden="true" r="1494">
      <c r="A1494" s="76" t="s">
        <v>1250</v>
      </c>
      <c r="B1494" s="76" t="s">
        <v>1175</v>
      </c>
      <c r="C1494" s="76"/>
      <c r="D1494" s="75"/>
    </row>
    <row hidden="true" r="1495">
      <c r="A1495" s="76" t="s">
        <v>1250</v>
      </c>
      <c r="B1495" s="76" t="s">
        <v>1177</v>
      </c>
      <c r="C1495" s="76"/>
      <c r="D1495" s="75"/>
    </row>
    <row hidden="true" r="1496">
      <c r="A1496" s="76" t="s">
        <v>1250</v>
      </c>
      <c r="B1496" s="76" t="s">
        <v>1179</v>
      </c>
      <c r="C1496" s="76"/>
      <c r="D1496" s="75"/>
    </row>
    <row hidden="true" r="1497">
      <c r="A1497" s="76" t="s">
        <v>1250</v>
      </c>
      <c r="B1497" s="76" t="s">
        <v>1181</v>
      </c>
      <c r="C1497" s="76"/>
      <c r="D1497" s="75"/>
    </row>
    <row hidden="true" r="1498">
      <c r="A1498" s="76" t="s">
        <v>1250</v>
      </c>
      <c r="B1498" s="76" t="s">
        <v>1183</v>
      </c>
      <c r="C1498" s="76"/>
      <c r="D1498" s="75"/>
    </row>
    <row hidden="true" r="1499">
      <c r="A1499" s="76" t="s">
        <v>1250</v>
      </c>
      <c r="B1499" s="76" t="s">
        <v>1185</v>
      </c>
      <c r="C1499" s="76"/>
      <c r="D1499" s="75"/>
    </row>
    <row hidden="true" r="1500">
      <c r="A1500" s="76" t="s">
        <v>1250</v>
      </c>
      <c r="B1500" s="76" t="s">
        <v>1187</v>
      </c>
      <c r="C1500" s="76"/>
      <c r="D1500" s="75"/>
    </row>
    <row hidden="true" r="1501">
      <c r="A1501" s="76" t="s">
        <v>1250</v>
      </c>
      <c r="B1501" s="76" t="s">
        <v>1189</v>
      </c>
      <c r="C1501" s="76"/>
      <c r="D1501" s="75"/>
    </row>
    <row hidden="true" r="1502">
      <c r="A1502" s="76" t="s">
        <v>1250</v>
      </c>
      <c r="B1502" s="76" t="s">
        <v>1191</v>
      </c>
      <c r="C1502" s="76"/>
      <c r="D1502" s="75"/>
    </row>
    <row hidden="true" r="1503">
      <c r="A1503" s="76" t="s">
        <v>1250</v>
      </c>
      <c r="B1503" s="76" t="s">
        <v>1266</v>
      </c>
      <c r="C1503" s="76"/>
      <c r="D1503" s="75"/>
    </row>
    <row hidden="true" r="1504">
      <c r="A1504" s="76" t="s">
        <v>1250</v>
      </c>
      <c r="B1504" s="76" t="s">
        <v>1267</v>
      </c>
      <c r="C1504" s="76"/>
      <c r="D1504" s="75"/>
    </row>
    <row hidden="true" r="1505">
      <c r="A1505" s="76" t="s">
        <v>1250</v>
      </c>
      <c r="B1505" s="76" t="s">
        <v>1193</v>
      </c>
      <c r="C1505" s="76"/>
      <c r="D1505" s="75"/>
    </row>
    <row hidden="true" r="1506">
      <c r="A1506" s="76" t="s">
        <v>1250</v>
      </c>
      <c r="B1506" s="76" t="s">
        <v>1195</v>
      </c>
      <c r="C1506" s="76"/>
      <c r="D1506" s="75"/>
    </row>
    <row hidden="true" r="1507">
      <c r="A1507" s="76" t="s">
        <v>1250</v>
      </c>
      <c r="B1507" s="76" t="s">
        <v>1197</v>
      </c>
      <c r="C1507" s="76"/>
      <c r="D1507" s="75"/>
    </row>
    <row hidden="true" r="1508">
      <c r="A1508" s="76" t="s">
        <v>1250</v>
      </c>
      <c r="B1508" s="76" t="s">
        <v>1268</v>
      </c>
      <c r="C1508" s="76"/>
      <c r="D1508" s="75"/>
    </row>
    <row hidden="true" r="1509">
      <c r="A1509" s="76" t="s">
        <v>1250</v>
      </c>
      <c r="B1509" s="76" t="s">
        <v>1269</v>
      </c>
      <c r="C1509" s="76"/>
      <c r="D1509" s="75"/>
    </row>
    <row hidden="true" r="1510">
      <c r="A1510" s="76" t="s">
        <v>1250</v>
      </c>
      <c r="B1510" s="76" t="s">
        <v>1199</v>
      </c>
      <c r="C1510" s="76"/>
      <c r="D1510" s="75"/>
    </row>
    <row hidden="true" r="1511">
      <c r="A1511" s="76" t="s">
        <v>1250</v>
      </c>
      <c r="B1511" s="76" t="s">
        <v>1201</v>
      </c>
      <c r="C1511" s="76"/>
      <c r="D1511" s="75"/>
    </row>
    <row hidden="true" r="1512">
      <c r="A1512" s="76" t="s">
        <v>1250</v>
      </c>
      <c r="B1512" s="76" t="s">
        <v>1203</v>
      </c>
      <c r="C1512" s="76"/>
      <c r="D1512" s="75"/>
    </row>
    <row hidden="true" r="1513">
      <c r="A1513" s="76" t="s">
        <v>1250</v>
      </c>
      <c r="B1513" s="76" t="s">
        <v>1205</v>
      </c>
      <c r="C1513" s="76"/>
      <c r="D1513" s="75"/>
    </row>
    <row hidden="true" r="1514">
      <c r="A1514" s="76" t="s">
        <v>1250</v>
      </c>
      <c r="B1514" s="76" t="s">
        <v>1207</v>
      </c>
      <c r="C1514" s="76"/>
      <c r="D1514" s="75"/>
    </row>
    <row hidden="true" r="1515">
      <c r="A1515" s="76" t="s">
        <v>1250</v>
      </c>
      <c r="B1515" s="76" t="s">
        <v>1209</v>
      </c>
      <c r="C1515" s="76"/>
      <c r="D1515" s="75"/>
    </row>
    <row hidden="true" r="1516">
      <c r="A1516" s="76" t="s">
        <v>1250</v>
      </c>
      <c r="B1516" s="76" t="s">
        <v>1211</v>
      </c>
      <c r="C1516" s="76"/>
      <c r="D1516" s="75"/>
    </row>
    <row hidden="true" r="1517">
      <c r="A1517" s="76" t="s">
        <v>1250</v>
      </c>
      <c r="B1517" s="76" t="s">
        <v>1270</v>
      </c>
      <c r="C1517" s="76"/>
      <c r="D1517" s="75"/>
    </row>
    <row hidden="true" r="1518">
      <c r="A1518" s="76" t="s">
        <v>1250</v>
      </c>
      <c r="B1518" s="76" t="s">
        <v>1271</v>
      </c>
      <c r="C1518" s="76"/>
      <c r="D1518" s="75"/>
    </row>
    <row hidden="true" r="1519">
      <c r="A1519" s="76" t="s">
        <v>1250</v>
      </c>
      <c r="B1519" s="76" t="s">
        <v>1272</v>
      </c>
      <c r="C1519" s="76"/>
      <c r="D1519" s="75"/>
    </row>
    <row hidden="true" r="1520">
      <c r="A1520" s="76" t="s">
        <v>1250</v>
      </c>
      <c r="B1520" s="76" t="s">
        <v>1273</v>
      </c>
      <c r="C1520" s="76"/>
      <c r="D1520" s="75"/>
    </row>
    <row hidden="true" r="1521">
      <c r="A1521" s="76" t="s">
        <v>1250</v>
      </c>
      <c r="B1521" s="76" t="s">
        <v>1274</v>
      </c>
      <c r="C1521" s="76"/>
      <c r="D1521" s="75"/>
    </row>
    <row hidden="true" r="1522">
      <c r="A1522" s="76" t="s">
        <v>1250</v>
      </c>
      <c r="B1522" s="76" t="s">
        <v>1275</v>
      </c>
      <c r="C1522" s="76"/>
      <c r="D1522" s="75"/>
    </row>
    <row hidden="true" r="1523">
      <c r="A1523" s="76" t="s">
        <v>1250</v>
      </c>
      <c r="B1523" s="76" t="s">
        <v>1276</v>
      </c>
      <c r="C1523" s="76"/>
      <c r="D1523" s="75"/>
    </row>
    <row hidden="true" r="1524">
      <c r="A1524" s="76" t="s">
        <v>1250</v>
      </c>
      <c r="B1524" s="76" t="s">
        <v>1277</v>
      </c>
      <c r="C1524" s="76"/>
      <c r="D1524" s="75"/>
    </row>
    <row hidden="true" r="1525">
      <c r="A1525" s="76" t="s">
        <v>1250</v>
      </c>
      <c r="B1525" s="76" t="s">
        <v>1278</v>
      </c>
      <c r="C1525" s="76"/>
      <c r="D1525" s="75"/>
    </row>
    <row hidden="true" r="1526">
      <c r="A1526" s="76" t="s">
        <v>1250</v>
      </c>
      <c r="B1526" s="76" t="s">
        <v>735</v>
      </c>
      <c r="C1526" s="76"/>
      <c r="D1526" s="75"/>
    </row>
    <row hidden="true" r="1527">
      <c r="A1527" s="76" t="s">
        <v>1279</v>
      </c>
      <c r="B1527" s="76" t="s">
        <v>407</v>
      </c>
      <c r="C1527" s="76" t="s">
        <v>1226</v>
      </c>
      <c r="D1527" s="75"/>
    </row>
    <row hidden="true" r="1528">
      <c r="A1528" s="76" t="s">
        <v>1279</v>
      </c>
      <c r="B1528" s="76" t="s">
        <v>744</v>
      </c>
      <c r="C1528" s="76" t="s">
        <v>745</v>
      </c>
      <c r="D1528" s="75"/>
    </row>
    <row hidden="true" r="1529">
      <c r="A1529" s="76" t="s">
        <v>1279</v>
      </c>
      <c r="B1529" s="76" t="s">
        <v>409</v>
      </c>
      <c r="C1529" s="76" t="s">
        <v>1215</v>
      </c>
      <c r="D1529" s="75"/>
    </row>
    <row hidden="true" r="1530">
      <c r="A1530" s="76" t="s">
        <v>1279</v>
      </c>
      <c r="B1530" s="76" t="s">
        <v>884</v>
      </c>
      <c r="C1530" s="76" t="s">
        <v>1227</v>
      </c>
      <c r="D1530" s="75"/>
    </row>
    <row hidden="true" r="1531">
      <c r="A1531" s="76" t="s">
        <v>1279</v>
      </c>
      <c r="B1531" s="76" t="s">
        <v>886</v>
      </c>
      <c r="C1531" s="76" t="s">
        <v>1228</v>
      </c>
      <c r="D1531" s="75"/>
    </row>
    <row hidden="true" r="1532">
      <c r="A1532" s="76" t="s">
        <v>1279</v>
      </c>
      <c r="B1532" s="76" t="s">
        <v>888</v>
      </c>
      <c r="C1532" s="76" t="s">
        <v>889</v>
      </c>
      <c r="D1532" s="75"/>
    </row>
    <row hidden="true" r="1533">
      <c r="A1533" s="76" t="s">
        <v>1279</v>
      </c>
      <c r="B1533" s="76" t="s">
        <v>890</v>
      </c>
      <c r="C1533" s="76" t="s">
        <v>891</v>
      </c>
      <c r="D1533" s="75"/>
    </row>
    <row hidden="true" r="1534">
      <c r="A1534" s="76" t="s">
        <v>1279</v>
      </c>
      <c r="B1534" s="76" t="s">
        <v>892</v>
      </c>
      <c r="C1534" s="76" t="s">
        <v>893</v>
      </c>
      <c r="D1534" s="75"/>
    </row>
    <row hidden="true" r="1535">
      <c r="A1535" s="76" t="s">
        <v>1279</v>
      </c>
      <c r="B1535" s="76" t="s">
        <v>894</v>
      </c>
      <c r="C1535" s="76" t="s">
        <v>1217</v>
      </c>
      <c r="D1535" s="75"/>
    </row>
    <row hidden="true" r="1536">
      <c r="A1536" s="76" t="s">
        <v>1279</v>
      </c>
      <c r="B1536" s="76" t="s">
        <v>896</v>
      </c>
      <c r="C1536" s="76" t="s">
        <v>1229</v>
      </c>
      <c r="D1536" s="75"/>
    </row>
    <row hidden="true" r="1537">
      <c r="A1537" s="76" t="s">
        <v>1279</v>
      </c>
      <c r="B1537" s="76" t="s">
        <v>898</v>
      </c>
      <c r="C1537" s="76" t="s">
        <v>899</v>
      </c>
      <c r="D1537" s="75"/>
    </row>
    <row hidden="true" r="1538">
      <c r="A1538" s="76" t="s">
        <v>1279</v>
      </c>
      <c r="B1538" s="76" t="s">
        <v>900</v>
      </c>
      <c r="C1538" s="76" t="s">
        <v>1230</v>
      </c>
      <c r="D1538" s="75"/>
    </row>
    <row hidden="true" r="1539">
      <c r="A1539" s="76" t="s">
        <v>1279</v>
      </c>
      <c r="B1539" s="76" t="s">
        <v>902</v>
      </c>
      <c r="C1539" s="76" t="s">
        <v>903</v>
      </c>
      <c r="D1539" s="75"/>
    </row>
    <row hidden="true" r="1540">
      <c r="A1540" s="76" t="s">
        <v>1279</v>
      </c>
      <c r="B1540" s="76" t="s">
        <v>904</v>
      </c>
      <c r="C1540" s="76" t="s">
        <v>905</v>
      </c>
      <c r="D1540" s="75"/>
    </row>
    <row hidden="true" r="1541">
      <c r="A1541" s="76" t="s">
        <v>1279</v>
      </c>
      <c r="B1541" s="76" t="s">
        <v>906</v>
      </c>
      <c r="C1541" s="76" t="s">
        <v>1231</v>
      </c>
      <c r="D1541" s="75"/>
    </row>
    <row hidden="true" r="1542">
      <c r="A1542" s="76" t="s">
        <v>1279</v>
      </c>
      <c r="B1542" s="76" t="s">
        <v>908</v>
      </c>
      <c r="C1542" s="76" t="s">
        <v>909</v>
      </c>
      <c r="D1542" s="75"/>
    </row>
    <row hidden="true" r="1543">
      <c r="A1543" s="76" t="s">
        <v>1279</v>
      </c>
      <c r="B1543" s="76" t="s">
        <v>910</v>
      </c>
      <c r="C1543" s="76" t="s">
        <v>911</v>
      </c>
      <c r="D1543" s="75"/>
    </row>
    <row hidden="true" r="1544">
      <c r="A1544" s="76" t="s">
        <v>1279</v>
      </c>
      <c r="B1544" s="76" t="s">
        <v>912</v>
      </c>
      <c r="C1544" s="76" t="s">
        <v>913</v>
      </c>
      <c r="D1544" s="75"/>
    </row>
    <row hidden="true" r="1545">
      <c r="A1545" s="76" t="s">
        <v>1279</v>
      </c>
      <c r="B1545" s="76" t="s">
        <v>914</v>
      </c>
      <c r="C1545" s="76" t="s">
        <v>915</v>
      </c>
      <c r="D1545" s="75"/>
    </row>
    <row hidden="true" r="1546">
      <c r="A1546" s="76" t="s">
        <v>1279</v>
      </c>
      <c r="B1546" s="76" t="s">
        <v>916</v>
      </c>
      <c r="C1546" s="76" t="s">
        <v>917</v>
      </c>
      <c r="D1546" s="75"/>
    </row>
    <row hidden="true" r="1547">
      <c r="A1547" s="76" t="s">
        <v>1279</v>
      </c>
      <c r="B1547" s="76" t="s">
        <v>918</v>
      </c>
      <c r="C1547" s="76" t="s">
        <v>919</v>
      </c>
      <c r="D1547" s="75"/>
    </row>
    <row hidden="true" r="1548">
      <c r="A1548" s="76" t="s">
        <v>1279</v>
      </c>
      <c r="B1548" s="76" t="s">
        <v>920</v>
      </c>
      <c r="C1548" s="76" t="s">
        <v>921</v>
      </c>
      <c r="D1548" s="75"/>
    </row>
    <row hidden="true" r="1549">
      <c r="A1549" s="76" t="s">
        <v>1279</v>
      </c>
      <c r="B1549" s="76" t="s">
        <v>922</v>
      </c>
      <c r="C1549" s="76" t="s">
        <v>923</v>
      </c>
      <c r="D1549" s="75"/>
    </row>
    <row hidden="true" r="1550">
      <c r="A1550" s="76" t="s">
        <v>1279</v>
      </c>
      <c r="B1550" s="76" t="s">
        <v>924</v>
      </c>
      <c r="C1550" s="76" t="s">
        <v>925</v>
      </c>
      <c r="D1550" s="75"/>
    </row>
    <row hidden="true" r="1551">
      <c r="A1551" s="76" t="s">
        <v>1279</v>
      </c>
      <c r="B1551" s="76" t="s">
        <v>926</v>
      </c>
      <c r="C1551" s="76" t="s">
        <v>927</v>
      </c>
      <c r="D1551" s="75"/>
    </row>
    <row hidden="true" r="1552">
      <c r="A1552" s="76" t="s">
        <v>1279</v>
      </c>
      <c r="B1552" s="76" t="s">
        <v>928</v>
      </c>
      <c r="C1552" s="76" t="s">
        <v>929</v>
      </c>
      <c r="D1552" s="75"/>
    </row>
    <row hidden="true" r="1553">
      <c r="A1553" s="76" t="s">
        <v>1279</v>
      </c>
      <c r="B1553" s="76" t="s">
        <v>930</v>
      </c>
      <c r="C1553" s="76" t="s">
        <v>931</v>
      </c>
      <c r="D1553" s="75"/>
    </row>
    <row hidden="true" r="1554">
      <c r="A1554" s="76" t="s">
        <v>1279</v>
      </c>
      <c r="B1554" s="76" t="s">
        <v>932</v>
      </c>
      <c r="C1554" s="76" t="s">
        <v>933</v>
      </c>
      <c r="D1554" s="75"/>
    </row>
    <row hidden="true" r="1555">
      <c r="A1555" s="76" t="s">
        <v>1279</v>
      </c>
      <c r="B1555" s="76" t="s">
        <v>934</v>
      </c>
      <c r="C1555" s="76" t="s">
        <v>935</v>
      </c>
      <c r="D1555" s="75"/>
    </row>
    <row hidden="true" r="1556">
      <c r="A1556" s="76" t="s">
        <v>1279</v>
      </c>
      <c r="B1556" s="76" t="s">
        <v>936</v>
      </c>
      <c r="C1556" s="76" t="s">
        <v>937</v>
      </c>
      <c r="D1556" s="75"/>
    </row>
    <row hidden="true" r="1557">
      <c r="A1557" s="76" t="s">
        <v>1279</v>
      </c>
      <c r="B1557" s="76" t="s">
        <v>938</v>
      </c>
      <c r="C1557" s="76" t="s">
        <v>939</v>
      </c>
      <c r="D1557" s="75"/>
    </row>
    <row hidden="true" r="1558">
      <c r="A1558" s="76" t="s">
        <v>1279</v>
      </c>
      <c r="B1558" s="76" t="s">
        <v>940</v>
      </c>
      <c r="C1558" s="76" t="s">
        <v>1232</v>
      </c>
      <c r="D1558" s="75"/>
    </row>
    <row hidden="true" r="1559">
      <c r="A1559" s="76" t="s">
        <v>1279</v>
      </c>
      <c r="B1559" s="76" t="s">
        <v>942</v>
      </c>
      <c r="C1559" s="76" t="s">
        <v>943</v>
      </c>
      <c r="D1559" s="75"/>
    </row>
    <row hidden="true" r="1560">
      <c r="A1560" s="76" t="s">
        <v>1279</v>
      </c>
      <c r="B1560" s="76" t="s">
        <v>944</v>
      </c>
      <c r="C1560" s="76" t="s">
        <v>945</v>
      </c>
      <c r="D1560" s="75"/>
    </row>
    <row hidden="true" r="1561">
      <c r="A1561" s="76" t="s">
        <v>1279</v>
      </c>
      <c r="B1561" s="76" t="s">
        <v>946</v>
      </c>
      <c r="C1561" s="76" t="s">
        <v>1233</v>
      </c>
      <c r="D1561" s="75"/>
    </row>
    <row hidden="true" r="1562">
      <c r="A1562" s="76" t="s">
        <v>1279</v>
      </c>
      <c r="B1562" s="76" t="s">
        <v>948</v>
      </c>
      <c r="C1562" s="76" t="s">
        <v>1222</v>
      </c>
      <c r="D1562" s="75"/>
    </row>
    <row hidden="true" r="1563">
      <c r="A1563" s="76" t="s">
        <v>1279</v>
      </c>
      <c r="B1563" s="76" t="s">
        <v>950</v>
      </c>
      <c r="C1563" s="76" t="s">
        <v>951</v>
      </c>
      <c r="D1563" s="75"/>
    </row>
    <row hidden="true" r="1564">
      <c r="A1564" s="76" t="s">
        <v>1279</v>
      </c>
      <c r="B1564" s="76" t="s">
        <v>952</v>
      </c>
      <c r="C1564" s="76" t="s">
        <v>953</v>
      </c>
      <c r="D1564" s="75"/>
    </row>
    <row hidden="true" r="1565">
      <c r="A1565" s="76" t="s">
        <v>1279</v>
      </c>
      <c r="B1565" s="76" t="s">
        <v>954</v>
      </c>
      <c r="C1565" s="76" t="s">
        <v>955</v>
      </c>
      <c r="D1565" s="75"/>
    </row>
    <row hidden="true" r="1566">
      <c r="A1566" s="76" t="s">
        <v>1279</v>
      </c>
      <c r="B1566" s="76" t="s">
        <v>775</v>
      </c>
      <c r="C1566" s="76" t="s">
        <v>1234</v>
      </c>
      <c r="D1566" s="75"/>
    </row>
    <row hidden="true" r="1567">
      <c r="A1567" s="76" t="s">
        <v>1279</v>
      </c>
      <c r="B1567" s="76" t="s">
        <v>956</v>
      </c>
      <c r="C1567" s="76" t="s">
        <v>957</v>
      </c>
      <c r="D1567" s="75"/>
    </row>
    <row hidden="true" r="1568">
      <c r="A1568" s="76" t="s">
        <v>1279</v>
      </c>
      <c r="B1568" s="76" t="s">
        <v>958</v>
      </c>
      <c r="C1568" s="76" t="s">
        <v>959</v>
      </c>
      <c r="D1568" s="75"/>
    </row>
    <row hidden="true" r="1569">
      <c r="A1569" s="76" t="s">
        <v>1279</v>
      </c>
      <c r="B1569" s="76" t="s">
        <v>960</v>
      </c>
      <c r="C1569" s="76" t="s">
        <v>961</v>
      </c>
      <c r="D1569" s="75"/>
    </row>
    <row hidden="true" r="1570">
      <c r="A1570" s="76" t="s">
        <v>1279</v>
      </c>
      <c r="B1570" s="76" t="s">
        <v>962</v>
      </c>
      <c r="C1570" s="76" t="s">
        <v>1235</v>
      </c>
      <c r="D1570" s="75"/>
    </row>
    <row hidden="true" r="1571">
      <c r="A1571" s="76" t="s">
        <v>1279</v>
      </c>
      <c r="B1571" s="76" t="s">
        <v>964</v>
      </c>
      <c r="C1571" s="76" t="s">
        <v>1236</v>
      </c>
      <c r="D1571" s="75"/>
    </row>
    <row hidden="true" r="1572">
      <c r="A1572" s="76" t="s">
        <v>1279</v>
      </c>
      <c r="B1572" s="76" t="s">
        <v>966</v>
      </c>
      <c r="C1572" s="76" t="s">
        <v>967</v>
      </c>
      <c r="D1572" s="75"/>
    </row>
    <row hidden="true" r="1573">
      <c r="A1573" s="76" t="s">
        <v>1279</v>
      </c>
      <c r="B1573" s="76" t="s">
        <v>968</v>
      </c>
      <c r="C1573" s="76" t="s">
        <v>969</v>
      </c>
      <c r="D1573" s="75"/>
    </row>
    <row hidden="true" r="1574">
      <c r="A1574" s="76" t="s">
        <v>1279</v>
      </c>
      <c r="B1574" s="76" t="s">
        <v>970</v>
      </c>
      <c r="C1574" s="76" t="s">
        <v>971</v>
      </c>
      <c r="D1574" s="75"/>
    </row>
    <row hidden="true" r="1575">
      <c r="A1575" s="76" t="s">
        <v>1279</v>
      </c>
      <c r="B1575" s="76" t="s">
        <v>972</v>
      </c>
      <c r="C1575" s="76" t="s">
        <v>1237</v>
      </c>
      <c r="D1575" s="75"/>
    </row>
    <row hidden="true" r="1576">
      <c r="A1576" s="76" t="s">
        <v>1279</v>
      </c>
      <c r="B1576" s="76" t="s">
        <v>974</v>
      </c>
      <c r="C1576" s="76" t="s">
        <v>975</v>
      </c>
      <c r="D1576" s="75"/>
    </row>
    <row hidden="true" r="1577">
      <c r="A1577" s="76" t="s">
        <v>1279</v>
      </c>
      <c r="B1577" s="76" t="s">
        <v>976</v>
      </c>
      <c r="C1577" s="76" t="s">
        <v>977</v>
      </c>
      <c r="D1577" s="75"/>
    </row>
    <row hidden="true" r="1578">
      <c r="A1578" s="76" t="s">
        <v>1279</v>
      </c>
      <c r="B1578" s="76" t="s">
        <v>823</v>
      </c>
      <c r="C1578" s="76" t="s">
        <v>824</v>
      </c>
      <c r="D1578" s="75"/>
    </row>
    <row hidden="true" r="1579">
      <c r="A1579" s="76" t="s">
        <v>1279</v>
      </c>
      <c r="B1579" s="76" t="s">
        <v>978</v>
      </c>
      <c r="C1579" s="76" t="s">
        <v>1238</v>
      </c>
      <c r="D1579" s="75"/>
    </row>
    <row hidden="true" r="1580">
      <c r="A1580" s="76" t="s">
        <v>1279</v>
      </c>
      <c r="B1580" s="76" t="s">
        <v>980</v>
      </c>
      <c r="C1580" s="76" t="s">
        <v>981</v>
      </c>
      <c r="D1580" s="75"/>
    </row>
    <row hidden="true" r="1581">
      <c r="A1581" s="76" t="s">
        <v>1279</v>
      </c>
      <c r="B1581" s="76" t="s">
        <v>982</v>
      </c>
      <c r="C1581" s="76" t="s">
        <v>983</v>
      </c>
      <c r="D1581" s="75"/>
    </row>
    <row hidden="true" r="1582">
      <c r="A1582" s="76" t="s">
        <v>1279</v>
      </c>
      <c r="B1582" s="76" t="s">
        <v>984</v>
      </c>
      <c r="C1582" s="76" t="s">
        <v>985</v>
      </c>
      <c r="D1582" s="75"/>
    </row>
    <row hidden="true" r="1583">
      <c r="A1583" s="76" t="s">
        <v>1279</v>
      </c>
      <c r="B1583" s="76" t="s">
        <v>986</v>
      </c>
      <c r="C1583" s="76" t="s">
        <v>987</v>
      </c>
      <c r="D1583" s="75"/>
    </row>
    <row hidden="true" r="1584">
      <c r="A1584" s="76" t="s">
        <v>1279</v>
      </c>
      <c r="B1584" s="76" t="s">
        <v>988</v>
      </c>
      <c r="C1584" s="76" t="s">
        <v>989</v>
      </c>
      <c r="D1584" s="75"/>
    </row>
    <row hidden="true" r="1585">
      <c r="A1585" s="76" t="s">
        <v>1279</v>
      </c>
      <c r="B1585" s="76" t="s">
        <v>990</v>
      </c>
      <c r="C1585" s="76" t="s">
        <v>991</v>
      </c>
      <c r="D1585" s="75"/>
    </row>
    <row hidden="true" r="1586">
      <c r="A1586" s="76" t="s">
        <v>1279</v>
      </c>
      <c r="B1586" s="76" t="s">
        <v>992</v>
      </c>
      <c r="C1586" s="76" t="s">
        <v>993</v>
      </c>
      <c r="D1586" s="75"/>
    </row>
    <row hidden="true" r="1587">
      <c r="A1587" s="76" t="s">
        <v>1279</v>
      </c>
      <c r="B1587" s="76" t="s">
        <v>994</v>
      </c>
      <c r="C1587" s="76" t="s">
        <v>995</v>
      </c>
      <c r="D1587" s="75"/>
    </row>
    <row hidden="true" r="1588">
      <c r="A1588" s="76" t="s">
        <v>1279</v>
      </c>
      <c r="B1588" s="76" t="s">
        <v>996</v>
      </c>
      <c r="C1588" s="76" t="s">
        <v>997</v>
      </c>
      <c r="D1588" s="75"/>
    </row>
    <row hidden="true" r="1589">
      <c r="A1589" s="76" t="s">
        <v>1279</v>
      </c>
      <c r="B1589" s="76" t="s">
        <v>998</v>
      </c>
      <c r="C1589" s="76" t="s">
        <v>1239</v>
      </c>
      <c r="D1589" s="75"/>
    </row>
    <row hidden="true" r="1590">
      <c r="A1590" s="76" t="s">
        <v>1279</v>
      </c>
      <c r="B1590" s="76" t="s">
        <v>1000</v>
      </c>
      <c r="C1590" s="76" t="s">
        <v>1001</v>
      </c>
      <c r="D1590" s="75"/>
    </row>
    <row hidden="true" r="1591">
      <c r="A1591" s="76" t="s">
        <v>1279</v>
      </c>
      <c r="B1591" s="76" t="s">
        <v>1002</v>
      </c>
      <c r="C1591" s="76" t="s">
        <v>1003</v>
      </c>
      <c r="D1591" s="75"/>
    </row>
    <row hidden="true" r="1592">
      <c r="A1592" s="76" t="s">
        <v>1279</v>
      </c>
      <c r="B1592" s="76" t="s">
        <v>1004</v>
      </c>
      <c r="C1592" s="76" t="s">
        <v>1005</v>
      </c>
      <c r="D1592" s="75"/>
    </row>
    <row hidden="true" r="1593">
      <c r="A1593" s="76" t="s">
        <v>1279</v>
      </c>
      <c r="B1593" s="76" t="s">
        <v>1006</v>
      </c>
      <c r="C1593" s="76" t="s">
        <v>1007</v>
      </c>
      <c r="D1593" s="75"/>
    </row>
    <row hidden="true" r="1594">
      <c r="A1594" s="76" t="s">
        <v>1279</v>
      </c>
      <c r="B1594" s="76" t="s">
        <v>1008</v>
      </c>
      <c r="C1594" s="76" t="s">
        <v>1009</v>
      </c>
      <c r="D1594" s="75"/>
    </row>
    <row hidden="true" r="1595">
      <c r="A1595" s="76" t="s">
        <v>1279</v>
      </c>
      <c r="B1595" s="76" t="s">
        <v>1010</v>
      </c>
      <c r="C1595" s="76" t="s">
        <v>1011</v>
      </c>
      <c r="D1595" s="75"/>
    </row>
    <row hidden="true" r="1596">
      <c r="A1596" s="76" t="s">
        <v>1279</v>
      </c>
      <c r="B1596" s="76" t="s">
        <v>1012</v>
      </c>
      <c r="C1596" s="76" t="s">
        <v>1013</v>
      </c>
      <c r="D1596" s="75"/>
    </row>
    <row hidden="true" r="1597">
      <c r="A1597" s="76" t="s">
        <v>1279</v>
      </c>
      <c r="B1597" s="76" t="s">
        <v>1014</v>
      </c>
      <c r="C1597" s="76" t="s">
        <v>1015</v>
      </c>
      <c r="D1597" s="75"/>
    </row>
    <row hidden="true" r="1598">
      <c r="A1598" s="76" t="s">
        <v>1279</v>
      </c>
      <c r="B1598" s="76" t="s">
        <v>1016</v>
      </c>
      <c r="C1598" s="76" t="s">
        <v>1017</v>
      </c>
      <c r="D1598" s="75"/>
    </row>
    <row hidden="true" r="1599">
      <c r="A1599" s="76" t="s">
        <v>1279</v>
      </c>
      <c r="B1599" s="76" t="s">
        <v>1018</v>
      </c>
      <c r="C1599" s="76" t="s">
        <v>1019</v>
      </c>
      <c r="D1599" s="75"/>
    </row>
    <row hidden="true" r="1600">
      <c r="A1600" s="76" t="s">
        <v>1279</v>
      </c>
      <c r="B1600" s="76" t="s">
        <v>1020</v>
      </c>
      <c r="C1600" s="76" t="s">
        <v>1021</v>
      </c>
      <c r="D1600" s="75"/>
    </row>
    <row hidden="true" r="1601">
      <c r="A1601" s="76" t="s">
        <v>1279</v>
      </c>
      <c r="B1601" s="76" t="s">
        <v>1022</v>
      </c>
      <c r="C1601" s="76" t="s">
        <v>1017</v>
      </c>
      <c r="D1601" s="75"/>
    </row>
    <row hidden="true" r="1602">
      <c r="A1602" s="76" t="s">
        <v>1279</v>
      </c>
      <c r="B1602" s="76" t="s">
        <v>1023</v>
      </c>
      <c r="C1602" s="76" t="s">
        <v>1019</v>
      </c>
      <c r="D1602" s="75"/>
    </row>
    <row hidden="true" r="1603">
      <c r="A1603" s="76" t="s">
        <v>1279</v>
      </c>
      <c r="B1603" s="76" t="s">
        <v>1024</v>
      </c>
      <c r="C1603" s="76" t="s">
        <v>1021</v>
      </c>
      <c r="D1603" s="75"/>
    </row>
    <row hidden="true" r="1604">
      <c r="A1604" s="76" t="s">
        <v>1279</v>
      </c>
      <c r="B1604" s="76" t="s">
        <v>1025</v>
      </c>
      <c r="C1604" s="76" t="s">
        <v>1017</v>
      </c>
      <c r="D1604" s="75"/>
    </row>
    <row hidden="true" r="1605">
      <c r="A1605" s="76" t="s">
        <v>1279</v>
      </c>
      <c r="B1605" s="76" t="s">
        <v>1026</v>
      </c>
      <c r="C1605" s="76" t="s">
        <v>1019</v>
      </c>
      <c r="D1605" s="75"/>
    </row>
    <row hidden="true" r="1606">
      <c r="A1606" s="76" t="s">
        <v>1279</v>
      </c>
      <c r="B1606" s="76" t="s">
        <v>1027</v>
      </c>
      <c r="C1606" s="76" t="s">
        <v>1021</v>
      </c>
      <c r="D1606" s="75"/>
    </row>
    <row hidden="true" r="1607">
      <c r="A1607" s="76" t="s">
        <v>1279</v>
      </c>
      <c r="B1607" s="76" t="s">
        <v>1028</v>
      </c>
      <c r="C1607" s="76" t="s">
        <v>1029</v>
      </c>
      <c r="D1607" s="75"/>
    </row>
    <row hidden="true" r="1608">
      <c r="A1608" s="76" t="s">
        <v>1279</v>
      </c>
      <c r="B1608" s="76" t="s">
        <v>530</v>
      </c>
      <c r="C1608" s="76" t="s">
        <v>1240</v>
      </c>
      <c r="D1608" s="75"/>
    </row>
    <row hidden="true" r="1609">
      <c r="A1609" s="76" t="s">
        <v>1279</v>
      </c>
      <c r="B1609" s="76" t="s">
        <v>1030</v>
      </c>
      <c r="C1609" s="76" t="s">
        <v>1031</v>
      </c>
      <c r="D1609" s="75"/>
    </row>
    <row hidden="true" r="1610">
      <c r="A1610" s="76" t="s">
        <v>1279</v>
      </c>
      <c r="B1610" s="76" t="s">
        <v>1032</v>
      </c>
      <c r="C1610" s="76" t="s">
        <v>1033</v>
      </c>
      <c r="D1610" s="75"/>
    </row>
    <row hidden="true" r="1611">
      <c r="A1611" s="76" t="s">
        <v>1279</v>
      </c>
      <c r="B1611" s="76" t="s">
        <v>1034</v>
      </c>
      <c r="C1611" s="76" t="s">
        <v>1035</v>
      </c>
      <c r="D1611" s="75"/>
    </row>
    <row hidden="true" r="1612">
      <c r="A1612" s="76" t="s">
        <v>1279</v>
      </c>
      <c r="B1612" s="76" t="s">
        <v>532</v>
      </c>
      <c r="C1612" s="76" t="s">
        <v>533</v>
      </c>
      <c r="D1612" s="75"/>
    </row>
    <row hidden="true" r="1613">
      <c r="A1613" s="76" t="s">
        <v>1279</v>
      </c>
      <c r="B1613" s="76" t="s">
        <v>1036</v>
      </c>
      <c r="C1613" s="76" t="s">
        <v>1037</v>
      </c>
      <c r="D1613" s="75"/>
    </row>
    <row hidden="true" r="1614">
      <c r="A1614" s="76" t="s">
        <v>1279</v>
      </c>
      <c r="B1614" s="76" t="s">
        <v>1038</v>
      </c>
      <c r="C1614" s="76" t="s">
        <v>1039</v>
      </c>
      <c r="D1614" s="75"/>
    </row>
    <row hidden="true" r="1615">
      <c r="A1615" s="76" t="s">
        <v>1279</v>
      </c>
      <c r="B1615" s="76" t="s">
        <v>1040</v>
      </c>
      <c r="C1615" s="76" t="s">
        <v>1041</v>
      </c>
      <c r="D1615" s="75"/>
    </row>
    <row hidden="true" r="1616">
      <c r="A1616" s="76" t="s">
        <v>1279</v>
      </c>
      <c r="B1616" s="76" t="s">
        <v>1042</v>
      </c>
      <c r="C1616" s="76" t="s">
        <v>1043</v>
      </c>
      <c r="D1616" s="75"/>
    </row>
    <row hidden="true" r="1617">
      <c r="A1617" s="76" t="s">
        <v>1279</v>
      </c>
      <c r="B1617" s="76" t="s">
        <v>1044</v>
      </c>
      <c r="C1617" s="76" t="s">
        <v>1045</v>
      </c>
      <c r="D1617" s="75"/>
    </row>
    <row hidden="true" r="1618">
      <c r="A1618" s="76" t="s">
        <v>1279</v>
      </c>
      <c r="B1618" s="76" t="s">
        <v>1046</v>
      </c>
      <c r="C1618" s="76" t="s">
        <v>1047</v>
      </c>
      <c r="D1618" s="75"/>
    </row>
    <row hidden="true" r="1619">
      <c r="A1619" s="76" t="s">
        <v>1279</v>
      </c>
      <c r="B1619" s="76" t="s">
        <v>1048</v>
      </c>
      <c r="C1619" s="76" t="s">
        <v>1241</v>
      </c>
      <c r="D1619" s="75"/>
    </row>
    <row hidden="true" r="1620">
      <c r="A1620" s="76" t="s">
        <v>1279</v>
      </c>
      <c r="B1620" s="76" t="s">
        <v>1050</v>
      </c>
      <c r="C1620" s="76" t="s">
        <v>1051</v>
      </c>
      <c r="D1620" s="75"/>
    </row>
    <row hidden="true" r="1621">
      <c r="A1621" s="76" t="s">
        <v>1279</v>
      </c>
      <c r="B1621" s="76" t="s">
        <v>1052</v>
      </c>
      <c r="C1621" s="76" t="s">
        <v>1053</v>
      </c>
      <c r="D1621" s="75"/>
    </row>
    <row hidden="true" r="1622">
      <c r="A1622" s="76" t="s">
        <v>1279</v>
      </c>
      <c r="B1622" s="76" t="s">
        <v>1054</v>
      </c>
      <c r="C1622" s="76" t="s">
        <v>1055</v>
      </c>
      <c r="D1622" s="75"/>
    </row>
    <row hidden="true" r="1623">
      <c r="A1623" s="76" t="s">
        <v>1279</v>
      </c>
      <c r="B1623" s="76" t="s">
        <v>1056</v>
      </c>
      <c r="C1623" s="76" t="s">
        <v>1057</v>
      </c>
      <c r="D1623" s="75"/>
    </row>
    <row hidden="true" r="1624">
      <c r="A1624" s="76" t="s">
        <v>1279</v>
      </c>
      <c r="B1624" s="76" t="s">
        <v>1058</v>
      </c>
      <c r="C1624" s="76" t="s">
        <v>1059</v>
      </c>
      <c r="D1624" s="75"/>
    </row>
    <row hidden="true" r="1625">
      <c r="A1625" s="76" t="s">
        <v>1279</v>
      </c>
      <c r="B1625" s="76" t="s">
        <v>1060</v>
      </c>
      <c r="C1625" s="76" t="s">
        <v>1061</v>
      </c>
      <c r="D1625" s="75"/>
    </row>
    <row hidden="true" r="1626">
      <c r="A1626" s="76" t="s">
        <v>1279</v>
      </c>
      <c r="B1626" s="76" t="s">
        <v>1062</v>
      </c>
      <c r="C1626" s="76" t="s">
        <v>1063</v>
      </c>
      <c r="D1626" s="75"/>
    </row>
    <row hidden="true" r="1627">
      <c r="A1627" s="76" t="s">
        <v>1279</v>
      </c>
      <c r="B1627" s="76" t="s">
        <v>1064</v>
      </c>
      <c r="C1627" s="76" t="s">
        <v>1065</v>
      </c>
      <c r="D1627" s="75"/>
    </row>
    <row hidden="true" r="1628">
      <c r="A1628" s="76" t="s">
        <v>1279</v>
      </c>
      <c r="B1628" s="76" t="s">
        <v>1066</v>
      </c>
      <c r="C1628" s="76" t="s">
        <v>1067</v>
      </c>
      <c r="D1628" s="75"/>
    </row>
    <row hidden="true" r="1629">
      <c r="A1629" s="76" t="s">
        <v>1279</v>
      </c>
      <c r="B1629" s="76" t="s">
        <v>1068</v>
      </c>
      <c r="C1629" s="76" t="s">
        <v>1069</v>
      </c>
      <c r="D1629" s="75"/>
    </row>
    <row hidden="true" r="1630">
      <c r="A1630" s="76" t="s">
        <v>1279</v>
      </c>
      <c r="B1630" s="76" t="s">
        <v>1070</v>
      </c>
      <c r="C1630" s="76" t="s">
        <v>1069</v>
      </c>
      <c r="D1630" s="75"/>
    </row>
    <row hidden="true" r="1631">
      <c r="A1631" s="76" t="s">
        <v>1279</v>
      </c>
      <c r="B1631" s="76" t="s">
        <v>1071</v>
      </c>
      <c r="C1631" s="76" t="s">
        <v>1069</v>
      </c>
      <c r="D1631" s="75"/>
    </row>
    <row hidden="true" r="1632">
      <c r="A1632" s="76" t="s">
        <v>1279</v>
      </c>
      <c r="B1632" s="76" t="s">
        <v>1072</v>
      </c>
      <c r="C1632" s="76" t="s">
        <v>1073</v>
      </c>
      <c r="D1632" s="75"/>
    </row>
    <row hidden="true" r="1633">
      <c r="A1633" s="76" t="s">
        <v>1279</v>
      </c>
      <c r="B1633" s="76" t="s">
        <v>1074</v>
      </c>
      <c r="C1633" s="76" t="s">
        <v>1073</v>
      </c>
      <c r="D1633" s="75"/>
    </row>
    <row hidden="true" r="1634">
      <c r="A1634" s="76" t="s">
        <v>1279</v>
      </c>
      <c r="B1634" s="76" t="s">
        <v>1075</v>
      </c>
      <c r="C1634" s="76" t="s">
        <v>1073</v>
      </c>
      <c r="D1634" s="75"/>
    </row>
    <row hidden="true" r="1635">
      <c r="A1635" s="76" t="s">
        <v>1279</v>
      </c>
      <c r="B1635" s="76" t="s">
        <v>1076</v>
      </c>
      <c r="C1635" s="76" t="s">
        <v>1077</v>
      </c>
      <c r="D1635" s="75"/>
    </row>
    <row hidden="true" r="1636">
      <c r="A1636" s="76" t="s">
        <v>1279</v>
      </c>
      <c r="B1636" s="76" t="s">
        <v>1078</v>
      </c>
      <c r="C1636" s="76" t="s">
        <v>1079</v>
      </c>
      <c r="D1636" s="75"/>
    </row>
    <row hidden="true" r="1637">
      <c r="A1637" s="76" t="s">
        <v>1279</v>
      </c>
      <c r="B1637" s="76" t="s">
        <v>839</v>
      </c>
      <c r="C1637" s="76" t="s">
        <v>840</v>
      </c>
      <c r="D1637" s="75"/>
    </row>
    <row hidden="true" r="1638">
      <c r="A1638" s="76" t="s">
        <v>1279</v>
      </c>
      <c r="B1638" s="76" t="s">
        <v>1080</v>
      </c>
      <c r="C1638" s="76" t="s">
        <v>1081</v>
      </c>
      <c r="D1638" s="75"/>
    </row>
    <row hidden="true" r="1639">
      <c r="A1639" s="76" t="s">
        <v>1279</v>
      </c>
      <c r="B1639" s="76" t="s">
        <v>1082</v>
      </c>
      <c r="C1639" s="76" t="s">
        <v>1083</v>
      </c>
      <c r="D1639" s="75"/>
    </row>
    <row hidden="true" r="1640">
      <c r="A1640" s="76" t="s">
        <v>1279</v>
      </c>
      <c r="B1640" s="76" t="s">
        <v>1084</v>
      </c>
      <c r="C1640" s="76" t="s">
        <v>1085</v>
      </c>
      <c r="D1640" s="75"/>
    </row>
    <row hidden="true" r="1641">
      <c r="A1641" s="76" t="s">
        <v>1279</v>
      </c>
      <c r="B1641" s="76" t="s">
        <v>1086</v>
      </c>
      <c r="C1641" s="76" t="s">
        <v>1087</v>
      </c>
      <c r="D1641" s="75"/>
    </row>
    <row hidden="true" r="1642">
      <c r="A1642" s="76" t="s">
        <v>1279</v>
      </c>
      <c r="B1642" s="76" t="s">
        <v>1088</v>
      </c>
      <c r="C1642" s="76" t="s">
        <v>1089</v>
      </c>
      <c r="D1642" s="75"/>
    </row>
    <row hidden="true" r="1643">
      <c r="A1643" s="76" t="s">
        <v>1279</v>
      </c>
      <c r="B1643" s="76" t="s">
        <v>1090</v>
      </c>
      <c r="C1643" s="76" t="s">
        <v>1091</v>
      </c>
      <c r="D1643" s="75"/>
    </row>
    <row hidden="true" r="1644">
      <c r="A1644" s="76" t="s">
        <v>1279</v>
      </c>
      <c r="B1644" s="76" t="s">
        <v>1092</v>
      </c>
      <c r="C1644" s="76" t="s">
        <v>1091</v>
      </c>
      <c r="D1644" s="75"/>
    </row>
    <row hidden="true" r="1645">
      <c r="A1645" s="76" t="s">
        <v>1279</v>
      </c>
      <c r="B1645" s="76" t="s">
        <v>1093</v>
      </c>
      <c r="C1645" s="76" t="s">
        <v>1094</v>
      </c>
      <c r="D1645" s="75"/>
    </row>
    <row hidden="true" r="1646">
      <c r="A1646" s="76" t="s">
        <v>1279</v>
      </c>
      <c r="B1646" s="76" t="s">
        <v>1095</v>
      </c>
      <c r="C1646" s="76" t="s">
        <v>1096</v>
      </c>
      <c r="D1646" s="75"/>
    </row>
    <row hidden="true" r="1647">
      <c r="A1647" s="76" t="s">
        <v>1279</v>
      </c>
      <c r="B1647" s="76" t="s">
        <v>1097</v>
      </c>
      <c r="C1647" s="76" t="s">
        <v>1098</v>
      </c>
      <c r="D1647" s="75"/>
    </row>
    <row hidden="true" r="1648">
      <c r="A1648" s="76" t="s">
        <v>1279</v>
      </c>
      <c r="B1648" s="76" t="s">
        <v>1099</v>
      </c>
      <c r="C1648" s="76" t="s">
        <v>1242</v>
      </c>
      <c r="D1648" s="75"/>
    </row>
    <row hidden="true" r="1649">
      <c r="A1649" s="76" t="s">
        <v>1279</v>
      </c>
      <c r="B1649" s="76" t="s">
        <v>1101</v>
      </c>
      <c r="C1649" s="76" t="s">
        <v>1102</v>
      </c>
      <c r="D1649" s="75"/>
    </row>
    <row hidden="true" r="1650">
      <c r="A1650" s="76" t="s">
        <v>1279</v>
      </c>
      <c r="B1650" s="76" t="s">
        <v>1103</v>
      </c>
      <c r="C1650" s="76" t="s">
        <v>1104</v>
      </c>
      <c r="D1650" s="75"/>
    </row>
    <row hidden="true" r="1651">
      <c r="A1651" s="76" t="s">
        <v>1279</v>
      </c>
      <c r="B1651" s="76" t="s">
        <v>1105</v>
      </c>
      <c r="C1651" s="76" t="s">
        <v>1106</v>
      </c>
      <c r="D1651" s="75"/>
    </row>
    <row hidden="true" r="1652">
      <c r="A1652" s="76" t="s">
        <v>1279</v>
      </c>
      <c r="B1652" s="76" t="s">
        <v>1107</v>
      </c>
      <c r="C1652" s="76" t="s">
        <v>1108</v>
      </c>
      <c r="D1652" s="75"/>
    </row>
    <row hidden="true" r="1653">
      <c r="A1653" s="76" t="s">
        <v>1279</v>
      </c>
      <c r="B1653" s="76" t="s">
        <v>1109</v>
      </c>
      <c r="C1653" s="76" t="s">
        <v>1110</v>
      </c>
      <c r="D1653" s="75"/>
    </row>
    <row hidden="true" r="1654">
      <c r="A1654" s="76" t="s">
        <v>1279</v>
      </c>
      <c r="B1654" s="76" t="s">
        <v>1111</v>
      </c>
      <c r="C1654" s="76" t="s">
        <v>1243</v>
      </c>
      <c r="D1654" s="75"/>
    </row>
    <row hidden="true" r="1655">
      <c r="A1655" s="76" t="s">
        <v>1279</v>
      </c>
      <c r="B1655" s="76" t="s">
        <v>1113</v>
      </c>
      <c r="C1655" s="76" t="s">
        <v>1114</v>
      </c>
      <c r="D1655" s="75"/>
    </row>
    <row hidden="true" r="1656">
      <c r="A1656" s="76" t="s">
        <v>1279</v>
      </c>
      <c r="B1656" s="76" t="s">
        <v>1115</v>
      </c>
      <c r="C1656" s="76" t="s">
        <v>1116</v>
      </c>
      <c r="D1656" s="75"/>
    </row>
    <row hidden="true" r="1657">
      <c r="A1657" s="76" t="s">
        <v>1279</v>
      </c>
      <c r="B1657" s="76" t="s">
        <v>1117</v>
      </c>
      <c r="C1657" s="76" t="s">
        <v>1244</v>
      </c>
      <c r="D1657" s="75"/>
    </row>
    <row hidden="true" r="1658">
      <c r="A1658" s="76" t="s">
        <v>1279</v>
      </c>
      <c r="B1658" s="76" t="s">
        <v>1119</v>
      </c>
      <c r="C1658" s="76" t="s">
        <v>1120</v>
      </c>
      <c r="D1658" s="75"/>
    </row>
    <row hidden="true" r="1659">
      <c r="A1659" s="76" t="s">
        <v>1279</v>
      </c>
      <c r="B1659" s="76" t="s">
        <v>1121</v>
      </c>
      <c r="C1659" s="76" t="s">
        <v>1122</v>
      </c>
      <c r="D1659" s="75"/>
    </row>
    <row hidden="true" r="1660">
      <c r="A1660" s="76" t="s">
        <v>1279</v>
      </c>
      <c r="B1660" s="76" t="s">
        <v>1123</v>
      </c>
      <c r="C1660" s="76" t="s">
        <v>1124</v>
      </c>
      <c r="D1660" s="75"/>
    </row>
    <row hidden="true" r="1661">
      <c r="A1661" s="76" t="s">
        <v>1279</v>
      </c>
      <c r="B1661" s="76" t="s">
        <v>1125</v>
      </c>
      <c r="C1661" s="76" t="s">
        <v>1245</v>
      </c>
      <c r="D1661" s="75"/>
    </row>
    <row hidden="true" r="1662">
      <c r="A1662" s="76" t="s">
        <v>1279</v>
      </c>
      <c r="B1662" s="76" t="s">
        <v>1127</v>
      </c>
      <c r="C1662" s="76" t="s">
        <v>1128</v>
      </c>
      <c r="D1662" s="75"/>
    </row>
    <row hidden="true" r="1663">
      <c r="A1663" s="76" t="s">
        <v>1279</v>
      </c>
      <c r="B1663" s="76" t="s">
        <v>1129</v>
      </c>
      <c r="C1663" s="76" t="s">
        <v>1130</v>
      </c>
      <c r="D1663" s="75"/>
    </row>
    <row hidden="true" r="1664">
      <c r="A1664" s="76" t="s">
        <v>1279</v>
      </c>
      <c r="B1664" s="76" t="s">
        <v>1131</v>
      </c>
      <c r="C1664" s="76" t="s">
        <v>1132</v>
      </c>
      <c r="D1664" s="75"/>
    </row>
    <row hidden="true" r="1665">
      <c r="A1665" s="76" t="s">
        <v>1279</v>
      </c>
      <c r="B1665" s="76" t="s">
        <v>1133</v>
      </c>
      <c r="C1665" s="76" t="s">
        <v>1134</v>
      </c>
      <c r="D1665" s="75"/>
    </row>
    <row hidden="true" r="1666">
      <c r="A1666" s="76" t="s">
        <v>1279</v>
      </c>
      <c r="B1666" s="76" t="s">
        <v>1135</v>
      </c>
      <c r="C1666" s="76" t="s">
        <v>1136</v>
      </c>
      <c r="D1666" s="75"/>
    </row>
    <row hidden="true" r="1667">
      <c r="A1667" s="76" t="s">
        <v>1279</v>
      </c>
      <c r="B1667" s="76" t="s">
        <v>1137</v>
      </c>
      <c r="C1667" s="76" t="s">
        <v>1138</v>
      </c>
      <c r="D1667" s="75"/>
    </row>
    <row hidden="true" r="1668">
      <c r="A1668" s="76" t="s">
        <v>1279</v>
      </c>
      <c r="B1668" s="76" t="s">
        <v>1139</v>
      </c>
      <c r="C1668" s="76" t="s">
        <v>1140</v>
      </c>
      <c r="D1668" s="75"/>
    </row>
    <row hidden="true" r="1669">
      <c r="A1669" s="76" t="s">
        <v>1279</v>
      </c>
      <c r="B1669" s="76" t="s">
        <v>1141</v>
      </c>
      <c r="C1669" s="76" t="s">
        <v>1142</v>
      </c>
      <c r="D1669" s="75"/>
    </row>
    <row hidden="true" r="1670">
      <c r="A1670" s="76" t="s">
        <v>1279</v>
      </c>
      <c r="B1670" s="76" t="s">
        <v>1143</v>
      </c>
      <c r="C1670" s="76" t="s">
        <v>1144</v>
      </c>
      <c r="D1670" s="75"/>
    </row>
    <row hidden="true" r="1671">
      <c r="A1671" s="76" t="s">
        <v>1279</v>
      </c>
      <c r="B1671" s="76" t="s">
        <v>1145</v>
      </c>
      <c r="C1671" s="76" t="s">
        <v>1223</v>
      </c>
      <c r="D1671" s="75"/>
    </row>
    <row hidden="true" r="1672">
      <c r="A1672" s="76" t="s">
        <v>1279</v>
      </c>
      <c r="B1672" s="76" t="s">
        <v>1147</v>
      </c>
      <c r="C1672" s="76" t="s">
        <v>1148</v>
      </c>
      <c r="D1672" s="75"/>
    </row>
    <row hidden="true" r="1673">
      <c r="A1673" s="76" t="s">
        <v>1279</v>
      </c>
      <c r="B1673" s="76" t="s">
        <v>1149</v>
      </c>
      <c r="C1673" s="76" t="s">
        <v>1150</v>
      </c>
      <c r="D1673" s="75"/>
    </row>
    <row hidden="true" r="1674">
      <c r="A1674" s="76" t="s">
        <v>1279</v>
      </c>
      <c r="B1674" s="76" t="s">
        <v>1151</v>
      </c>
      <c r="C1674" s="76" t="s">
        <v>1152</v>
      </c>
      <c r="D1674" s="75"/>
    </row>
    <row hidden="true" r="1675">
      <c r="A1675" s="76" t="s">
        <v>1279</v>
      </c>
      <c r="B1675" s="76" t="s">
        <v>1153</v>
      </c>
      <c r="C1675" s="76" t="s">
        <v>1154</v>
      </c>
      <c r="D1675" s="75"/>
    </row>
    <row hidden="true" r="1676">
      <c r="A1676" s="76" t="s">
        <v>1279</v>
      </c>
      <c r="B1676" s="76" t="s">
        <v>1155</v>
      </c>
      <c r="C1676" s="76" t="s">
        <v>1156</v>
      </c>
      <c r="D1676" s="75"/>
    </row>
    <row hidden="true" r="1677">
      <c r="A1677" s="76" t="s">
        <v>1279</v>
      </c>
      <c r="B1677" s="76" t="s">
        <v>1157</v>
      </c>
      <c r="C1677" s="76" t="s">
        <v>1158</v>
      </c>
      <c r="D1677" s="75"/>
    </row>
    <row hidden="true" r="1678">
      <c r="A1678" s="76" t="s">
        <v>1279</v>
      </c>
      <c r="B1678" s="76" t="s">
        <v>1159</v>
      </c>
      <c r="C1678" s="76" t="s">
        <v>1160</v>
      </c>
      <c r="D1678" s="75"/>
    </row>
    <row hidden="true" r="1679">
      <c r="A1679" s="76" t="s">
        <v>1279</v>
      </c>
      <c r="B1679" s="76" t="s">
        <v>868</v>
      </c>
      <c r="C1679" s="76" t="s">
        <v>869</v>
      </c>
      <c r="D1679" s="75"/>
    </row>
    <row hidden="true" r="1680">
      <c r="A1680" s="76" t="s">
        <v>1279</v>
      </c>
      <c r="B1680" s="76" t="s">
        <v>1161</v>
      </c>
      <c r="C1680" s="76" t="s">
        <v>1162</v>
      </c>
      <c r="D1680" s="75"/>
    </row>
    <row hidden="true" r="1681">
      <c r="A1681" s="76" t="s">
        <v>1279</v>
      </c>
      <c r="B1681" s="76" t="s">
        <v>1163</v>
      </c>
      <c r="C1681" s="76" t="s">
        <v>1164</v>
      </c>
      <c r="D1681" s="75"/>
    </row>
    <row hidden="true" r="1682">
      <c r="A1682" s="76" t="s">
        <v>1279</v>
      </c>
      <c r="B1682" s="76" t="s">
        <v>1165</v>
      </c>
      <c r="C1682" s="76" t="s">
        <v>1166</v>
      </c>
      <c r="D1682" s="75"/>
    </row>
    <row hidden="true" r="1683">
      <c r="A1683" s="76" t="s">
        <v>1279</v>
      </c>
      <c r="B1683" s="76" t="s">
        <v>1167</v>
      </c>
      <c r="C1683" s="76" t="s">
        <v>1246</v>
      </c>
      <c r="D1683" s="75"/>
    </row>
    <row hidden="true" r="1684">
      <c r="A1684" s="76" t="s">
        <v>1279</v>
      </c>
      <c r="B1684" s="76" t="s">
        <v>1169</v>
      </c>
      <c r="C1684" s="76" t="s">
        <v>1170</v>
      </c>
      <c r="D1684" s="75"/>
    </row>
    <row hidden="true" r="1685">
      <c r="A1685" s="76" t="s">
        <v>1279</v>
      </c>
      <c r="B1685" s="76" t="s">
        <v>1171</v>
      </c>
      <c r="C1685" s="76" t="s">
        <v>1172</v>
      </c>
      <c r="D1685" s="75"/>
    </row>
    <row hidden="true" r="1686">
      <c r="A1686" s="76" t="s">
        <v>1279</v>
      </c>
      <c r="B1686" s="76" t="s">
        <v>1173</v>
      </c>
      <c r="C1686" s="76" t="s">
        <v>1247</v>
      </c>
      <c r="D1686" s="75"/>
    </row>
    <row hidden="true" r="1687">
      <c r="A1687" s="76" t="s">
        <v>1279</v>
      </c>
      <c r="B1687" s="76" t="s">
        <v>1175</v>
      </c>
      <c r="C1687" s="76" t="s">
        <v>1176</v>
      </c>
      <c r="D1687" s="75"/>
    </row>
    <row hidden="true" r="1688">
      <c r="A1688" s="76" t="s">
        <v>1279</v>
      </c>
      <c r="B1688" s="76" t="s">
        <v>1177</v>
      </c>
      <c r="C1688" s="76" t="s">
        <v>1178</v>
      </c>
      <c r="D1688" s="75"/>
    </row>
    <row hidden="true" r="1689">
      <c r="A1689" s="76" t="s">
        <v>1279</v>
      </c>
      <c r="B1689" s="76" t="s">
        <v>1179</v>
      </c>
      <c r="C1689" s="76" t="s">
        <v>1180</v>
      </c>
      <c r="D1689" s="75"/>
    </row>
    <row hidden="true" r="1690">
      <c r="A1690" s="76" t="s">
        <v>1279</v>
      </c>
      <c r="B1690" s="76" t="s">
        <v>1181</v>
      </c>
      <c r="C1690" s="76" t="s">
        <v>1182</v>
      </c>
      <c r="D1690" s="75"/>
    </row>
    <row hidden="true" r="1691">
      <c r="A1691" s="76" t="s">
        <v>1279</v>
      </c>
      <c r="B1691" s="76" t="s">
        <v>1183</v>
      </c>
      <c r="C1691" s="76" t="s">
        <v>1184</v>
      </c>
      <c r="D1691" s="75"/>
    </row>
    <row hidden="true" r="1692">
      <c r="A1692" s="76" t="s">
        <v>1279</v>
      </c>
      <c r="B1692" s="76" t="s">
        <v>1185</v>
      </c>
      <c r="C1692" s="76" t="s">
        <v>1186</v>
      </c>
      <c r="D1692" s="75"/>
    </row>
    <row hidden="true" r="1693">
      <c r="A1693" s="76" t="s">
        <v>1279</v>
      </c>
      <c r="B1693" s="76" t="s">
        <v>1187</v>
      </c>
      <c r="C1693" s="76" t="s">
        <v>1188</v>
      </c>
      <c r="D1693" s="75"/>
    </row>
    <row hidden="true" r="1694">
      <c r="A1694" s="76" t="s">
        <v>1279</v>
      </c>
      <c r="B1694" s="76" t="s">
        <v>1199</v>
      </c>
      <c r="C1694" s="76" t="s">
        <v>1200</v>
      </c>
      <c r="D1694" s="75"/>
    </row>
    <row hidden="true" r="1695">
      <c r="A1695" s="76" t="s">
        <v>1279</v>
      </c>
      <c r="B1695" s="76" t="s">
        <v>1201</v>
      </c>
      <c r="C1695" s="76" t="s">
        <v>1202</v>
      </c>
      <c r="D1695" s="75"/>
    </row>
    <row hidden="true" r="1696">
      <c r="A1696" s="76" t="s">
        <v>1279</v>
      </c>
      <c r="B1696" s="76" t="s">
        <v>1203</v>
      </c>
      <c r="C1696" s="76" t="s">
        <v>1204</v>
      </c>
      <c r="D1696" s="75"/>
    </row>
    <row hidden="true" r="1697">
      <c r="A1697" s="76" t="s">
        <v>1279</v>
      </c>
      <c r="B1697" s="76" t="s">
        <v>1205</v>
      </c>
      <c r="C1697" s="76" t="s">
        <v>1206</v>
      </c>
      <c r="D1697" s="75"/>
    </row>
    <row hidden="true" r="1698">
      <c r="A1698" s="76" t="s">
        <v>1279</v>
      </c>
      <c r="B1698" s="76" t="s">
        <v>1207</v>
      </c>
      <c r="C1698" s="76" t="s">
        <v>1208</v>
      </c>
      <c r="D1698" s="75"/>
    </row>
    <row hidden="true" r="1699">
      <c r="A1699" s="76" t="s">
        <v>1279</v>
      </c>
      <c r="B1699" s="76" t="s">
        <v>1209</v>
      </c>
      <c r="C1699" s="76" t="s">
        <v>1210</v>
      </c>
      <c r="D1699" s="75"/>
    </row>
    <row hidden="true" r="1700">
      <c r="A1700" s="76" t="s">
        <v>1279</v>
      </c>
      <c r="B1700" s="76" t="s">
        <v>735</v>
      </c>
      <c r="C1700" s="76"/>
      <c r="D1700" s="75"/>
    </row>
    <row hidden="true" r="1701">
      <c r="A1701" s="76" t="s">
        <v>1280</v>
      </c>
      <c r="B1701" s="76" t="s">
        <v>407</v>
      </c>
      <c r="C1701" s="76" t="s">
        <v>1281</v>
      </c>
      <c r="D1701" s="75"/>
    </row>
    <row hidden="true" r="1702">
      <c r="A1702" s="76" t="s">
        <v>1280</v>
      </c>
      <c r="B1702" s="76" t="s">
        <v>744</v>
      </c>
      <c r="C1702" s="76" t="s">
        <v>1281</v>
      </c>
      <c r="D1702" s="75"/>
    </row>
    <row hidden="true" r="1703">
      <c r="A1703" s="76" t="s">
        <v>1280</v>
      </c>
      <c r="B1703" s="76" t="s">
        <v>409</v>
      </c>
      <c r="C1703" s="76" t="s">
        <v>1281</v>
      </c>
      <c r="D1703" s="75"/>
    </row>
    <row hidden="true" r="1704">
      <c r="A1704" s="76" t="s">
        <v>1280</v>
      </c>
      <c r="B1704" s="76" t="s">
        <v>884</v>
      </c>
      <c r="C1704" s="76" t="s">
        <v>1281</v>
      </c>
      <c r="D1704" s="75"/>
    </row>
    <row hidden="true" r="1705">
      <c r="A1705" s="76" t="s">
        <v>1280</v>
      </c>
      <c r="B1705" s="76" t="s">
        <v>886</v>
      </c>
      <c r="C1705" s="76" t="s">
        <v>1281</v>
      </c>
      <c r="D1705" s="75"/>
    </row>
    <row hidden="true" r="1706">
      <c r="A1706" s="76" t="s">
        <v>1280</v>
      </c>
      <c r="B1706" s="76" t="s">
        <v>888</v>
      </c>
      <c r="C1706" s="76" t="s">
        <v>1281</v>
      </c>
      <c r="D1706" s="75"/>
    </row>
    <row hidden="true" r="1707">
      <c r="A1707" s="76" t="s">
        <v>1280</v>
      </c>
      <c r="B1707" s="76" t="s">
        <v>890</v>
      </c>
      <c r="C1707" s="76" t="s">
        <v>1281</v>
      </c>
      <c r="D1707" s="75"/>
    </row>
    <row hidden="true" r="1708">
      <c r="A1708" s="76" t="s">
        <v>1280</v>
      </c>
      <c r="B1708" s="76" t="s">
        <v>892</v>
      </c>
      <c r="C1708" s="76" t="s">
        <v>1281</v>
      </c>
      <c r="D1708" s="75"/>
    </row>
    <row hidden="true" r="1709">
      <c r="A1709" s="76" t="s">
        <v>1280</v>
      </c>
      <c r="B1709" s="76" t="s">
        <v>894</v>
      </c>
      <c r="C1709" s="76" t="s">
        <v>1281</v>
      </c>
      <c r="D1709" s="75"/>
    </row>
    <row hidden="true" r="1710">
      <c r="A1710" s="76" t="s">
        <v>1280</v>
      </c>
      <c r="B1710" s="76" t="s">
        <v>896</v>
      </c>
      <c r="C1710" s="76" t="s">
        <v>1281</v>
      </c>
      <c r="D1710" s="75"/>
    </row>
    <row hidden="true" r="1711">
      <c r="A1711" s="76" t="s">
        <v>1280</v>
      </c>
      <c r="B1711" s="76" t="s">
        <v>898</v>
      </c>
      <c r="C1711" s="76" t="s">
        <v>1281</v>
      </c>
      <c r="D1711" s="75"/>
    </row>
    <row hidden="true" r="1712">
      <c r="A1712" s="76" t="s">
        <v>1280</v>
      </c>
      <c r="B1712" s="76" t="s">
        <v>900</v>
      </c>
      <c r="C1712" s="76" t="s">
        <v>1281</v>
      </c>
      <c r="D1712" s="75"/>
    </row>
    <row hidden="true" r="1713">
      <c r="A1713" s="76" t="s">
        <v>1280</v>
      </c>
      <c r="B1713" s="76" t="s">
        <v>902</v>
      </c>
      <c r="C1713" s="76" t="s">
        <v>1281</v>
      </c>
      <c r="D1713" s="75"/>
    </row>
    <row hidden="true" r="1714">
      <c r="A1714" s="76" t="s">
        <v>1280</v>
      </c>
      <c r="B1714" s="76" t="s">
        <v>904</v>
      </c>
      <c r="C1714" s="76" t="s">
        <v>1281</v>
      </c>
      <c r="D1714" s="75"/>
    </row>
    <row hidden="true" r="1715">
      <c r="A1715" s="76" t="s">
        <v>1280</v>
      </c>
      <c r="B1715" s="76" t="s">
        <v>906</v>
      </c>
      <c r="C1715" s="76" t="s">
        <v>1281</v>
      </c>
      <c r="D1715" s="75"/>
    </row>
    <row hidden="true" r="1716">
      <c r="A1716" s="76" t="s">
        <v>1280</v>
      </c>
      <c r="B1716" s="76" t="s">
        <v>908</v>
      </c>
      <c r="C1716" s="76" t="s">
        <v>1281</v>
      </c>
      <c r="D1716" s="75"/>
    </row>
    <row hidden="true" r="1717">
      <c r="A1717" s="76" t="s">
        <v>1280</v>
      </c>
      <c r="B1717" s="76" t="s">
        <v>910</v>
      </c>
      <c r="C1717" s="76" t="s">
        <v>1281</v>
      </c>
      <c r="D1717" s="75"/>
    </row>
    <row hidden="true" r="1718">
      <c r="A1718" s="76" t="s">
        <v>1280</v>
      </c>
      <c r="B1718" s="76" t="s">
        <v>912</v>
      </c>
      <c r="C1718" s="76" t="s">
        <v>1281</v>
      </c>
      <c r="D1718" s="75"/>
    </row>
    <row hidden="true" r="1719">
      <c r="A1719" s="76" t="s">
        <v>1280</v>
      </c>
      <c r="B1719" s="76" t="s">
        <v>914</v>
      </c>
      <c r="C1719" s="76" t="s">
        <v>1281</v>
      </c>
      <c r="D1719" s="75"/>
    </row>
    <row hidden="true" r="1720">
      <c r="A1720" s="76" t="s">
        <v>1280</v>
      </c>
      <c r="B1720" s="76" t="s">
        <v>916</v>
      </c>
      <c r="C1720" s="76" t="s">
        <v>1281</v>
      </c>
      <c r="D1720" s="75"/>
    </row>
    <row hidden="true" r="1721">
      <c r="A1721" s="76" t="s">
        <v>1280</v>
      </c>
      <c r="B1721" s="76" t="s">
        <v>918</v>
      </c>
      <c r="C1721" s="76" t="s">
        <v>1281</v>
      </c>
      <c r="D1721" s="75"/>
    </row>
    <row hidden="true" r="1722">
      <c r="A1722" s="76" t="s">
        <v>1280</v>
      </c>
      <c r="B1722" s="76" t="s">
        <v>920</v>
      </c>
      <c r="C1722" s="76" t="s">
        <v>1281</v>
      </c>
      <c r="D1722" s="75"/>
    </row>
    <row hidden="true" r="1723">
      <c r="A1723" s="76" t="s">
        <v>1280</v>
      </c>
      <c r="B1723" s="76" t="s">
        <v>922</v>
      </c>
      <c r="C1723" s="76" t="s">
        <v>1281</v>
      </c>
      <c r="D1723" s="75"/>
    </row>
    <row hidden="true" r="1724">
      <c r="A1724" s="76" t="s">
        <v>1280</v>
      </c>
      <c r="B1724" s="76" t="s">
        <v>924</v>
      </c>
      <c r="C1724" s="76" t="s">
        <v>1281</v>
      </c>
      <c r="D1724" s="75"/>
    </row>
    <row hidden="true" r="1725">
      <c r="A1725" s="76" t="s">
        <v>1280</v>
      </c>
      <c r="B1725" s="76" t="s">
        <v>926</v>
      </c>
      <c r="C1725" s="76" t="s">
        <v>1281</v>
      </c>
      <c r="D1725" s="75"/>
    </row>
    <row hidden="true" r="1726">
      <c r="A1726" s="76" t="s">
        <v>1280</v>
      </c>
      <c r="B1726" s="76" t="s">
        <v>928</v>
      </c>
      <c r="C1726" s="76" t="s">
        <v>1281</v>
      </c>
      <c r="D1726" s="75"/>
    </row>
    <row hidden="true" r="1727">
      <c r="A1727" s="76" t="s">
        <v>1280</v>
      </c>
      <c r="B1727" s="76" t="s">
        <v>930</v>
      </c>
      <c r="C1727" s="76" t="s">
        <v>1281</v>
      </c>
      <c r="D1727" s="75"/>
    </row>
    <row hidden="true" r="1728">
      <c r="A1728" s="76" t="s">
        <v>1280</v>
      </c>
      <c r="B1728" s="76" t="s">
        <v>932</v>
      </c>
      <c r="C1728" s="76" t="s">
        <v>1281</v>
      </c>
      <c r="D1728" s="75"/>
    </row>
    <row hidden="true" r="1729">
      <c r="A1729" s="76" t="s">
        <v>1280</v>
      </c>
      <c r="B1729" s="76" t="s">
        <v>934</v>
      </c>
      <c r="C1729" s="76" t="s">
        <v>1281</v>
      </c>
      <c r="D1729" s="75"/>
    </row>
    <row hidden="true" r="1730">
      <c r="A1730" s="76" t="s">
        <v>1280</v>
      </c>
      <c r="B1730" s="76" t="s">
        <v>936</v>
      </c>
      <c r="C1730" s="76" t="s">
        <v>1281</v>
      </c>
      <c r="D1730" s="75"/>
    </row>
    <row hidden="true" r="1731">
      <c r="A1731" s="76" t="s">
        <v>1280</v>
      </c>
      <c r="B1731" s="76" t="s">
        <v>938</v>
      </c>
      <c r="C1731" s="76" t="s">
        <v>1281</v>
      </c>
      <c r="D1731" s="75"/>
    </row>
    <row hidden="true" r="1732">
      <c r="A1732" s="76" t="s">
        <v>1280</v>
      </c>
      <c r="B1732" s="76" t="s">
        <v>940</v>
      </c>
      <c r="C1732" s="76" t="s">
        <v>1281</v>
      </c>
      <c r="D1732" s="75"/>
    </row>
    <row hidden="true" r="1733">
      <c r="A1733" s="76" t="s">
        <v>1280</v>
      </c>
      <c r="B1733" s="76" t="s">
        <v>942</v>
      </c>
      <c r="C1733" s="76" t="s">
        <v>1281</v>
      </c>
      <c r="D1733" s="75"/>
    </row>
    <row hidden="true" r="1734">
      <c r="A1734" s="76" t="s">
        <v>1280</v>
      </c>
      <c r="B1734" s="76" t="s">
        <v>944</v>
      </c>
      <c r="C1734" s="76" t="s">
        <v>1281</v>
      </c>
      <c r="D1734" s="75"/>
    </row>
    <row hidden="true" r="1735">
      <c r="A1735" s="76" t="s">
        <v>1280</v>
      </c>
      <c r="B1735" s="76" t="s">
        <v>946</v>
      </c>
      <c r="C1735" s="76" t="s">
        <v>1281</v>
      </c>
      <c r="D1735" s="75"/>
    </row>
    <row hidden="true" r="1736">
      <c r="A1736" s="76" t="s">
        <v>1280</v>
      </c>
      <c r="B1736" s="76" t="s">
        <v>948</v>
      </c>
      <c r="C1736" s="76" t="s">
        <v>1281</v>
      </c>
      <c r="D1736" s="75"/>
    </row>
    <row hidden="true" r="1737">
      <c r="A1737" s="76" t="s">
        <v>1280</v>
      </c>
      <c r="B1737" s="76" t="s">
        <v>950</v>
      </c>
      <c r="C1737" s="76" t="s">
        <v>1281</v>
      </c>
      <c r="D1737" s="75"/>
    </row>
    <row hidden="true" r="1738">
      <c r="A1738" s="76" t="s">
        <v>1280</v>
      </c>
      <c r="B1738" s="76" t="s">
        <v>952</v>
      </c>
      <c r="C1738" s="76" t="s">
        <v>1281</v>
      </c>
      <c r="D1738" s="75"/>
    </row>
    <row hidden="true" r="1739">
      <c r="A1739" s="76" t="s">
        <v>1280</v>
      </c>
      <c r="B1739" s="76" t="s">
        <v>954</v>
      </c>
      <c r="C1739" s="76" t="s">
        <v>1281</v>
      </c>
      <c r="D1739" s="75"/>
    </row>
    <row hidden="true" r="1740">
      <c r="A1740" s="76" t="s">
        <v>1280</v>
      </c>
      <c r="B1740" s="76" t="s">
        <v>775</v>
      </c>
      <c r="C1740" s="76" t="s">
        <v>1281</v>
      </c>
      <c r="D1740" s="75"/>
    </row>
    <row hidden="true" r="1741">
      <c r="A1741" s="76" t="s">
        <v>1280</v>
      </c>
      <c r="B1741" s="76" t="s">
        <v>956</v>
      </c>
      <c r="C1741" s="76" t="s">
        <v>1281</v>
      </c>
      <c r="D1741" s="75"/>
    </row>
    <row hidden="true" r="1742">
      <c r="A1742" s="76" t="s">
        <v>1280</v>
      </c>
      <c r="B1742" s="76" t="s">
        <v>958</v>
      </c>
      <c r="C1742" s="76" t="s">
        <v>1281</v>
      </c>
      <c r="D1742" s="75"/>
    </row>
    <row hidden="true" r="1743">
      <c r="A1743" s="76" t="s">
        <v>1280</v>
      </c>
      <c r="B1743" s="76" t="s">
        <v>960</v>
      </c>
      <c r="C1743" s="76" t="s">
        <v>1281</v>
      </c>
      <c r="D1743" s="75"/>
    </row>
    <row hidden="true" r="1744">
      <c r="A1744" s="76" t="s">
        <v>1280</v>
      </c>
      <c r="B1744" s="76" t="s">
        <v>962</v>
      </c>
      <c r="C1744" s="76" t="s">
        <v>1281</v>
      </c>
      <c r="D1744" s="75"/>
    </row>
    <row hidden="true" r="1745">
      <c r="A1745" s="76" t="s">
        <v>1280</v>
      </c>
      <c r="B1745" s="76" t="s">
        <v>964</v>
      </c>
      <c r="C1745" s="76" t="s">
        <v>1281</v>
      </c>
      <c r="D1745" s="75"/>
    </row>
    <row hidden="true" r="1746">
      <c r="A1746" s="76" t="s">
        <v>1280</v>
      </c>
      <c r="B1746" s="76" t="s">
        <v>966</v>
      </c>
      <c r="C1746" s="76" t="s">
        <v>1281</v>
      </c>
      <c r="D1746" s="75"/>
    </row>
    <row hidden="true" r="1747">
      <c r="A1747" s="76" t="s">
        <v>1280</v>
      </c>
      <c r="B1747" s="76" t="s">
        <v>968</v>
      </c>
      <c r="C1747" s="76" t="s">
        <v>1281</v>
      </c>
      <c r="D1747" s="75"/>
    </row>
    <row hidden="true" r="1748">
      <c r="A1748" s="76" t="s">
        <v>1280</v>
      </c>
      <c r="B1748" s="76" t="s">
        <v>970</v>
      </c>
      <c r="C1748" s="76" t="s">
        <v>1281</v>
      </c>
      <c r="D1748" s="75"/>
    </row>
    <row hidden="true" r="1749">
      <c r="A1749" s="76" t="s">
        <v>1280</v>
      </c>
      <c r="B1749" s="76" t="s">
        <v>972</v>
      </c>
      <c r="C1749" s="76" t="s">
        <v>1281</v>
      </c>
      <c r="D1749" s="75"/>
    </row>
    <row hidden="true" r="1750">
      <c r="A1750" s="76" t="s">
        <v>1280</v>
      </c>
      <c r="B1750" s="76" t="s">
        <v>974</v>
      </c>
      <c r="C1750" s="76" t="s">
        <v>1281</v>
      </c>
      <c r="D1750" s="75"/>
    </row>
    <row hidden="true" r="1751">
      <c r="A1751" s="76" t="s">
        <v>1280</v>
      </c>
      <c r="B1751" s="76" t="s">
        <v>976</v>
      </c>
      <c r="C1751" s="76" t="s">
        <v>1281</v>
      </c>
      <c r="D1751" s="75"/>
    </row>
    <row hidden="true" r="1752">
      <c r="A1752" s="76" t="s">
        <v>1280</v>
      </c>
      <c r="B1752" s="76" t="s">
        <v>823</v>
      </c>
      <c r="C1752" s="76" t="s">
        <v>1281</v>
      </c>
      <c r="D1752" s="75"/>
    </row>
    <row hidden="true" r="1753">
      <c r="A1753" s="76" t="s">
        <v>1280</v>
      </c>
      <c r="B1753" s="76" t="s">
        <v>978</v>
      </c>
      <c r="C1753" s="76" t="s">
        <v>1281</v>
      </c>
      <c r="D1753" s="75"/>
    </row>
    <row hidden="true" r="1754">
      <c r="A1754" s="76" t="s">
        <v>1280</v>
      </c>
      <c r="B1754" s="76" t="s">
        <v>980</v>
      </c>
      <c r="C1754" s="76" t="s">
        <v>1281</v>
      </c>
      <c r="D1754" s="75"/>
    </row>
    <row hidden="true" r="1755">
      <c r="A1755" s="76" t="s">
        <v>1280</v>
      </c>
      <c r="B1755" s="76" t="s">
        <v>982</v>
      </c>
      <c r="C1755" s="76" t="s">
        <v>1281</v>
      </c>
      <c r="D1755" s="75"/>
    </row>
    <row hidden="true" r="1756">
      <c r="A1756" s="76" t="s">
        <v>1280</v>
      </c>
      <c r="B1756" s="76" t="s">
        <v>984</v>
      </c>
      <c r="C1756" s="76" t="s">
        <v>1281</v>
      </c>
      <c r="D1756" s="75"/>
    </row>
    <row hidden="true" r="1757">
      <c r="A1757" s="76" t="s">
        <v>1280</v>
      </c>
      <c r="B1757" s="76" t="s">
        <v>986</v>
      </c>
      <c r="C1757" s="76" t="s">
        <v>1281</v>
      </c>
      <c r="D1757" s="75"/>
    </row>
    <row hidden="true" r="1758">
      <c r="A1758" s="76" t="s">
        <v>1280</v>
      </c>
      <c r="B1758" s="76" t="s">
        <v>988</v>
      </c>
      <c r="C1758" s="76" t="s">
        <v>1281</v>
      </c>
      <c r="D1758" s="75"/>
    </row>
    <row hidden="true" r="1759">
      <c r="A1759" s="76" t="s">
        <v>1280</v>
      </c>
      <c r="B1759" s="76" t="s">
        <v>990</v>
      </c>
      <c r="C1759" s="76" t="s">
        <v>1281</v>
      </c>
      <c r="D1759" s="75"/>
    </row>
    <row hidden="true" r="1760">
      <c r="A1760" s="76" t="s">
        <v>1280</v>
      </c>
      <c r="B1760" s="76" t="s">
        <v>992</v>
      </c>
      <c r="C1760" s="76" t="s">
        <v>1281</v>
      </c>
      <c r="D1760" s="75"/>
    </row>
    <row hidden="true" r="1761">
      <c r="A1761" s="76" t="s">
        <v>1280</v>
      </c>
      <c r="B1761" s="76" t="s">
        <v>994</v>
      </c>
      <c r="C1761" s="76" t="s">
        <v>1281</v>
      </c>
      <c r="D1761" s="75"/>
    </row>
    <row hidden="true" r="1762">
      <c r="A1762" s="76" t="s">
        <v>1280</v>
      </c>
      <c r="B1762" s="76" t="s">
        <v>996</v>
      </c>
      <c r="C1762" s="76" t="s">
        <v>1281</v>
      </c>
      <c r="D1762" s="75"/>
    </row>
    <row hidden="true" r="1763">
      <c r="A1763" s="76" t="s">
        <v>1280</v>
      </c>
      <c r="B1763" s="76" t="s">
        <v>998</v>
      </c>
      <c r="C1763" s="76" t="s">
        <v>1281</v>
      </c>
      <c r="D1763" s="75"/>
    </row>
    <row hidden="true" r="1764">
      <c r="A1764" s="76" t="s">
        <v>1280</v>
      </c>
      <c r="B1764" s="76" t="s">
        <v>1000</v>
      </c>
      <c r="C1764" s="76" t="s">
        <v>1281</v>
      </c>
      <c r="D1764" s="75"/>
    </row>
    <row hidden="true" r="1765">
      <c r="A1765" s="76" t="s">
        <v>1280</v>
      </c>
      <c r="B1765" s="76" t="s">
        <v>1002</v>
      </c>
      <c r="C1765" s="76" t="s">
        <v>1281</v>
      </c>
      <c r="D1765" s="75"/>
    </row>
    <row hidden="true" r="1766">
      <c r="A1766" s="76" t="s">
        <v>1280</v>
      </c>
      <c r="B1766" s="76" t="s">
        <v>1004</v>
      </c>
      <c r="C1766" s="76" t="s">
        <v>1281</v>
      </c>
      <c r="D1766" s="75"/>
    </row>
    <row hidden="true" r="1767">
      <c r="A1767" s="76" t="s">
        <v>1280</v>
      </c>
      <c r="B1767" s="76" t="s">
        <v>1006</v>
      </c>
      <c r="C1767" s="76" t="s">
        <v>1281</v>
      </c>
      <c r="D1767" s="75"/>
    </row>
    <row hidden="true" r="1768">
      <c r="A1768" s="76" t="s">
        <v>1280</v>
      </c>
      <c r="B1768" s="76" t="s">
        <v>1008</v>
      </c>
      <c r="C1768" s="76" t="s">
        <v>1281</v>
      </c>
      <c r="D1768" s="75"/>
    </row>
    <row hidden="true" r="1769">
      <c r="A1769" s="76" t="s">
        <v>1280</v>
      </c>
      <c r="B1769" s="76" t="s">
        <v>1010</v>
      </c>
      <c r="C1769" s="76" t="s">
        <v>1281</v>
      </c>
      <c r="D1769" s="75"/>
    </row>
    <row hidden="true" r="1770">
      <c r="A1770" s="76" t="s">
        <v>1280</v>
      </c>
      <c r="B1770" s="76" t="s">
        <v>1012</v>
      </c>
      <c r="C1770" s="76" t="s">
        <v>1281</v>
      </c>
      <c r="D1770" s="75"/>
    </row>
    <row hidden="true" r="1771">
      <c r="A1771" s="76" t="s">
        <v>1280</v>
      </c>
      <c r="B1771" s="76" t="s">
        <v>1014</v>
      </c>
      <c r="C1771" s="76" t="s">
        <v>1281</v>
      </c>
      <c r="D1771" s="75"/>
    </row>
    <row hidden="true" r="1772">
      <c r="A1772" s="76" t="s">
        <v>1280</v>
      </c>
      <c r="B1772" s="76" t="s">
        <v>1016</v>
      </c>
      <c r="C1772" s="76" t="s">
        <v>1281</v>
      </c>
      <c r="D1772" s="75"/>
    </row>
    <row hidden="true" r="1773">
      <c r="A1773" s="76" t="s">
        <v>1280</v>
      </c>
      <c r="B1773" s="76" t="s">
        <v>1018</v>
      </c>
      <c r="C1773" s="76" t="s">
        <v>1281</v>
      </c>
      <c r="D1773" s="75"/>
    </row>
    <row hidden="true" r="1774">
      <c r="A1774" s="76" t="s">
        <v>1280</v>
      </c>
      <c r="B1774" s="76" t="s">
        <v>1020</v>
      </c>
      <c r="C1774" s="76" t="s">
        <v>1281</v>
      </c>
      <c r="D1774" s="75"/>
    </row>
    <row hidden="true" r="1775">
      <c r="A1775" s="76" t="s">
        <v>1280</v>
      </c>
      <c r="B1775" s="76" t="s">
        <v>1022</v>
      </c>
      <c r="C1775" s="76" t="s">
        <v>1281</v>
      </c>
      <c r="D1775" s="75"/>
    </row>
    <row hidden="true" r="1776">
      <c r="A1776" s="76" t="s">
        <v>1280</v>
      </c>
      <c r="B1776" s="76" t="s">
        <v>1023</v>
      </c>
      <c r="C1776" s="76" t="s">
        <v>1281</v>
      </c>
      <c r="D1776" s="75"/>
    </row>
    <row hidden="true" r="1777">
      <c r="A1777" s="76" t="s">
        <v>1280</v>
      </c>
      <c r="B1777" s="76" t="s">
        <v>1024</v>
      </c>
      <c r="C1777" s="76" t="s">
        <v>1281</v>
      </c>
      <c r="D1777" s="75"/>
    </row>
    <row hidden="true" r="1778">
      <c r="A1778" s="76" t="s">
        <v>1280</v>
      </c>
      <c r="B1778" s="76" t="s">
        <v>1025</v>
      </c>
      <c r="C1778" s="76" t="s">
        <v>1281</v>
      </c>
      <c r="D1778" s="75"/>
    </row>
    <row hidden="true" r="1779">
      <c r="A1779" s="76" t="s">
        <v>1280</v>
      </c>
      <c r="B1779" s="76" t="s">
        <v>1026</v>
      </c>
      <c r="C1779" s="76" t="s">
        <v>1281</v>
      </c>
      <c r="D1779" s="75"/>
    </row>
    <row hidden="true" r="1780">
      <c r="A1780" s="76" t="s">
        <v>1280</v>
      </c>
      <c r="B1780" s="76" t="s">
        <v>1027</v>
      </c>
      <c r="C1780" s="76" t="s">
        <v>1281</v>
      </c>
      <c r="D1780" s="75"/>
    </row>
    <row hidden="true" r="1781">
      <c r="A1781" s="76" t="s">
        <v>1280</v>
      </c>
      <c r="B1781" s="76" t="s">
        <v>1028</v>
      </c>
      <c r="C1781" s="76" t="s">
        <v>1281</v>
      </c>
      <c r="D1781" s="75"/>
    </row>
    <row hidden="true" r="1782">
      <c r="A1782" s="76" t="s">
        <v>1280</v>
      </c>
      <c r="B1782" s="76" t="s">
        <v>530</v>
      </c>
      <c r="C1782" s="76" t="s">
        <v>1281</v>
      </c>
      <c r="D1782" s="75"/>
    </row>
    <row hidden="true" r="1783">
      <c r="A1783" s="76" t="s">
        <v>1280</v>
      </c>
      <c r="B1783" s="76" t="s">
        <v>1030</v>
      </c>
      <c r="C1783" s="76" t="s">
        <v>1281</v>
      </c>
      <c r="D1783" s="75"/>
    </row>
    <row hidden="true" r="1784">
      <c r="A1784" s="76" t="s">
        <v>1280</v>
      </c>
      <c r="B1784" s="76" t="s">
        <v>1032</v>
      </c>
      <c r="C1784" s="76" t="s">
        <v>1281</v>
      </c>
      <c r="D1784" s="75"/>
    </row>
    <row hidden="true" r="1785">
      <c r="A1785" s="76" t="s">
        <v>1280</v>
      </c>
      <c r="B1785" s="76" t="s">
        <v>1034</v>
      </c>
      <c r="C1785" s="76" t="s">
        <v>1281</v>
      </c>
      <c r="D1785" s="75"/>
    </row>
    <row hidden="true" r="1786">
      <c r="A1786" s="76" t="s">
        <v>1280</v>
      </c>
      <c r="B1786" s="76" t="s">
        <v>532</v>
      </c>
      <c r="C1786" s="76" t="s">
        <v>1281</v>
      </c>
      <c r="D1786" s="75"/>
    </row>
    <row hidden="true" r="1787">
      <c r="A1787" s="76" t="s">
        <v>1280</v>
      </c>
      <c r="B1787" s="76" t="s">
        <v>1036</v>
      </c>
      <c r="C1787" s="76" t="s">
        <v>1281</v>
      </c>
      <c r="D1787" s="75"/>
    </row>
    <row hidden="true" r="1788">
      <c r="A1788" s="76" t="s">
        <v>1280</v>
      </c>
      <c r="B1788" s="76" t="s">
        <v>1038</v>
      </c>
      <c r="C1788" s="76" t="s">
        <v>1281</v>
      </c>
      <c r="D1788" s="75"/>
    </row>
    <row hidden="true" r="1789">
      <c r="A1789" s="76" t="s">
        <v>1280</v>
      </c>
      <c r="B1789" s="76" t="s">
        <v>1040</v>
      </c>
      <c r="C1789" s="76" t="s">
        <v>1281</v>
      </c>
      <c r="D1789" s="75"/>
    </row>
    <row hidden="true" r="1790">
      <c r="A1790" s="76" t="s">
        <v>1280</v>
      </c>
      <c r="B1790" s="76" t="s">
        <v>1042</v>
      </c>
      <c r="C1790" s="76" t="s">
        <v>1281</v>
      </c>
      <c r="D1790" s="75"/>
    </row>
    <row hidden="true" r="1791">
      <c r="A1791" s="76" t="s">
        <v>1280</v>
      </c>
      <c r="B1791" s="76" t="s">
        <v>1044</v>
      </c>
      <c r="C1791" s="76" t="s">
        <v>1281</v>
      </c>
      <c r="D1791" s="75"/>
    </row>
    <row hidden="true" r="1792">
      <c r="A1792" s="76" t="s">
        <v>1280</v>
      </c>
      <c r="B1792" s="76" t="s">
        <v>1046</v>
      </c>
      <c r="C1792" s="76" t="s">
        <v>1281</v>
      </c>
      <c r="D1792" s="75"/>
    </row>
    <row hidden="true" r="1793">
      <c r="A1793" s="76" t="s">
        <v>1280</v>
      </c>
      <c r="B1793" s="76" t="s">
        <v>1048</v>
      </c>
      <c r="C1793" s="76" t="s">
        <v>1281</v>
      </c>
      <c r="D1793" s="75"/>
    </row>
    <row hidden="true" r="1794">
      <c r="A1794" s="76" t="s">
        <v>1280</v>
      </c>
      <c r="B1794" s="76" t="s">
        <v>1050</v>
      </c>
      <c r="C1794" s="76" t="s">
        <v>1281</v>
      </c>
      <c r="D1794" s="75"/>
    </row>
    <row hidden="true" r="1795">
      <c r="A1795" s="76" t="s">
        <v>1280</v>
      </c>
      <c r="B1795" s="76" t="s">
        <v>1052</v>
      </c>
      <c r="C1795" s="76" t="s">
        <v>1281</v>
      </c>
      <c r="D1795" s="75"/>
    </row>
    <row hidden="true" r="1796">
      <c r="A1796" s="76" t="s">
        <v>1280</v>
      </c>
      <c r="B1796" s="76" t="s">
        <v>1054</v>
      </c>
      <c r="C1796" s="76" t="s">
        <v>1281</v>
      </c>
      <c r="D1796" s="75"/>
    </row>
    <row hidden="true" r="1797">
      <c r="A1797" s="76" t="s">
        <v>1280</v>
      </c>
      <c r="B1797" s="76" t="s">
        <v>1056</v>
      </c>
      <c r="C1797" s="76" t="s">
        <v>1281</v>
      </c>
      <c r="D1797" s="75"/>
    </row>
    <row hidden="true" r="1798">
      <c r="A1798" s="76" t="s">
        <v>1280</v>
      </c>
      <c r="B1798" s="76" t="s">
        <v>1058</v>
      </c>
      <c r="C1798" s="76" t="s">
        <v>1281</v>
      </c>
      <c r="D1798" s="75"/>
    </row>
    <row hidden="true" r="1799">
      <c r="A1799" s="76" t="s">
        <v>1280</v>
      </c>
      <c r="B1799" s="76" t="s">
        <v>1060</v>
      </c>
      <c r="C1799" s="76" t="s">
        <v>1281</v>
      </c>
      <c r="D1799" s="75"/>
    </row>
    <row hidden="true" r="1800">
      <c r="A1800" s="76" t="s">
        <v>1280</v>
      </c>
      <c r="B1800" s="76" t="s">
        <v>1062</v>
      </c>
      <c r="C1800" s="76" t="s">
        <v>1281</v>
      </c>
      <c r="D1800" s="75"/>
    </row>
    <row hidden="true" r="1801">
      <c r="A1801" s="76" t="s">
        <v>1280</v>
      </c>
      <c r="B1801" s="76" t="s">
        <v>1064</v>
      </c>
      <c r="C1801" s="76" t="s">
        <v>1281</v>
      </c>
      <c r="D1801" s="75"/>
    </row>
    <row hidden="true" r="1802">
      <c r="A1802" s="76" t="s">
        <v>1280</v>
      </c>
      <c r="B1802" s="76" t="s">
        <v>1066</v>
      </c>
      <c r="C1802" s="76" t="s">
        <v>1281</v>
      </c>
      <c r="D1802" s="75"/>
    </row>
    <row hidden="true" r="1803">
      <c r="A1803" s="76" t="s">
        <v>1280</v>
      </c>
      <c r="B1803" s="76" t="s">
        <v>1068</v>
      </c>
      <c r="C1803" s="76" t="s">
        <v>1281</v>
      </c>
      <c r="D1803" s="75"/>
    </row>
    <row hidden="true" r="1804">
      <c r="A1804" s="76" t="s">
        <v>1280</v>
      </c>
      <c r="B1804" s="76" t="s">
        <v>1070</v>
      </c>
      <c r="C1804" s="76" t="s">
        <v>1281</v>
      </c>
      <c r="D1804" s="75"/>
    </row>
    <row hidden="true" r="1805">
      <c r="A1805" s="76" t="s">
        <v>1280</v>
      </c>
      <c r="B1805" s="76" t="s">
        <v>1071</v>
      </c>
      <c r="C1805" s="76" t="s">
        <v>1281</v>
      </c>
      <c r="D1805" s="75"/>
    </row>
    <row hidden="true" r="1806">
      <c r="A1806" s="76" t="s">
        <v>1280</v>
      </c>
      <c r="B1806" s="76" t="s">
        <v>1072</v>
      </c>
      <c r="C1806" s="76" t="s">
        <v>1281</v>
      </c>
      <c r="D1806" s="75"/>
    </row>
    <row hidden="true" r="1807">
      <c r="A1807" s="76" t="s">
        <v>1280</v>
      </c>
      <c r="B1807" s="76" t="s">
        <v>1074</v>
      </c>
      <c r="C1807" s="76" t="s">
        <v>1281</v>
      </c>
      <c r="D1807" s="75"/>
    </row>
    <row hidden="true" r="1808">
      <c r="A1808" s="76" t="s">
        <v>1280</v>
      </c>
      <c r="B1808" s="76" t="s">
        <v>1075</v>
      </c>
      <c r="C1808" s="76" t="s">
        <v>1281</v>
      </c>
      <c r="D1808" s="75"/>
    </row>
    <row hidden="true" r="1809">
      <c r="A1809" s="76" t="s">
        <v>1280</v>
      </c>
      <c r="B1809" s="76" t="s">
        <v>1076</v>
      </c>
      <c r="C1809" s="76" t="s">
        <v>1281</v>
      </c>
      <c r="D1809" s="75"/>
    </row>
    <row hidden="true" r="1810">
      <c r="A1810" s="76" t="s">
        <v>1280</v>
      </c>
      <c r="B1810" s="76" t="s">
        <v>1078</v>
      </c>
      <c r="C1810" s="76" t="s">
        <v>1281</v>
      </c>
      <c r="D1810" s="75"/>
    </row>
    <row hidden="true" r="1811">
      <c r="A1811" s="76" t="s">
        <v>1280</v>
      </c>
      <c r="B1811" s="76" t="s">
        <v>839</v>
      </c>
      <c r="C1811" s="76" t="s">
        <v>1281</v>
      </c>
      <c r="D1811" s="75"/>
    </row>
    <row hidden="true" r="1812">
      <c r="A1812" s="76" t="s">
        <v>1280</v>
      </c>
      <c r="B1812" s="76" t="s">
        <v>1080</v>
      </c>
      <c r="C1812" s="76" t="s">
        <v>1281</v>
      </c>
      <c r="D1812" s="75"/>
    </row>
    <row hidden="true" r="1813">
      <c r="A1813" s="76" t="s">
        <v>1280</v>
      </c>
      <c r="B1813" s="76" t="s">
        <v>1082</v>
      </c>
      <c r="C1813" s="76" t="s">
        <v>1281</v>
      </c>
      <c r="D1813" s="75"/>
    </row>
    <row hidden="true" r="1814">
      <c r="A1814" s="76" t="s">
        <v>1280</v>
      </c>
      <c r="B1814" s="76" t="s">
        <v>1084</v>
      </c>
      <c r="C1814" s="76" t="s">
        <v>1281</v>
      </c>
      <c r="D1814" s="75"/>
    </row>
    <row hidden="true" r="1815">
      <c r="A1815" s="76" t="s">
        <v>1280</v>
      </c>
      <c r="B1815" s="76" t="s">
        <v>1086</v>
      </c>
      <c r="C1815" s="76" t="s">
        <v>1281</v>
      </c>
      <c r="D1815" s="75"/>
    </row>
    <row hidden="true" r="1816">
      <c r="A1816" s="76" t="s">
        <v>1280</v>
      </c>
      <c r="B1816" s="76" t="s">
        <v>1088</v>
      </c>
      <c r="C1816" s="76" t="s">
        <v>1281</v>
      </c>
      <c r="D1816" s="75"/>
    </row>
    <row hidden="true" r="1817">
      <c r="A1817" s="76" t="s">
        <v>1280</v>
      </c>
      <c r="B1817" s="76" t="s">
        <v>1090</v>
      </c>
      <c r="C1817" s="76" t="s">
        <v>1281</v>
      </c>
      <c r="D1817" s="75"/>
    </row>
    <row hidden="true" r="1818">
      <c r="A1818" s="76" t="s">
        <v>1280</v>
      </c>
      <c r="B1818" s="76" t="s">
        <v>1092</v>
      </c>
      <c r="C1818" s="76" t="s">
        <v>1281</v>
      </c>
      <c r="D1818" s="75"/>
    </row>
    <row hidden="true" r="1819">
      <c r="A1819" s="76" t="s">
        <v>1280</v>
      </c>
      <c r="B1819" s="76" t="s">
        <v>1093</v>
      </c>
      <c r="C1819" s="76" t="s">
        <v>1281</v>
      </c>
      <c r="D1819" s="75"/>
    </row>
    <row hidden="true" r="1820">
      <c r="A1820" s="76" t="s">
        <v>1280</v>
      </c>
      <c r="B1820" s="76" t="s">
        <v>1095</v>
      </c>
      <c r="C1820" s="76" t="s">
        <v>1281</v>
      </c>
      <c r="D1820" s="75"/>
    </row>
    <row hidden="true" r="1821">
      <c r="A1821" s="76" t="s">
        <v>1280</v>
      </c>
      <c r="B1821" s="76" t="s">
        <v>1097</v>
      </c>
      <c r="C1821" s="76" t="s">
        <v>1281</v>
      </c>
      <c r="D1821" s="75"/>
    </row>
    <row hidden="true" r="1822">
      <c r="A1822" s="76" t="s">
        <v>1280</v>
      </c>
      <c r="B1822" s="76" t="s">
        <v>1099</v>
      </c>
      <c r="C1822" s="76" t="s">
        <v>1281</v>
      </c>
      <c r="D1822" s="75"/>
    </row>
    <row hidden="true" r="1823">
      <c r="A1823" s="76" t="s">
        <v>1280</v>
      </c>
      <c r="B1823" s="76" t="s">
        <v>1101</v>
      </c>
      <c r="C1823" s="76" t="s">
        <v>1281</v>
      </c>
      <c r="D1823" s="75"/>
    </row>
    <row hidden="true" r="1824">
      <c r="A1824" s="76" t="s">
        <v>1280</v>
      </c>
      <c r="B1824" s="76" t="s">
        <v>1103</v>
      </c>
      <c r="C1824" s="76" t="s">
        <v>1281</v>
      </c>
      <c r="D1824" s="75"/>
    </row>
    <row hidden="true" r="1825">
      <c r="A1825" s="76" t="s">
        <v>1280</v>
      </c>
      <c r="B1825" s="76" t="s">
        <v>1105</v>
      </c>
      <c r="C1825" s="76" t="s">
        <v>1281</v>
      </c>
      <c r="D1825" s="75"/>
    </row>
    <row hidden="true" r="1826">
      <c r="A1826" s="76" t="s">
        <v>1280</v>
      </c>
      <c r="B1826" s="76" t="s">
        <v>1107</v>
      </c>
      <c r="C1826" s="76" t="s">
        <v>1281</v>
      </c>
      <c r="D1826" s="75"/>
    </row>
    <row hidden="true" r="1827">
      <c r="A1827" s="76" t="s">
        <v>1280</v>
      </c>
      <c r="B1827" s="76" t="s">
        <v>1109</v>
      </c>
      <c r="C1827" s="76" t="s">
        <v>1281</v>
      </c>
      <c r="D1827" s="75"/>
    </row>
    <row hidden="true" r="1828">
      <c r="A1828" s="76" t="s">
        <v>1280</v>
      </c>
      <c r="B1828" s="76" t="s">
        <v>1111</v>
      </c>
      <c r="C1828" s="76" t="s">
        <v>1281</v>
      </c>
      <c r="D1828" s="75"/>
    </row>
    <row hidden="true" r="1829">
      <c r="A1829" s="76" t="s">
        <v>1280</v>
      </c>
      <c r="B1829" s="76" t="s">
        <v>1113</v>
      </c>
      <c r="C1829" s="76" t="s">
        <v>1281</v>
      </c>
      <c r="D1829" s="75"/>
    </row>
    <row hidden="true" r="1830">
      <c r="A1830" s="76" t="s">
        <v>1280</v>
      </c>
      <c r="B1830" s="76" t="s">
        <v>1115</v>
      </c>
      <c r="C1830" s="76" t="s">
        <v>1281</v>
      </c>
      <c r="D1830" s="75"/>
    </row>
    <row hidden="true" r="1831">
      <c r="A1831" s="76" t="s">
        <v>1280</v>
      </c>
      <c r="B1831" s="76" t="s">
        <v>1117</v>
      </c>
      <c r="C1831" s="76" t="s">
        <v>1281</v>
      </c>
      <c r="D1831" s="75"/>
    </row>
    <row hidden="true" r="1832">
      <c r="A1832" s="76" t="s">
        <v>1280</v>
      </c>
      <c r="B1832" s="76" t="s">
        <v>1119</v>
      </c>
      <c r="C1832" s="76" t="s">
        <v>1281</v>
      </c>
      <c r="D1832" s="75"/>
    </row>
    <row hidden="true" r="1833">
      <c r="A1833" s="76" t="s">
        <v>1280</v>
      </c>
      <c r="B1833" s="76" t="s">
        <v>1121</v>
      </c>
      <c r="C1833" s="76" t="s">
        <v>1281</v>
      </c>
      <c r="D1833" s="75"/>
    </row>
    <row hidden="true" r="1834">
      <c r="A1834" s="76" t="s">
        <v>1280</v>
      </c>
      <c r="B1834" s="76" t="s">
        <v>1123</v>
      </c>
      <c r="C1834" s="76" t="s">
        <v>1281</v>
      </c>
      <c r="D1834" s="75"/>
    </row>
    <row hidden="true" r="1835">
      <c r="A1835" s="76" t="s">
        <v>1280</v>
      </c>
      <c r="B1835" s="76" t="s">
        <v>1125</v>
      </c>
      <c r="C1835" s="76" t="s">
        <v>1281</v>
      </c>
      <c r="D1835" s="75"/>
    </row>
    <row hidden="true" r="1836">
      <c r="A1836" s="76" t="s">
        <v>1280</v>
      </c>
      <c r="B1836" s="76" t="s">
        <v>1127</v>
      </c>
      <c r="C1836" s="76" t="s">
        <v>1281</v>
      </c>
      <c r="D1836" s="75"/>
    </row>
    <row hidden="true" r="1837">
      <c r="A1837" s="76" t="s">
        <v>1280</v>
      </c>
      <c r="B1837" s="76" t="s">
        <v>1129</v>
      </c>
      <c r="C1837" s="76" t="s">
        <v>1281</v>
      </c>
      <c r="D1837" s="75"/>
    </row>
    <row hidden="true" r="1838">
      <c r="A1838" s="76" t="s">
        <v>1280</v>
      </c>
      <c r="B1838" s="76" t="s">
        <v>1131</v>
      </c>
      <c r="C1838" s="76" t="s">
        <v>1281</v>
      </c>
      <c r="D1838" s="75"/>
    </row>
    <row hidden="true" r="1839">
      <c r="A1839" s="76" t="s">
        <v>1280</v>
      </c>
      <c r="B1839" s="76" t="s">
        <v>1133</v>
      </c>
      <c r="C1839" s="76" t="s">
        <v>1281</v>
      </c>
      <c r="D1839" s="75"/>
    </row>
    <row hidden="true" r="1840">
      <c r="A1840" s="76" t="s">
        <v>1280</v>
      </c>
      <c r="B1840" s="76" t="s">
        <v>1135</v>
      </c>
      <c r="C1840" s="76" t="s">
        <v>1281</v>
      </c>
      <c r="D1840" s="75"/>
    </row>
    <row hidden="true" r="1841">
      <c r="A1841" s="76" t="s">
        <v>1280</v>
      </c>
      <c r="B1841" s="76" t="s">
        <v>1137</v>
      </c>
      <c r="C1841" s="76" t="s">
        <v>1281</v>
      </c>
      <c r="D1841" s="75"/>
    </row>
    <row hidden="true" r="1842">
      <c r="A1842" s="76" t="s">
        <v>1280</v>
      </c>
      <c r="B1842" s="76" t="s">
        <v>1139</v>
      </c>
      <c r="C1842" s="76" t="s">
        <v>1281</v>
      </c>
      <c r="D1842" s="75"/>
    </row>
    <row hidden="true" r="1843">
      <c r="A1843" s="76" t="s">
        <v>1280</v>
      </c>
      <c r="B1843" s="76" t="s">
        <v>1141</v>
      </c>
      <c r="C1843" s="76" t="s">
        <v>1281</v>
      </c>
      <c r="D1843" s="75"/>
    </row>
    <row hidden="true" r="1844">
      <c r="A1844" s="76" t="s">
        <v>1280</v>
      </c>
      <c r="B1844" s="76" t="s">
        <v>1143</v>
      </c>
      <c r="C1844" s="76" t="s">
        <v>1281</v>
      </c>
      <c r="D1844" s="75"/>
    </row>
    <row hidden="true" r="1845">
      <c r="A1845" s="76" t="s">
        <v>1280</v>
      </c>
      <c r="B1845" s="76" t="s">
        <v>1145</v>
      </c>
      <c r="C1845" s="76" t="s">
        <v>1281</v>
      </c>
      <c r="D1845" s="75"/>
    </row>
    <row hidden="true" r="1846">
      <c r="A1846" s="76" t="s">
        <v>1280</v>
      </c>
      <c r="B1846" s="76" t="s">
        <v>1147</v>
      </c>
      <c r="C1846" s="76" t="s">
        <v>1281</v>
      </c>
      <c r="D1846" s="75"/>
    </row>
    <row hidden="true" r="1847">
      <c r="A1847" s="76" t="s">
        <v>1280</v>
      </c>
      <c r="B1847" s="76" t="s">
        <v>1149</v>
      </c>
      <c r="C1847" s="76" t="s">
        <v>1281</v>
      </c>
      <c r="D1847" s="75"/>
    </row>
    <row hidden="true" r="1848">
      <c r="A1848" s="76" t="s">
        <v>1280</v>
      </c>
      <c r="B1848" s="76" t="s">
        <v>1151</v>
      </c>
      <c r="C1848" s="76" t="s">
        <v>1281</v>
      </c>
      <c r="D1848" s="75"/>
    </row>
    <row hidden="true" r="1849">
      <c r="A1849" s="76" t="s">
        <v>1280</v>
      </c>
      <c r="B1849" s="76" t="s">
        <v>1153</v>
      </c>
      <c r="C1849" s="76" t="s">
        <v>1281</v>
      </c>
      <c r="D1849" s="75"/>
    </row>
    <row hidden="true" r="1850">
      <c r="A1850" s="76" t="s">
        <v>1280</v>
      </c>
      <c r="B1850" s="76" t="s">
        <v>1155</v>
      </c>
      <c r="C1850" s="76" t="s">
        <v>1281</v>
      </c>
      <c r="D1850" s="75"/>
    </row>
    <row hidden="true" r="1851">
      <c r="A1851" s="76" t="s">
        <v>1280</v>
      </c>
      <c r="B1851" s="76" t="s">
        <v>1157</v>
      </c>
      <c r="C1851" s="76" t="s">
        <v>1281</v>
      </c>
      <c r="D1851" s="75"/>
    </row>
    <row hidden="true" r="1852">
      <c r="A1852" s="76" t="s">
        <v>1280</v>
      </c>
      <c r="B1852" s="76" t="s">
        <v>1159</v>
      </c>
      <c r="C1852" s="76" t="s">
        <v>1281</v>
      </c>
      <c r="D1852" s="75"/>
    </row>
    <row hidden="true" r="1853">
      <c r="A1853" s="76" t="s">
        <v>1280</v>
      </c>
      <c r="B1853" s="76" t="s">
        <v>868</v>
      </c>
      <c r="C1853" s="76" t="s">
        <v>1281</v>
      </c>
      <c r="D1853" s="75"/>
    </row>
    <row hidden="true" r="1854">
      <c r="A1854" s="76" t="s">
        <v>1280</v>
      </c>
      <c r="B1854" s="76" t="s">
        <v>1161</v>
      </c>
      <c r="C1854" s="76" t="s">
        <v>1281</v>
      </c>
      <c r="D1854" s="75"/>
    </row>
    <row hidden="true" r="1855">
      <c r="A1855" s="76" t="s">
        <v>1280</v>
      </c>
      <c r="B1855" s="76" t="s">
        <v>1163</v>
      </c>
      <c r="C1855" s="76" t="s">
        <v>1281</v>
      </c>
      <c r="D1855" s="75"/>
    </row>
    <row hidden="true" r="1856">
      <c r="A1856" s="76" t="s">
        <v>1280</v>
      </c>
      <c r="B1856" s="76" t="s">
        <v>1165</v>
      </c>
      <c r="C1856" s="76" t="s">
        <v>1281</v>
      </c>
      <c r="D1856" s="75"/>
    </row>
    <row hidden="true" r="1857">
      <c r="A1857" s="76" t="s">
        <v>1280</v>
      </c>
      <c r="B1857" s="76" t="s">
        <v>1167</v>
      </c>
      <c r="C1857" s="76" t="s">
        <v>1281</v>
      </c>
      <c r="D1857" s="75"/>
    </row>
    <row hidden="true" r="1858">
      <c r="A1858" s="76" t="s">
        <v>1280</v>
      </c>
      <c r="B1858" s="76" t="s">
        <v>1169</v>
      </c>
      <c r="C1858" s="76" t="s">
        <v>1281</v>
      </c>
      <c r="D1858" s="75"/>
    </row>
    <row hidden="true" r="1859">
      <c r="A1859" s="76" t="s">
        <v>1280</v>
      </c>
      <c r="B1859" s="76" t="s">
        <v>1171</v>
      </c>
      <c r="C1859" s="76" t="s">
        <v>1281</v>
      </c>
      <c r="D1859" s="75"/>
    </row>
    <row hidden="true" r="1860">
      <c r="A1860" s="76" t="s">
        <v>1280</v>
      </c>
      <c r="B1860" s="76" t="s">
        <v>1173</v>
      </c>
      <c r="C1860" s="76" t="s">
        <v>1281</v>
      </c>
      <c r="D1860" s="75"/>
    </row>
    <row hidden="true" r="1861">
      <c r="A1861" s="76" t="s">
        <v>1280</v>
      </c>
      <c r="B1861" s="76" t="s">
        <v>1175</v>
      </c>
      <c r="C1861" s="76" t="s">
        <v>1281</v>
      </c>
      <c r="D1861" s="75"/>
    </row>
    <row hidden="true" r="1862">
      <c r="A1862" s="76" t="s">
        <v>1280</v>
      </c>
      <c r="B1862" s="76" t="s">
        <v>1177</v>
      </c>
      <c r="C1862" s="76" t="s">
        <v>1281</v>
      </c>
      <c r="D1862" s="75"/>
    </row>
    <row hidden="true" r="1863">
      <c r="A1863" s="76" t="s">
        <v>1280</v>
      </c>
      <c r="B1863" s="76" t="s">
        <v>1179</v>
      </c>
      <c r="C1863" s="76" t="s">
        <v>1281</v>
      </c>
      <c r="D1863" s="75"/>
    </row>
    <row hidden="true" r="1864">
      <c r="A1864" s="76" t="s">
        <v>1280</v>
      </c>
      <c r="B1864" s="76" t="s">
        <v>1181</v>
      </c>
      <c r="C1864" s="76" t="s">
        <v>1281</v>
      </c>
      <c r="D1864" s="75"/>
    </row>
    <row hidden="true" r="1865">
      <c r="A1865" s="76" t="s">
        <v>1280</v>
      </c>
      <c r="B1865" s="76" t="s">
        <v>1183</v>
      </c>
      <c r="C1865" s="76" t="s">
        <v>1281</v>
      </c>
      <c r="D1865" s="75"/>
    </row>
    <row hidden="true" r="1866">
      <c r="A1866" s="76" t="s">
        <v>1280</v>
      </c>
      <c r="B1866" s="76" t="s">
        <v>1185</v>
      </c>
      <c r="C1866" s="76" t="s">
        <v>1281</v>
      </c>
      <c r="D1866" s="75"/>
    </row>
    <row hidden="true" r="1867">
      <c r="A1867" s="76" t="s">
        <v>1280</v>
      </c>
      <c r="B1867" s="76" t="s">
        <v>1187</v>
      </c>
      <c r="C1867" s="76" t="s">
        <v>1281</v>
      </c>
      <c r="D1867" s="75"/>
    </row>
    <row hidden="true" r="1868">
      <c r="A1868" s="76" t="s">
        <v>1280</v>
      </c>
      <c r="B1868" s="76" t="s">
        <v>1189</v>
      </c>
      <c r="C1868" s="76" t="s">
        <v>1281</v>
      </c>
      <c r="D1868" s="75"/>
    </row>
    <row hidden="true" r="1869">
      <c r="A1869" s="76" t="s">
        <v>1280</v>
      </c>
      <c r="B1869" s="76" t="s">
        <v>1191</v>
      </c>
      <c r="C1869" s="76" t="s">
        <v>1281</v>
      </c>
      <c r="D1869" s="75"/>
    </row>
    <row hidden="true" r="1870">
      <c r="A1870" s="76" t="s">
        <v>1280</v>
      </c>
      <c r="B1870" s="76" t="s">
        <v>1193</v>
      </c>
      <c r="C1870" s="76" t="s">
        <v>1281</v>
      </c>
      <c r="D1870" s="75"/>
    </row>
    <row hidden="true" r="1871">
      <c r="A1871" s="76" t="s">
        <v>1280</v>
      </c>
      <c r="B1871" s="76" t="s">
        <v>1195</v>
      </c>
      <c r="C1871" s="76" t="s">
        <v>1281</v>
      </c>
      <c r="D1871" s="75"/>
    </row>
    <row hidden="true" r="1872">
      <c r="A1872" s="76" t="s">
        <v>1280</v>
      </c>
      <c r="B1872" s="76" t="s">
        <v>1197</v>
      </c>
      <c r="C1872" s="76" t="s">
        <v>1281</v>
      </c>
      <c r="D1872" s="75"/>
    </row>
    <row hidden="true" r="1873">
      <c r="A1873" s="76" t="s">
        <v>1280</v>
      </c>
      <c r="B1873" s="76" t="s">
        <v>1199</v>
      </c>
      <c r="C1873" s="76" t="s">
        <v>1281</v>
      </c>
      <c r="D1873" s="75"/>
    </row>
    <row hidden="true" r="1874">
      <c r="A1874" s="76" t="s">
        <v>1280</v>
      </c>
      <c r="B1874" s="76" t="s">
        <v>1201</v>
      </c>
      <c r="C1874" s="76" t="s">
        <v>1281</v>
      </c>
      <c r="D1874" s="75"/>
    </row>
    <row hidden="true" r="1875">
      <c r="A1875" s="76" t="s">
        <v>1280</v>
      </c>
      <c r="B1875" s="76" t="s">
        <v>1203</v>
      </c>
      <c r="C1875" s="76" t="s">
        <v>1281</v>
      </c>
      <c r="D1875" s="75"/>
    </row>
    <row hidden="true" r="1876">
      <c r="A1876" s="76" t="s">
        <v>1280</v>
      </c>
      <c r="B1876" s="76" t="s">
        <v>1205</v>
      </c>
      <c r="C1876" s="76" t="s">
        <v>1281</v>
      </c>
      <c r="D1876" s="75"/>
    </row>
    <row hidden="true" r="1877">
      <c r="A1877" s="76" t="s">
        <v>1280</v>
      </c>
      <c r="B1877" s="76" t="s">
        <v>1207</v>
      </c>
      <c r="C1877" s="76" t="s">
        <v>1281</v>
      </c>
      <c r="D1877" s="75"/>
    </row>
    <row hidden="true" r="1878">
      <c r="A1878" s="76" t="s">
        <v>1280</v>
      </c>
      <c r="B1878" s="76" t="s">
        <v>1209</v>
      </c>
      <c r="C1878" s="76" t="s">
        <v>1281</v>
      </c>
      <c r="D1878" s="75"/>
    </row>
    <row hidden="true" r="1879">
      <c r="A1879" s="76" t="s">
        <v>1280</v>
      </c>
      <c r="B1879" s="76" t="s">
        <v>1211</v>
      </c>
      <c r="C1879" s="76" t="s">
        <v>1281</v>
      </c>
      <c r="D1879" s="75"/>
    </row>
    <row hidden="true" r="1880">
      <c r="A1880" s="76" t="s">
        <v>1280</v>
      </c>
      <c r="B1880" s="76" t="s">
        <v>1282</v>
      </c>
      <c r="C1880" s="76" t="s">
        <v>1281</v>
      </c>
      <c r="D1880" s="75"/>
    </row>
    <row hidden="true" r="1881">
      <c r="A1881" s="76" t="s">
        <v>1280</v>
      </c>
      <c r="B1881" s="76" t="s">
        <v>735</v>
      </c>
      <c r="C1881" s="76" t="s">
        <v>1283</v>
      </c>
      <c r="D1881" s="75"/>
    </row>
    <row hidden="true" r="1882">
      <c r="A1882" s="76" t="s">
        <v>1284</v>
      </c>
      <c r="B1882" s="76" t="s">
        <v>407</v>
      </c>
      <c r="C1882" s="76"/>
      <c r="D1882" s="75"/>
    </row>
    <row hidden="true" r="1883">
      <c r="A1883" s="76" t="s">
        <v>1284</v>
      </c>
      <c r="B1883" s="76" t="s">
        <v>744</v>
      </c>
      <c r="C1883" s="76"/>
      <c r="D1883" s="75"/>
    </row>
    <row hidden="true" r="1884">
      <c r="A1884" s="76" t="s">
        <v>1284</v>
      </c>
      <c r="B1884" s="76" t="s">
        <v>409</v>
      </c>
      <c r="C1884" s="76"/>
      <c r="D1884" s="75"/>
    </row>
    <row hidden="true" r="1885">
      <c r="A1885" s="76" t="s">
        <v>1284</v>
      </c>
      <c r="B1885" s="76" t="s">
        <v>884</v>
      </c>
      <c r="C1885" s="76"/>
      <c r="D1885" s="75"/>
    </row>
    <row hidden="true" r="1886">
      <c r="A1886" s="76" t="s">
        <v>1284</v>
      </c>
      <c r="B1886" s="76" t="s">
        <v>886</v>
      </c>
      <c r="C1886" s="76"/>
      <c r="D1886" s="75"/>
    </row>
    <row hidden="true" r="1887">
      <c r="A1887" s="76" t="s">
        <v>1284</v>
      </c>
      <c r="B1887" s="76" t="s">
        <v>888</v>
      </c>
      <c r="C1887" s="76"/>
      <c r="D1887" s="75"/>
    </row>
    <row hidden="true" r="1888">
      <c r="A1888" s="76" t="s">
        <v>1284</v>
      </c>
      <c r="B1888" s="76" t="s">
        <v>890</v>
      </c>
      <c r="C1888" s="76"/>
      <c r="D1888" s="75"/>
    </row>
    <row hidden="true" r="1889">
      <c r="A1889" s="76" t="s">
        <v>1284</v>
      </c>
      <c r="B1889" s="76" t="s">
        <v>892</v>
      </c>
      <c r="C1889" s="76"/>
      <c r="D1889" s="75"/>
    </row>
    <row hidden="true" r="1890">
      <c r="A1890" s="76" t="s">
        <v>1284</v>
      </c>
      <c r="B1890" s="76" t="s">
        <v>894</v>
      </c>
      <c r="C1890" s="76"/>
      <c r="D1890" s="75"/>
    </row>
    <row hidden="true" r="1891">
      <c r="A1891" s="76" t="s">
        <v>1284</v>
      </c>
      <c r="B1891" s="76" t="s">
        <v>896</v>
      </c>
      <c r="C1891" s="76"/>
      <c r="D1891" s="75"/>
    </row>
    <row hidden="true" r="1892">
      <c r="A1892" s="76" t="s">
        <v>1284</v>
      </c>
      <c r="B1892" s="76" t="s">
        <v>898</v>
      </c>
      <c r="C1892" s="76"/>
      <c r="D1892" s="75"/>
    </row>
    <row hidden="true" r="1893">
      <c r="A1893" s="76" t="s">
        <v>1284</v>
      </c>
      <c r="B1893" s="76" t="s">
        <v>900</v>
      </c>
      <c r="C1893" s="76"/>
      <c r="D1893" s="75"/>
    </row>
    <row hidden="true" r="1894">
      <c r="A1894" s="76" t="s">
        <v>1284</v>
      </c>
      <c r="B1894" s="76" t="s">
        <v>902</v>
      </c>
      <c r="C1894" s="76"/>
      <c r="D1894" s="75"/>
    </row>
    <row hidden="true" r="1895">
      <c r="A1895" s="76" t="s">
        <v>1284</v>
      </c>
      <c r="B1895" s="76" t="s">
        <v>904</v>
      </c>
      <c r="C1895" s="76"/>
      <c r="D1895" s="75"/>
    </row>
    <row hidden="true" r="1896">
      <c r="A1896" s="76" t="s">
        <v>1284</v>
      </c>
      <c r="B1896" s="76" t="s">
        <v>906</v>
      </c>
      <c r="C1896" s="76"/>
      <c r="D1896" s="75"/>
    </row>
    <row hidden="true" r="1897">
      <c r="A1897" s="76" t="s">
        <v>1284</v>
      </c>
      <c r="B1897" s="76" t="s">
        <v>908</v>
      </c>
      <c r="C1897" s="76"/>
      <c r="D1897" s="75"/>
    </row>
    <row hidden="true" r="1898">
      <c r="A1898" s="76" t="s">
        <v>1284</v>
      </c>
      <c r="B1898" s="76" t="s">
        <v>910</v>
      </c>
      <c r="C1898" s="76"/>
      <c r="D1898" s="75"/>
    </row>
    <row hidden="true" r="1899">
      <c r="A1899" s="76" t="s">
        <v>1284</v>
      </c>
      <c r="B1899" s="76" t="s">
        <v>912</v>
      </c>
      <c r="C1899" s="76"/>
      <c r="D1899" s="75"/>
    </row>
    <row hidden="true" r="1900">
      <c r="A1900" s="76" t="s">
        <v>1284</v>
      </c>
      <c r="B1900" s="76" t="s">
        <v>914</v>
      </c>
      <c r="C1900" s="76"/>
      <c r="D1900" s="75"/>
    </row>
    <row hidden="true" r="1901">
      <c r="A1901" s="76" t="s">
        <v>1284</v>
      </c>
      <c r="B1901" s="76" t="s">
        <v>916</v>
      </c>
      <c r="C1901" s="76"/>
      <c r="D1901" s="75"/>
    </row>
    <row hidden="true" r="1902">
      <c r="A1902" s="76" t="s">
        <v>1284</v>
      </c>
      <c r="B1902" s="76" t="s">
        <v>918</v>
      </c>
      <c r="C1902" s="76"/>
      <c r="D1902" s="75"/>
    </row>
    <row hidden="true" r="1903">
      <c r="A1903" s="76" t="s">
        <v>1284</v>
      </c>
      <c r="B1903" s="76" t="s">
        <v>920</v>
      </c>
      <c r="C1903" s="76"/>
      <c r="D1903" s="75"/>
    </row>
    <row hidden="true" r="1904">
      <c r="A1904" s="76" t="s">
        <v>1284</v>
      </c>
      <c r="B1904" s="76" t="s">
        <v>922</v>
      </c>
      <c r="C1904" s="76"/>
      <c r="D1904" s="75"/>
    </row>
    <row hidden="true" r="1905">
      <c r="A1905" s="76" t="s">
        <v>1284</v>
      </c>
      <c r="B1905" s="76" t="s">
        <v>924</v>
      </c>
      <c r="C1905" s="76"/>
      <c r="D1905" s="75"/>
    </row>
    <row hidden="true" r="1906">
      <c r="A1906" s="76" t="s">
        <v>1284</v>
      </c>
      <c r="B1906" s="76" t="s">
        <v>926</v>
      </c>
      <c r="C1906" s="76"/>
      <c r="D1906" s="75"/>
    </row>
    <row hidden="true" r="1907">
      <c r="A1907" s="76" t="s">
        <v>1284</v>
      </c>
      <c r="B1907" s="76" t="s">
        <v>928</v>
      </c>
      <c r="C1907" s="76"/>
      <c r="D1907" s="75"/>
    </row>
    <row hidden="true" r="1908">
      <c r="A1908" s="76" t="s">
        <v>1284</v>
      </c>
      <c r="B1908" s="76" t="s">
        <v>930</v>
      </c>
      <c r="C1908" s="76"/>
      <c r="D1908" s="75"/>
    </row>
    <row hidden="true" r="1909">
      <c r="A1909" s="76" t="s">
        <v>1284</v>
      </c>
      <c r="B1909" s="76" t="s">
        <v>932</v>
      </c>
      <c r="C1909" s="76"/>
      <c r="D1909" s="75"/>
    </row>
    <row hidden="true" r="1910">
      <c r="A1910" s="76" t="s">
        <v>1284</v>
      </c>
      <c r="B1910" s="76" t="s">
        <v>934</v>
      </c>
      <c r="C1910" s="76"/>
      <c r="D1910" s="75"/>
    </row>
    <row hidden="true" r="1911">
      <c r="A1911" s="76" t="s">
        <v>1284</v>
      </c>
      <c r="B1911" s="76" t="s">
        <v>936</v>
      </c>
      <c r="C1911" s="76"/>
      <c r="D1911" s="75"/>
    </row>
    <row hidden="true" r="1912">
      <c r="A1912" s="76" t="s">
        <v>1284</v>
      </c>
      <c r="B1912" s="76" t="s">
        <v>938</v>
      </c>
      <c r="C1912" s="76"/>
      <c r="D1912" s="75"/>
    </row>
    <row hidden="true" r="1913">
      <c r="A1913" s="76" t="s">
        <v>1284</v>
      </c>
      <c r="B1913" s="76" t="s">
        <v>940</v>
      </c>
      <c r="C1913" s="76"/>
      <c r="D1913" s="75"/>
    </row>
    <row hidden="true" r="1914">
      <c r="A1914" s="76" t="s">
        <v>1284</v>
      </c>
      <c r="B1914" s="76" t="s">
        <v>942</v>
      </c>
      <c r="C1914" s="76"/>
      <c r="D1914" s="75"/>
    </row>
    <row hidden="true" r="1915">
      <c r="A1915" s="76" t="s">
        <v>1284</v>
      </c>
      <c r="B1915" s="76" t="s">
        <v>944</v>
      </c>
      <c r="C1915" s="76"/>
      <c r="D1915" s="75"/>
    </row>
    <row hidden="true" r="1916">
      <c r="A1916" s="76" t="s">
        <v>1284</v>
      </c>
      <c r="B1916" s="76" t="s">
        <v>946</v>
      </c>
      <c r="C1916" s="76"/>
      <c r="D1916" s="75"/>
    </row>
    <row hidden="true" r="1917">
      <c r="A1917" s="76" t="s">
        <v>1284</v>
      </c>
      <c r="B1917" s="76" t="s">
        <v>948</v>
      </c>
      <c r="C1917" s="76"/>
      <c r="D1917" s="75"/>
    </row>
    <row hidden="true" r="1918">
      <c r="A1918" s="76" t="s">
        <v>1284</v>
      </c>
      <c r="B1918" s="76" t="s">
        <v>950</v>
      </c>
      <c r="C1918" s="76"/>
      <c r="D1918" s="75"/>
    </row>
    <row hidden="true" r="1919">
      <c r="A1919" s="76" t="s">
        <v>1284</v>
      </c>
      <c r="B1919" s="76" t="s">
        <v>952</v>
      </c>
      <c r="C1919" s="76"/>
      <c r="D1919" s="75"/>
    </row>
    <row hidden="true" r="1920">
      <c r="A1920" s="76" t="s">
        <v>1284</v>
      </c>
      <c r="B1920" s="76" t="s">
        <v>954</v>
      </c>
      <c r="C1920" s="76"/>
      <c r="D1920" s="75"/>
    </row>
    <row hidden="true" r="1921">
      <c r="A1921" s="76" t="s">
        <v>1284</v>
      </c>
      <c r="B1921" s="76" t="s">
        <v>775</v>
      </c>
      <c r="C1921" s="76"/>
      <c r="D1921" s="75"/>
    </row>
    <row hidden="true" r="1922">
      <c r="A1922" s="76" t="s">
        <v>1284</v>
      </c>
      <c r="B1922" s="76" t="s">
        <v>956</v>
      </c>
      <c r="C1922" s="76"/>
      <c r="D1922" s="75"/>
    </row>
    <row hidden="true" r="1923">
      <c r="A1923" s="76" t="s">
        <v>1284</v>
      </c>
      <c r="B1923" s="76" t="s">
        <v>958</v>
      </c>
      <c r="C1923" s="76"/>
      <c r="D1923" s="75"/>
    </row>
    <row hidden="true" r="1924">
      <c r="A1924" s="76" t="s">
        <v>1284</v>
      </c>
      <c r="B1924" s="76" t="s">
        <v>960</v>
      </c>
      <c r="C1924" s="76"/>
      <c r="D1924" s="75"/>
    </row>
    <row hidden="true" r="1925">
      <c r="A1925" s="76" t="s">
        <v>1284</v>
      </c>
      <c r="B1925" s="76" t="s">
        <v>962</v>
      </c>
      <c r="C1925" s="76"/>
      <c r="D1925" s="75"/>
    </row>
    <row hidden="true" r="1926">
      <c r="A1926" s="76" t="s">
        <v>1284</v>
      </c>
      <c r="B1926" s="76" t="s">
        <v>964</v>
      </c>
      <c r="C1926" s="76"/>
      <c r="D1926" s="75"/>
    </row>
    <row hidden="true" r="1927">
      <c r="A1927" s="76" t="s">
        <v>1284</v>
      </c>
      <c r="B1927" s="76" t="s">
        <v>966</v>
      </c>
      <c r="C1927" s="76"/>
      <c r="D1927" s="75"/>
    </row>
    <row hidden="true" r="1928">
      <c r="A1928" s="76" t="s">
        <v>1284</v>
      </c>
      <c r="B1928" s="76" t="s">
        <v>968</v>
      </c>
      <c r="C1928" s="76"/>
      <c r="D1928" s="75"/>
    </row>
    <row hidden="true" r="1929">
      <c r="A1929" s="76" t="s">
        <v>1284</v>
      </c>
      <c r="B1929" s="76" t="s">
        <v>970</v>
      </c>
      <c r="C1929" s="76"/>
      <c r="D1929" s="75"/>
    </row>
    <row hidden="true" r="1930">
      <c r="A1930" s="76" t="s">
        <v>1284</v>
      </c>
      <c r="B1930" s="76" t="s">
        <v>972</v>
      </c>
      <c r="C1930" s="76"/>
      <c r="D1930" s="75"/>
    </row>
    <row hidden="true" r="1931">
      <c r="A1931" s="76" t="s">
        <v>1284</v>
      </c>
      <c r="B1931" s="76" t="s">
        <v>974</v>
      </c>
      <c r="C1931" s="76"/>
      <c r="D1931" s="75"/>
    </row>
    <row hidden="true" r="1932">
      <c r="A1932" s="76" t="s">
        <v>1284</v>
      </c>
      <c r="B1932" s="76" t="s">
        <v>976</v>
      </c>
      <c r="C1932" s="76"/>
      <c r="D1932" s="75"/>
    </row>
    <row hidden="true" r="1933">
      <c r="A1933" s="76" t="s">
        <v>1284</v>
      </c>
      <c r="B1933" s="76" t="s">
        <v>823</v>
      </c>
      <c r="C1933" s="76"/>
      <c r="D1933" s="75"/>
    </row>
    <row hidden="true" r="1934">
      <c r="A1934" s="76" t="s">
        <v>1284</v>
      </c>
      <c r="B1934" s="76" t="s">
        <v>978</v>
      </c>
      <c r="C1934" s="76"/>
      <c r="D1934" s="75"/>
    </row>
    <row hidden="true" r="1935">
      <c r="A1935" s="76" t="s">
        <v>1284</v>
      </c>
      <c r="B1935" s="76" t="s">
        <v>980</v>
      </c>
      <c r="C1935" s="76"/>
      <c r="D1935" s="75"/>
    </row>
    <row hidden="true" r="1936">
      <c r="A1936" s="76" t="s">
        <v>1284</v>
      </c>
      <c r="B1936" s="76" t="s">
        <v>982</v>
      </c>
      <c r="C1936" s="76"/>
      <c r="D1936" s="75"/>
    </row>
    <row hidden="true" r="1937">
      <c r="A1937" s="76" t="s">
        <v>1284</v>
      </c>
      <c r="B1937" s="76" t="s">
        <v>984</v>
      </c>
      <c r="C1937" s="76"/>
      <c r="D1937" s="75"/>
    </row>
    <row hidden="true" r="1938">
      <c r="A1938" s="76" t="s">
        <v>1284</v>
      </c>
      <c r="B1938" s="76" t="s">
        <v>986</v>
      </c>
      <c r="C1938" s="76"/>
      <c r="D1938" s="75"/>
    </row>
    <row hidden="true" r="1939">
      <c r="A1939" s="76" t="s">
        <v>1284</v>
      </c>
      <c r="B1939" s="76" t="s">
        <v>988</v>
      </c>
      <c r="C1939" s="76"/>
      <c r="D1939" s="75"/>
    </row>
    <row hidden="true" r="1940">
      <c r="A1940" s="76" t="s">
        <v>1284</v>
      </c>
      <c r="B1940" s="76" t="s">
        <v>990</v>
      </c>
      <c r="C1940" s="76"/>
      <c r="D1940" s="75"/>
    </row>
    <row hidden="true" r="1941">
      <c r="A1941" s="76" t="s">
        <v>1284</v>
      </c>
      <c r="B1941" s="76" t="s">
        <v>992</v>
      </c>
      <c r="C1941" s="76"/>
      <c r="D1941" s="75"/>
    </row>
    <row hidden="true" r="1942">
      <c r="A1942" s="76" t="s">
        <v>1284</v>
      </c>
      <c r="B1942" s="76" t="s">
        <v>994</v>
      </c>
      <c r="C1942" s="76"/>
      <c r="D1942" s="75"/>
    </row>
    <row hidden="true" r="1943">
      <c r="A1943" s="76" t="s">
        <v>1284</v>
      </c>
      <c r="B1943" s="76" t="s">
        <v>996</v>
      </c>
      <c r="C1943" s="76"/>
      <c r="D1943" s="75"/>
    </row>
    <row hidden="true" r="1944">
      <c r="A1944" s="76" t="s">
        <v>1284</v>
      </c>
      <c r="B1944" s="76" t="s">
        <v>998</v>
      </c>
      <c r="C1944" s="76"/>
      <c r="D1944" s="75"/>
    </row>
    <row hidden="true" r="1945">
      <c r="A1945" s="76" t="s">
        <v>1284</v>
      </c>
      <c r="B1945" s="76" t="s">
        <v>1000</v>
      </c>
      <c r="C1945" s="76"/>
      <c r="D1945" s="75"/>
    </row>
    <row hidden="true" r="1946">
      <c r="A1946" s="76" t="s">
        <v>1284</v>
      </c>
      <c r="B1946" s="76" t="s">
        <v>1002</v>
      </c>
      <c r="C1946" s="76"/>
      <c r="D1946" s="75"/>
    </row>
    <row hidden="true" r="1947">
      <c r="A1947" s="76" t="s">
        <v>1284</v>
      </c>
      <c r="B1947" s="76" t="s">
        <v>1004</v>
      </c>
      <c r="C1947" s="76"/>
      <c r="D1947" s="75"/>
    </row>
    <row hidden="true" r="1948">
      <c r="A1948" s="76" t="s">
        <v>1284</v>
      </c>
      <c r="B1948" s="76" t="s">
        <v>1006</v>
      </c>
      <c r="C1948" s="76"/>
      <c r="D1948" s="75"/>
    </row>
    <row hidden="true" r="1949">
      <c r="A1949" s="76" t="s">
        <v>1284</v>
      </c>
      <c r="B1949" s="76" t="s">
        <v>1008</v>
      </c>
      <c r="C1949" s="76"/>
      <c r="D1949" s="75"/>
    </row>
    <row hidden="true" r="1950">
      <c r="A1950" s="76" t="s">
        <v>1284</v>
      </c>
      <c r="B1950" s="76" t="s">
        <v>1010</v>
      </c>
      <c r="C1950" s="76"/>
      <c r="D1950" s="75"/>
    </row>
    <row hidden="true" r="1951">
      <c r="A1951" s="76" t="s">
        <v>1284</v>
      </c>
      <c r="B1951" s="76" t="s">
        <v>1012</v>
      </c>
      <c r="C1951" s="76"/>
      <c r="D1951" s="75"/>
    </row>
    <row hidden="true" r="1952">
      <c r="A1952" s="76" t="s">
        <v>1284</v>
      </c>
      <c r="B1952" s="76" t="s">
        <v>1014</v>
      </c>
      <c r="C1952" s="76"/>
      <c r="D1952" s="75"/>
    </row>
    <row hidden="true" r="1953">
      <c r="A1953" s="76" t="s">
        <v>1284</v>
      </c>
      <c r="B1953" s="76" t="s">
        <v>1016</v>
      </c>
      <c r="C1953" s="76"/>
      <c r="D1953" s="75"/>
    </row>
    <row hidden="true" r="1954">
      <c r="A1954" s="76" t="s">
        <v>1284</v>
      </c>
      <c r="B1954" s="76" t="s">
        <v>1018</v>
      </c>
      <c r="C1954" s="76"/>
      <c r="D1954" s="75"/>
    </row>
    <row hidden="true" r="1955">
      <c r="A1955" s="76" t="s">
        <v>1284</v>
      </c>
      <c r="B1955" s="76" t="s">
        <v>1020</v>
      </c>
      <c r="C1955" s="76"/>
      <c r="D1955" s="75"/>
    </row>
    <row hidden="true" r="1956">
      <c r="A1956" s="76" t="s">
        <v>1284</v>
      </c>
      <c r="B1956" s="76" t="s">
        <v>1022</v>
      </c>
      <c r="C1956" s="76"/>
      <c r="D1956" s="75"/>
    </row>
    <row hidden="true" r="1957">
      <c r="A1957" s="76" t="s">
        <v>1284</v>
      </c>
      <c r="B1957" s="76" t="s">
        <v>1023</v>
      </c>
      <c r="C1957" s="76"/>
      <c r="D1957" s="75"/>
    </row>
    <row hidden="true" r="1958">
      <c r="A1958" s="76" t="s">
        <v>1284</v>
      </c>
      <c r="B1958" s="76" t="s">
        <v>1024</v>
      </c>
      <c r="C1958" s="76"/>
      <c r="D1958" s="75"/>
    </row>
    <row hidden="true" r="1959">
      <c r="A1959" s="76" t="s">
        <v>1284</v>
      </c>
      <c r="B1959" s="76" t="s">
        <v>1025</v>
      </c>
      <c r="C1959" s="76"/>
      <c r="D1959" s="75"/>
    </row>
    <row hidden="true" r="1960">
      <c r="A1960" s="76" t="s">
        <v>1284</v>
      </c>
      <c r="B1960" s="76" t="s">
        <v>1026</v>
      </c>
      <c r="C1960" s="76"/>
      <c r="D1960" s="75"/>
    </row>
    <row hidden="true" r="1961">
      <c r="A1961" s="76" t="s">
        <v>1284</v>
      </c>
      <c r="B1961" s="76" t="s">
        <v>1027</v>
      </c>
      <c r="C1961" s="76"/>
      <c r="D1961" s="75"/>
    </row>
    <row hidden="true" r="1962">
      <c r="A1962" s="76" t="s">
        <v>1284</v>
      </c>
      <c r="B1962" s="76" t="s">
        <v>1028</v>
      </c>
      <c r="C1962" s="76"/>
      <c r="D1962" s="75"/>
    </row>
    <row hidden="true" r="1963">
      <c r="A1963" s="76" t="s">
        <v>1284</v>
      </c>
      <c r="B1963" s="76" t="s">
        <v>530</v>
      </c>
      <c r="C1963" s="76"/>
      <c r="D1963" s="75"/>
    </row>
    <row hidden="true" r="1964">
      <c r="A1964" s="76" t="s">
        <v>1284</v>
      </c>
      <c r="B1964" s="76" t="s">
        <v>1030</v>
      </c>
      <c r="C1964" s="76"/>
      <c r="D1964" s="75"/>
    </row>
    <row hidden="true" r="1965">
      <c r="A1965" s="76" t="s">
        <v>1284</v>
      </c>
      <c r="B1965" s="76" t="s">
        <v>1032</v>
      </c>
      <c r="C1965" s="76"/>
      <c r="D1965" s="75"/>
    </row>
    <row hidden="true" r="1966">
      <c r="A1966" s="76" t="s">
        <v>1284</v>
      </c>
      <c r="B1966" s="76" t="s">
        <v>1034</v>
      </c>
      <c r="C1966" s="76"/>
      <c r="D1966" s="75"/>
    </row>
    <row hidden="true" r="1967">
      <c r="A1967" s="76" t="s">
        <v>1284</v>
      </c>
      <c r="B1967" s="76" t="s">
        <v>532</v>
      </c>
      <c r="C1967" s="76"/>
      <c r="D1967" s="75"/>
    </row>
    <row hidden="true" r="1968">
      <c r="A1968" s="76" t="s">
        <v>1284</v>
      </c>
      <c r="B1968" s="76" t="s">
        <v>1036</v>
      </c>
      <c r="C1968" s="76"/>
      <c r="D1968" s="75"/>
    </row>
    <row hidden="true" r="1969">
      <c r="A1969" s="76" t="s">
        <v>1284</v>
      </c>
      <c r="B1969" s="76" t="s">
        <v>1038</v>
      </c>
      <c r="C1969" s="76"/>
      <c r="D1969" s="75"/>
    </row>
    <row hidden="true" r="1970">
      <c r="A1970" s="76" t="s">
        <v>1284</v>
      </c>
      <c r="B1970" s="76" t="s">
        <v>1040</v>
      </c>
      <c r="C1970" s="76"/>
      <c r="D1970" s="75"/>
    </row>
    <row hidden="true" r="1971">
      <c r="A1971" s="76" t="s">
        <v>1284</v>
      </c>
      <c r="B1971" s="76" t="s">
        <v>1042</v>
      </c>
      <c r="C1971" s="76"/>
      <c r="D1971" s="75"/>
    </row>
    <row hidden="true" r="1972">
      <c r="A1972" s="76" t="s">
        <v>1284</v>
      </c>
      <c r="B1972" s="76" t="s">
        <v>1044</v>
      </c>
      <c r="C1972" s="76"/>
      <c r="D1972" s="75"/>
    </row>
    <row hidden="true" r="1973">
      <c r="A1973" s="76" t="s">
        <v>1284</v>
      </c>
      <c r="B1973" s="76" t="s">
        <v>1046</v>
      </c>
      <c r="C1973" s="76"/>
      <c r="D1973" s="75"/>
    </row>
    <row hidden="true" r="1974">
      <c r="A1974" s="76" t="s">
        <v>1284</v>
      </c>
      <c r="B1974" s="76" t="s">
        <v>1048</v>
      </c>
      <c r="C1974" s="76"/>
      <c r="D1974" s="75"/>
    </row>
    <row hidden="true" r="1975">
      <c r="A1975" s="76" t="s">
        <v>1284</v>
      </c>
      <c r="B1975" s="76" t="s">
        <v>1050</v>
      </c>
      <c r="C1975" s="76"/>
      <c r="D1975" s="75"/>
    </row>
    <row hidden="true" r="1976">
      <c r="A1976" s="76" t="s">
        <v>1284</v>
      </c>
      <c r="B1976" s="76" t="s">
        <v>1052</v>
      </c>
      <c r="C1976" s="76"/>
      <c r="D1976" s="75"/>
    </row>
    <row hidden="true" r="1977">
      <c r="A1977" s="76" t="s">
        <v>1284</v>
      </c>
      <c r="B1977" s="76" t="s">
        <v>1054</v>
      </c>
      <c r="C1977" s="76"/>
      <c r="D1977" s="75"/>
    </row>
    <row hidden="true" r="1978">
      <c r="A1978" s="76" t="s">
        <v>1284</v>
      </c>
      <c r="B1978" s="76" t="s">
        <v>1056</v>
      </c>
      <c r="C1978" s="76"/>
      <c r="D1978" s="75"/>
    </row>
    <row hidden="true" r="1979">
      <c r="A1979" s="76" t="s">
        <v>1284</v>
      </c>
      <c r="B1979" s="76" t="s">
        <v>1058</v>
      </c>
      <c r="C1979" s="76"/>
      <c r="D1979" s="75"/>
    </row>
    <row hidden="true" r="1980">
      <c r="A1980" s="76" t="s">
        <v>1284</v>
      </c>
      <c r="B1980" s="76" t="s">
        <v>1060</v>
      </c>
      <c r="C1980" s="76"/>
      <c r="D1980" s="75"/>
    </row>
    <row hidden="true" r="1981">
      <c r="A1981" s="76" t="s">
        <v>1284</v>
      </c>
      <c r="B1981" s="76" t="s">
        <v>1062</v>
      </c>
      <c r="C1981" s="76"/>
      <c r="D1981" s="75"/>
    </row>
    <row hidden="true" r="1982">
      <c r="A1982" s="76" t="s">
        <v>1284</v>
      </c>
      <c r="B1982" s="76" t="s">
        <v>1064</v>
      </c>
      <c r="C1982" s="76"/>
      <c r="D1982" s="75"/>
    </row>
    <row hidden="true" r="1983">
      <c r="A1983" s="76" t="s">
        <v>1284</v>
      </c>
      <c r="B1983" s="76" t="s">
        <v>1066</v>
      </c>
      <c r="C1983" s="76"/>
      <c r="D1983" s="75"/>
    </row>
    <row hidden="true" r="1984">
      <c r="A1984" s="76" t="s">
        <v>1284</v>
      </c>
      <c r="B1984" s="76" t="s">
        <v>1068</v>
      </c>
      <c r="C1984" s="76"/>
      <c r="D1984" s="75"/>
    </row>
    <row hidden="true" r="1985">
      <c r="A1985" s="76" t="s">
        <v>1284</v>
      </c>
      <c r="B1985" s="76" t="s">
        <v>1070</v>
      </c>
      <c r="C1985" s="76"/>
      <c r="D1985" s="75"/>
    </row>
    <row hidden="true" r="1986">
      <c r="A1986" s="76" t="s">
        <v>1284</v>
      </c>
      <c r="B1986" s="76" t="s">
        <v>1071</v>
      </c>
      <c r="C1986" s="76"/>
      <c r="D1986" s="75"/>
    </row>
    <row hidden="true" r="1987">
      <c r="A1987" s="76" t="s">
        <v>1284</v>
      </c>
      <c r="B1987" s="76" t="s">
        <v>1072</v>
      </c>
      <c r="C1987" s="76"/>
      <c r="D1987" s="75"/>
    </row>
    <row hidden="true" r="1988">
      <c r="A1988" s="76" t="s">
        <v>1284</v>
      </c>
      <c r="B1988" s="76" t="s">
        <v>1074</v>
      </c>
      <c r="C1988" s="76"/>
      <c r="D1988" s="75"/>
    </row>
    <row hidden="true" r="1989">
      <c r="A1989" s="76" t="s">
        <v>1284</v>
      </c>
      <c r="B1989" s="76" t="s">
        <v>1075</v>
      </c>
      <c r="C1989" s="76"/>
      <c r="D1989" s="75"/>
    </row>
    <row hidden="true" r="1990">
      <c r="A1990" s="76" t="s">
        <v>1284</v>
      </c>
      <c r="B1990" s="76" t="s">
        <v>1076</v>
      </c>
      <c r="C1990" s="76"/>
      <c r="D1990" s="75"/>
    </row>
    <row hidden="true" r="1991">
      <c r="A1991" s="76" t="s">
        <v>1284</v>
      </c>
      <c r="B1991" s="76" t="s">
        <v>1078</v>
      </c>
      <c r="C1991" s="76"/>
      <c r="D1991" s="75"/>
    </row>
    <row hidden="true" r="1992">
      <c r="A1992" s="76" t="s">
        <v>1284</v>
      </c>
      <c r="B1992" s="76" t="s">
        <v>839</v>
      </c>
      <c r="C1992" s="76"/>
      <c r="D1992" s="75"/>
    </row>
    <row hidden="true" r="1993">
      <c r="A1993" s="76" t="s">
        <v>1284</v>
      </c>
      <c r="B1993" s="76" t="s">
        <v>1080</v>
      </c>
      <c r="C1993" s="76"/>
      <c r="D1993" s="75"/>
    </row>
    <row hidden="true" r="1994">
      <c r="A1994" s="76" t="s">
        <v>1284</v>
      </c>
      <c r="B1994" s="76" t="s">
        <v>1082</v>
      </c>
      <c r="C1994" s="76"/>
      <c r="D1994" s="75"/>
    </row>
    <row hidden="true" r="1995">
      <c r="A1995" s="76" t="s">
        <v>1284</v>
      </c>
      <c r="B1995" s="76" t="s">
        <v>1084</v>
      </c>
      <c r="C1995" s="76"/>
      <c r="D1995" s="75"/>
    </row>
    <row hidden="true" r="1996">
      <c r="A1996" s="76" t="s">
        <v>1284</v>
      </c>
      <c r="B1996" s="76" t="s">
        <v>1086</v>
      </c>
      <c r="C1996" s="76"/>
      <c r="D1996" s="75"/>
    </row>
    <row hidden="true" r="1997">
      <c r="A1997" s="76" t="s">
        <v>1284</v>
      </c>
      <c r="B1997" s="76" t="s">
        <v>1088</v>
      </c>
      <c r="C1997" s="76"/>
      <c r="D1997" s="75"/>
    </row>
    <row hidden="true" r="1998">
      <c r="A1998" s="76" t="s">
        <v>1284</v>
      </c>
      <c r="B1998" s="76" t="s">
        <v>1090</v>
      </c>
      <c r="C1998" s="76"/>
      <c r="D1998" s="75"/>
    </row>
    <row hidden="true" r="1999">
      <c r="A1999" s="76" t="s">
        <v>1284</v>
      </c>
      <c r="B1999" s="76" t="s">
        <v>1092</v>
      </c>
      <c r="C1999" s="76"/>
      <c r="D1999" s="75"/>
    </row>
    <row hidden="true" r="2000">
      <c r="A2000" s="76" t="s">
        <v>1284</v>
      </c>
      <c r="B2000" s="76" t="s">
        <v>1093</v>
      </c>
      <c r="C2000" s="76"/>
      <c r="D2000" s="75"/>
    </row>
    <row hidden="true" r="2001">
      <c r="A2001" s="76" t="s">
        <v>1284</v>
      </c>
      <c r="B2001" s="76" t="s">
        <v>1095</v>
      </c>
      <c r="C2001" s="76"/>
      <c r="D2001" s="75"/>
    </row>
    <row hidden="true" r="2002">
      <c r="A2002" s="76" t="s">
        <v>1284</v>
      </c>
      <c r="B2002" s="76" t="s">
        <v>1097</v>
      </c>
      <c r="C2002" s="76"/>
      <c r="D2002" s="75"/>
    </row>
    <row hidden="true" r="2003">
      <c r="A2003" s="76" t="s">
        <v>1284</v>
      </c>
      <c r="B2003" s="76" t="s">
        <v>1099</v>
      </c>
      <c r="C2003" s="76"/>
      <c r="D2003" s="75"/>
    </row>
    <row hidden="true" r="2004">
      <c r="A2004" s="76" t="s">
        <v>1284</v>
      </c>
      <c r="B2004" s="76" t="s">
        <v>1101</v>
      </c>
      <c r="C2004" s="76"/>
      <c r="D2004" s="75"/>
    </row>
    <row hidden="true" r="2005">
      <c r="A2005" s="76" t="s">
        <v>1284</v>
      </c>
      <c r="B2005" s="76" t="s">
        <v>1103</v>
      </c>
      <c r="C2005" s="76"/>
      <c r="D2005" s="75"/>
    </row>
    <row hidden="true" r="2006">
      <c r="A2006" s="76" t="s">
        <v>1284</v>
      </c>
      <c r="B2006" s="76" t="s">
        <v>1105</v>
      </c>
      <c r="C2006" s="76"/>
      <c r="D2006" s="75"/>
    </row>
    <row hidden="true" r="2007">
      <c r="A2007" s="76" t="s">
        <v>1284</v>
      </c>
      <c r="B2007" s="76" t="s">
        <v>1107</v>
      </c>
      <c r="C2007" s="76"/>
      <c r="D2007" s="75"/>
    </row>
    <row hidden="true" r="2008">
      <c r="A2008" s="76" t="s">
        <v>1284</v>
      </c>
      <c r="B2008" s="76" t="s">
        <v>1109</v>
      </c>
      <c r="C2008" s="76"/>
      <c r="D2008" s="75"/>
    </row>
    <row hidden="true" r="2009">
      <c r="A2009" s="76" t="s">
        <v>1284</v>
      </c>
      <c r="B2009" s="76" t="s">
        <v>1111</v>
      </c>
      <c r="C2009" s="76"/>
      <c r="D2009" s="75"/>
    </row>
    <row hidden="true" r="2010">
      <c r="A2010" s="76" t="s">
        <v>1284</v>
      </c>
      <c r="B2010" s="76" t="s">
        <v>1113</v>
      </c>
      <c r="C2010" s="76"/>
      <c r="D2010" s="75"/>
    </row>
    <row hidden="true" r="2011">
      <c r="A2011" s="76" t="s">
        <v>1284</v>
      </c>
      <c r="B2011" s="76" t="s">
        <v>1115</v>
      </c>
      <c r="C2011" s="76"/>
      <c r="D2011" s="75"/>
    </row>
    <row hidden="true" r="2012">
      <c r="A2012" s="76" t="s">
        <v>1284</v>
      </c>
      <c r="B2012" s="76" t="s">
        <v>1117</v>
      </c>
      <c r="C2012" s="76"/>
      <c r="D2012" s="75"/>
    </row>
    <row hidden="true" r="2013">
      <c r="A2013" s="76" t="s">
        <v>1284</v>
      </c>
      <c r="B2013" s="76" t="s">
        <v>1119</v>
      </c>
      <c r="C2013" s="76"/>
      <c r="D2013" s="75"/>
    </row>
    <row hidden="true" r="2014">
      <c r="A2014" s="76" t="s">
        <v>1284</v>
      </c>
      <c r="B2014" s="76" t="s">
        <v>1121</v>
      </c>
      <c r="C2014" s="76"/>
      <c r="D2014" s="75"/>
    </row>
    <row hidden="true" r="2015">
      <c r="A2015" s="76" t="s">
        <v>1284</v>
      </c>
      <c r="B2015" s="76" t="s">
        <v>1123</v>
      </c>
      <c r="C2015" s="76"/>
      <c r="D2015" s="75"/>
    </row>
    <row hidden="true" r="2016">
      <c r="A2016" s="76" t="s">
        <v>1284</v>
      </c>
      <c r="B2016" s="76" t="s">
        <v>1125</v>
      </c>
      <c r="C2016" s="76"/>
      <c r="D2016" s="75"/>
    </row>
    <row hidden="true" r="2017">
      <c r="A2017" s="76" t="s">
        <v>1284</v>
      </c>
      <c r="B2017" s="76" t="s">
        <v>1127</v>
      </c>
      <c r="C2017" s="76"/>
      <c r="D2017" s="75"/>
    </row>
    <row hidden="true" r="2018">
      <c r="A2018" s="76" t="s">
        <v>1284</v>
      </c>
      <c r="B2018" s="76" t="s">
        <v>1129</v>
      </c>
      <c r="C2018" s="76"/>
      <c r="D2018" s="75"/>
    </row>
    <row hidden="true" r="2019">
      <c r="A2019" s="76" t="s">
        <v>1284</v>
      </c>
      <c r="B2019" s="76" t="s">
        <v>1131</v>
      </c>
      <c r="C2019" s="76"/>
      <c r="D2019" s="75"/>
    </row>
    <row hidden="true" r="2020">
      <c r="A2020" s="76" t="s">
        <v>1284</v>
      </c>
      <c r="B2020" s="76" t="s">
        <v>1133</v>
      </c>
      <c r="C2020" s="76"/>
      <c r="D2020" s="75"/>
    </row>
    <row hidden="true" r="2021">
      <c r="A2021" s="76" t="s">
        <v>1284</v>
      </c>
      <c r="B2021" s="76" t="s">
        <v>1135</v>
      </c>
      <c r="C2021" s="76"/>
      <c r="D2021" s="75"/>
    </row>
    <row hidden="true" r="2022">
      <c r="A2022" s="76" t="s">
        <v>1284</v>
      </c>
      <c r="B2022" s="76" t="s">
        <v>1137</v>
      </c>
      <c r="C2022" s="76"/>
      <c r="D2022" s="75"/>
    </row>
    <row hidden="true" r="2023">
      <c r="A2023" s="76" t="s">
        <v>1284</v>
      </c>
      <c r="B2023" s="76" t="s">
        <v>1139</v>
      </c>
      <c r="C2023" s="76"/>
      <c r="D2023" s="75"/>
    </row>
    <row hidden="true" r="2024">
      <c r="A2024" s="76" t="s">
        <v>1284</v>
      </c>
      <c r="B2024" s="76" t="s">
        <v>1141</v>
      </c>
      <c r="C2024" s="76"/>
      <c r="D2024" s="75"/>
    </row>
    <row hidden="true" r="2025">
      <c r="A2025" s="76" t="s">
        <v>1284</v>
      </c>
      <c r="B2025" s="76" t="s">
        <v>1143</v>
      </c>
      <c r="C2025" s="76"/>
      <c r="D2025" s="75"/>
    </row>
    <row hidden="true" r="2026">
      <c r="A2026" s="76" t="s">
        <v>1284</v>
      </c>
      <c r="B2026" s="76" t="s">
        <v>1145</v>
      </c>
      <c r="C2026" s="76"/>
      <c r="D2026" s="75"/>
    </row>
    <row hidden="true" r="2027">
      <c r="A2027" s="76" t="s">
        <v>1284</v>
      </c>
      <c r="B2027" s="76" t="s">
        <v>1147</v>
      </c>
      <c r="C2027" s="76"/>
      <c r="D2027" s="75"/>
    </row>
    <row hidden="true" r="2028">
      <c r="A2028" s="76" t="s">
        <v>1284</v>
      </c>
      <c r="B2028" s="76" t="s">
        <v>1149</v>
      </c>
      <c r="C2028" s="76"/>
      <c r="D2028" s="75"/>
    </row>
    <row hidden="true" r="2029">
      <c r="A2029" s="76" t="s">
        <v>1284</v>
      </c>
      <c r="B2029" s="76" t="s">
        <v>1151</v>
      </c>
      <c r="C2029" s="76"/>
      <c r="D2029" s="75"/>
    </row>
    <row hidden="true" r="2030">
      <c r="A2030" s="76" t="s">
        <v>1284</v>
      </c>
      <c r="B2030" s="76" t="s">
        <v>1153</v>
      </c>
      <c r="C2030" s="76"/>
      <c r="D2030" s="75"/>
    </row>
    <row hidden="true" r="2031">
      <c r="A2031" s="76" t="s">
        <v>1284</v>
      </c>
      <c r="B2031" s="76" t="s">
        <v>1155</v>
      </c>
      <c r="C2031" s="76"/>
      <c r="D2031" s="75"/>
    </row>
    <row hidden="true" r="2032">
      <c r="A2032" s="76" t="s">
        <v>1284</v>
      </c>
      <c r="B2032" s="76" t="s">
        <v>1157</v>
      </c>
      <c r="C2032" s="76"/>
      <c r="D2032" s="75"/>
    </row>
    <row hidden="true" r="2033">
      <c r="A2033" s="76" t="s">
        <v>1284</v>
      </c>
      <c r="B2033" s="76" t="s">
        <v>1159</v>
      </c>
      <c r="C2033" s="76"/>
      <c r="D2033" s="75"/>
    </row>
    <row hidden="true" r="2034">
      <c r="A2034" s="76" t="s">
        <v>1284</v>
      </c>
      <c r="B2034" s="76" t="s">
        <v>868</v>
      </c>
      <c r="C2034" s="76"/>
      <c r="D2034" s="75"/>
    </row>
    <row hidden="true" r="2035">
      <c r="A2035" s="76" t="s">
        <v>1284</v>
      </c>
      <c r="B2035" s="76" t="s">
        <v>1161</v>
      </c>
      <c r="C2035" s="76"/>
      <c r="D2035" s="75"/>
    </row>
    <row hidden="true" r="2036">
      <c r="A2036" s="76" t="s">
        <v>1284</v>
      </c>
      <c r="B2036" s="76" t="s">
        <v>1163</v>
      </c>
      <c r="C2036" s="76"/>
      <c r="D2036" s="75"/>
    </row>
    <row hidden="true" r="2037">
      <c r="A2037" s="76" t="s">
        <v>1284</v>
      </c>
      <c r="B2037" s="76" t="s">
        <v>1165</v>
      </c>
      <c r="C2037" s="76"/>
      <c r="D2037" s="75"/>
    </row>
    <row hidden="true" r="2038">
      <c r="A2038" s="76" t="s">
        <v>1284</v>
      </c>
      <c r="B2038" s="76" t="s">
        <v>1167</v>
      </c>
      <c r="C2038" s="76"/>
      <c r="D2038" s="75"/>
    </row>
    <row hidden="true" r="2039">
      <c r="A2039" s="76" t="s">
        <v>1284</v>
      </c>
      <c r="B2039" s="76" t="s">
        <v>1169</v>
      </c>
      <c r="C2039" s="76"/>
      <c r="D2039" s="75"/>
    </row>
    <row hidden="true" r="2040">
      <c r="A2040" s="76" t="s">
        <v>1284</v>
      </c>
      <c r="B2040" s="76" t="s">
        <v>1171</v>
      </c>
      <c r="C2040" s="76"/>
      <c r="D2040" s="75"/>
    </row>
    <row hidden="true" r="2041">
      <c r="A2041" s="76" t="s">
        <v>1284</v>
      </c>
      <c r="B2041" s="76" t="s">
        <v>1173</v>
      </c>
      <c r="C2041" s="76"/>
      <c r="D2041" s="75"/>
    </row>
    <row hidden="true" r="2042">
      <c r="A2042" s="76" t="s">
        <v>1284</v>
      </c>
      <c r="B2042" s="76" t="s">
        <v>1175</v>
      </c>
      <c r="C2042" s="76"/>
      <c r="D2042" s="75"/>
    </row>
    <row hidden="true" r="2043">
      <c r="A2043" s="76" t="s">
        <v>1284</v>
      </c>
      <c r="B2043" s="76" t="s">
        <v>1177</v>
      </c>
      <c r="C2043" s="76"/>
      <c r="D2043" s="75"/>
    </row>
    <row hidden="true" r="2044">
      <c r="A2044" s="76" t="s">
        <v>1284</v>
      </c>
      <c r="B2044" s="76" t="s">
        <v>1179</v>
      </c>
      <c r="C2044" s="76"/>
      <c r="D2044" s="75"/>
    </row>
    <row hidden="true" r="2045">
      <c r="A2045" s="76" t="s">
        <v>1284</v>
      </c>
      <c r="B2045" s="76" t="s">
        <v>1181</v>
      </c>
      <c r="C2045" s="76"/>
      <c r="D2045" s="75"/>
    </row>
    <row hidden="true" r="2046">
      <c r="A2046" s="76" t="s">
        <v>1284</v>
      </c>
      <c r="B2046" s="76" t="s">
        <v>1183</v>
      </c>
      <c r="C2046" s="76"/>
      <c r="D2046" s="75"/>
    </row>
    <row hidden="true" r="2047">
      <c r="A2047" s="76" t="s">
        <v>1284</v>
      </c>
      <c r="B2047" s="76" t="s">
        <v>1185</v>
      </c>
      <c r="C2047" s="76"/>
      <c r="D2047" s="75"/>
    </row>
    <row hidden="true" r="2048">
      <c r="A2048" s="76" t="s">
        <v>1284</v>
      </c>
      <c r="B2048" s="76" t="s">
        <v>1187</v>
      </c>
      <c r="C2048" s="76"/>
      <c r="D2048" s="75"/>
    </row>
    <row hidden="true" r="2049">
      <c r="A2049" s="76" t="s">
        <v>1284</v>
      </c>
      <c r="B2049" s="76" t="s">
        <v>1189</v>
      </c>
      <c r="C2049" s="76"/>
      <c r="D2049" s="75"/>
    </row>
    <row hidden="true" r="2050">
      <c r="A2050" s="76" t="s">
        <v>1284</v>
      </c>
      <c r="B2050" s="76" t="s">
        <v>1191</v>
      </c>
      <c r="C2050" s="76"/>
      <c r="D2050" s="75"/>
    </row>
    <row hidden="true" r="2051">
      <c r="A2051" s="76" t="s">
        <v>1284</v>
      </c>
      <c r="B2051" s="76" t="s">
        <v>1193</v>
      </c>
      <c r="C2051" s="76"/>
      <c r="D2051" s="75"/>
    </row>
    <row hidden="true" r="2052">
      <c r="A2052" s="76" t="s">
        <v>1284</v>
      </c>
      <c r="B2052" s="76" t="s">
        <v>1195</v>
      </c>
      <c r="C2052" s="76"/>
      <c r="D2052" s="75"/>
    </row>
    <row hidden="true" r="2053">
      <c r="A2053" s="76" t="s">
        <v>1284</v>
      </c>
      <c r="B2053" s="76" t="s">
        <v>1197</v>
      </c>
      <c r="C2053" s="76"/>
      <c r="D2053" s="75"/>
    </row>
    <row hidden="true" r="2054">
      <c r="A2054" s="76" t="s">
        <v>1284</v>
      </c>
      <c r="B2054" s="76" t="s">
        <v>1199</v>
      </c>
      <c r="C2054" s="76"/>
      <c r="D2054" s="75"/>
    </row>
    <row hidden="true" r="2055">
      <c r="A2055" s="76" t="s">
        <v>1284</v>
      </c>
      <c r="B2055" s="76" t="s">
        <v>1201</v>
      </c>
      <c r="C2055" s="76"/>
      <c r="D2055" s="75"/>
    </row>
    <row hidden="true" r="2056">
      <c r="A2056" s="76" t="s">
        <v>1284</v>
      </c>
      <c r="B2056" s="76" t="s">
        <v>1203</v>
      </c>
      <c r="C2056" s="76"/>
      <c r="D2056" s="75"/>
    </row>
    <row hidden="true" r="2057">
      <c r="A2057" s="76" t="s">
        <v>1284</v>
      </c>
      <c r="B2057" s="76" t="s">
        <v>1205</v>
      </c>
      <c r="C2057" s="76"/>
      <c r="D2057" s="75"/>
    </row>
    <row hidden="true" r="2058">
      <c r="A2058" s="76" t="s">
        <v>1284</v>
      </c>
      <c r="B2058" s="76" t="s">
        <v>1207</v>
      </c>
      <c r="C2058" s="76"/>
      <c r="D2058" s="75"/>
    </row>
    <row hidden="true" r="2059">
      <c r="A2059" s="76" t="s">
        <v>1284</v>
      </c>
      <c r="B2059" s="76" t="s">
        <v>1209</v>
      </c>
      <c r="C2059" s="76"/>
      <c r="D2059" s="75"/>
    </row>
    <row hidden="true" r="2060">
      <c r="A2060" s="76" t="s">
        <v>1284</v>
      </c>
      <c r="B2060" s="76" t="s">
        <v>1211</v>
      </c>
      <c r="C2060" s="76"/>
      <c r="D2060" s="75"/>
    </row>
    <row hidden="true" r="2061">
      <c r="A2061" s="76" t="s">
        <v>1284</v>
      </c>
      <c r="B2061" s="76" t="s">
        <v>1282</v>
      </c>
      <c r="C2061" s="76"/>
      <c r="D2061" s="75"/>
    </row>
    <row hidden="true" r="2062">
      <c r="A2062" s="76" t="s">
        <v>1284</v>
      </c>
      <c r="B2062" s="76" t="s">
        <v>735</v>
      </c>
      <c r="C2062" s="76"/>
      <c r="D2062" s="75"/>
    </row>
    <row hidden="true" r="2063">
      <c r="A2063" s="76" t="s">
        <v>1285</v>
      </c>
      <c r="B2063" s="76" t="s">
        <v>407</v>
      </c>
      <c r="C2063" s="76" t="s">
        <v>1281</v>
      </c>
      <c r="D2063" s="75"/>
    </row>
    <row hidden="true" r="2064">
      <c r="A2064" s="76" t="s">
        <v>1285</v>
      </c>
      <c r="B2064" s="76" t="s">
        <v>744</v>
      </c>
      <c r="C2064" s="76" t="s">
        <v>1281</v>
      </c>
      <c r="D2064" s="75"/>
    </row>
    <row hidden="true" r="2065">
      <c r="A2065" s="76" t="s">
        <v>1285</v>
      </c>
      <c r="B2065" s="76" t="s">
        <v>409</v>
      </c>
      <c r="C2065" s="76" t="s">
        <v>1281</v>
      </c>
      <c r="D2065" s="75"/>
    </row>
    <row hidden="true" r="2066">
      <c r="A2066" s="76" t="s">
        <v>1285</v>
      </c>
      <c r="B2066" s="76" t="s">
        <v>884</v>
      </c>
      <c r="C2066" s="76" t="s">
        <v>1281</v>
      </c>
      <c r="D2066" s="75"/>
    </row>
    <row hidden="true" r="2067">
      <c r="A2067" s="76" t="s">
        <v>1285</v>
      </c>
      <c r="B2067" s="76" t="s">
        <v>886</v>
      </c>
      <c r="C2067" s="76" t="s">
        <v>1281</v>
      </c>
      <c r="D2067" s="75"/>
    </row>
    <row hidden="true" r="2068">
      <c r="A2068" s="76" t="s">
        <v>1285</v>
      </c>
      <c r="B2068" s="76" t="s">
        <v>888</v>
      </c>
      <c r="C2068" s="76" t="s">
        <v>1281</v>
      </c>
      <c r="D2068" s="75"/>
    </row>
    <row hidden="true" r="2069">
      <c r="A2069" s="76" t="s">
        <v>1285</v>
      </c>
      <c r="B2069" s="76" t="s">
        <v>890</v>
      </c>
      <c r="C2069" s="76" t="s">
        <v>1281</v>
      </c>
      <c r="D2069" s="75"/>
    </row>
    <row hidden="true" r="2070">
      <c r="A2070" s="76" t="s">
        <v>1285</v>
      </c>
      <c r="B2070" s="76" t="s">
        <v>892</v>
      </c>
      <c r="C2070" s="76" t="s">
        <v>1281</v>
      </c>
      <c r="D2070" s="75"/>
    </row>
    <row hidden="true" r="2071">
      <c r="A2071" s="76" t="s">
        <v>1285</v>
      </c>
      <c r="B2071" s="76" t="s">
        <v>894</v>
      </c>
      <c r="C2071" s="76" t="s">
        <v>1281</v>
      </c>
      <c r="D2071" s="75"/>
    </row>
    <row hidden="true" r="2072">
      <c r="A2072" s="76" t="s">
        <v>1285</v>
      </c>
      <c r="B2072" s="76" t="s">
        <v>896</v>
      </c>
      <c r="C2072" s="76" t="s">
        <v>1281</v>
      </c>
      <c r="D2072" s="75"/>
    </row>
    <row hidden="true" r="2073">
      <c r="A2073" s="76" t="s">
        <v>1285</v>
      </c>
      <c r="B2073" s="76" t="s">
        <v>898</v>
      </c>
      <c r="C2073" s="76" t="s">
        <v>1281</v>
      </c>
      <c r="D2073" s="75"/>
    </row>
    <row hidden="true" r="2074">
      <c r="A2074" s="76" t="s">
        <v>1285</v>
      </c>
      <c r="B2074" s="76" t="s">
        <v>900</v>
      </c>
      <c r="C2074" s="76" t="s">
        <v>1281</v>
      </c>
      <c r="D2074" s="75"/>
    </row>
    <row hidden="true" r="2075">
      <c r="A2075" s="76" t="s">
        <v>1285</v>
      </c>
      <c r="B2075" s="76" t="s">
        <v>902</v>
      </c>
      <c r="C2075" s="76" t="s">
        <v>1281</v>
      </c>
      <c r="D2075" s="75"/>
    </row>
    <row hidden="true" r="2076">
      <c r="A2076" s="76" t="s">
        <v>1285</v>
      </c>
      <c r="B2076" s="76" t="s">
        <v>904</v>
      </c>
      <c r="C2076" s="76" t="s">
        <v>1281</v>
      </c>
      <c r="D2076" s="75"/>
    </row>
    <row hidden="true" r="2077">
      <c r="A2077" s="76" t="s">
        <v>1285</v>
      </c>
      <c r="B2077" s="76" t="s">
        <v>906</v>
      </c>
      <c r="C2077" s="76" t="s">
        <v>1281</v>
      </c>
      <c r="D2077" s="75"/>
    </row>
    <row hidden="true" r="2078">
      <c r="A2078" s="76" t="s">
        <v>1285</v>
      </c>
      <c r="B2078" s="76" t="s">
        <v>908</v>
      </c>
      <c r="C2078" s="76" t="s">
        <v>1281</v>
      </c>
      <c r="D2078" s="75"/>
    </row>
    <row hidden="true" r="2079">
      <c r="A2079" s="76" t="s">
        <v>1285</v>
      </c>
      <c r="B2079" s="76" t="s">
        <v>910</v>
      </c>
      <c r="C2079" s="76" t="s">
        <v>1281</v>
      </c>
      <c r="D2079" s="75"/>
    </row>
    <row hidden="true" r="2080">
      <c r="A2080" s="76" t="s">
        <v>1285</v>
      </c>
      <c r="B2080" s="76" t="s">
        <v>912</v>
      </c>
      <c r="C2080" s="76" t="s">
        <v>1281</v>
      </c>
      <c r="D2080" s="75"/>
    </row>
    <row hidden="true" r="2081">
      <c r="A2081" s="76" t="s">
        <v>1285</v>
      </c>
      <c r="B2081" s="76" t="s">
        <v>914</v>
      </c>
      <c r="C2081" s="76" t="s">
        <v>1281</v>
      </c>
      <c r="D2081" s="75"/>
    </row>
    <row hidden="true" r="2082">
      <c r="A2082" s="76" t="s">
        <v>1285</v>
      </c>
      <c r="B2082" s="76" t="s">
        <v>916</v>
      </c>
      <c r="C2082" s="76" t="s">
        <v>1281</v>
      </c>
      <c r="D2082" s="75"/>
    </row>
    <row hidden="true" r="2083">
      <c r="A2083" s="76" t="s">
        <v>1285</v>
      </c>
      <c r="B2083" s="76" t="s">
        <v>918</v>
      </c>
      <c r="C2083" s="76" t="s">
        <v>1281</v>
      </c>
      <c r="D2083" s="75"/>
    </row>
    <row hidden="true" r="2084">
      <c r="A2084" s="76" t="s">
        <v>1285</v>
      </c>
      <c r="B2084" s="76" t="s">
        <v>920</v>
      </c>
      <c r="C2084" s="76" t="s">
        <v>1281</v>
      </c>
      <c r="D2084" s="75"/>
    </row>
    <row hidden="true" r="2085">
      <c r="A2085" s="76" t="s">
        <v>1285</v>
      </c>
      <c r="B2085" s="76" t="s">
        <v>922</v>
      </c>
      <c r="C2085" s="76" t="s">
        <v>1281</v>
      </c>
      <c r="D2085" s="75"/>
    </row>
    <row hidden="true" r="2086">
      <c r="A2086" s="76" t="s">
        <v>1285</v>
      </c>
      <c r="B2086" s="76" t="s">
        <v>924</v>
      </c>
      <c r="C2086" s="76" t="s">
        <v>1281</v>
      </c>
      <c r="D2086" s="75"/>
    </row>
    <row hidden="true" r="2087">
      <c r="A2087" s="76" t="s">
        <v>1285</v>
      </c>
      <c r="B2087" s="76" t="s">
        <v>926</v>
      </c>
      <c r="C2087" s="76" t="s">
        <v>1281</v>
      </c>
      <c r="D2087" s="75"/>
    </row>
    <row hidden="true" r="2088">
      <c r="A2088" s="76" t="s">
        <v>1285</v>
      </c>
      <c r="B2088" s="76" t="s">
        <v>928</v>
      </c>
      <c r="C2088" s="76" t="s">
        <v>1281</v>
      </c>
      <c r="D2088" s="75"/>
    </row>
    <row hidden="true" r="2089">
      <c r="A2089" s="76" t="s">
        <v>1285</v>
      </c>
      <c r="B2089" s="76" t="s">
        <v>930</v>
      </c>
      <c r="C2089" s="76" t="s">
        <v>1281</v>
      </c>
      <c r="D2089" s="75"/>
    </row>
    <row hidden="true" r="2090">
      <c r="A2090" s="76" t="s">
        <v>1285</v>
      </c>
      <c r="B2090" s="76" t="s">
        <v>932</v>
      </c>
      <c r="C2090" s="76" t="s">
        <v>1281</v>
      </c>
      <c r="D2090" s="75"/>
    </row>
    <row hidden="true" r="2091">
      <c r="A2091" s="76" t="s">
        <v>1285</v>
      </c>
      <c r="B2091" s="76" t="s">
        <v>934</v>
      </c>
      <c r="C2091" s="76" t="s">
        <v>1281</v>
      </c>
      <c r="D2091" s="75"/>
    </row>
    <row hidden="true" r="2092">
      <c r="A2092" s="76" t="s">
        <v>1285</v>
      </c>
      <c r="B2092" s="76" t="s">
        <v>936</v>
      </c>
      <c r="C2092" s="76" t="s">
        <v>1281</v>
      </c>
      <c r="D2092" s="75"/>
    </row>
    <row hidden="true" r="2093">
      <c r="A2093" s="76" t="s">
        <v>1285</v>
      </c>
      <c r="B2093" s="76" t="s">
        <v>938</v>
      </c>
      <c r="C2093" s="76" t="s">
        <v>1281</v>
      </c>
      <c r="D2093" s="75"/>
    </row>
    <row hidden="true" r="2094">
      <c r="A2094" s="76" t="s">
        <v>1285</v>
      </c>
      <c r="B2094" s="76" t="s">
        <v>940</v>
      </c>
      <c r="C2094" s="76" t="s">
        <v>1281</v>
      </c>
      <c r="D2094" s="75"/>
    </row>
    <row hidden="true" r="2095">
      <c r="A2095" s="76" t="s">
        <v>1285</v>
      </c>
      <c r="B2095" s="76" t="s">
        <v>942</v>
      </c>
      <c r="C2095" s="76" t="s">
        <v>1281</v>
      </c>
      <c r="D2095" s="75"/>
    </row>
    <row hidden="true" r="2096">
      <c r="A2096" s="76" t="s">
        <v>1285</v>
      </c>
      <c r="B2096" s="76" t="s">
        <v>944</v>
      </c>
      <c r="C2096" s="76" t="s">
        <v>1281</v>
      </c>
      <c r="D2096" s="75"/>
    </row>
    <row hidden="true" r="2097">
      <c r="A2097" s="76" t="s">
        <v>1285</v>
      </c>
      <c r="B2097" s="76" t="s">
        <v>946</v>
      </c>
      <c r="C2097" s="76" t="s">
        <v>1281</v>
      </c>
      <c r="D2097" s="75"/>
    </row>
    <row hidden="true" r="2098">
      <c r="A2098" s="76" t="s">
        <v>1285</v>
      </c>
      <c r="B2098" s="76" t="s">
        <v>948</v>
      </c>
      <c r="C2098" s="76" t="s">
        <v>1281</v>
      </c>
      <c r="D2098" s="75"/>
    </row>
    <row hidden="true" r="2099">
      <c r="A2099" s="76" t="s">
        <v>1285</v>
      </c>
      <c r="B2099" s="76" t="s">
        <v>950</v>
      </c>
      <c r="C2099" s="76" t="s">
        <v>1281</v>
      </c>
      <c r="D2099" s="75"/>
    </row>
    <row hidden="true" r="2100">
      <c r="A2100" s="76" t="s">
        <v>1285</v>
      </c>
      <c r="B2100" s="76" t="s">
        <v>952</v>
      </c>
      <c r="C2100" s="76" t="s">
        <v>1281</v>
      </c>
      <c r="D2100" s="75"/>
    </row>
    <row hidden="true" r="2101">
      <c r="A2101" s="76" t="s">
        <v>1285</v>
      </c>
      <c r="B2101" s="76" t="s">
        <v>954</v>
      </c>
      <c r="C2101" s="76" t="s">
        <v>1281</v>
      </c>
      <c r="D2101" s="75"/>
    </row>
    <row hidden="true" r="2102">
      <c r="A2102" s="76" t="s">
        <v>1285</v>
      </c>
      <c r="B2102" s="76" t="s">
        <v>775</v>
      </c>
      <c r="C2102" s="76" t="s">
        <v>1281</v>
      </c>
      <c r="D2102" s="75"/>
    </row>
    <row hidden="true" r="2103">
      <c r="A2103" s="76" t="s">
        <v>1285</v>
      </c>
      <c r="B2103" s="76" t="s">
        <v>956</v>
      </c>
      <c r="C2103" s="76" t="s">
        <v>1281</v>
      </c>
      <c r="D2103" s="75"/>
    </row>
    <row hidden="true" r="2104">
      <c r="A2104" s="76" t="s">
        <v>1285</v>
      </c>
      <c r="B2104" s="76" t="s">
        <v>958</v>
      </c>
      <c r="C2104" s="76" t="s">
        <v>1281</v>
      </c>
      <c r="D2104" s="75"/>
    </row>
    <row hidden="true" r="2105">
      <c r="A2105" s="76" t="s">
        <v>1285</v>
      </c>
      <c r="B2105" s="76" t="s">
        <v>960</v>
      </c>
      <c r="C2105" s="76" t="s">
        <v>1281</v>
      </c>
      <c r="D2105" s="75"/>
    </row>
    <row hidden="true" r="2106">
      <c r="A2106" s="76" t="s">
        <v>1285</v>
      </c>
      <c r="B2106" s="76" t="s">
        <v>962</v>
      </c>
      <c r="C2106" s="76" t="s">
        <v>1281</v>
      </c>
      <c r="D2106" s="75"/>
    </row>
    <row hidden="true" r="2107">
      <c r="A2107" s="76" t="s">
        <v>1285</v>
      </c>
      <c r="B2107" s="76" t="s">
        <v>964</v>
      </c>
      <c r="C2107" s="76" t="s">
        <v>1281</v>
      </c>
      <c r="D2107" s="75"/>
    </row>
    <row hidden="true" r="2108">
      <c r="A2108" s="76" t="s">
        <v>1285</v>
      </c>
      <c r="B2108" s="76" t="s">
        <v>966</v>
      </c>
      <c r="C2108" s="76" t="s">
        <v>1281</v>
      </c>
      <c r="D2108" s="75"/>
    </row>
    <row hidden="true" r="2109">
      <c r="A2109" s="76" t="s">
        <v>1285</v>
      </c>
      <c r="B2109" s="76" t="s">
        <v>968</v>
      </c>
      <c r="C2109" s="76" t="s">
        <v>1281</v>
      </c>
      <c r="D2109" s="75"/>
    </row>
    <row hidden="true" r="2110">
      <c r="A2110" s="76" t="s">
        <v>1285</v>
      </c>
      <c r="B2110" s="76" t="s">
        <v>970</v>
      </c>
      <c r="C2110" s="76" t="s">
        <v>1281</v>
      </c>
      <c r="D2110" s="75"/>
    </row>
    <row hidden="true" r="2111">
      <c r="A2111" s="76" t="s">
        <v>1285</v>
      </c>
      <c r="B2111" s="76" t="s">
        <v>972</v>
      </c>
      <c r="C2111" s="76" t="s">
        <v>1281</v>
      </c>
      <c r="D2111" s="75"/>
    </row>
    <row hidden="true" r="2112">
      <c r="A2112" s="76" t="s">
        <v>1285</v>
      </c>
      <c r="B2112" s="76" t="s">
        <v>974</v>
      </c>
      <c r="C2112" s="76" t="s">
        <v>1281</v>
      </c>
      <c r="D2112" s="75"/>
    </row>
    <row hidden="true" r="2113">
      <c r="A2113" s="76" t="s">
        <v>1285</v>
      </c>
      <c r="B2113" s="76" t="s">
        <v>976</v>
      </c>
      <c r="C2113" s="76" t="s">
        <v>1281</v>
      </c>
      <c r="D2113" s="75"/>
    </row>
    <row hidden="true" r="2114">
      <c r="A2114" s="76" t="s">
        <v>1285</v>
      </c>
      <c r="B2114" s="76" t="s">
        <v>823</v>
      </c>
      <c r="C2114" s="76" t="s">
        <v>1281</v>
      </c>
      <c r="D2114" s="75"/>
    </row>
    <row hidden="true" r="2115">
      <c r="A2115" s="76" t="s">
        <v>1285</v>
      </c>
      <c r="B2115" s="76" t="s">
        <v>978</v>
      </c>
      <c r="C2115" s="76" t="s">
        <v>1281</v>
      </c>
      <c r="D2115" s="75"/>
    </row>
    <row hidden="true" r="2116">
      <c r="A2116" s="76" t="s">
        <v>1285</v>
      </c>
      <c r="B2116" s="76" t="s">
        <v>980</v>
      </c>
      <c r="C2116" s="76" t="s">
        <v>1281</v>
      </c>
      <c r="D2116" s="75"/>
    </row>
    <row hidden="true" r="2117">
      <c r="A2117" s="76" t="s">
        <v>1285</v>
      </c>
      <c r="B2117" s="76" t="s">
        <v>982</v>
      </c>
      <c r="C2117" s="76" t="s">
        <v>1281</v>
      </c>
      <c r="D2117" s="75"/>
    </row>
    <row hidden="true" r="2118">
      <c r="A2118" s="76" t="s">
        <v>1285</v>
      </c>
      <c r="B2118" s="76" t="s">
        <v>984</v>
      </c>
      <c r="C2118" s="76" t="s">
        <v>1281</v>
      </c>
      <c r="D2118" s="75"/>
    </row>
    <row hidden="true" r="2119">
      <c r="A2119" s="76" t="s">
        <v>1285</v>
      </c>
      <c r="B2119" s="76" t="s">
        <v>986</v>
      </c>
      <c r="C2119" s="76" t="s">
        <v>1281</v>
      </c>
      <c r="D2119" s="75"/>
    </row>
    <row hidden="true" r="2120">
      <c r="A2120" s="76" t="s">
        <v>1285</v>
      </c>
      <c r="B2120" s="76" t="s">
        <v>988</v>
      </c>
      <c r="C2120" s="76" t="s">
        <v>1281</v>
      </c>
      <c r="D2120" s="75"/>
    </row>
    <row hidden="true" r="2121">
      <c r="A2121" s="76" t="s">
        <v>1285</v>
      </c>
      <c r="B2121" s="76" t="s">
        <v>990</v>
      </c>
      <c r="C2121" s="76" t="s">
        <v>1281</v>
      </c>
      <c r="D2121" s="75"/>
    </row>
    <row hidden="true" r="2122">
      <c r="A2122" s="76" t="s">
        <v>1285</v>
      </c>
      <c r="B2122" s="76" t="s">
        <v>992</v>
      </c>
      <c r="C2122" s="76" t="s">
        <v>1281</v>
      </c>
      <c r="D2122" s="75"/>
    </row>
    <row hidden="true" r="2123">
      <c r="A2123" s="76" t="s">
        <v>1285</v>
      </c>
      <c r="B2123" s="76" t="s">
        <v>994</v>
      </c>
      <c r="C2123" s="76" t="s">
        <v>1281</v>
      </c>
      <c r="D2123" s="75"/>
    </row>
    <row hidden="true" r="2124">
      <c r="A2124" s="76" t="s">
        <v>1285</v>
      </c>
      <c r="B2124" s="76" t="s">
        <v>996</v>
      </c>
      <c r="C2124" s="76" t="s">
        <v>1281</v>
      </c>
      <c r="D2124" s="75"/>
    </row>
    <row hidden="true" r="2125">
      <c r="A2125" s="76" t="s">
        <v>1285</v>
      </c>
      <c r="B2125" s="76" t="s">
        <v>998</v>
      </c>
      <c r="C2125" s="76" t="s">
        <v>1281</v>
      </c>
      <c r="D2125" s="75"/>
    </row>
    <row hidden="true" r="2126">
      <c r="A2126" s="76" t="s">
        <v>1285</v>
      </c>
      <c r="B2126" s="76" t="s">
        <v>1000</v>
      </c>
      <c r="C2126" s="76" t="s">
        <v>1281</v>
      </c>
      <c r="D2126" s="75"/>
    </row>
    <row hidden="true" r="2127">
      <c r="A2127" s="76" t="s">
        <v>1285</v>
      </c>
      <c r="B2127" s="76" t="s">
        <v>1002</v>
      </c>
      <c r="C2127" s="76" t="s">
        <v>1281</v>
      </c>
      <c r="D2127" s="75"/>
    </row>
    <row hidden="true" r="2128">
      <c r="A2128" s="76" t="s">
        <v>1285</v>
      </c>
      <c r="B2128" s="76" t="s">
        <v>1004</v>
      </c>
      <c r="C2128" s="76" t="s">
        <v>1281</v>
      </c>
      <c r="D2128" s="75"/>
    </row>
    <row hidden="true" r="2129">
      <c r="A2129" s="76" t="s">
        <v>1285</v>
      </c>
      <c r="B2129" s="76" t="s">
        <v>1006</v>
      </c>
      <c r="C2129" s="76" t="s">
        <v>1281</v>
      </c>
      <c r="D2129" s="75"/>
    </row>
    <row hidden="true" r="2130">
      <c r="A2130" s="76" t="s">
        <v>1285</v>
      </c>
      <c r="B2130" s="76" t="s">
        <v>1008</v>
      </c>
      <c r="C2130" s="76" t="s">
        <v>1281</v>
      </c>
      <c r="D2130" s="75"/>
    </row>
    <row hidden="true" r="2131">
      <c r="A2131" s="76" t="s">
        <v>1285</v>
      </c>
      <c r="B2131" s="76" t="s">
        <v>1010</v>
      </c>
      <c r="C2131" s="76" t="s">
        <v>1281</v>
      </c>
      <c r="D2131" s="75"/>
    </row>
    <row hidden="true" r="2132">
      <c r="A2132" s="76" t="s">
        <v>1285</v>
      </c>
      <c r="B2132" s="76" t="s">
        <v>1012</v>
      </c>
      <c r="C2132" s="76" t="s">
        <v>1281</v>
      </c>
      <c r="D2132" s="75"/>
    </row>
    <row hidden="true" r="2133">
      <c r="A2133" s="76" t="s">
        <v>1285</v>
      </c>
      <c r="B2133" s="76" t="s">
        <v>1014</v>
      </c>
      <c r="C2133" s="76" t="s">
        <v>1281</v>
      </c>
      <c r="D2133" s="75"/>
    </row>
    <row hidden="true" r="2134">
      <c r="A2134" s="76" t="s">
        <v>1285</v>
      </c>
      <c r="B2134" s="76" t="s">
        <v>1016</v>
      </c>
      <c r="C2134" s="76" t="s">
        <v>1281</v>
      </c>
      <c r="D2134" s="75"/>
    </row>
    <row hidden="true" r="2135">
      <c r="A2135" s="76" t="s">
        <v>1285</v>
      </c>
      <c r="B2135" s="76" t="s">
        <v>1018</v>
      </c>
      <c r="C2135" s="76" t="s">
        <v>1281</v>
      </c>
      <c r="D2135" s="75"/>
    </row>
    <row hidden="true" r="2136">
      <c r="A2136" s="76" t="s">
        <v>1285</v>
      </c>
      <c r="B2136" s="76" t="s">
        <v>1020</v>
      </c>
      <c r="C2136" s="76" t="s">
        <v>1281</v>
      </c>
      <c r="D2136" s="75"/>
    </row>
    <row hidden="true" r="2137">
      <c r="A2137" s="76" t="s">
        <v>1285</v>
      </c>
      <c r="B2137" s="76" t="s">
        <v>1022</v>
      </c>
      <c r="C2137" s="76" t="s">
        <v>1281</v>
      </c>
      <c r="D2137" s="75"/>
    </row>
    <row hidden="true" r="2138">
      <c r="A2138" s="76" t="s">
        <v>1285</v>
      </c>
      <c r="B2138" s="76" t="s">
        <v>1023</v>
      </c>
      <c r="C2138" s="76" t="s">
        <v>1281</v>
      </c>
      <c r="D2138" s="75"/>
    </row>
    <row hidden="true" r="2139">
      <c r="A2139" s="76" t="s">
        <v>1285</v>
      </c>
      <c r="B2139" s="76" t="s">
        <v>1024</v>
      </c>
      <c r="C2139" s="76" t="s">
        <v>1281</v>
      </c>
      <c r="D2139" s="75"/>
    </row>
    <row hidden="true" r="2140">
      <c r="A2140" s="76" t="s">
        <v>1285</v>
      </c>
      <c r="B2140" s="76" t="s">
        <v>1025</v>
      </c>
      <c r="C2140" s="76" t="s">
        <v>1281</v>
      </c>
      <c r="D2140" s="75"/>
    </row>
    <row hidden="true" r="2141">
      <c r="A2141" s="76" t="s">
        <v>1285</v>
      </c>
      <c r="B2141" s="76" t="s">
        <v>1026</v>
      </c>
      <c r="C2141" s="76" t="s">
        <v>1281</v>
      </c>
      <c r="D2141" s="75"/>
    </row>
    <row hidden="true" r="2142">
      <c r="A2142" s="76" t="s">
        <v>1285</v>
      </c>
      <c r="B2142" s="76" t="s">
        <v>1027</v>
      </c>
      <c r="C2142" s="76" t="s">
        <v>1281</v>
      </c>
      <c r="D2142" s="75"/>
    </row>
    <row hidden="true" r="2143">
      <c r="A2143" s="76" t="s">
        <v>1285</v>
      </c>
      <c r="B2143" s="76" t="s">
        <v>1028</v>
      </c>
      <c r="C2143" s="76" t="s">
        <v>1281</v>
      </c>
      <c r="D2143" s="75"/>
    </row>
    <row hidden="true" r="2144">
      <c r="A2144" s="76" t="s">
        <v>1285</v>
      </c>
      <c r="B2144" s="76" t="s">
        <v>530</v>
      </c>
      <c r="C2144" s="76" t="s">
        <v>1281</v>
      </c>
      <c r="D2144" s="75"/>
    </row>
    <row hidden="true" r="2145">
      <c r="A2145" s="76" t="s">
        <v>1285</v>
      </c>
      <c r="B2145" s="76" t="s">
        <v>1030</v>
      </c>
      <c r="C2145" s="76" t="s">
        <v>1281</v>
      </c>
      <c r="D2145" s="75"/>
    </row>
    <row hidden="true" r="2146">
      <c r="A2146" s="76" t="s">
        <v>1285</v>
      </c>
      <c r="B2146" s="76" t="s">
        <v>1032</v>
      </c>
      <c r="C2146" s="76" t="s">
        <v>1281</v>
      </c>
      <c r="D2146" s="75"/>
    </row>
    <row hidden="true" r="2147">
      <c r="A2147" s="76" t="s">
        <v>1285</v>
      </c>
      <c r="B2147" s="76" t="s">
        <v>1034</v>
      </c>
      <c r="C2147" s="76" t="s">
        <v>1281</v>
      </c>
      <c r="D2147" s="75"/>
    </row>
    <row hidden="true" r="2148">
      <c r="A2148" s="76" t="s">
        <v>1285</v>
      </c>
      <c r="B2148" s="76" t="s">
        <v>532</v>
      </c>
      <c r="C2148" s="76" t="s">
        <v>1281</v>
      </c>
      <c r="D2148" s="75"/>
    </row>
    <row hidden="true" r="2149">
      <c r="A2149" s="76" t="s">
        <v>1285</v>
      </c>
      <c r="B2149" s="76" t="s">
        <v>1036</v>
      </c>
      <c r="C2149" s="76" t="s">
        <v>1281</v>
      </c>
      <c r="D2149" s="75"/>
    </row>
    <row hidden="true" r="2150">
      <c r="A2150" s="76" t="s">
        <v>1285</v>
      </c>
      <c r="B2150" s="76" t="s">
        <v>1038</v>
      </c>
      <c r="C2150" s="76" t="s">
        <v>1281</v>
      </c>
      <c r="D2150" s="75"/>
    </row>
    <row hidden="true" r="2151">
      <c r="A2151" s="76" t="s">
        <v>1285</v>
      </c>
      <c r="B2151" s="76" t="s">
        <v>1040</v>
      </c>
      <c r="C2151" s="76" t="s">
        <v>1281</v>
      </c>
      <c r="D2151" s="75"/>
    </row>
    <row hidden="true" r="2152">
      <c r="A2152" s="76" t="s">
        <v>1285</v>
      </c>
      <c r="B2152" s="76" t="s">
        <v>1042</v>
      </c>
      <c r="C2152" s="76" t="s">
        <v>1281</v>
      </c>
      <c r="D2152" s="75"/>
    </row>
    <row hidden="true" r="2153">
      <c r="A2153" s="76" t="s">
        <v>1285</v>
      </c>
      <c r="B2153" s="76" t="s">
        <v>1044</v>
      </c>
      <c r="C2153" s="76" t="s">
        <v>1281</v>
      </c>
      <c r="D2153" s="75"/>
    </row>
    <row hidden="true" r="2154">
      <c r="A2154" s="76" t="s">
        <v>1285</v>
      </c>
      <c r="B2154" s="76" t="s">
        <v>1046</v>
      </c>
      <c r="C2154" s="76" t="s">
        <v>1281</v>
      </c>
      <c r="D2154" s="75"/>
    </row>
    <row hidden="true" r="2155">
      <c r="A2155" s="76" t="s">
        <v>1285</v>
      </c>
      <c r="B2155" s="76" t="s">
        <v>1048</v>
      </c>
      <c r="C2155" s="76" t="s">
        <v>1281</v>
      </c>
      <c r="D2155" s="75"/>
    </row>
    <row hidden="true" r="2156">
      <c r="A2156" s="76" t="s">
        <v>1285</v>
      </c>
      <c r="B2156" s="76" t="s">
        <v>1050</v>
      </c>
      <c r="C2156" s="76" t="s">
        <v>1281</v>
      </c>
      <c r="D2156" s="75"/>
    </row>
    <row hidden="true" r="2157">
      <c r="A2157" s="76" t="s">
        <v>1285</v>
      </c>
      <c r="B2157" s="76" t="s">
        <v>1052</v>
      </c>
      <c r="C2157" s="76" t="s">
        <v>1281</v>
      </c>
      <c r="D2157" s="75"/>
    </row>
    <row hidden="true" r="2158">
      <c r="A2158" s="76" t="s">
        <v>1285</v>
      </c>
      <c r="B2158" s="76" t="s">
        <v>1054</v>
      </c>
      <c r="C2158" s="76" t="s">
        <v>1281</v>
      </c>
      <c r="D2158" s="75"/>
    </row>
    <row hidden="true" r="2159">
      <c r="A2159" s="76" t="s">
        <v>1285</v>
      </c>
      <c r="B2159" s="76" t="s">
        <v>1056</v>
      </c>
      <c r="C2159" s="76" t="s">
        <v>1281</v>
      </c>
      <c r="D2159" s="75"/>
    </row>
    <row hidden="true" r="2160">
      <c r="A2160" s="76" t="s">
        <v>1285</v>
      </c>
      <c r="B2160" s="76" t="s">
        <v>1058</v>
      </c>
      <c r="C2160" s="76" t="s">
        <v>1281</v>
      </c>
      <c r="D2160" s="75"/>
    </row>
    <row hidden="true" r="2161">
      <c r="A2161" s="76" t="s">
        <v>1285</v>
      </c>
      <c r="B2161" s="76" t="s">
        <v>1060</v>
      </c>
      <c r="C2161" s="76" t="s">
        <v>1281</v>
      </c>
      <c r="D2161" s="75"/>
    </row>
    <row hidden="true" r="2162">
      <c r="A2162" s="76" t="s">
        <v>1285</v>
      </c>
      <c r="B2162" s="76" t="s">
        <v>1062</v>
      </c>
      <c r="C2162" s="76" t="s">
        <v>1281</v>
      </c>
      <c r="D2162" s="75"/>
    </row>
    <row hidden="true" r="2163">
      <c r="A2163" s="76" t="s">
        <v>1285</v>
      </c>
      <c r="B2163" s="76" t="s">
        <v>1064</v>
      </c>
      <c r="C2163" s="76" t="s">
        <v>1281</v>
      </c>
      <c r="D2163" s="75"/>
    </row>
    <row hidden="true" r="2164">
      <c r="A2164" s="76" t="s">
        <v>1285</v>
      </c>
      <c r="B2164" s="76" t="s">
        <v>1066</v>
      </c>
      <c r="C2164" s="76" t="s">
        <v>1281</v>
      </c>
      <c r="D2164" s="75"/>
    </row>
    <row hidden="true" r="2165">
      <c r="A2165" s="76" t="s">
        <v>1285</v>
      </c>
      <c r="B2165" s="76" t="s">
        <v>1068</v>
      </c>
      <c r="C2165" s="76" t="s">
        <v>1281</v>
      </c>
      <c r="D2165" s="75"/>
    </row>
    <row hidden="true" r="2166">
      <c r="A2166" s="76" t="s">
        <v>1285</v>
      </c>
      <c r="B2166" s="76" t="s">
        <v>1070</v>
      </c>
      <c r="C2166" s="76" t="s">
        <v>1281</v>
      </c>
      <c r="D2166" s="75"/>
    </row>
    <row hidden="true" r="2167">
      <c r="A2167" s="76" t="s">
        <v>1285</v>
      </c>
      <c r="B2167" s="76" t="s">
        <v>1071</v>
      </c>
      <c r="C2167" s="76" t="s">
        <v>1281</v>
      </c>
      <c r="D2167" s="75"/>
    </row>
    <row hidden="true" r="2168">
      <c r="A2168" s="76" t="s">
        <v>1285</v>
      </c>
      <c r="B2168" s="76" t="s">
        <v>1072</v>
      </c>
      <c r="C2168" s="76" t="s">
        <v>1281</v>
      </c>
      <c r="D2168" s="75"/>
    </row>
    <row hidden="true" r="2169">
      <c r="A2169" s="76" t="s">
        <v>1285</v>
      </c>
      <c r="B2169" s="76" t="s">
        <v>1074</v>
      </c>
      <c r="C2169" s="76" t="s">
        <v>1281</v>
      </c>
      <c r="D2169" s="75"/>
    </row>
    <row hidden="true" r="2170">
      <c r="A2170" s="76" t="s">
        <v>1285</v>
      </c>
      <c r="B2170" s="76" t="s">
        <v>1075</v>
      </c>
      <c r="C2170" s="76" t="s">
        <v>1281</v>
      </c>
      <c r="D2170" s="75"/>
    </row>
    <row hidden="true" r="2171">
      <c r="A2171" s="76" t="s">
        <v>1285</v>
      </c>
      <c r="B2171" s="76" t="s">
        <v>1076</v>
      </c>
      <c r="C2171" s="76" t="s">
        <v>1281</v>
      </c>
      <c r="D2171" s="75"/>
    </row>
    <row hidden="true" r="2172">
      <c r="A2172" s="76" t="s">
        <v>1285</v>
      </c>
      <c r="B2172" s="76" t="s">
        <v>1078</v>
      </c>
      <c r="C2172" s="76" t="s">
        <v>1281</v>
      </c>
      <c r="D2172" s="75"/>
    </row>
    <row hidden="true" r="2173">
      <c r="A2173" s="76" t="s">
        <v>1285</v>
      </c>
      <c r="B2173" s="76" t="s">
        <v>839</v>
      </c>
      <c r="C2173" s="76" t="s">
        <v>1281</v>
      </c>
      <c r="D2173" s="75"/>
    </row>
    <row hidden="true" r="2174">
      <c r="A2174" s="76" t="s">
        <v>1285</v>
      </c>
      <c r="B2174" s="76" t="s">
        <v>1080</v>
      </c>
      <c r="C2174" s="76" t="s">
        <v>1281</v>
      </c>
      <c r="D2174" s="75"/>
    </row>
    <row hidden="true" r="2175">
      <c r="A2175" s="76" t="s">
        <v>1285</v>
      </c>
      <c r="B2175" s="76" t="s">
        <v>1082</v>
      </c>
      <c r="C2175" s="76" t="s">
        <v>1281</v>
      </c>
      <c r="D2175" s="75"/>
    </row>
    <row hidden="true" r="2176">
      <c r="A2176" s="76" t="s">
        <v>1285</v>
      </c>
      <c r="B2176" s="76" t="s">
        <v>1084</v>
      </c>
      <c r="C2176" s="76" t="s">
        <v>1281</v>
      </c>
      <c r="D2176" s="75"/>
    </row>
    <row hidden="true" r="2177">
      <c r="A2177" s="76" t="s">
        <v>1285</v>
      </c>
      <c r="B2177" s="76" t="s">
        <v>1086</v>
      </c>
      <c r="C2177" s="76" t="s">
        <v>1281</v>
      </c>
      <c r="D2177" s="75"/>
    </row>
    <row hidden="true" r="2178">
      <c r="A2178" s="76" t="s">
        <v>1285</v>
      </c>
      <c r="B2178" s="76" t="s">
        <v>1088</v>
      </c>
      <c r="C2178" s="76" t="s">
        <v>1281</v>
      </c>
      <c r="D2178" s="75"/>
    </row>
    <row hidden="true" r="2179">
      <c r="A2179" s="76" t="s">
        <v>1285</v>
      </c>
      <c r="B2179" s="76" t="s">
        <v>1090</v>
      </c>
      <c r="C2179" s="76" t="s">
        <v>1281</v>
      </c>
      <c r="D2179" s="75"/>
    </row>
    <row hidden="true" r="2180">
      <c r="A2180" s="76" t="s">
        <v>1285</v>
      </c>
      <c r="B2180" s="76" t="s">
        <v>1092</v>
      </c>
      <c r="C2180" s="76" t="s">
        <v>1281</v>
      </c>
      <c r="D2180" s="75"/>
    </row>
    <row hidden="true" r="2181">
      <c r="A2181" s="76" t="s">
        <v>1285</v>
      </c>
      <c r="B2181" s="76" t="s">
        <v>1093</v>
      </c>
      <c r="C2181" s="76" t="s">
        <v>1281</v>
      </c>
      <c r="D2181" s="75"/>
    </row>
    <row hidden="true" r="2182">
      <c r="A2182" s="76" t="s">
        <v>1285</v>
      </c>
      <c r="B2182" s="76" t="s">
        <v>1095</v>
      </c>
      <c r="C2182" s="76" t="s">
        <v>1281</v>
      </c>
      <c r="D2182" s="75"/>
    </row>
    <row hidden="true" r="2183">
      <c r="A2183" s="76" t="s">
        <v>1285</v>
      </c>
      <c r="B2183" s="76" t="s">
        <v>1097</v>
      </c>
      <c r="C2183" s="76" t="s">
        <v>1281</v>
      </c>
      <c r="D2183" s="75"/>
    </row>
    <row hidden="true" r="2184">
      <c r="A2184" s="76" t="s">
        <v>1285</v>
      </c>
      <c r="B2184" s="76" t="s">
        <v>1099</v>
      </c>
      <c r="C2184" s="76" t="s">
        <v>1281</v>
      </c>
      <c r="D2184" s="75"/>
    </row>
    <row hidden="true" r="2185">
      <c r="A2185" s="76" t="s">
        <v>1285</v>
      </c>
      <c r="B2185" s="76" t="s">
        <v>1101</v>
      </c>
      <c r="C2185" s="76" t="s">
        <v>1281</v>
      </c>
      <c r="D2185" s="75"/>
    </row>
    <row hidden="true" r="2186">
      <c r="A2186" s="76" t="s">
        <v>1285</v>
      </c>
      <c r="B2186" s="76" t="s">
        <v>1103</v>
      </c>
      <c r="C2186" s="76" t="s">
        <v>1281</v>
      </c>
      <c r="D2186" s="75"/>
    </row>
    <row hidden="true" r="2187">
      <c r="A2187" s="76" t="s">
        <v>1285</v>
      </c>
      <c r="B2187" s="76" t="s">
        <v>1105</v>
      </c>
      <c r="C2187" s="76" t="s">
        <v>1281</v>
      </c>
      <c r="D2187" s="75"/>
    </row>
    <row hidden="true" r="2188">
      <c r="A2188" s="76" t="s">
        <v>1285</v>
      </c>
      <c r="B2188" s="76" t="s">
        <v>1107</v>
      </c>
      <c r="C2188" s="76" t="s">
        <v>1281</v>
      </c>
      <c r="D2188" s="75"/>
    </row>
    <row hidden="true" r="2189">
      <c r="A2189" s="76" t="s">
        <v>1285</v>
      </c>
      <c r="B2189" s="76" t="s">
        <v>1109</v>
      </c>
      <c r="C2189" s="76" t="s">
        <v>1281</v>
      </c>
      <c r="D2189" s="75"/>
    </row>
    <row hidden="true" r="2190">
      <c r="A2190" s="76" t="s">
        <v>1285</v>
      </c>
      <c r="B2190" s="76" t="s">
        <v>1111</v>
      </c>
      <c r="C2190" s="76" t="s">
        <v>1281</v>
      </c>
      <c r="D2190" s="75"/>
    </row>
    <row hidden="true" r="2191">
      <c r="A2191" s="76" t="s">
        <v>1285</v>
      </c>
      <c r="B2191" s="76" t="s">
        <v>1113</v>
      </c>
      <c r="C2191" s="76" t="s">
        <v>1281</v>
      </c>
      <c r="D2191" s="75"/>
    </row>
    <row hidden="true" r="2192">
      <c r="A2192" s="76" t="s">
        <v>1285</v>
      </c>
      <c r="B2192" s="76" t="s">
        <v>1115</v>
      </c>
      <c r="C2192" s="76" t="s">
        <v>1281</v>
      </c>
      <c r="D2192" s="75"/>
    </row>
    <row hidden="true" r="2193">
      <c r="A2193" s="76" t="s">
        <v>1285</v>
      </c>
      <c r="B2193" s="76" t="s">
        <v>1117</v>
      </c>
      <c r="C2193" s="76" t="s">
        <v>1281</v>
      </c>
      <c r="D2193" s="75"/>
    </row>
    <row hidden="true" r="2194">
      <c r="A2194" s="76" t="s">
        <v>1285</v>
      </c>
      <c r="B2194" s="76" t="s">
        <v>1119</v>
      </c>
      <c r="C2194" s="76" t="s">
        <v>1281</v>
      </c>
      <c r="D2194" s="75"/>
    </row>
    <row hidden="true" r="2195">
      <c r="A2195" s="76" t="s">
        <v>1285</v>
      </c>
      <c r="B2195" s="76" t="s">
        <v>1121</v>
      </c>
      <c r="C2195" s="76" t="s">
        <v>1281</v>
      </c>
      <c r="D2195" s="75"/>
    </row>
    <row hidden="true" r="2196">
      <c r="A2196" s="76" t="s">
        <v>1285</v>
      </c>
      <c r="B2196" s="76" t="s">
        <v>1123</v>
      </c>
      <c r="C2196" s="76" t="s">
        <v>1281</v>
      </c>
      <c r="D2196" s="75"/>
    </row>
    <row hidden="true" r="2197">
      <c r="A2197" s="76" t="s">
        <v>1285</v>
      </c>
      <c r="B2197" s="76" t="s">
        <v>1125</v>
      </c>
      <c r="C2197" s="76" t="s">
        <v>1281</v>
      </c>
      <c r="D2197" s="75"/>
    </row>
    <row hidden="true" r="2198">
      <c r="A2198" s="76" t="s">
        <v>1285</v>
      </c>
      <c r="B2198" s="76" t="s">
        <v>1127</v>
      </c>
      <c r="C2198" s="76" t="s">
        <v>1281</v>
      </c>
      <c r="D2198" s="75"/>
    </row>
    <row hidden="true" r="2199">
      <c r="A2199" s="76" t="s">
        <v>1285</v>
      </c>
      <c r="B2199" s="76" t="s">
        <v>1129</v>
      </c>
      <c r="C2199" s="76" t="s">
        <v>1281</v>
      </c>
      <c r="D2199" s="75"/>
    </row>
    <row hidden="true" r="2200">
      <c r="A2200" s="76" t="s">
        <v>1285</v>
      </c>
      <c r="B2200" s="76" t="s">
        <v>1131</v>
      </c>
      <c r="C2200" s="76" t="s">
        <v>1281</v>
      </c>
      <c r="D2200" s="75"/>
    </row>
    <row hidden="true" r="2201">
      <c r="A2201" s="76" t="s">
        <v>1285</v>
      </c>
      <c r="B2201" s="76" t="s">
        <v>1133</v>
      </c>
      <c r="C2201" s="76" t="s">
        <v>1281</v>
      </c>
      <c r="D2201" s="75"/>
    </row>
    <row hidden="true" r="2202">
      <c r="A2202" s="76" t="s">
        <v>1285</v>
      </c>
      <c r="B2202" s="76" t="s">
        <v>1135</v>
      </c>
      <c r="C2202" s="76" t="s">
        <v>1281</v>
      </c>
      <c r="D2202" s="75"/>
    </row>
    <row hidden="true" r="2203">
      <c r="A2203" s="76" t="s">
        <v>1285</v>
      </c>
      <c r="B2203" s="76" t="s">
        <v>1137</v>
      </c>
      <c r="C2203" s="76" t="s">
        <v>1281</v>
      </c>
      <c r="D2203" s="75"/>
    </row>
    <row hidden="true" r="2204">
      <c r="A2204" s="76" t="s">
        <v>1285</v>
      </c>
      <c r="B2204" s="76" t="s">
        <v>1139</v>
      </c>
      <c r="C2204" s="76" t="s">
        <v>1281</v>
      </c>
      <c r="D2204" s="75"/>
    </row>
    <row hidden="true" r="2205">
      <c r="A2205" s="76" t="s">
        <v>1285</v>
      </c>
      <c r="B2205" s="76" t="s">
        <v>1141</v>
      </c>
      <c r="C2205" s="76" t="s">
        <v>1281</v>
      </c>
      <c r="D2205" s="75"/>
    </row>
    <row hidden="true" r="2206">
      <c r="A2206" s="76" t="s">
        <v>1285</v>
      </c>
      <c r="B2206" s="76" t="s">
        <v>1143</v>
      </c>
      <c r="C2206" s="76" t="s">
        <v>1281</v>
      </c>
      <c r="D2206" s="75"/>
    </row>
    <row hidden="true" r="2207">
      <c r="A2207" s="76" t="s">
        <v>1285</v>
      </c>
      <c r="B2207" s="76" t="s">
        <v>1145</v>
      </c>
      <c r="C2207" s="76" t="s">
        <v>1281</v>
      </c>
      <c r="D2207" s="75"/>
    </row>
    <row hidden="true" r="2208">
      <c r="A2208" s="76" t="s">
        <v>1285</v>
      </c>
      <c r="B2208" s="76" t="s">
        <v>1147</v>
      </c>
      <c r="C2208" s="76" t="s">
        <v>1281</v>
      </c>
      <c r="D2208" s="75"/>
    </row>
    <row hidden="true" r="2209">
      <c r="A2209" s="76" t="s">
        <v>1285</v>
      </c>
      <c r="B2209" s="76" t="s">
        <v>1149</v>
      </c>
      <c r="C2209" s="76" t="s">
        <v>1281</v>
      </c>
      <c r="D2209" s="75"/>
    </row>
    <row hidden="true" r="2210">
      <c r="A2210" s="76" t="s">
        <v>1285</v>
      </c>
      <c r="B2210" s="76" t="s">
        <v>1151</v>
      </c>
      <c r="C2210" s="76" t="s">
        <v>1281</v>
      </c>
      <c r="D2210" s="75"/>
    </row>
    <row hidden="true" r="2211">
      <c r="A2211" s="76" t="s">
        <v>1285</v>
      </c>
      <c r="B2211" s="76" t="s">
        <v>1153</v>
      </c>
      <c r="C2211" s="76" t="s">
        <v>1281</v>
      </c>
      <c r="D2211" s="75"/>
    </row>
    <row hidden="true" r="2212">
      <c r="A2212" s="76" t="s">
        <v>1285</v>
      </c>
      <c r="B2212" s="76" t="s">
        <v>1155</v>
      </c>
      <c r="C2212" s="76" t="s">
        <v>1281</v>
      </c>
      <c r="D2212" s="75"/>
    </row>
    <row hidden="true" r="2213">
      <c r="A2213" s="76" t="s">
        <v>1285</v>
      </c>
      <c r="B2213" s="76" t="s">
        <v>1157</v>
      </c>
      <c r="C2213" s="76" t="s">
        <v>1281</v>
      </c>
      <c r="D2213" s="75"/>
    </row>
    <row hidden="true" r="2214">
      <c r="A2214" s="76" t="s">
        <v>1285</v>
      </c>
      <c r="B2214" s="76" t="s">
        <v>1159</v>
      </c>
      <c r="C2214" s="76" t="s">
        <v>1281</v>
      </c>
      <c r="D2214" s="75"/>
    </row>
    <row hidden="true" r="2215">
      <c r="A2215" s="76" t="s">
        <v>1285</v>
      </c>
      <c r="B2215" s="76" t="s">
        <v>868</v>
      </c>
      <c r="C2215" s="76" t="s">
        <v>1281</v>
      </c>
      <c r="D2215" s="75"/>
    </row>
    <row hidden="true" r="2216">
      <c r="A2216" s="76" t="s">
        <v>1285</v>
      </c>
      <c r="B2216" s="76" t="s">
        <v>1161</v>
      </c>
      <c r="C2216" s="76" t="s">
        <v>1281</v>
      </c>
      <c r="D2216" s="75"/>
    </row>
    <row hidden="true" r="2217">
      <c r="A2217" s="76" t="s">
        <v>1285</v>
      </c>
      <c r="B2217" s="76" t="s">
        <v>1163</v>
      </c>
      <c r="C2217" s="76" t="s">
        <v>1281</v>
      </c>
      <c r="D2217" s="75"/>
    </row>
    <row hidden="true" r="2218">
      <c r="A2218" s="76" t="s">
        <v>1285</v>
      </c>
      <c r="B2218" s="76" t="s">
        <v>1165</v>
      </c>
      <c r="C2218" s="76" t="s">
        <v>1281</v>
      </c>
      <c r="D2218" s="75"/>
    </row>
    <row hidden="true" r="2219">
      <c r="A2219" s="76" t="s">
        <v>1285</v>
      </c>
      <c r="B2219" s="76" t="s">
        <v>1167</v>
      </c>
      <c r="C2219" s="76" t="s">
        <v>1281</v>
      </c>
      <c r="D2219" s="75"/>
    </row>
    <row hidden="true" r="2220">
      <c r="A2220" s="76" t="s">
        <v>1285</v>
      </c>
      <c r="B2220" s="76" t="s">
        <v>1169</v>
      </c>
      <c r="C2220" s="76" t="s">
        <v>1281</v>
      </c>
      <c r="D2220" s="75"/>
    </row>
    <row hidden="true" r="2221">
      <c r="A2221" s="76" t="s">
        <v>1285</v>
      </c>
      <c r="B2221" s="76" t="s">
        <v>1171</v>
      </c>
      <c r="C2221" s="76" t="s">
        <v>1281</v>
      </c>
      <c r="D2221" s="75"/>
    </row>
    <row hidden="true" r="2222">
      <c r="A2222" s="76" t="s">
        <v>1285</v>
      </c>
      <c r="B2222" s="76" t="s">
        <v>1173</v>
      </c>
      <c r="C2222" s="76" t="s">
        <v>1281</v>
      </c>
      <c r="D2222" s="75"/>
    </row>
    <row hidden="true" r="2223">
      <c r="A2223" s="76" t="s">
        <v>1285</v>
      </c>
      <c r="B2223" s="76" t="s">
        <v>1175</v>
      </c>
      <c r="C2223" s="76" t="s">
        <v>1281</v>
      </c>
      <c r="D2223" s="75"/>
    </row>
    <row hidden="true" r="2224">
      <c r="A2224" s="76" t="s">
        <v>1285</v>
      </c>
      <c r="B2224" s="76" t="s">
        <v>1177</v>
      </c>
      <c r="C2224" s="76" t="s">
        <v>1281</v>
      </c>
      <c r="D2224" s="75"/>
    </row>
    <row hidden="true" r="2225">
      <c r="A2225" s="76" t="s">
        <v>1285</v>
      </c>
      <c r="B2225" s="76" t="s">
        <v>1179</v>
      </c>
      <c r="C2225" s="76" t="s">
        <v>1281</v>
      </c>
      <c r="D2225" s="75"/>
    </row>
    <row hidden="true" r="2226">
      <c r="A2226" s="76" t="s">
        <v>1285</v>
      </c>
      <c r="B2226" s="76" t="s">
        <v>1181</v>
      </c>
      <c r="C2226" s="76" t="s">
        <v>1281</v>
      </c>
      <c r="D2226" s="75"/>
    </row>
    <row hidden="true" r="2227">
      <c r="A2227" s="76" t="s">
        <v>1285</v>
      </c>
      <c r="B2227" s="76" t="s">
        <v>1183</v>
      </c>
      <c r="C2227" s="76" t="s">
        <v>1281</v>
      </c>
      <c r="D2227" s="75"/>
    </row>
    <row hidden="true" r="2228">
      <c r="A2228" s="76" t="s">
        <v>1285</v>
      </c>
      <c r="B2228" s="76" t="s">
        <v>1185</v>
      </c>
      <c r="C2228" s="76" t="s">
        <v>1281</v>
      </c>
      <c r="D2228" s="75"/>
    </row>
    <row hidden="true" r="2229">
      <c r="A2229" s="76" t="s">
        <v>1285</v>
      </c>
      <c r="B2229" s="76" t="s">
        <v>1187</v>
      </c>
      <c r="C2229" s="76" t="s">
        <v>1281</v>
      </c>
      <c r="D2229" s="75"/>
    </row>
    <row hidden="true" r="2230">
      <c r="A2230" s="76" t="s">
        <v>1285</v>
      </c>
      <c r="B2230" s="76" t="s">
        <v>1189</v>
      </c>
      <c r="C2230" s="76" t="s">
        <v>1281</v>
      </c>
      <c r="D2230" s="75"/>
    </row>
    <row hidden="true" r="2231">
      <c r="A2231" s="76" t="s">
        <v>1285</v>
      </c>
      <c r="B2231" s="76" t="s">
        <v>1199</v>
      </c>
      <c r="C2231" s="76" t="s">
        <v>1281</v>
      </c>
      <c r="D2231" s="75"/>
    </row>
    <row hidden="true" r="2232">
      <c r="A2232" s="76" t="s">
        <v>1285</v>
      </c>
      <c r="B2232" s="76" t="s">
        <v>1201</v>
      </c>
      <c r="C2232" s="76" t="s">
        <v>1281</v>
      </c>
      <c r="D2232" s="75"/>
    </row>
    <row hidden="true" r="2233">
      <c r="A2233" s="76" t="s">
        <v>1285</v>
      </c>
      <c r="B2233" s="76" t="s">
        <v>1203</v>
      </c>
      <c r="C2233" s="76" t="s">
        <v>1281</v>
      </c>
      <c r="D2233" s="75"/>
    </row>
    <row hidden="true" r="2234">
      <c r="A2234" s="76" t="s">
        <v>1285</v>
      </c>
      <c r="B2234" s="76" t="s">
        <v>1205</v>
      </c>
      <c r="C2234" s="76" t="s">
        <v>1281</v>
      </c>
      <c r="D2234" s="75"/>
    </row>
    <row hidden="true" r="2235">
      <c r="A2235" s="76" t="s">
        <v>1285</v>
      </c>
      <c r="B2235" s="76" t="s">
        <v>1207</v>
      </c>
      <c r="C2235" s="76" t="s">
        <v>1281</v>
      </c>
      <c r="D2235" s="75"/>
    </row>
    <row hidden="true" r="2236">
      <c r="A2236" s="76" t="s">
        <v>1285</v>
      </c>
      <c r="B2236" s="76" t="s">
        <v>1209</v>
      </c>
      <c r="C2236" s="76" t="s">
        <v>1281</v>
      </c>
      <c r="D2236" s="75"/>
    </row>
    <row hidden="true" r="2237">
      <c r="A2237" s="76" t="s">
        <v>1285</v>
      </c>
      <c r="B2237" s="76" t="s">
        <v>1211</v>
      </c>
      <c r="C2237" s="76" t="s">
        <v>1281</v>
      </c>
      <c r="D2237" s="75"/>
    </row>
    <row hidden="true" r="2238">
      <c r="A2238" s="76" t="s">
        <v>1285</v>
      </c>
      <c r="B2238" s="76" t="s">
        <v>1282</v>
      </c>
      <c r="C2238" s="76" t="s">
        <v>1281</v>
      </c>
      <c r="D2238" s="75"/>
    </row>
    <row hidden="true" r="2239">
      <c r="A2239" s="76" t="s">
        <v>1285</v>
      </c>
      <c r="B2239" s="76" t="s">
        <v>735</v>
      </c>
      <c r="C2239" s="76" t="s">
        <v>1283</v>
      </c>
      <c r="D2239" s="75"/>
    </row>
    <row hidden="true" r="2240">
      <c r="A2240" s="76" t="s">
        <v>1286</v>
      </c>
      <c r="B2240" s="76" t="s">
        <v>407</v>
      </c>
      <c r="C2240" s="76" t="s">
        <v>1281</v>
      </c>
      <c r="D2240" s="75"/>
    </row>
    <row hidden="true" r="2241">
      <c r="A2241" s="76" t="s">
        <v>1286</v>
      </c>
      <c r="B2241" s="76" t="s">
        <v>744</v>
      </c>
      <c r="C2241" s="76" t="s">
        <v>1281</v>
      </c>
      <c r="D2241" s="75"/>
    </row>
    <row hidden="true" r="2242">
      <c r="A2242" s="76" t="s">
        <v>1286</v>
      </c>
      <c r="B2242" s="76" t="s">
        <v>409</v>
      </c>
      <c r="C2242" s="76" t="s">
        <v>1281</v>
      </c>
      <c r="D2242" s="75"/>
    </row>
    <row hidden="true" r="2243">
      <c r="A2243" s="76" t="s">
        <v>1286</v>
      </c>
      <c r="B2243" s="76" t="s">
        <v>884</v>
      </c>
      <c r="C2243" s="76" t="s">
        <v>1281</v>
      </c>
      <c r="D2243" s="75"/>
    </row>
    <row hidden="true" r="2244">
      <c r="A2244" s="76" t="s">
        <v>1286</v>
      </c>
      <c r="B2244" s="76" t="s">
        <v>886</v>
      </c>
      <c r="C2244" s="76" t="s">
        <v>1281</v>
      </c>
      <c r="D2244" s="75"/>
    </row>
    <row hidden="true" r="2245">
      <c r="A2245" s="76" t="s">
        <v>1286</v>
      </c>
      <c r="B2245" s="76" t="s">
        <v>888</v>
      </c>
      <c r="C2245" s="76" t="s">
        <v>1281</v>
      </c>
      <c r="D2245" s="75"/>
    </row>
    <row hidden="true" r="2246">
      <c r="A2246" s="76" t="s">
        <v>1286</v>
      </c>
      <c r="B2246" s="76" t="s">
        <v>890</v>
      </c>
      <c r="C2246" s="76" t="s">
        <v>1281</v>
      </c>
      <c r="D2246" s="75"/>
    </row>
    <row hidden="true" r="2247">
      <c r="A2247" s="76" t="s">
        <v>1286</v>
      </c>
      <c r="B2247" s="76" t="s">
        <v>892</v>
      </c>
      <c r="C2247" s="76" t="s">
        <v>1281</v>
      </c>
      <c r="D2247" s="75"/>
    </row>
    <row hidden="true" r="2248">
      <c r="A2248" s="76" t="s">
        <v>1286</v>
      </c>
      <c r="B2248" s="76" t="s">
        <v>894</v>
      </c>
      <c r="C2248" s="76" t="s">
        <v>1281</v>
      </c>
      <c r="D2248" s="75"/>
    </row>
    <row hidden="true" r="2249">
      <c r="A2249" s="76" t="s">
        <v>1286</v>
      </c>
      <c r="B2249" s="76" t="s">
        <v>896</v>
      </c>
      <c r="C2249" s="76" t="s">
        <v>1281</v>
      </c>
      <c r="D2249" s="75"/>
    </row>
    <row hidden="true" r="2250">
      <c r="A2250" s="76" t="s">
        <v>1286</v>
      </c>
      <c r="B2250" s="76" t="s">
        <v>898</v>
      </c>
      <c r="C2250" s="76" t="s">
        <v>1281</v>
      </c>
      <c r="D2250" s="75"/>
    </row>
    <row hidden="true" r="2251">
      <c r="A2251" s="76" t="s">
        <v>1286</v>
      </c>
      <c r="B2251" s="76" t="s">
        <v>900</v>
      </c>
      <c r="C2251" s="76" t="s">
        <v>1281</v>
      </c>
      <c r="D2251" s="75"/>
    </row>
    <row hidden="true" r="2252">
      <c r="A2252" s="76" t="s">
        <v>1286</v>
      </c>
      <c r="B2252" s="76" t="s">
        <v>902</v>
      </c>
      <c r="C2252" s="76" t="s">
        <v>1281</v>
      </c>
      <c r="D2252" s="75"/>
    </row>
    <row hidden="true" r="2253">
      <c r="A2253" s="76" t="s">
        <v>1286</v>
      </c>
      <c r="B2253" s="76" t="s">
        <v>904</v>
      </c>
      <c r="C2253" s="76" t="s">
        <v>1281</v>
      </c>
      <c r="D2253" s="75"/>
    </row>
    <row hidden="true" r="2254">
      <c r="A2254" s="76" t="s">
        <v>1286</v>
      </c>
      <c r="B2254" s="76" t="s">
        <v>906</v>
      </c>
      <c r="C2254" s="76" t="s">
        <v>1281</v>
      </c>
      <c r="D2254" s="75"/>
    </row>
    <row hidden="true" r="2255">
      <c r="A2255" s="76" t="s">
        <v>1286</v>
      </c>
      <c r="B2255" s="76" t="s">
        <v>908</v>
      </c>
      <c r="C2255" s="76" t="s">
        <v>1281</v>
      </c>
      <c r="D2255" s="75"/>
    </row>
    <row hidden="true" r="2256">
      <c r="A2256" s="76" t="s">
        <v>1286</v>
      </c>
      <c r="B2256" s="76" t="s">
        <v>910</v>
      </c>
      <c r="C2256" s="76" t="s">
        <v>1281</v>
      </c>
      <c r="D2256" s="75"/>
    </row>
    <row hidden="true" r="2257">
      <c r="A2257" s="76" t="s">
        <v>1286</v>
      </c>
      <c r="B2257" s="76" t="s">
        <v>912</v>
      </c>
      <c r="C2257" s="76" t="s">
        <v>1281</v>
      </c>
      <c r="D2257" s="75"/>
    </row>
    <row hidden="true" r="2258">
      <c r="A2258" s="76" t="s">
        <v>1286</v>
      </c>
      <c r="B2258" s="76" t="s">
        <v>914</v>
      </c>
      <c r="C2258" s="76" t="s">
        <v>1281</v>
      </c>
      <c r="D2258" s="75"/>
    </row>
    <row hidden="true" r="2259">
      <c r="A2259" s="76" t="s">
        <v>1286</v>
      </c>
      <c r="B2259" s="76" t="s">
        <v>916</v>
      </c>
      <c r="C2259" s="76" t="s">
        <v>1281</v>
      </c>
      <c r="D2259" s="75"/>
    </row>
    <row hidden="true" r="2260">
      <c r="A2260" s="76" t="s">
        <v>1286</v>
      </c>
      <c r="B2260" s="76" t="s">
        <v>918</v>
      </c>
      <c r="C2260" s="76" t="s">
        <v>1281</v>
      </c>
      <c r="D2260" s="75"/>
    </row>
    <row hidden="true" r="2261">
      <c r="A2261" s="76" t="s">
        <v>1286</v>
      </c>
      <c r="B2261" s="76" t="s">
        <v>920</v>
      </c>
      <c r="C2261" s="76" t="s">
        <v>1281</v>
      </c>
      <c r="D2261" s="75"/>
    </row>
    <row hidden="true" r="2262">
      <c r="A2262" s="76" t="s">
        <v>1286</v>
      </c>
      <c r="B2262" s="76" t="s">
        <v>922</v>
      </c>
      <c r="C2262" s="76" t="s">
        <v>1281</v>
      </c>
      <c r="D2262" s="75"/>
    </row>
    <row hidden="true" r="2263">
      <c r="A2263" s="76" t="s">
        <v>1286</v>
      </c>
      <c r="B2263" s="76" t="s">
        <v>924</v>
      </c>
      <c r="C2263" s="76" t="s">
        <v>1281</v>
      </c>
      <c r="D2263" s="75"/>
    </row>
    <row hidden="true" r="2264">
      <c r="A2264" s="76" t="s">
        <v>1286</v>
      </c>
      <c r="B2264" s="76" t="s">
        <v>926</v>
      </c>
      <c r="C2264" s="76" t="s">
        <v>1281</v>
      </c>
      <c r="D2264" s="75"/>
    </row>
    <row hidden="true" r="2265">
      <c r="A2265" s="76" t="s">
        <v>1286</v>
      </c>
      <c r="B2265" s="76" t="s">
        <v>928</v>
      </c>
      <c r="C2265" s="76" t="s">
        <v>1281</v>
      </c>
      <c r="D2265" s="75"/>
    </row>
    <row hidden="true" r="2266">
      <c r="A2266" s="76" t="s">
        <v>1286</v>
      </c>
      <c r="B2266" s="76" t="s">
        <v>930</v>
      </c>
      <c r="C2266" s="76" t="s">
        <v>1281</v>
      </c>
      <c r="D2266" s="75"/>
    </row>
    <row hidden="true" r="2267">
      <c r="A2267" s="76" t="s">
        <v>1286</v>
      </c>
      <c r="B2267" s="76" t="s">
        <v>932</v>
      </c>
      <c r="C2267" s="76" t="s">
        <v>1281</v>
      </c>
      <c r="D2267" s="75"/>
    </row>
    <row hidden="true" r="2268">
      <c r="A2268" s="76" t="s">
        <v>1286</v>
      </c>
      <c r="B2268" s="76" t="s">
        <v>934</v>
      </c>
      <c r="C2268" s="76" t="s">
        <v>1281</v>
      </c>
      <c r="D2268" s="75"/>
    </row>
    <row hidden="true" r="2269">
      <c r="A2269" s="76" t="s">
        <v>1286</v>
      </c>
      <c r="B2269" s="76" t="s">
        <v>936</v>
      </c>
      <c r="C2269" s="76" t="s">
        <v>1281</v>
      </c>
      <c r="D2269" s="75"/>
    </row>
    <row hidden="true" r="2270">
      <c r="A2270" s="76" t="s">
        <v>1286</v>
      </c>
      <c r="B2270" s="76" t="s">
        <v>938</v>
      </c>
      <c r="C2270" s="76" t="s">
        <v>1281</v>
      </c>
      <c r="D2270" s="75"/>
    </row>
    <row hidden="true" r="2271">
      <c r="A2271" s="76" t="s">
        <v>1286</v>
      </c>
      <c r="B2271" s="76" t="s">
        <v>940</v>
      </c>
      <c r="C2271" s="76" t="s">
        <v>1281</v>
      </c>
      <c r="D2271" s="75"/>
    </row>
    <row hidden="true" r="2272">
      <c r="A2272" s="76" t="s">
        <v>1286</v>
      </c>
      <c r="B2272" s="76" t="s">
        <v>942</v>
      </c>
      <c r="C2272" s="76" t="s">
        <v>1281</v>
      </c>
      <c r="D2272" s="75"/>
    </row>
    <row hidden="true" r="2273">
      <c r="A2273" s="76" t="s">
        <v>1286</v>
      </c>
      <c r="B2273" s="76" t="s">
        <v>944</v>
      </c>
      <c r="C2273" s="76" t="s">
        <v>1281</v>
      </c>
      <c r="D2273" s="75"/>
    </row>
    <row hidden="true" r="2274">
      <c r="A2274" s="76" t="s">
        <v>1286</v>
      </c>
      <c r="B2274" s="76" t="s">
        <v>946</v>
      </c>
      <c r="C2274" s="76" t="s">
        <v>1281</v>
      </c>
      <c r="D2274" s="75"/>
    </row>
    <row hidden="true" r="2275">
      <c r="A2275" s="76" t="s">
        <v>1286</v>
      </c>
      <c r="B2275" s="76" t="s">
        <v>948</v>
      </c>
      <c r="C2275" s="76" t="s">
        <v>1281</v>
      </c>
      <c r="D2275" s="75"/>
    </row>
    <row hidden="true" r="2276">
      <c r="A2276" s="76" t="s">
        <v>1286</v>
      </c>
      <c r="B2276" s="76" t="s">
        <v>950</v>
      </c>
      <c r="C2276" s="76" t="s">
        <v>1281</v>
      </c>
      <c r="D2276" s="75"/>
    </row>
    <row hidden="true" r="2277">
      <c r="A2277" s="76" t="s">
        <v>1286</v>
      </c>
      <c r="B2277" s="76" t="s">
        <v>952</v>
      </c>
      <c r="C2277" s="76" t="s">
        <v>1281</v>
      </c>
      <c r="D2277" s="75"/>
    </row>
    <row hidden="true" r="2278">
      <c r="A2278" s="76" t="s">
        <v>1286</v>
      </c>
      <c r="B2278" s="76" t="s">
        <v>954</v>
      </c>
      <c r="C2278" s="76" t="s">
        <v>1281</v>
      </c>
      <c r="D2278" s="75"/>
    </row>
    <row hidden="true" r="2279">
      <c r="A2279" s="76" t="s">
        <v>1286</v>
      </c>
      <c r="B2279" s="76" t="s">
        <v>775</v>
      </c>
      <c r="C2279" s="76" t="s">
        <v>1281</v>
      </c>
      <c r="D2279" s="75"/>
    </row>
    <row hidden="true" r="2280">
      <c r="A2280" s="76" t="s">
        <v>1286</v>
      </c>
      <c r="B2280" s="76" t="s">
        <v>956</v>
      </c>
      <c r="C2280" s="76" t="s">
        <v>1281</v>
      </c>
      <c r="D2280" s="75"/>
    </row>
    <row hidden="true" r="2281">
      <c r="A2281" s="76" t="s">
        <v>1286</v>
      </c>
      <c r="B2281" s="76" t="s">
        <v>958</v>
      </c>
      <c r="C2281" s="76" t="s">
        <v>1281</v>
      </c>
      <c r="D2281" s="75"/>
    </row>
    <row hidden="true" r="2282">
      <c r="A2282" s="76" t="s">
        <v>1286</v>
      </c>
      <c r="B2282" s="76" t="s">
        <v>960</v>
      </c>
      <c r="C2282" s="76" t="s">
        <v>1281</v>
      </c>
      <c r="D2282" s="75"/>
    </row>
    <row hidden="true" r="2283">
      <c r="A2283" s="76" t="s">
        <v>1286</v>
      </c>
      <c r="B2283" s="76" t="s">
        <v>962</v>
      </c>
      <c r="C2283" s="76" t="s">
        <v>1281</v>
      </c>
      <c r="D2283" s="75"/>
    </row>
    <row hidden="true" r="2284">
      <c r="A2284" s="76" t="s">
        <v>1286</v>
      </c>
      <c r="B2284" s="76" t="s">
        <v>964</v>
      </c>
      <c r="C2284" s="76" t="s">
        <v>1281</v>
      </c>
      <c r="D2284" s="75"/>
    </row>
    <row hidden="true" r="2285">
      <c r="A2285" s="76" t="s">
        <v>1286</v>
      </c>
      <c r="B2285" s="76" t="s">
        <v>966</v>
      </c>
      <c r="C2285" s="76" t="s">
        <v>1281</v>
      </c>
      <c r="D2285" s="75"/>
    </row>
    <row hidden="true" r="2286">
      <c r="A2286" s="76" t="s">
        <v>1286</v>
      </c>
      <c r="B2286" s="76" t="s">
        <v>968</v>
      </c>
      <c r="C2286" s="76" t="s">
        <v>1281</v>
      </c>
      <c r="D2286" s="75"/>
    </row>
    <row hidden="true" r="2287">
      <c r="A2287" s="76" t="s">
        <v>1286</v>
      </c>
      <c r="B2287" s="76" t="s">
        <v>970</v>
      </c>
      <c r="C2287" s="76" t="s">
        <v>1281</v>
      </c>
      <c r="D2287" s="75"/>
    </row>
    <row hidden="true" r="2288">
      <c r="A2288" s="76" t="s">
        <v>1286</v>
      </c>
      <c r="B2288" s="76" t="s">
        <v>972</v>
      </c>
      <c r="C2288" s="76" t="s">
        <v>1281</v>
      </c>
      <c r="D2288" s="75"/>
    </row>
    <row hidden="true" r="2289">
      <c r="A2289" s="76" t="s">
        <v>1286</v>
      </c>
      <c r="B2289" s="76" t="s">
        <v>974</v>
      </c>
      <c r="C2289" s="76" t="s">
        <v>1281</v>
      </c>
      <c r="D2289" s="75"/>
    </row>
    <row hidden="true" r="2290">
      <c r="A2290" s="76" t="s">
        <v>1286</v>
      </c>
      <c r="B2290" s="76" t="s">
        <v>976</v>
      </c>
      <c r="C2290" s="76" t="s">
        <v>1281</v>
      </c>
      <c r="D2290" s="75"/>
    </row>
    <row hidden="true" r="2291">
      <c r="A2291" s="76" t="s">
        <v>1286</v>
      </c>
      <c r="B2291" s="76" t="s">
        <v>823</v>
      </c>
      <c r="C2291" s="76" t="s">
        <v>1281</v>
      </c>
      <c r="D2291" s="75"/>
    </row>
    <row hidden="true" r="2292">
      <c r="A2292" s="76" t="s">
        <v>1286</v>
      </c>
      <c r="B2292" s="76" t="s">
        <v>978</v>
      </c>
      <c r="C2292" s="76" t="s">
        <v>1281</v>
      </c>
      <c r="D2292" s="75"/>
    </row>
    <row hidden="true" r="2293">
      <c r="A2293" s="76" t="s">
        <v>1286</v>
      </c>
      <c r="B2293" s="76" t="s">
        <v>980</v>
      </c>
      <c r="C2293" s="76" t="s">
        <v>1281</v>
      </c>
      <c r="D2293" s="75"/>
    </row>
    <row hidden="true" r="2294">
      <c r="A2294" s="76" t="s">
        <v>1286</v>
      </c>
      <c r="B2294" s="76" t="s">
        <v>982</v>
      </c>
      <c r="C2294" s="76" t="s">
        <v>1281</v>
      </c>
      <c r="D2294" s="75"/>
    </row>
    <row hidden="true" r="2295">
      <c r="A2295" s="76" t="s">
        <v>1286</v>
      </c>
      <c r="B2295" s="76" t="s">
        <v>984</v>
      </c>
      <c r="C2295" s="76" t="s">
        <v>1281</v>
      </c>
      <c r="D2295" s="75"/>
    </row>
    <row hidden="true" r="2296">
      <c r="A2296" s="76" t="s">
        <v>1286</v>
      </c>
      <c r="B2296" s="76" t="s">
        <v>986</v>
      </c>
      <c r="C2296" s="76" t="s">
        <v>1281</v>
      </c>
      <c r="D2296" s="75"/>
    </row>
    <row hidden="true" r="2297">
      <c r="A2297" s="76" t="s">
        <v>1286</v>
      </c>
      <c r="B2297" s="76" t="s">
        <v>988</v>
      </c>
      <c r="C2297" s="76" t="s">
        <v>1281</v>
      </c>
      <c r="D2297" s="75"/>
    </row>
    <row hidden="true" r="2298">
      <c r="A2298" s="76" t="s">
        <v>1286</v>
      </c>
      <c r="B2298" s="76" t="s">
        <v>990</v>
      </c>
      <c r="C2298" s="76" t="s">
        <v>1281</v>
      </c>
      <c r="D2298" s="75"/>
    </row>
    <row hidden="true" r="2299">
      <c r="A2299" s="76" t="s">
        <v>1286</v>
      </c>
      <c r="B2299" s="76" t="s">
        <v>992</v>
      </c>
      <c r="C2299" s="76" t="s">
        <v>1281</v>
      </c>
      <c r="D2299" s="75"/>
    </row>
    <row hidden="true" r="2300">
      <c r="A2300" s="76" t="s">
        <v>1286</v>
      </c>
      <c r="B2300" s="76" t="s">
        <v>994</v>
      </c>
      <c r="C2300" s="76" t="s">
        <v>1281</v>
      </c>
      <c r="D2300" s="75"/>
    </row>
    <row hidden="true" r="2301">
      <c r="A2301" s="76" t="s">
        <v>1286</v>
      </c>
      <c r="B2301" s="76" t="s">
        <v>996</v>
      </c>
      <c r="C2301" s="76" t="s">
        <v>1281</v>
      </c>
      <c r="D2301" s="75"/>
    </row>
    <row hidden="true" r="2302">
      <c r="A2302" s="76" t="s">
        <v>1286</v>
      </c>
      <c r="B2302" s="76" t="s">
        <v>998</v>
      </c>
      <c r="C2302" s="76" t="s">
        <v>1281</v>
      </c>
      <c r="D2302" s="75"/>
    </row>
    <row hidden="true" r="2303">
      <c r="A2303" s="76" t="s">
        <v>1286</v>
      </c>
      <c r="B2303" s="76" t="s">
        <v>1000</v>
      </c>
      <c r="C2303" s="76" t="s">
        <v>1281</v>
      </c>
      <c r="D2303" s="75"/>
    </row>
    <row hidden="true" r="2304">
      <c r="A2304" s="76" t="s">
        <v>1286</v>
      </c>
      <c r="B2304" s="76" t="s">
        <v>1002</v>
      </c>
      <c r="C2304" s="76" t="s">
        <v>1281</v>
      </c>
      <c r="D2304" s="75"/>
    </row>
    <row hidden="true" r="2305">
      <c r="A2305" s="76" t="s">
        <v>1286</v>
      </c>
      <c r="B2305" s="76" t="s">
        <v>1004</v>
      </c>
      <c r="C2305" s="76" t="s">
        <v>1281</v>
      </c>
      <c r="D2305" s="75"/>
    </row>
    <row hidden="true" r="2306">
      <c r="A2306" s="76" t="s">
        <v>1286</v>
      </c>
      <c r="B2306" s="76" t="s">
        <v>1006</v>
      </c>
      <c r="C2306" s="76" t="s">
        <v>1281</v>
      </c>
      <c r="D2306" s="75"/>
    </row>
    <row hidden="true" r="2307">
      <c r="A2307" s="76" t="s">
        <v>1286</v>
      </c>
      <c r="B2307" s="76" t="s">
        <v>1008</v>
      </c>
      <c r="C2307" s="76" t="s">
        <v>1281</v>
      </c>
      <c r="D2307" s="75"/>
    </row>
    <row hidden="true" r="2308">
      <c r="A2308" s="76" t="s">
        <v>1286</v>
      </c>
      <c r="B2308" s="76" t="s">
        <v>1010</v>
      </c>
      <c r="C2308" s="76" t="s">
        <v>1281</v>
      </c>
      <c r="D2308" s="75"/>
    </row>
    <row hidden="true" r="2309">
      <c r="A2309" s="76" t="s">
        <v>1286</v>
      </c>
      <c r="B2309" s="76" t="s">
        <v>1012</v>
      </c>
      <c r="C2309" s="76" t="s">
        <v>1281</v>
      </c>
      <c r="D2309" s="75"/>
    </row>
    <row hidden="true" r="2310">
      <c r="A2310" s="76" t="s">
        <v>1286</v>
      </c>
      <c r="B2310" s="76" t="s">
        <v>1014</v>
      </c>
      <c r="C2310" s="76" t="s">
        <v>1281</v>
      </c>
      <c r="D2310" s="75"/>
    </row>
    <row hidden="true" r="2311">
      <c r="A2311" s="76" t="s">
        <v>1286</v>
      </c>
      <c r="B2311" s="76" t="s">
        <v>1016</v>
      </c>
      <c r="C2311" s="76" t="s">
        <v>1281</v>
      </c>
      <c r="D2311" s="75"/>
    </row>
    <row hidden="true" r="2312">
      <c r="A2312" s="76" t="s">
        <v>1286</v>
      </c>
      <c r="B2312" s="76" t="s">
        <v>1018</v>
      </c>
      <c r="C2312" s="76" t="s">
        <v>1281</v>
      </c>
      <c r="D2312" s="75"/>
    </row>
    <row hidden="true" r="2313">
      <c r="A2313" s="76" t="s">
        <v>1286</v>
      </c>
      <c r="B2313" s="76" t="s">
        <v>1020</v>
      </c>
      <c r="C2313" s="76" t="s">
        <v>1281</v>
      </c>
      <c r="D2313" s="75"/>
    </row>
    <row hidden="true" r="2314">
      <c r="A2314" s="76" t="s">
        <v>1286</v>
      </c>
      <c r="B2314" s="76" t="s">
        <v>1022</v>
      </c>
      <c r="C2314" s="76" t="s">
        <v>1281</v>
      </c>
      <c r="D2314" s="75"/>
    </row>
    <row hidden="true" r="2315">
      <c r="A2315" s="76" t="s">
        <v>1286</v>
      </c>
      <c r="B2315" s="76" t="s">
        <v>1023</v>
      </c>
      <c r="C2315" s="76" t="s">
        <v>1281</v>
      </c>
      <c r="D2315" s="75"/>
    </row>
    <row hidden="true" r="2316">
      <c r="A2316" s="76" t="s">
        <v>1286</v>
      </c>
      <c r="B2316" s="76" t="s">
        <v>1024</v>
      </c>
      <c r="C2316" s="76" t="s">
        <v>1281</v>
      </c>
      <c r="D2316" s="75"/>
    </row>
    <row hidden="true" r="2317">
      <c r="A2317" s="76" t="s">
        <v>1286</v>
      </c>
      <c r="B2317" s="76" t="s">
        <v>1025</v>
      </c>
      <c r="C2317" s="76" t="s">
        <v>1281</v>
      </c>
      <c r="D2317" s="75"/>
    </row>
    <row hidden="true" r="2318">
      <c r="A2318" s="76" t="s">
        <v>1286</v>
      </c>
      <c r="B2318" s="76" t="s">
        <v>1026</v>
      </c>
      <c r="C2318" s="76" t="s">
        <v>1281</v>
      </c>
      <c r="D2318" s="75"/>
    </row>
    <row hidden="true" r="2319">
      <c r="A2319" s="76" t="s">
        <v>1286</v>
      </c>
      <c r="B2319" s="76" t="s">
        <v>1027</v>
      </c>
      <c r="C2319" s="76" t="s">
        <v>1281</v>
      </c>
      <c r="D2319" s="75"/>
    </row>
    <row hidden="true" r="2320">
      <c r="A2320" s="76" t="s">
        <v>1286</v>
      </c>
      <c r="B2320" s="76" t="s">
        <v>1028</v>
      </c>
      <c r="C2320" s="76" t="s">
        <v>1281</v>
      </c>
      <c r="D2320" s="75"/>
    </row>
    <row hidden="true" r="2321">
      <c r="A2321" s="76" t="s">
        <v>1286</v>
      </c>
      <c r="B2321" s="76" t="s">
        <v>530</v>
      </c>
      <c r="C2321" s="76" t="s">
        <v>1281</v>
      </c>
      <c r="D2321" s="75"/>
    </row>
    <row hidden="true" r="2322">
      <c r="A2322" s="76" t="s">
        <v>1286</v>
      </c>
      <c r="B2322" s="76" t="s">
        <v>1030</v>
      </c>
      <c r="C2322" s="76" t="s">
        <v>1281</v>
      </c>
      <c r="D2322" s="75"/>
    </row>
    <row hidden="true" r="2323">
      <c r="A2323" s="76" t="s">
        <v>1286</v>
      </c>
      <c r="B2323" s="76" t="s">
        <v>1032</v>
      </c>
      <c r="C2323" s="76" t="s">
        <v>1281</v>
      </c>
      <c r="D2323" s="75"/>
    </row>
    <row hidden="true" r="2324">
      <c r="A2324" s="76" t="s">
        <v>1286</v>
      </c>
      <c r="B2324" s="76" t="s">
        <v>1034</v>
      </c>
      <c r="C2324" s="76" t="s">
        <v>1281</v>
      </c>
      <c r="D2324" s="75"/>
    </row>
    <row hidden="true" r="2325">
      <c r="A2325" s="76" t="s">
        <v>1286</v>
      </c>
      <c r="B2325" s="76" t="s">
        <v>532</v>
      </c>
      <c r="C2325" s="76" t="s">
        <v>1281</v>
      </c>
      <c r="D2325" s="75"/>
    </row>
    <row hidden="true" r="2326">
      <c r="A2326" s="76" t="s">
        <v>1286</v>
      </c>
      <c r="B2326" s="76" t="s">
        <v>1036</v>
      </c>
      <c r="C2326" s="76" t="s">
        <v>1281</v>
      </c>
      <c r="D2326" s="75"/>
    </row>
    <row hidden="true" r="2327">
      <c r="A2327" s="76" t="s">
        <v>1286</v>
      </c>
      <c r="B2327" s="76" t="s">
        <v>1038</v>
      </c>
      <c r="C2327" s="76" t="s">
        <v>1281</v>
      </c>
      <c r="D2327" s="75"/>
    </row>
    <row hidden="true" r="2328">
      <c r="A2328" s="76" t="s">
        <v>1286</v>
      </c>
      <c r="B2328" s="76" t="s">
        <v>1040</v>
      </c>
      <c r="C2328" s="76" t="s">
        <v>1281</v>
      </c>
      <c r="D2328" s="75"/>
    </row>
    <row hidden="true" r="2329">
      <c r="A2329" s="76" t="s">
        <v>1286</v>
      </c>
      <c r="B2329" s="76" t="s">
        <v>1042</v>
      </c>
      <c r="C2329" s="76" t="s">
        <v>1281</v>
      </c>
      <c r="D2329" s="75"/>
    </row>
    <row hidden="true" r="2330">
      <c r="A2330" s="76" t="s">
        <v>1286</v>
      </c>
      <c r="B2330" s="76" t="s">
        <v>1044</v>
      </c>
      <c r="C2330" s="76" t="s">
        <v>1281</v>
      </c>
      <c r="D2330" s="75"/>
    </row>
    <row hidden="true" r="2331">
      <c r="A2331" s="76" t="s">
        <v>1286</v>
      </c>
      <c r="B2331" s="76" t="s">
        <v>1046</v>
      </c>
      <c r="C2331" s="76" t="s">
        <v>1281</v>
      </c>
      <c r="D2331" s="75"/>
    </row>
    <row hidden="true" r="2332">
      <c r="A2332" s="76" t="s">
        <v>1286</v>
      </c>
      <c r="B2332" s="76" t="s">
        <v>1048</v>
      </c>
      <c r="C2332" s="76" t="s">
        <v>1281</v>
      </c>
      <c r="D2332" s="75"/>
    </row>
    <row hidden="true" r="2333">
      <c r="A2333" s="76" t="s">
        <v>1286</v>
      </c>
      <c r="B2333" s="76" t="s">
        <v>1050</v>
      </c>
      <c r="C2333" s="76" t="s">
        <v>1281</v>
      </c>
      <c r="D2333" s="75"/>
    </row>
    <row hidden="true" r="2334">
      <c r="A2334" s="76" t="s">
        <v>1286</v>
      </c>
      <c r="B2334" s="76" t="s">
        <v>1052</v>
      </c>
      <c r="C2334" s="76" t="s">
        <v>1281</v>
      </c>
      <c r="D2334" s="75"/>
    </row>
    <row hidden="true" r="2335">
      <c r="A2335" s="76" t="s">
        <v>1286</v>
      </c>
      <c r="B2335" s="76" t="s">
        <v>1054</v>
      </c>
      <c r="C2335" s="76" t="s">
        <v>1281</v>
      </c>
      <c r="D2335" s="75"/>
    </row>
    <row hidden="true" r="2336">
      <c r="A2336" s="76" t="s">
        <v>1286</v>
      </c>
      <c r="B2336" s="76" t="s">
        <v>1056</v>
      </c>
      <c r="C2336" s="76" t="s">
        <v>1281</v>
      </c>
      <c r="D2336" s="75"/>
    </row>
    <row hidden="true" r="2337">
      <c r="A2337" s="76" t="s">
        <v>1286</v>
      </c>
      <c r="B2337" s="76" t="s">
        <v>1058</v>
      </c>
      <c r="C2337" s="76" t="s">
        <v>1281</v>
      </c>
      <c r="D2337" s="75"/>
    </row>
    <row hidden="true" r="2338">
      <c r="A2338" s="76" t="s">
        <v>1286</v>
      </c>
      <c r="B2338" s="76" t="s">
        <v>1060</v>
      </c>
      <c r="C2338" s="76" t="s">
        <v>1281</v>
      </c>
      <c r="D2338" s="75"/>
    </row>
    <row hidden="true" r="2339">
      <c r="A2339" s="76" t="s">
        <v>1286</v>
      </c>
      <c r="B2339" s="76" t="s">
        <v>1062</v>
      </c>
      <c r="C2339" s="76" t="s">
        <v>1281</v>
      </c>
      <c r="D2339" s="75"/>
    </row>
    <row hidden="true" r="2340">
      <c r="A2340" s="76" t="s">
        <v>1286</v>
      </c>
      <c r="B2340" s="76" t="s">
        <v>1064</v>
      </c>
      <c r="C2340" s="76" t="s">
        <v>1281</v>
      </c>
      <c r="D2340" s="75"/>
    </row>
    <row hidden="true" r="2341">
      <c r="A2341" s="76" t="s">
        <v>1286</v>
      </c>
      <c r="B2341" s="76" t="s">
        <v>1066</v>
      </c>
      <c r="C2341" s="76" t="s">
        <v>1281</v>
      </c>
      <c r="D2341" s="75"/>
    </row>
    <row hidden="true" r="2342">
      <c r="A2342" s="76" t="s">
        <v>1286</v>
      </c>
      <c r="B2342" s="76" t="s">
        <v>1068</v>
      </c>
      <c r="C2342" s="76" t="s">
        <v>1281</v>
      </c>
      <c r="D2342" s="75"/>
    </row>
    <row hidden="true" r="2343">
      <c r="A2343" s="76" t="s">
        <v>1286</v>
      </c>
      <c r="B2343" s="76" t="s">
        <v>1070</v>
      </c>
      <c r="C2343" s="76" t="s">
        <v>1281</v>
      </c>
      <c r="D2343" s="75"/>
    </row>
    <row hidden="true" r="2344">
      <c r="A2344" s="76" t="s">
        <v>1286</v>
      </c>
      <c r="B2344" s="76" t="s">
        <v>1071</v>
      </c>
      <c r="C2344" s="76" t="s">
        <v>1281</v>
      </c>
      <c r="D2344" s="75"/>
    </row>
    <row hidden="true" r="2345">
      <c r="A2345" s="76" t="s">
        <v>1286</v>
      </c>
      <c r="B2345" s="76" t="s">
        <v>1072</v>
      </c>
      <c r="C2345" s="76" t="s">
        <v>1281</v>
      </c>
      <c r="D2345" s="75"/>
    </row>
    <row hidden="true" r="2346">
      <c r="A2346" s="76" t="s">
        <v>1286</v>
      </c>
      <c r="B2346" s="76" t="s">
        <v>1074</v>
      </c>
      <c r="C2346" s="76" t="s">
        <v>1281</v>
      </c>
      <c r="D2346" s="75"/>
    </row>
    <row hidden="true" r="2347">
      <c r="A2347" s="76" t="s">
        <v>1286</v>
      </c>
      <c r="B2347" s="76" t="s">
        <v>1075</v>
      </c>
      <c r="C2347" s="76" t="s">
        <v>1281</v>
      </c>
      <c r="D2347" s="75"/>
    </row>
    <row hidden="true" r="2348">
      <c r="A2348" s="76" t="s">
        <v>1286</v>
      </c>
      <c r="B2348" s="76" t="s">
        <v>1076</v>
      </c>
      <c r="C2348" s="76" t="s">
        <v>1281</v>
      </c>
      <c r="D2348" s="75"/>
    </row>
    <row hidden="true" r="2349">
      <c r="A2349" s="76" t="s">
        <v>1286</v>
      </c>
      <c r="B2349" s="76" t="s">
        <v>1078</v>
      </c>
      <c r="C2349" s="76" t="s">
        <v>1281</v>
      </c>
      <c r="D2349" s="75"/>
    </row>
    <row hidden="true" r="2350">
      <c r="A2350" s="76" t="s">
        <v>1286</v>
      </c>
      <c r="B2350" s="76" t="s">
        <v>839</v>
      </c>
      <c r="C2350" s="76" t="s">
        <v>1281</v>
      </c>
      <c r="D2350" s="75"/>
    </row>
    <row hidden="true" r="2351">
      <c r="A2351" s="76" t="s">
        <v>1286</v>
      </c>
      <c r="B2351" s="76" t="s">
        <v>1080</v>
      </c>
      <c r="C2351" s="76" t="s">
        <v>1281</v>
      </c>
      <c r="D2351" s="75"/>
    </row>
    <row hidden="true" r="2352">
      <c r="A2352" s="76" t="s">
        <v>1286</v>
      </c>
      <c r="B2352" s="76" t="s">
        <v>1082</v>
      </c>
      <c r="C2352" s="76" t="s">
        <v>1281</v>
      </c>
      <c r="D2352" s="75"/>
    </row>
    <row hidden="true" r="2353">
      <c r="A2353" s="76" t="s">
        <v>1286</v>
      </c>
      <c r="B2353" s="76" t="s">
        <v>1084</v>
      </c>
      <c r="C2353" s="76" t="s">
        <v>1281</v>
      </c>
      <c r="D2353" s="75"/>
    </row>
    <row hidden="true" r="2354">
      <c r="A2354" s="76" t="s">
        <v>1286</v>
      </c>
      <c r="B2354" s="76" t="s">
        <v>1086</v>
      </c>
      <c r="C2354" s="76" t="s">
        <v>1281</v>
      </c>
      <c r="D2354" s="75"/>
    </row>
    <row hidden="true" r="2355">
      <c r="A2355" s="76" t="s">
        <v>1286</v>
      </c>
      <c r="B2355" s="76" t="s">
        <v>1088</v>
      </c>
      <c r="C2355" s="76" t="s">
        <v>1281</v>
      </c>
      <c r="D2355" s="75"/>
    </row>
    <row hidden="true" r="2356">
      <c r="A2356" s="76" t="s">
        <v>1286</v>
      </c>
      <c r="B2356" s="76" t="s">
        <v>1090</v>
      </c>
      <c r="C2356" s="76" t="s">
        <v>1281</v>
      </c>
      <c r="D2356" s="75"/>
    </row>
    <row hidden="true" r="2357">
      <c r="A2357" s="76" t="s">
        <v>1286</v>
      </c>
      <c r="B2357" s="76" t="s">
        <v>1092</v>
      </c>
      <c r="C2357" s="76" t="s">
        <v>1281</v>
      </c>
      <c r="D2357" s="75"/>
    </row>
    <row hidden="true" r="2358">
      <c r="A2358" s="76" t="s">
        <v>1286</v>
      </c>
      <c r="B2358" s="76" t="s">
        <v>1093</v>
      </c>
      <c r="C2358" s="76" t="s">
        <v>1281</v>
      </c>
      <c r="D2358" s="75"/>
    </row>
    <row hidden="true" r="2359">
      <c r="A2359" s="76" t="s">
        <v>1286</v>
      </c>
      <c r="B2359" s="76" t="s">
        <v>1095</v>
      </c>
      <c r="C2359" s="76" t="s">
        <v>1281</v>
      </c>
      <c r="D2359" s="75"/>
    </row>
    <row hidden="true" r="2360">
      <c r="A2360" s="76" t="s">
        <v>1286</v>
      </c>
      <c r="B2360" s="76" t="s">
        <v>1097</v>
      </c>
      <c r="C2360" s="76" t="s">
        <v>1281</v>
      </c>
      <c r="D2360" s="75"/>
    </row>
    <row hidden="true" r="2361">
      <c r="A2361" s="76" t="s">
        <v>1286</v>
      </c>
      <c r="B2361" s="76" t="s">
        <v>1099</v>
      </c>
      <c r="C2361" s="76" t="s">
        <v>1281</v>
      </c>
      <c r="D2361" s="75"/>
    </row>
    <row hidden="true" r="2362">
      <c r="A2362" s="76" t="s">
        <v>1286</v>
      </c>
      <c r="B2362" s="76" t="s">
        <v>1101</v>
      </c>
      <c r="C2362" s="76" t="s">
        <v>1281</v>
      </c>
      <c r="D2362" s="75"/>
    </row>
    <row hidden="true" r="2363">
      <c r="A2363" s="76" t="s">
        <v>1286</v>
      </c>
      <c r="B2363" s="76" t="s">
        <v>1103</v>
      </c>
      <c r="C2363" s="76" t="s">
        <v>1281</v>
      </c>
      <c r="D2363" s="75"/>
    </row>
    <row hidden="true" r="2364">
      <c r="A2364" s="76" t="s">
        <v>1286</v>
      </c>
      <c r="B2364" s="76" t="s">
        <v>1105</v>
      </c>
      <c r="C2364" s="76" t="s">
        <v>1281</v>
      </c>
      <c r="D2364" s="75"/>
    </row>
    <row hidden="true" r="2365">
      <c r="A2365" s="76" t="s">
        <v>1286</v>
      </c>
      <c r="B2365" s="76" t="s">
        <v>1107</v>
      </c>
      <c r="C2365" s="76" t="s">
        <v>1281</v>
      </c>
      <c r="D2365" s="75"/>
    </row>
    <row hidden="true" r="2366">
      <c r="A2366" s="76" t="s">
        <v>1286</v>
      </c>
      <c r="B2366" s="76" t="s">
        <v>1109</v>
      </c>
      <c r="C2366" s="76" t="s">
        <v>1281</v>
      </c>
      <c r="D2366" s="75"/>
    </row>
    <row hidden="true" r="2367">
      <c r="A2367" s="76" t="s">
        <v>1286</v>
      </c>
      <c r="B2367" s="76" t="s">
        <v>1111</v>
      </c>
      <c r="C2367" s="76" t="s">
        <v>1281</v>
      </c>
      <c r="D2367" s="75"/>
    </row>
    <row hidden="true" r="2368">
      <c r="A2368" s="76" t="s">
        <v>1286</v>
      </c>
      <c r="B2368" s="76" t="s">
        <v>1113</v>
      </c>
      <c r="C2368" s="76" t="s">
        <v>1281</v>
      </c>
      <c r="D2368" s="75"/>
    </row>
    <row hidden="true" r="2369">
      <c r="A2369" s="76" t="s">
        <v>1286</v>
      </c>
      <c r="B2369" s="76" t="s">
        <v>1115</v>
      </c>
      <c r="C2369" s="76" t="s">
        <v>1281</v>
      </c>
      <c r="D2369" s="75"/>
    </row>
    <row hidden="true" r="2370">
      <c r="A2370" s="76" t="s">
        <v>1286</v>
      </c>
      <c r="B2370" s="76" t="s">
        <v>1117</v>
      </c>
      <c r="C2370" s="76" t="s">
        <v>1281</v>
      </c>
      <c r="D2370" s="75"/>
    </row>
    <row hidden="true" r="2371">
      <c r="A2371" s="76" t="s">
        <v>1286</v>
      </c>
      <c r="B2371" s="76" t="s">
        <v>1119</v>
      </c>
      <c r="C2371" s="76" t="s">
        <v>1281</v>
      </c>
      <c r="D2371" s="75"/>
    </row>
    <row hidden="true" r="2372">
      <c r="A2372" s="76" t="s">
        <v>1286</v>
      </c>
      <c r="B2372" s="76" t="s">
        <v>1121</v>
      </c>
      <c r="C2372" s="76" t="s">
        <v>1281</v>
      </c>
      <c r="D2372" s="75"/>
    </row>
    <row hidden="true" r="2373">
      <c r="A2373" s="76" t="s">
        <v>1286</v>
      </c>
      <c r="B2373" s="76" t="s">
        <v>1123</v>
      </c>
      <c r="C2373" s="76" t="s">
        <v>1281</v>
      </c>
      <c r="D2373" s="75"/>
    </row>
    <row hidden="true" r="2374">
      <c r="A2374" s="76" t="s">
        <v>1286</v>
      </c>
      <c r="B2374" s="76" t="s">
        <v>1125</v>
      </c>
      <c r="C2374" s="76" t="s">
        <v>1281</v>
      </c>
      <c r="D2374" s="75"/>
    </row>
    <row hidden="true" r="2375">
      <c r="A2375" s="76" t="s">
        <v>1286</v>
      </c>
      <c r="B2375" s="76" t="s">
        <v>1127</v>
      </c>
      <c r="C2375" s="76" t="s">
        <v>1281</v>
      </c>
      <c r="D2375" s="75"/>
    </row>
    <row hidden="true" r="2376">
      <c r="A2376" s="76" t="s">
        <v>1286</v>
      </c>
      <c r="B2376" s="76" t="s">
        <v>1129</v>
      </c>
      <c r="C2376" s="76" t="s">
        <v>1281</v>
      </c>
      <c r="D2376" s="75"/>
    </row>
    <row hidden="true" r="2377">
      <c r="A2377" s="76" t="s">
        <v>1286</v>
      </c>
      <c r="B2377" s="76" t="s">
        <v>1131</v>
      </c>
      <c r="C2377" s="76" t="s">
        <v>1281</v>
      </c>
      <c r="D2377" s="75"/>
    </row>
    <row hidden="true" r="2378">
      <c r="A2378" s="76" t="s">
        <v>1286</v>
      </c>
      <c r="B2378" s="76" t="s">
        <v>1133</v>
      </c>
      <c r="C2378" s="76" t="s">
        <v>1281</v>
      </c>
      <c r="D2378" s="75"/>
    </row>
    <row hidden="true" r="2379">
      <c r="A2379" s="76" t="s">
        <v>1286</v>
      </c>
      <c r="B2379" s="76" t="s">
        <v>1135</v>
      </c>
      <c r="C2379" s="76" t="s">
        <v>1281</v>
      </c>
      <c r="D2379" s="75"/>
    </row>
    <row hidden="true" r="2380">
      <c r="A2380" s="76" t="s">
        <v>1286</v>
      </c>
      <c r="B2380" s="76" t="s">
        <v>1137</v>
      </c>
      <c r="C2380" s="76" t="s">
        <v>1281</v>
      </c>
      <c r="D2380" s="75"/>
    </row>
    <row hidden="true" r="2381">
      <c r="A2381" s="76" t="s">
        <v>1286</v>
      </c>
      <c r="B2381" s="76" t="s">
        <v>1139</v>
      </c>
      <c r="C2381" s="76" t="s">
        <v>1281</v>
      </c>
      <c r="D2381" s="75"/>
    </row>
    <row hidden="true" r="2382">
      <c r="A2382" s="76" t="s">
        <v>1286</v>
      </c>
      <c r="B2382" s="76" t="s">
        <v>1141</v>
      </c>
      <c r="C2382" s="76" t="s">
        <v>1281</v>
      </c>
      <c r="D2382" s="75"/>
    </row>
    <row hidden="true" r="2383">
      <c r="A2383" s="76" t="s">
        <v>1286</v>
      </c>
      <c r="B2383" s="76" t="s">
        <v>1143</v>
      </c>
      <c r="C2383" s="76" t="s">
        <v>1281</v>
      </c>
      <c r="D2383" s="75"/>
    </row>
    <row hidden="true" r="2384">
      <c r="A2384" s="76" t="s">
        <v>1286</v>
      </c>
      <c r="B2384" s="76" t="s">
        <v>1145</v>
      </c>
      <c r="C2384" s="76" t="s">
        <v>1281</v>
      </c>
      <c r="D2384" s="75"/>
    </row>
    <row hidden="true" r="2385">
      <c r="A2385" s="76" t="s">
        <v>1286</v>
      </c>
      <c r="B2385" s="76" t="s">
        <v>1147</v>
      </c>
      <c r="C2385" s="76" t="s">
        <v>1281</v>
      </c>
      <c r="D2385" s="75"/>
    </row>
    <row hidden="true" r="2386">
      <c r="A2386" s="76" t="s">
        <v>1286</v>
      </c>
      <c r="B2386" s="76" t="s">
        <v>1149</v>
      </c>
      <c r="C2386" s="76" t="s">
        <v>1281</v>
      </c>
      <c r="D2386" s="75"/>
    </row>
    <row hidden="true" r="2387">
      <c r="A2387" s="76" t="s">
        <v>1286</v>
      </c>
      <c r="B2387" s="76" t="s">
        <v>1151</v>
      </c>
      <c r="C2387" s="76" t="s">
        <v>1281</v>
      </c>
      <c r="D2387" s="75"/>
    </row>
    <row hidden="true" r="2388">
      <c r="A2388" s="76" t="s">
        <v>1286</v>
      </c>
      <c r="B2388" s="76" t="s">
        <v>1153</v>
      </c>
      <c r="C2388" s="76" t="s">
        <v>1281</v>
      </c>
      <c r="D2388" s="75"/>
    </row>
    <row hidden="true" r="2389">
      <c r="A2389" s="76" t="s">
        <v>1286</v>
      </c>
      <c r="B2389" s="76" t="s">
        <v>1155</v>
      </c>
      <c r="C2389" s="76" t="s">
        <v>1281</v>
      </c>
      <c r="D2389" s="75"/>
    </row>
    <row hidden="true" r="2390">
      <c r="A2390" s="76" t="s">
        <v>1286</v>
      </c>
      <c r="B2390" s="76" t="s">
        <v>1157</v>
      </c>
      <c r="C2390" s="76" t="s">
        <v>1281</v>
      </c>
      <c r="D2390" s="75"/>
    </row>
    <row hidden="true" r="2391">
      <c r="A2391" s="76" t="s">
        <v>1286</v>
      </c>
      <c r="B2391" s="76" t="s">
        <v>1159</v>
      </c>
      <c r="C2391" s="76" t="s">
        <v>1281</v>
      </c>
      <c r="D2391" s="75"/>
    </row>
    <row hidden="true" r="2392">
      <c r="A2392" s="76" t="s">
        <v>1286</v>
      </c>
      <c r="B2392" s="76" t="s">
        <v>868</v>
      </c>
      <c r="C2392" s="76" t="s">
        <v>1281</v>
      </c>
      <c r="D2392" s="75"/>
    </row>
    <row hidden="true" r="2393">
      <c r="A2393" s="76" t="s">
        <v>1286</v>
      </c>
      <c r="B2393" s="76" t="s">
        <v>1161</v>
      </c>
      <c r="C2393" s="76" t="s">
        <v>1281</v>
      </c>
      <c r="D2393" s="75"/>
    </row>
    <row hidden="true" r="2394">
      <c r="A2394" s="76" t="s">
        <v>1286</v>
      </c>
      <c r="B2394" s="76" t="s">
        <v>1163</v>
      </c>
      <c r="C2394" s="76" t="s">
        <v>1281</v>
      </c>
      <c r="D2394" s="75"/>
    </row>
    <row hidden="true" r="2395">
      <c r="A2395" s="76" t="s">
        <v>1286</v>
      </c>
      <c r="B2395" s="76" t="s">
        <v>1165</v>
      </c>
      <c r="C2395" s="76" t="s">
        <v>1281</v>
      </c>
      <c r="D2395" s="75"/>
    </row>
    <row hidden="true" r="2396">
      <c r="A2396" s="76" t="s">
        <v>1286</v>
      </c>
      <c r="B2396" s="76" t="s">
        <v>1167</v>
      </c>
      <c r="C2396" s="76" t="s">
        <v>1281</v>
      </c>
      <c r="D2396" s="75"/>
    </row>
    <row hidden="true" r="2397">
      <c r="A2397" s="76" t="s">
        <v>1286</v>
      </c>
      <c r="B2397" s="76" t="s">
        <v>1169</v>
      </c>
      <c r="C2397" s="76" t="s">
        <v>1281</v>
      </c>
      <c r="D2397" s="75"/>
    </row>
    <row hidden="true" r="2398">
      <c r="A2398" s="76" t="s">
        <v>1286</v>
      </c>
      <c r="B2398" s="76" t="s">
        <v>1171</v>
      </c>
      <c r="C2398" s="76" t="s">
        <v>1281</v>
      </c>
      <c r="D2398" s="75"/>
    </row>
    <row hidden="true" r="2399">
      <c r="A2399" s="76" t="s">
        <v>1286</v>
      </c>
      <c r="B2399" s="76" t="s">
        <v>1173</v>
      </c>
      <c r="C2399" s="76" t="s">
        <v>1281</v>
      </c>
      <c r="D2399" s="75"/>
    </row>
    <row hidden="true" r="2400">
      <c r="A2400" s="76" t="s">
        <v>1286</v>
      </c>
      <c r="B2400" s="76" t="s">
        <v>1175</v>
      </c>
      <c r="C2400" s="76" t="s">
        <v>1281</v>
      </c>
      <c r="D2400" s="75"/>
    </row>
    <row hidden="true" r="2401">
      <c r="A2401" s="76" t="s">
        <v>1286</v>
      </c>
      <c r="B2401" s="76" t="s">
        <v>1177</v>
      </c>
      <c r="C2401" s="76" t="s">
        <v>1281</v>
      </c>
      <c r="D2401" s="75"/>
    </row>
    <row hidden="true" r="2402">
      <c r="A2402" s="76" t="s">
        <v>1286</v>
      </c>
      <c r="B2402" s="76" t="s">
        <v>1179</v>
      </c>
      <c r="C2402" s="76" t="s">
        <v>1281</v>
      </c>
      <c r="D2402" s="75"/>
    </row>
    <row hidden="true" r="2403">
      <c r="A2403" s="76" t="s">
        <v>1286</v>
      </c>
      <c r="B2403" s="76" t="s">
        <v>1181</v>
      </c>
      <c r="C2403" s="76" t="s">
        <v>1281</v>
      </c>
      <c r="D2403" s="75"/>
    </row>
    <row hidden="true" r="2404">
      <c r="A2404" s="76" t="s">
        <v>1286</v>
      </c>
      <c r="B2404" s="76" t="s">
        <v>1183</v>
      </c>
      <c r="C2404" s="76" t="s">
        <v>1281</v>
      </c>
      <c r="D2404" s="75"/>
    </row>
    <row hidden="true" r="2405">
      <c r="A2405" s="76" t="s">
        <v>1286</v>
      </c>
      <c r="B2405" s="76" t="s">
        <v>1185</v>
      </c>
      <c r="C2405" s="76" t="s">
        <v>1281</v>
      </c>
      <c r="D2405" s="75"/>
    </row>
    <row hidden="true" r="2406">
      <c r="A2406" s="76" t="s">
        <v>1286</v>
      </c>
      <c r="B2406" s="76" t="s">
        <v>1187</v>
      </c>
      <c r="C2406" s="76" t="s">
        <v>1281</v>
      </c>
      <c r="D2406" s="75"/>
    </row>
    <row hidden="true" r="2407">
      <c r="A2407" s="76" t="s">
        <v>1286</v>
      </c>
      <c r="B2407" s="76" t="s">
        <v>1199</v>
      </c>
      <c r="C2407" s="76" t="s">
        <v>1281</v>
      </c>
      <c r="D2407" s="75"/>
    </row>
    <row hidden="true" r="2408">
      <c r="A2408" s="76" t="s">
        <v>1286</v>
      </c>
      <c r="B2408" s="76" t="s">
        <v>1201</v>
      </c>
      <c r="C2408" s="76" t="s">
        <v>1281</v>
      </c>
      <c r="D2408" s="75"/>
    </row>
    <row hidden="true" r="2409">
      <c r="A2409" s="76" t="s">
        <v>1286</v>
      </c>
      <c r="B2409" s="76" t="s">
        <v>1203</v>
      </c>
      <c r="C2409" s="76" t="s">
        <v>1281</v>
      </c>
      <c r="D2409" s="75"/>
    </row>
    <row hidden="true" r="2410">
      <c r="A2410" s="76" t="s">
        <v>1286</v>
      </c>
      <c r="B2410" s="76" t="s">
        <v>1205</v>
      </c>
      <c r="C2410" s="76" t="s">
        <v>1281</v>
      </c>
      <c r="D2410" s="75"/>
    </row>
    <row hidden="true" r="2411">
      <c r="A2411" s="76" t="s">
        <v>1286</v>
      </c>
      <c r="B2411" s="76" t="s">
        <v>1207</v>
      </c>
      <c r="C2411" s="76" t="s">
        <v>1281</v>
      </c>
      <c r="D2411" s="75"/>
    </row>
    <row hidden="true" r="2412">
      <c r="A2412" s="76" t="s">
        <v>1286</v>
      </c>
      <c r="B2412" s="76" t="s">
        <v>1209</v>
      </c>
      <c r="C2412" s="76" t="s">
        <v>1281</v>
      </c>
      <c r="D2412" s="75"/>
    </row>
    <row hidden="true" r="2413">
      <c r="A2413" s="76" t="s">
        <v>1286</v>
      </c>
      <c r="B2413" s="76" t="s">
        <v>1282</v>
      </c>
      <c r="C2413" s="76" t="s">
        <v>1281</v>
      </c>
      <c r="D2413" s="75"/>
    </row>
    <row hidden="true" r="2414">
      <c r="A2414" s="76" t="s">
        <v>1286</v>
      </c>
      <c r="B2414" s="76" t="s">
        <v>735</v>
      </c>
      <c r="C2414" s="76" t="s">
        <v>1283</v>
      </c>
      <c r="D2414" s="75"/>
    </row>
    <row hidden="true" r="2415">
      <c r="A2415" s="76" t="s">
        <v>1287</v>
      </c>
      <c r="B2415" s="76" t="s">
        <v>407</v>
      </c>
      <c r="C2415" s="76" t="s">
        <v>1281</v>
      </c>
      <c r="D2415" s="75"/>
    </row>
    <row hidden="true" r="2416">
      <c r="A2416" s="76" t="s">
        <v>1287</v>
      </c>
      <c r="B2416" s="76" t="s">
        <v>744</v>
      </c>
      <c r="C2416" s="76" t="s">
        <v>1281</v>
      </c>
      <c r="D2416" s="75"/>
    </row>
    <row hidden="true" r="2417">
      <c r="A2417" s="76" t="s">
        <v>1287</v>
      </c>
      <c r="B2417" s="76" t="s">
        <v>409</v>
      </c>
      <c r="C2417" s="76" t="s">
        <v>1281</v>
      </c>
      <c r="D2417" s="75"/>
    </row>
    <row hidden="true" r="2418">
      <c r="A2418" s="76" t="s">
        <v>1287</v>
      </c>
      <c r="B2418" s="76" t="s">
        <v>884</v>
      </c>
      <c r="C2418" s="76" t="s">
        <v>1281</v>
      </c>
      <c r="D2418" s="75"/>
    </row>
    <row hidden="true" r="2419">
      <c r="A2419" s="76" t="s">
        <v>1287</v>
      </c>
      <c r="B2419" s="76" t="s">
        <v>886</v>
      </c>
      <c r="C2419" s="76" t="s">
        <v>1281</v>
      </c>
      <c r="D2419" s="75"/>
    </row>
    <row hidden="true" r="2420">
      <c r="A2420" s="76" t="s">
        <v>1287</v>
      </c>
      <c r="B2420" s="76" t="s">
        <v>888</v>
      </c>
      <c r="C2420" s="76" t="s">
        <v>1281</v>
      </c>
      <c r="D2420" s="75"/>
    </row>
    <row hidden="true" r="2421">
      <c r="A2421" s="76" t="s">
        <v>1287</v>
      </c>
      <c r="B2421" s="76" t="s">
        <v>890</v>
      </c>
      <c r="C2421" s="76" t="s">
        <v>1281</v>
      </c>
      <c r="D2421" s="75"/>
    </row>
    <row hidden="true" r="2422">
      <c r="A2422" s="76" t="s">
        <v>1287</v>
      </c>
      <c r="B2422" s="76" t="s">
        <v>892</v>
      </c>
      <c r="C2422" s="76" t="s">
        <v>1281</v>
      </c>
      <c r="D2422" s="75"/>
    </row>
    <row hidden="true" r="2423">
      <c r="A2423" s="76" t="s">
        <v>1287</v>
      </c>
      <c r="B2423" s="76" t="s">
        <v>894</v>
      </c>
      <c r="C2423" s="76" t="s">
        <v>1281</v>
      </c>
      <c r="D2423" s="75"/>
    </row>
    <row hidden="true" r="2424">
      <c r="A2424" s="76" t="s">
        <v>1287</v>
      </c>
      <c r="B2424" s="76" t="s">
        <v>896</v>
      </c>
      <c r="C2424" s="76" t="s">
        <v>1281</v>
      </c>
      <c r="D2424" s="75"/>
    </row>
    <row hidden="true" r="2425">
      <c r="A2425" s="76" t="s">
        <v>1287</v>
      </c>
      <c r="B2425" s="76" t="s">
        <v>898</v>
      </c>
      <c r="C2425" s="76" t="s">
        <v>1281</v>
      </c>
      <c r="D2425" s="75"/>
    </row>
    <row hidden="true" r="2426">
      <c r="A2426" s="76" t="s">
        <v>1287</v>
      </c>
      <c r="B2426" s="76" t="s">
        <v>900</v>
      </c>
      <c r="C2426" s="76" t="s">
        <v>1281</v>
      </c>
      <c r="D2426" s="75"/>
    </row>
    <row hidden="true" r="2427">
      <c r="A2427" s="76" t="s">
        <v>1287</v>
      </c>
      <c r="B2427" s="76" t="s">
        <v>902</v>
      </c>
      <c r="C2427" s="76" t="s">
        <v>1281</v>
      </c>
      <c r="D2427" s="75"/>
    </row>
    <row hidden="true" r="2428">
      <c r="A2428" s="76" t="s">
        <v>1287</v>
      </c>
      <c r="B2428" s="76" t="s">
        <v>904</v>
      </c>
      <c r="C2428" s="76" t="s">
        <v>1281</v>
      </c>
      <c r="D2428" s="75"/>
    </row>
    <row hidden="true" r="2429">
      <c r="A2429" s="76" t="s">
        <v>1287</v>
      </c>
      <c r="B2429" s="76" t="s">
        <v>906</v>
      </c>
      <c r="C2429" s="76" t="s">
        <v>1281</v>
      </c>
      <c r="D2429" s="75"/>
    </row>
    <row hidden="true" r="2430">
      <c r="A2430" s="76" t="s">
        <v>1287</v>
      </c>
      <c r="B2430" s="76" t="s">
        <v>908</v>
      </c>
      <c r="C2430" s="76" t="s">
        <v>1281</v>
      </c>
      <c r="D2430" s="75"/>
    </row>
    <row hidden="true" r="2431">
      <c r="A2431" s="76" t="s">
        <v>1287</v>
      </c>
      <c r="B2431" s="76" t="s">
        <v>910</v>
      </c>
      <c r="C2431" s="76" t="s">
        <v>1281</v>
      </c>
      <c r="D2431" s="75"/>
    </row>
    <row hidden="true" r="2432">
      <c r="A2432" s="76" t="s">
        <v>1287</v>
      </c>
      <c r="B2432" s="76" t="s">
        <v>912</v>
      </c>
      <c r="C2432" s="76" t="s">
        <v>1281</v>
      </c>
      <c r="D2432" s="75"/>
    </row>
    <row hidden="true" r="2433">
      <c r="A2433" s="76" t="s">
        <v>1287</v>
      </c>
      <c r="B2433" s="76" t="s">
        <v>914</v>
      </c>
      <c r="C2433" s="76" t="s">
        <v>1281</v>
      </c>
      <c r="D2433" s="75"/>
    </row>
    <row hidden="true" r="2434">
      <c r="A2434" s="76" t="s">
        <v>1287</v>
      </c>
      <c r="B2434" s="76" t="s">
        <v>916</v>
      </c>
      <c r="C2434" s="76" t="s">
        <v>1281</v>
      </c>
      <c r="D2434" s="75"/>
    </row>
    <row hidden="true" r="2435">
      <c r="A2435" s="76" t="s">
        <v>1287</v>
      </c>
      <c r="B2435" s="76" t="s">
        <v>918</v>
      </c>
      <c r="C2435" s="76" t="s">
        <v>1281</v>
      </c>
      <c r="D2435" s="75"/>
    </row>
    <row hidden="true" r="2436">
      <c r="A2436" s="76" t="s">
        <v>1287</v>
      </c>
      <c r="B2436" s="76" t="s">
        <v>920</v>
      </c>
      <c r="C2436" s="76" t="s">
        <v>1281</v>
      </c>
      <c r="D2436" s="75"/>
    </row>
    <row hidden="true" r="2437">
      <c r="A2437" s="76" t="s">
        <v>1287</v>
      </c>
      <c r="B2437" s="76" t="s">
        <v>922</v>
      </c>
      <c r="C2437" s="76" t="s">
        <v>1281</v>
      </c>
      <c r="D2437" s="75"/>
    </row>
    <row hidden="true" r="2438">
      <c r="A2438" s="76" t="s">
        <v>1287</v>
      </c>
      <c r="B2438" s="76" t="s">
        <v>924</v>
      </c>
      <c r="C2438" s="76" t="s">
        <v>1281</v>
      </c>
      <c r="D2438" s="75"/>
    </row>
    <row hidden="true" r="2439">
      <c r="A2439" s="76" t="s">
        <v>1287</v>
      </c>
      <c r="B2439" s="76" t="s">
        <v>926</v>
      </c>
      <c r="C2439" s="76" t="s">
        <v>1281</v>
      </c>
      <c r="D2439" s="75"/>
    </row>
    <row hidden="true" r="2440">
      <c r="A2440" s="76" t="s">
        <v>1287</v>
      </c>
      <c r="B2440" s="76" t="s">
        <v>928</v>
      </c>
      <c r="C2440" s="76" t="s">
        <v>1281</v>
      </c>
      <c r="D2440" s="75"/>
    </row>
    <row hidden="true" r="2441">
      <c r="A2441" s="76" t="s">
        <v>1287</v>
      </c>
      <c r="B2441" s="76" t="s">
        <v>930</v>
      </c>
      <c r="C2441" s="76" t="s">
        <v>1281</v>
      </c>
      <c r="D2441" s="75"/>
    </row>
    <row hidden="true" r="2442">
      <c r="A2442" s="76" t="s">
        <v>1287</v>
      </c>
      <c r="B2442" s="76" t="s">
        <v>932</v>
      </c>
      <c r="C2442" s="76" t="s">
        <v>1281</v>
      </c>
      <c r="D2442" s="75"/>
    </row>
    <row hidden="true" r="2443">
      <c r="A2443" s="76" t="s">
        <v>1287</v>
      </c>
      <c r="B2443" s="76" t="s">
        <v>934</v>
      </c>
      <c r="C2443" s="76" t="s">
        <v>1281</v>
      </c>
      <c r="D2443" s="75"/>
    </row>
    <row hidden="true" r="2444">
      <c r="A2444" s="76" t="s">
        <v>1287</v>
      </c>
      <c r="B2444" s="76" t="s">
        <v>936</v>
      </c>
      <c r="C2444" s="76" t="s">
        <v>1281</v>
      </c>
      <c r="D2444" s="75"/>
    </row>
    <row hidden="true" r="2445">
      <c r="A2445" s="76" t="s">
        <v>1287</v>
      </c>
      <c r="B2445" s="76" t="s">
        <v>938</v>
      </c>
      <c r="C2445" s="76" t="s">
        <v>1281</v>
      </c>
      <c r="D2445" s="75"/>
    </row>
    <row hidden="true" r="2446">
      <c r="A2446" s="76" t="s">
        <v>1287</v>
      </c>
      <c r="B2446" s="76" t="s">
        <v>940</v>
      </c>
      <c r="C2446" s="76" t="s">
        <v>1281</v>
      </c>
      <c r="D2446" s="75"/>
    </row>
    <row hidden="true" r="2447">
      <c r="A2447" s="76" t="s">
        <v>1287</v>
      </c>
      <c r="B2447" s="76" t="s">
        <v>942</v>
      </c>
      <c r="C2447" s="76" t="s">
        <v>1281</v>
      </c>
      <c r="D2447" s="75"/>
    </row>
    <row hidden="true" r="2448">
      <c r="A2448" s="76" t="s">
        <v>1287</v>
      </c>
      <c r="B2448" s="76" t="s">
        <v>944</v>
      </c>
      <c r="C2448" s="76" t="s">
        <v>1281</v>
      </c>
      <c r="D2448" s="75"/>
    </row>
    <row hidden="true" r="2449">
      <c r="A2449" s="76" t="s">
        <v>1287</v>
      </c>
      <c r="B2449" s="76" t="s">
        <v>946</v>
      </c>
      <c r="C2449" s="76" t="s">
        <v>1281</v>
      </c>
      <c r="D2449" s="75"/>
    </row>
    <row hidden="true" r="2450">
      <c r="A2450" s="76" t="s">
        <v>1287</v>
      </c>
      <c r="B2450" s="76" t="s">
        <v>948</v>
      </c>
      <c r="C2450" s="76" t="s">
        <v>1281</v>
      </c>
      <c r="D2450" s="75"/>
    </row>
    <row hidden="true" r="2451">
      <c r="A2451" s="76" t="s">
        <v>1287</v>
      </c>
      <c r="B2451" s="76" t="s">
        <v>950</v>
      </c>
      <c r="C2451" s="76" t="s">
        <v>1281</v>
      </c>
      <c r="D2451" s="75"/>
    </row>
    <row hidden="true" r="2452">
      <c r="A2452" s="76" t="s">
        <v>1287</v>
      </c>
      <c r="B2452" s="76" t="s">
        <v>952</v>
      </c>
      <c r="C2452" s="76" t="s">
        <v>1281</v>
      </c>
      <c r="D2452" s="75"/>
    </row>
    <row hidden="true" r="2453">
      <c r="A2453" s="76" t="s">
        <v>1287</v>
      </c>
      <c r="B2453" s="76" t="s">
        <v>954</v>
      </c>
      <c r="C2453" s="76" t="s">
        <v>1281</v>
      </c>
      <c r="D2453" s="75"/>
    </row>
    <row hidden="true" r="2454">
      <c r="A2454" s="76" t="s">
        <v>1287</v>
      </c>
      <c r="B2454" s="76" t="s">
        <v>775</v>
      </c>
      <c r="C2454" s="76" t="s">
        <v>1281</v>
      </c>
      <c r="D2454" s="75"/>
    </row>
    <row hidden="true" r="2455">
      <c r="A2455" s="76" t="s">
        <v>1287</v>
      </c>
      <c r="B2455" s="76" t="s">
        <v>956</v>
      </c>
      <c r="C2455" s="76" t="s">
        <v>1281</v>
      </c>
      <c r="D2455" s="75"/>
    </row>
    <row hidden="true" r="2456">
      <c r="A2456" s="76" t="s">
        <v>1287</v>
      </c>
      <c r="B2456" s="76" t="s">
        <v>958</v>
      </c>
      <c r="C2456" s="76" t="s">
        <v>1281</v>
      </c>
      <c r="D2456" s="75"/>
    </row>
    <row hidden="true" r="2457">
      <c r="A2457" s="76" t="s">
        <v>1287</v>
      </c>
      <c r="B2457" s="76" t="s">
        <v>960</v>
      </c>
      <c r="C2457" s="76" t="s">
        <v>1281</v>
      </c>
      <c r="D2457" s="75"/>
    </row>
    <row hidden="true" r="2458">
      <c r="A2458" s="76" t="s">
        <v>1287</v>
      </c>
      <c r="B2458" s="76" t="s">
        <v>962</v>
      </c>
      <c r="C2458" s="76" t="s">
        <v>1281</v>
      </c>
      <c r="D2458" s="75"/>
    </row>
    <row hidden="true" r="2459">
      <c r="A2459" s="76" t="s">
        <v>1287</v>
      </c>
      <c r="B2459" s="76" t="s">
        <v>964</v>
      </c>
      <c r="C2459" s="76" t="s">
        <v>1281</v>
      </c>
      <c r="D2459" s="75"/>
    </row>
    <row hidden="true" r="2460">
      <c r="A2460" s="76" t="s">
        <v>1287</v>
      </c>
      <c r="B2460" s="76" t="s">
        <v>966</v>
      </c>
      <c r="C2460" s="76" t="s">
        <v>1281</v>
      </c>
      <c r="D2460" s="75"/>
    </row>
    <row hidden="true" r="2461">
      <c r="A2461" s="76" t="s">
        <v>1287</v>
      </c>
      <c r="B2461" s="76" t="s">
        <v>968</v>
      </c>
      <c r="C2461" s="76" t="s">
        <v>1281</v>
      </c>
      <c r="D2461" s="75"/>
    </row>
    <row hidden="true" r="2462">
      <c r="A2462" s="76" t="s">
        <v>1287</v>
      </c>
      <c r="B2462" s="76" t="s">
        <v>970</v>
      </c>
      <c r="C2462" s="76" t="s">
        <v>1281</v>
      </c>
      <c r="D2462" s="75"/>
    </row>
    <row hidden="true" r="2463">
      <c r="A2463" s="76" t="s">
        <v>1287</v>
      </c>
      <c r="B2463" s="76" t="s">
        <v>972</v>
      </c>
      <c r="C2463" s="76" t="s">
        <v>1281</v>
      </c>
      <c r="D2463" s="75"/>
    </row>
    <row hidden="true" r="2464">
      <c r="A2464" s="76" t="s">
        <v>1287</v>
      </c>
      <c r="B2464" s="76" t="s">
        <v>974</v>
      </c>
      <c r="C2464" s="76" t="s">
        <v>1281</v>
      </c>
      <c r="D2464" s="75"/>
    </row>
    <row hidden="true" r="2465">
      <c r="A2465" s="76" t="s">
        <v>1287</v>
      </c>
      <c r="B2465" s="76" t="s">
        <v>976</v>
      </c>
      <c r="C2465" s="76" t="s">
        <v>1281</v>
      </c>
      <c r="D2465" s="75"/>
    </row>
    <row hidden="true" r="2466">
      <c r="A2466" s="76" t="s">
        <v>1287</v>
      </c>
      <c r="B2466" s="76" t="s">
        <v>823</v>
      </c>
      <c r="C2466" s="76" t="s">
        <v>1281</v>
      </c>
      <c r="D2466" s="75"/>
    </row>
    <row hidden="true" r="2467">
      <c r="A2467" s="76" t="s">
        <v>1287</v>
      </c>
      <c r="B2467" s="76" t="s">
        <v>978</v>
      </c>
      <c r="C2467" s="76" t="s">
        <v>1281</v>
      </c>
      <c r="D2467" s="75"/>
    </row>
    <row hidden="true" r="2468">
      <c r="A2468" s="76" t="s">
        <v>1287</v>
      </c>
      <c r="B2468" s="76" t="s">
        <v>980</v>
      </c>
      <c r="C2468" s="76" t="s">
        <v>1281</v>
      </c>
      <c r="D2468" s="75"/>
    </row>
    <row hidden="true" r="2469">
      <c r="A2469" s="76" t="s">
        <v>1287</v>
      </c>
      <c r="B2469" s="76" t="s">
        <v>982</v>
      </c>
      <c r="C2469" s="76" t="s">
        <v>1281</v>
      </c>
      <c r="D2469" s="75"/>
    </row>
    <row hidden="true" r="2470">
      <c r="A2470" s="76" t="s">
        <v>1287</v>
      </c>
      <c r="B2470" s="76" t="s">
        <v>984</v>
      </c>
      <c r="C2470" s="76" t="s">
        <v>1281</v>
      </c>
      <c r="D2470" s="75"/>
    </row>
    <row hidden="true" r="2471">
      <c r="A2471" s="76" t="s">
        <v>1287</v>
      </c>
      <c r="B2471" s="76" t="s">
        <v>986</v>
      </c>
      <c r="C2471" s="76" t="s">
        <v>1281</v>
      </c>
      <c r="D2471" s="75"/>
    </row>
    <row hidden="true" r="2472">
      <c r="A2472" s="76" t="s">
        <v>1287</v>
      </c>
      <c r="B2472" s="76" t="s">
        <v>988</v>
      </c>
      <c r="C2472" s="76" t="s">
        <v>1281</v>
      </c>
      <c r="D2472" s="75"/>
    </row>
    <row hidden="true" r="2473">
      <c r="A2473" s="76" t="s">
        <v>1287</v>
      </c>
      <c r="B2473" s="76" t="s">
        <v>990</v>
      </c>
      <c r="C2473" s="76" t="s">
        <v>1281</v>
      </c>
      <c r="D2473" s="75"/>
    </row>
    <row hidden="true" r="2474">
      <c r="A2474" s="76" t="s">
        <v>1287</v>
      </c>
      <c r="B2474" s="76" t="s">
        <v>992</v>
      </c>
      <c r="C2474" s="76" t="s">
        <v>1281</v>
      </c>
      <c r="D2474" s="75"/>
    </row>
    <row hidden="true" r="2475">
      <c r="A2475" s="76" t="s">
        <v>1287</v>
      </c>
      <c r="B2475" s="76" t="s">
        <v>994</v>
      </c>
      <c r="C2475" s="76" t="s">
        <v>1281</v>
      </c>
      <c r="D2475" s="75"/>
    </row>
    <row hidden="true" r="2476">
      <c r="A2476" s="76" t="s">
        <v>1287</v>
      </c>
      <c r="B2476" s="76" t="s">
        <v>996</v>
      </c>
      <c r="C2476" s="76" t="s">
        <v>1281</v>
      </c>
      <c r="D2476" s="75"/>
    </row>
    <row hidden="true" r="2477">
      <c r="A2477" s="76" t="s">
        <v>1287</v>
      </c>
      <c r="B2477" s="76" t="s">
        <v>998</v>
      </c>
      <c r="C2477" s="76" t="s">
        <v>1281</v>
      </c>
      <c r="D2477" s="75"/>
    </row>
    <row hidden="true" r="2478">
      <c r="A2478" s="76" t="s">
        <v>1287</v>
      </c>
      <c r="B2478" s="76" t="s">
        <v>1000</v>
      </c>
      <c r="C2478" s="76" t="s">
        <v>1281</v>
      </c>
      <c r="D2478" s="75"/>
    </row>
    <row hidden="true" r="2479">
      <c r="A2479" s="76" t="s">
        <v>1287</v>
      </c>
      <c r="B2479" s="76" t="s">
        <v>1002</v>
      </c>
      <c r="C2479" s="76" t="s">
        <v>1281</v>
      </c>
      <c r="D2479" s="75"/>
    </row>
    <row hidden="true" r="2480">
      <c r="A2480" s="76" t="s">
        <v>1287</v>
      </c>
      <c r="B2480" s="76" t="s">
        <v>1004</v>
      </c>
      <c r="C2480" s="76" t="s">
        <v>1281</v>
      </c>
      <c r="D2480" s="75"/>
    </row>
    <row hidden="true" r="2481">
      <c r="A2481" s="76" t="s">
        <v>1287</v>
      </c>
      <c r="B2481" s="76" t="s">
        <v>1006</v>
      </c>
      <c r="C2481" s="76" t="s">
        <v>1281</v>
      </c>
      <c r="D2481" s="75"/>
    </row>
    <row hidden="true" r="2482">
      <c r="A2482" s="76" t="s">
        <v>1287</v>
      </c>
      <c r="B2482" s="76" t="s">
        <v>1008</v>
      </c>
      <c r="C2482" s="76" t="s">
        <v>1281</v>
      </c>
      <c r="D2482" s="75"/>
    </row>
    <row hidden="true" r="2483">
      <c r="A2483" s="76" t="s">
        <v>1287</v>
      </c>
      <c r="B2483" s="76" t="s">
        <v>1010</v>
      </c>
      <c r="C2483" s="76" t="s">
        <v>1281</v>
      </c>
      <c r="D2483" s="75"/>
    </row>
    <row hidden="true" r="2484">
      <c r="A2484" s="76" t="s">
        <v>1287</v>
      </c>
      <c r="B2484" s="76" t="s">
        <v>1012</v>
      </c>
      <c r="C2484" s="76" t="s">
        <v>1281</v>
      </c>
      <c r="D2484" s="75"/>
    </row>
    <row hidden="true" r="2485">
      <c r="A2485" s="76" t="s">
        <v>1287</v>
      </c>
      <c r="B2485" s="76" t="s">
        <v>1014</v>
      </c>
      <c r="C2485" s="76" t="s">
        <v>1281</v>
      </c>
      <c r="D2485" s="75"/>
    </row>
    <row hidden="true" r="2486">
      <c r="A2486" s="76" t="s">
        <v>1287</v>
      </c>
      <c r="B2486" s="76" t="s">
        <v>1016</v>
      </c>
      <c r="C2486" s="76" t="s">
        <v>1281</v>
      </c>
      <c r="D2486" s="75"/>
    </row>
    <row hidden="true" r="2487">
      <c r="A2487" s="76" t="s">
        <v>1287</v>
      </c>
      <c r="B2487" s="76" t="s">
        <v>1018</v>
      </c>
      <c r="C2487" s="76" t="s">
        <v>1281</v>
      </c>
      <c r="D2487" s="75"/>
    </row>
    <row hidden="true" r="2488">
      <c r="A2488" s="76" t="s">
        <v>1287</v>
      </c>
      <c r="B2488" s="76" t="s">
        <v>1020</v>
      </c>
      <c r="C2488" s="76" t="s">
        <v>1281</v>
      </c>
      <c r="D2488" s="75"/>
    </row>
    <row hidden="true" r="2489">
      <c r="A2489" s="76" t="s">
        <v>1287</v>
      </c>
      <c r="B2489" s="76" t="s">
        <v>1022</v>
      </c>
      <c r="C2489" s="76" t="s">
        <v>1281</v>
      </c>
      <c r="D2489" s="75"/>
    </row>
    <row hidden="true" r="2490">
      <c r="A2490" s="76" t="s">
        <v>1287</v>
      </c>
      <c r="B2490" s="76" t="s">
        <v>1023</v>
      </c>
      <c r="C2490" s="76" t="s">
        <v>1281</v>
      </c>
      <c r="D2490" s="75"/>
    </row>
    <row hidden="true" r="2491">
      <c r="A2491" s="76" t="s">
        <v>1287</v>
      </c>
      <c r="B2491" s="76" t="s">
        <v>1024</v>
      </c>
      <c r="C2491" s="76" t="s">
        <v>1281</v>
      </c>
      <c r="D2491" s="75"/>
    </row>
    <row hidden="true" r="2492">
      <c r="A2492" s="76" t="s">
        <v>1287</v>
      </c>
      <c r="B2492" s="76" t="s">
        <v>1025</v>
      </c>
      <c r="C2492" s="76" t="s">
        <v>1281</v>
      </c>
      <c r="D2492" s="75"/>
    </row>
    <row hidden="true" r="2493">
      <c r="A2493" s="76" t="s">
        <v>1287</v>
      </c>
      <c r="B2493" s="76" t="s">
        <v>1026</v>
      </c>
      <c r="C2493" s="76" t="s">
        <v>1281</v>
      </c>
      <c r="D2493" s="75"/>
    </row>
    <row hidden="true" r="2494">
      <c r="A2494" s="76" t="s">
        <v>1287</v>
      </c>
      <c r="B2494" s="76" t="s">
        <v>1027</v>
      </c>
      <c r="C2494" s="76" t="s">
        <v>1281</v>
      </c>
      <c r="D2494" s="75"/>
    </row>
    <row hidden="true" r="2495">
      <c r="A2495" s="76" t="s">
        <v>1287</v>
      </c>
      <c r="B2495" s="76" t="s">
        <v>1028</v>
      </c>
      <c r="C2495" s="76" t="s">
        <v>1281</v>
      </c>
      <c r="D2495" s="75"/>
    </row>
    <row hidden="true" r="2496">
      <c r="A2496" s="76" t="s">
        <v>1287</v>
      </c>
      <c r="B2496" s="76" t="s">
        <v>530</v>
      </c>
      <c r="C2496" s="76" t="s">
        <v>1281</v>
      </c>
      <c r="D2496" s="75"/>
    </row>
    <row hidden="true" r="2497">
      <c r="A2497" s="76" t="s">
        <v>1287</v>
      </c>
      <c r="B2497" s="76" t="s">
        <v>1030</v>
      </c>
      <c r="C2497" s="76" t="s">
        <v>1281</v>
      </c>
      <c r="D2497" s="75"/>
    </row>
    <row hidden="true" r="2498">
      <c r="A2498" s="76" t="s">
        <v>1287</v>
      </c>
      <c r="B2498" s="76" t="s">
        <v>1032</v>
      </c>
      <c r="C2498" s="76" t="s">
        <v>1281</v>
      </c>
      <c r="D2498" s="75"/>
    </row>
    <row hidden="true" r="2499">
      <c r="A2499" s="76" t="s">
        <v>1287</v>
      </c>
      <c r="B2499" s="76" t="s">
        <v>1034</v>
      </c>
      <c r="C2499" s="76" t="s">
        <v>1281</v>
      </c>
      <c r="D2499" s="75"/>
    </row>
    <row hidden="true" r="2500">
      <c r="A2500" s="76" t="s">
        <v>1287</v>
      </c>
      <c r="B2500" s="76" t="s">
        <v>532</v>
      </c>
      <c r="C2500" s="76" t="s">
        <v>1281</v>
      </c>
      <c r="D2500" s="75"/>
    </row>
    <row hidden="true" r="2501">
      <c r="A2501" s="76" t="s">
        <v>1287</v>
      </c>
      <c r="B2501" s="76" t="s">
        <v>1036</v>
      </c>
      <c r="C2501" s="76" t="s">
        <v>1281</v>
      </c>
      <c r="D2501" s="75"/>
    </row>
    <row hidden="true" r="2502">
      <c r="A2502" s="76" t="s">
        <v>1287</v>
      </c>
      <c r="B2502" s="76" t="s">
        <v>1038</v>
      </c>
      <c r="C2502" s="76" t="s">
        <v>1281</v>
      </c>
      <c r="D2502" s="75"/>
    </row>
    <row hidden="true" r="2503">
      <c r="A2503" s="76" t="s">
        <v>1287</v>
      </c>
      <c r="B2503" s="76" t="s">
        <v>1040</v>
      </c>
      <c r="C2503" s="76" t="s">
        <v>1281</v>
      </c>
      <c r="D2503" s="75"/>
    </row>
    <row hidden="true" r="2504">
      <c r="A2504" s="76" t="s">
        <v>1287</v>
      </c>
      <c r="B2504" s="76" t="s">
        <v>1042</v>
      </c>
      <c r="C2504" s="76" t="s">
        <v>1281</v>
      </c>
      <c r="D2504" s="75"/>
    </row>
    <row hidden="true" r="2505">
      <c r="A2505" s="76" t="s">
        <v>1287</v>
      </c>
      <c r="B2505" s="76" t="s">
        <v>1044</v>
      </c>
      <c r="C2505" s="76" t="s">
        <v>1281</v>
      </c>
      <c r="D2505" s="75"/>
    </row>
    <row hidden="true" r="2506">
      <c r="A2506" s="76" t="s">
        <v>1287</v>
      </c>
      <c r="B2506" s="76" t="s">
        <v>1046</v>
      </c>
      <c r="C2506" s="76" t="s">
        <v>1281</v>
      </c>
      <c r="D2506" s="75"/>
    </row>
    <row hidden="true" r="2507">
      <c r="A2507" s="76" t="s">
        <v>1287</v>
      </c>
      <c r="B2507" s="76" t="s">
        <v>1048</v>
      </c>
      <c r="C2507" s="76" t="s">
        <v>1281</v>
      </c>
      <c r="D2507" s="75"/>
    </row>
    <row hidden="true" r="2508">
      <c r="A2508" s="76" t="s">
        <v>1287</v>
      </c>
      <c r="B2508" s="76" t="s">
        <v>1050</v>
      </c>
      <c r="C2508" s="76" t="s">
        <v>1281</v>
      </c>
      <c r="D2508" s="75"/>
    </row>
    <row hidden="true" r="2509">
      <c r="A2509" s="76" t="s">
        <v>1287</v>
      </c>
      <c r="B2509" s="76" t="s">
        <v>1052</v>
      </c>
      <c r="C2509" s="76" t="s">
        <v>1281</v>
      </c>
      <c r="D2509" s="75"/>
    </row>
    <row hidden="true" r="2510">
      <c r="A2510" s="76" t="s">
        <v>1287</v>
      </c>
      <c r="B2510" s="76" t="s">
        <v>1054</v>
      </c>
      <c r="C2510" s="76" t="s">
        <v>1281</v>
      </c>
      <c r="D2510" s="75"/>
    </row>
    <row hidden="true" r="2511">
      <c r="A2511" s="76" t="s">
        <v>1287</v>
      </c>
      <c r="B2511" s="76" t="s">
        <v>1056</v>
      </c>
      <c r="C2511" s="76" t="s">
        <v>1281</v>
      </c>
      <c r="D2511" s="75"/>
    </row>
    <row hidden="true" r="2512">
      <c r="A2512" s="76" t="s">
        <v>1287</v>
      </c>
      <c r="B2512" s="76" t="s">
        <v>1058</v>
      </c>
      <c r="C2512" s="76" t="s">
        <v>1281</v>
      </c>
      <c r="D2512" s="75"/>
    </row>
    <row hidden="true" r="2513">
      <c r="A2513" s="76" t="s">
        <v>1287</v>
      </c>
      <c r="B2513" s="76" t="s">
        <v>1060</v>
      </c>
      <c r="C2513" s="76" t="s">
        <v>1281</v>
      </c>
      <c r="D2513" s="75"/>
    </row>
    <row hidden="true" r="2514">
      <c r="A2514" s="76" t="s">
        <v>1287</v>
      </c>
      <c r="B2514" s="76" t="s">
        <v>1062</v>
      </c>
      <c r="C2514" s="76" t="s">
        <v>1281</v>
      </c>
      <c r="D2514" s="75"/>
    </row>
    <row hidden="true" r="2515">
      <c r="A2515" s="76" t="s">
        <v>1287</v>
      </c>
      <c r="B2515" s="76" t="s">
        <v>1064</v>
      </c>
      <c r="C2515" s="76" t="s">
        <v>1281</v>
      </c>
      <c r="D2515" s="75"/>
    </row>
    <row hidden="true" r="2516">
      <c r="A2516" s="76" t="s">
        <v>1287</v>
      </c>
      <c r="B2516" s="76" t="s">
        <v>1066</v>
      </c>
      <c r="C2516" s="76" t="s">
        <v>1281</v>
      </c>
      <c r="D2516" s="75"/>
    </row>
    <row hidden="true" r="2517">
      <c r="A2517" s="76" t="s">
        <v>1287</v>
      </c>
      <c r="B2517" s="76" t="s">
        <v>1068</v>
      </c>
      <c r="C2517" s="76" t="s">
        <v>1281</v>
      </c>
      <c r="D2517" s="75"/>
    </row>
    <row hidden="true" r="2518">
      <c r="A2518" s="76" t="s">
        <v>1287</v>
      </c>
      <c r="B2518" s="76" t="s">
        <v>1070</v>
      </c>
      <c r="C2518" s="76" t="s">
        <v>1281</v>
      </c>
      <c r="D2518" s="75"/>
    </row>
    <row hidden="true" r="2519">
      <c r="A2519" s="76" t="s">
        <v>1287</v>
      </c>
      <c r="B2519" s="76" t="s">
        <v>1071</v>
      </c>
      <c r="C2519" s="76" t="s">
        <v>1281</v>
      </c>
      <c r="D2519" s="75"/>
    </row>
    <row hidden="true" r="2520">
      <c r="A2520" s="76" t="s">
        <v>1287</v>
      </c>
      <c r="B2520" s="76" t="s">
        <v>1072</v>
      </c>
      <c r="C2520" s="76" t="s">
        <v>1281</v>
      </c>
      <c r="D2520" s="75"/>
    </row>
    <row hidden="true" r="2521">
      <c r="A2521" s="76" t="s">
        <v>1287</v>
      </c>
      <c r="B2521" s="76" t="s">
        <v>1074</v>
      </c>
      <c r="C2521" s="76" t="s">
        <v>1281</v>
      </c>
      <c r="D2521" s="75"/>
    </row>
    <row hidden="true" r="2522">
      <c r="A2522" s="76" t="s">
        <v>1287</v>
      </c>
      <c r="B2522" s="76" t="s">
        <v>1075</v>
      </c>
      <c r="C2522" s="76" t="s">
        <v>1281</v>
      </c>
      <c r="D2522" s="75"/>
    </row>
    <row hidden="true" r="2523">
      <c r="A2523" s="76" t="s">
        <v>1287</v>
      </c>
      <c r="B2523" s="76" t="s">
        <v>1076</v>
      </c>
      <c r="C2523" s="76" t="s">
        <v>1281</v>
      </c>
      <c r="D2523" s="75"/>
    </row>
    <row hidden="true" r="2524">
      <c r="A2524" s="76" t="s">
        <v>1287</v>
      </c>
      <c r="B2524" s="76" t="s">
        <v>1078</v>
      </c>
      <c r="C2524" s="76" t="s">
        <v>1281</v>
      </c>
      <c r="D2524" s="75"/>
    </row>
    <row hidden="true" r="2525">
      <c r="A2525" s="76" t="s">
        <v>1287</v>
      </c>
      <c r="B2525" s="76" t="s">
        <v>839</v>
      </c>
      <c r="C2525" s="76" t="s">
        <v>1281</v>
      </c>
      <c r="D2525" s="75"/>
    </row>
    <row hidden="true" r="2526">
      <c r="A2526" s="76" t="s">
        <v>1287</v>
      </c>
      <c r="B2526" s="76" t="s">
        <v>1080</v>
      </c>
      <c r="C2526" s="76" t="s">
        <v>1281</v>
      </c>
      <c r="D2526" s="75"/>
    </row>
    <row hidden="true" r="2527">
      <c r="A2527" s="76" t="s">
        <v>1287</v>
      </c>
      <c r="B2527" s="76" t="s">
        <v>1082</v>
      </c>
      <c r="C2527" s="76" t="s">
        <v>1281</v>
      </c>
      <c r="D2527" s="75"/>
    </row>
    <row hidden="true" r="2528">
      <c r="A2528" s="76" t="s">
        <v>1287</v>
      </c>
      <c r="B2528" s="76" t="s">
        <v>1084</v>
      </c>
      <c r="C2528" s="76" t="s">
        <v>1281</v>
      </c>
      <c r="D2528" s="75"/>
    </row>
    <row hidden="true" r="2529">
      <c r="A2529" s="76" t="s">
        <v>1287</v>
      </c>
      <c r="B2529" s="76" t="s">
        <v>1086</v>
      </c>
      <c r="C2529" s="76" t="s">
        <v>1281</v>
      </c>
      <c r="D2529" s="75"/>
    </row>
    <row hidden="true" r="2530">
      <c r="A2530" s="76" t="s">
        <v>1287</v>
      </c>
      <c r="B2530" s="76" t="s">
        <v>1088</v>
      </c>
      <c r="C2530" s="76" t="s">
        <v>1281</v>
      </c>
      <c r="D2530" s="75"/>
    </row>
    <row hidden="true" r="2531">
      <c r="A2531" s="76" t="s">
        <v>1287</v>
      </c>
      <c r="B2531" s="76" t="s">
        <v>1090</v>
      </c>
      <c r="C2531" s="76" t="s">
        <v>1281</v>
      </c>
      <c r="D2531" s="75"/>
    </row>
    <row hidden="true" r="2532">
      <c r="A2532" s="76" t="s">
        <v>1287</v>
      </c>
      <c r="B2532" s="76" t="s">
        <v>1092</v>
      </c>
      <c r="C2532" s="76" t="s">
        <v>1281</v>
      </c>
      <c r="D2532" s="75"/>
    </row>
    <row hidden="true" r="2533">
      <c r="A2533" s="76" t="s">
        <v>1287</v>
      </c>
      <c r="B2533" s="76" t="s">
        <v>1093</v>
      </c>
      <c r="C2533" s="76" t="s">
        <v>1281</v>
      </c>
      <c r="D2533" s="75"/>
    </row>
    <row hidden="true" r="2534">
      <c r="A2534" s="76" t="s">
        <v>1287</v>
      </c>
      <c r="B2534" s="76" t="s">
        <v>1095</v>
      </c>
      <c r="C2534" s="76" t="s">
        <v>1281</v>
      </c>
      <c r="D2534" s="75"/>
    </row>
    <row hidden="true" r="2535">
      <c r="A2535" s="76" t="s">
        <v>1287</v>
      </c>
      <c r="B2535" s="76" t="s">
        <v>1097</v>
      </c>
      <c r="C2535" s="76" t="s">
        <v>1281</v>
      </c>
      <c r="D2535" s="75"/>
    </row>
    <row hidden="true" r="2536">
      <c r="A2536" s="76" t="s">
        <v>1287</v>
      </c>
      <c r="B2536" s="76" t="s">
        <v>1099</v>
      </c>
      <c r="C2536" s="76" t="s">
        <v>1281</v>
      </c>
      <c r="D2536" s="75"/>
    </row>
    <row hidden="true" r="2537">
      <c r="A2537" s="76" t="s">
        <v>1287</v>
      </c>
      <c r="B2537" s="76" t="s">
        <v>1101</v>
      </c>
      <c r="C2537" s="76" t="s">
        <v>1281</v>
      </c>
      <c r="D2537" s="75"/>
    </row>
    <row hidden="true" r="2538">
      <c r="A2538" s="76" t="s">
        <v>1287</v>
      </c>
      <c r="B2538" s="76" t="s">
        <v>1103</v>
      </c>
      <c r="C2538" s="76" t="s">
        <v>1281</v>
      </c>
      <c r="D2538" s="75"/>
    </row>
    <row hidden="true" r="2539">
      <c r="A2539" s="76" t="s">
        <v>1287</v>
      </c>
      <c r="B2539" s="76" t="s">
        <v>1105</v>
      </c>
      <c r="C2539" s="76" t="s">
        <v>1281</v>
      </c>
      <c r="D2539" s="75"/>
    </row>
    <row hidden="true" r="2540">
      <c r="A2540" s="76" t="s">
        <v>1287</v>
      </c>
      <c r="B2540" s="76" t="s">
        <v>1107</v>
      </c>
      <c r="C2540" s="76" t="s">
        <v>1281</v>
      </c>
      <c r="D2540" s="75"/>
    </row>
    <row hidden="true" r="2541">
      <c r="A2541" s="76" t="s">
        <v>1287</v>
      </c>
      <c r="B2541" s="76" t="s">
        <v>1109</v>
      </c>
      <c r="C2541" s="76" t="s">
        <v>1281</v>
      </c>
      <c r="D2541" s="75"/>
    </row>
    <row hidden="true" r="2542">
      <c r="A2542" s="76" t="s">
        <v>1287</v>
      </c>
      <c r="B2542" s="76" t="s">
        <v>1111</v>
      </c>
      <c r="C2542" s="76" t="s">
        <v>1281</v>
      </c>
      <c r="D2542" s="75"/>
    </row>
    <row hidden="true" r="2543">
      <c r="A2543" s="76" t="s">
        <v>1287</v>
      </c>
      <c r="B2543" s="76" t="s">
        <v>1113</v>
      </c>
      <c r="C2543" s="76" t="s">
        <v>1281</v>
      </c>
      <c r="D2543" s="75"/>
    </row>
    <row hidden="true" r="2544">
      <c r="A2544" s="76" t="s">
        <v>1287</v>
      </c>
      <c r="B2544" s="76" t="s">
        <v>1115</v>
      </c>
      <c r="C2544" s="76" t="s">
        <v>1281</v>
      </c>
      <c r="D2544" s="75"/>
    </row>
    <row hidden="true" r="2545">
      <c r="A2545" s="76" t="s">
        <v>1287</v>
      </c>
      <c r="B2545" s="76" t="s">
        <v>1117</v>
      </c>
      <c r="C2545" s="76" t="s">
        <v>1281</v>
      </c>
      <c r="D2545" s="75"/>
    </row>
    <row hidden="true" r="2546">
      <c r="A2546" s="76" t="s">
        <v>1287</v>
      </c>
      <c r="B2546" s="76" t="s">
        <v>1119</v>
      </c>
      <c r="C2546" s="76" t="s">
        <v>1281</v>
      </c>
      <c r="D2546" s="75"/>
    </row>
    <row hidden="true" r="2547">
      <c r="A2547" s="76" t="s">
        <v>1287</v>
      </c>
      <c r="B2547" s="76" t="s">
        <v>1121</v>
      </c>
      <c r="C2547" s="76" t="s">
        <v>1281</v>
      </c>
      <c r="D2547" s="75"/>
    </row>
    <row hidden="true" r="2548">
      <c r="A2548" s="76" t="s">
        <v>1287</v>
      </c>
      <c r="B2548" s="76" t="s">
        <v>1123</v>
      </c>
      <c r="C2548" s="76" t="s">
        <v>1281</v>
      </c>
      <c r="D2548" s="75"/>
    </row>
    <row hidden="true" r="2549">
      <c r="A2549" s="76" t="s">
        <v>1287</v>
      </c>
      <c r="B2549" s="76" t="s">
        <v>1125</v>
      </c>
      <c r="C2549" s="76" t="s">
        <v>1281</v>
      </c>
      <c r="D2549" s="75"/>
    </row>
    <row hidden="true" r="2550">
      <c r="A2550" s="76" t="s">
        <v>1287</v>
      </c>
      <c r="B2550" s="76" t="s">
        <v>1127</v>
      </c>
      <c r="C2550" s="76" t="s">
        <v>1281</v>
      </c>
      <c r="D2550" s="75"/>
    </row>
    <row hidden="true" r="2551">
      <c r="A2551" s="76" t="s">
        <v>1287</v>
      </c>
      <c r="B2551" s="76" t="s">
        <v>1129</v>
      </c>
      <c r="C2551" s="76" t="s">
        <v>1281</v>
      </c>
      <c r="D2551" s="75"/>
    </row>
    <row hidden="true" r="2552">
      <c r="A2552" s="76" t="s">
        <v>1287</v>
      </c>
      <c r="B2552" s="76" t="s">
        <v>1131</v>
      </c>
      <c r="C2552" s="76" t="s">
        <v>1281</v>
      </c>
      <c r="D2552" s="75"/>
    </row>
    <row hidden="true" r="2553">
      <c r="A2553" s="76" t="s">
        <v>1287</v>
      </c>
      <c r="B2553" s="76" t="s">
        <v>1133</v>
      </c>
      <c r="C2553" s="76" t="s">
        <v>1281</v>
      </c>
      <c r="D2553" s="75"/>
    </row>
    <row hidden="true" r="2554">
      <c r="A2554" s="76" t="s">
        <v>1287</v>
      </c>
      <c r="B2554" s="76" t="s">
        <v>1135</v>
      </c>
      <c r="C2554" s="76" t="s">
        <v>1281</v>
      </c>
      <c r="D2554" s="75"/>
    </row>
    <row hidden="true" r="2555">
      <c r="A2555" s="76" t="s">
        <v>1287</v>
      </c>
      <c r="B2555" s="76" t="s">
        <v>1137</v>
      </c>
      <c r="C2555" s="76" t="s">
        <v>1281</v>
      </c>
      <c r="D2555" s="75"/>
    </row>
    <row hidden="true" r="2556">
      <c r="A2556" s="76" t="s">
        <v>1287</v>
      </c>
      <c r="B2556" s="76" t="s">
        <v>1139</v>
      </c>
      <c r="C2556" s="76" t="s">
        <v>1281</v>
      </c>
      <c r="D2556" s="75"/>
    </row>
    <row hidden="true" r="2557">
      <c r="A2557" s="76" t="s">
        <v>1287</v>
      </c>
      <c r="B2557" s="76" t="s">
        <v>1141</v>
      </c>
      <c r="C2557" s="76" t="s">
        <v>1281</v>
      </c>
      <c r="D2557" s="75"/>
    </row>
    <row hidden="true" r="2558">
      <c r="A2558" s="76" t="s">
        <v>1287</v>
      </c>
      <c r="B2558" s="76" t="s">
        <v>1143</v>
      </c>
      <c r="C2558" s="76" t="s">
        <v>1281</v>
      </c>
      <c r="D2558" s="75"/>
    </row>
    <row hidden="true" r="2559">
      <c r="A2559" s="76" t="s">
        <v>1287</v>
      </c>
      <c r="B2559" s="76" t="s">
        <v>1145</v>
      </c>
      <c r="C2559" s="76" t="s">
        <v>1281</v>
      </c>
      <c r="D2559" s="75"/>
    </row>
    <row hidden="true" r="2560">
      <c r="A2560" s="76" t="s">
        <v>1287</v>
      </c>
      <c r="B2560" s="76" t="s">
        <v>1147</v>
      </c>
      <c r="C2560" s="76" t="s">
        <v>1281</v>
      </c>
      <c r="D2560" s="75"/>
    </row>
    <row hidden="true" r="2561">
      <c r="A2561" s="76" t="s">
        <v>1287</v>
      </c>
      <c r="B2561" s="76" t="s">
        <v>1149</v>
      </c>
      <c r="C2561" s="76" t="s">
        <v>1281</v>
      </c>
      <c r="D2561" s="75"/>
    </row>
    <row hidden="true" r="2562">
      <c r="A2562" s="76" t="s">
        <v>1287</v>
      </c>
      <c r="B2562" s="76" t="s">
        <v>1151</v>
      </c>
      <c r="C2562" s="76" t="s">
        <v>1281</v>
      </c>
      <c r="D2562" s="75"/>
    </row>
    <row hidden="true" r="2563">
      <c r="A2563" s="76" t="s">
        <v>1287</v>
      </c>
      <c r="B2563" s="76" t="s">
        <v>1153</v>
      </c>
      <c r="C2563" s="76" t="s">
        <v>1281</v>
      </c>
      <c r="D2563" s="75"/>
    </row>
    <row hidden="true" r="2564">
      <c r="A2564" s="76" t="s">
        <v>1287</v>
      </c>
      <c r="B2564" s="76" t="s">
        <v>1155</v>
      </c>
      <c r="C2564" s="76" t="s">
        <v>1281</v>
      </c>
      <c r="D2564" s="75"/>
    </row>
    <row hidden="true" r="2565">
      <c r="A2565" s="76" t="s">
        <v>1287</v>
      </c>
      <c r="B2565" s="76" t="s">
        <v>1157</v>
      </c>
      <c r="C2565" s="76" t="s">
        <v>1281</v>
      </c>
      <c r="D2565" s="75"/>
    </row>
    <row hidden="true" r="2566">
      <c r="A2566" s="76" t="s">
        <v>1287</v>
      </c>
      <c r="B2566" s="76" t="s">
        <v>1159</v>
      </c>
      <c r="C2566" s="76" t="s">
        <v>1281</v>
      </c>
      <c r="D2566" s="75"/>
    </row>
    <row hidden="true" r="2567">
      <c r="A2567" s="76" t="s">
        <v>1287</v>
      </c>
      <c r="B2567" s="76" t="s">
        <v>868</v>
      </c>
      <c r="C2567" s="76" t="s">
        <v>1281</v>
      </c>
      <c r="D2567" s="75"/>
    </row>
    <row hidden="true" r="2568">
      <c r="A2568" s="76" t="s">
        <v>1287</v>
      </c>
      <c r="B2568" s="76" t="s">
        <v>1161</v>
      </c>
      <c r="C2568" s="76" t="s">
        <v>1281</v>
      </c>
      <c r="D2568" s="75"/>
    </row>
    <row hidden="true" r="2569">
      <c r="A2569" s="76" t="s">
        <v>1287</v>
      </c>
      <c r="B2569" s="76" t="s">
        <v>1163</v>
      </c>
      <c r="C2569" s="76" t="s">
        <v>1281</v>
      </c>
      <c r="D2569" s="75"/>
    </row>
    <row hidden="true" r="2570">
      <c r="A2570" s="76" t="s">
        <v>1287</v>
      </c>
      <c r="B2570" s="76" t="s">
        <v>1165</v>
      </c>
      <c r="C2570" s="76" t="s">
        <v>1281</v>
      </c>
      <c r="D2570" s="75"/>
    </row>
    <row hidden="true" r="2571">
      <c r="A2571" s="76" t="s">
        <v>1287</v>
      </c>
      <c r="B2571" s="76" t="s">
        <v>1167</v>
      </c>
      <c r="C2571" s="76" t="s">
        <v>1281</v>
      </c>
      <c r="D2571" s="75"/>
    </row>
    <row hidden="true" r="2572">
      <c r="A2572" s="76" t="s">
        <v>1287</v>
      </c>
      <c r="B2572" s="76" t="s">
        <v>1169</v>
      </c>
      <c r="C2572" s="76" t="s">
        <v>1281</v>
      </c>
      <c r="D2572" s="75"/>
    </row>
    <row hidden="true" r="2573">
      <c r="A2573" s="76" t="s">
        <v>1287</v>
      </c>
      <c r="B2573" s="76" t="s">
        <v>1171</v>
      </c>
      <c r="C2573" s="76" t="s">
        <v>1281</v>
      </c>
      <c r="D2573" s="75"/>
    </row>
    <row hidden="true" r="2574">
      <c r="A2574" s="76" t="s">
        <v>1287</v>
      </c>
      <c r="B2574" s="76" t="s">
        <v>1173</v>
      </c>
      <c r="C2574" s="76" t="s">
        <v>1281</v>
      </c>
      <c r="D2574" s="75"/>
    </row>
    <row hidden="true" r="2575">
      <c r="A2575" s="76" t="s">
        <v>1287</v>
      </c>
      <c r="B2575" s="76" t="s">
        <v>1175</v>
      </c>
      <c r="C2575" s="76" t="s">
        <v>1281</v>
      </c>
      <c r="D2575" s="75"/>
    </row>
    <row hidden="true" r="2576">
      <c r="A2576" s="76" t="s">
        <v>1287</v>
      </c>
      <c r="B2576" s="76" t="s">
        <v>1177</v>
      </c>
      <c r="C2576" s="76" t="s">
        <v>1281</v>
      </c>
      <c r="D2576" s="75"/>
    </row>
    <row hidden="true" r="2577">
      <c r="A2577" s="76" t="s">
        <v>1287</v>
      </c>
      <c r="B2577" s="76" t="s">
        <v>1179</v>
      </c>
      <c r="C2577" s="76" t="s">
        <v>1281</v>
      </c>
      <c r="D2577" s="75"/>
    </row>
    <row hidden="true" r="2578">
      <c r="A2578" s="76" t="s">
        <v>1287</v>
      </c>
      <c r="B2578" s="76" t="s">
        <v>1181</v>
      </c>
      <c r="C2578" s="76" t="s">
        <v>1281</v>
      </c>
      <c r="D2578" s="75"/>
    </row>
    <row hidden="true" r="2579">
      <c r="A2579" s="76" t="s">
        <v>1287</v>
      </c>
      <c r="B2579" s="76" t="s">
        <v>1183</v>
      </c>
      <c r="C2579" s="76" t="s">
        <v>1281</v>
      </c>
      <c r="D2579" s="75"/>
    </row>
    <row hidden="true" r="2580">
      <c r="A2580" s="76" t="s">
        <v>1287</v>
      </c>
      <c r="B2580" s="76" t="s">
        <v>1185</v>
      </c>
      <c r="C2580" s="76" t="s">
        <v>1281</v>
      </c>
      <c r="D2580" s="75"/>
    </row>
    <row hidden="true" r="2581">
      <c r="A2581" s="76" t="s">
        <v>1287</v>
      </c>
      <c r="B2581" s="76" t="s">
        <v>1187</v>
      </c>
      <c r="C2581" s="76" t="s">
        <v>1281</v>
      </c>
      <c r="D2581" s="75"/>
    </row>
    <row hidden="true" r="2582">
      <c r="A2582" s="76" t="s">
        <v>1287</v>
      </c>
      <c r="B2582" s="76" t="s">
        <v>1189</v>
      </c>
      <c r="C2582" s="76" t="s">
        <v>1281</v>
      </c>
      <c r="D2582" s="75"/>
    </row>
    <row hidden="true" r="2583">
      <c r="A2583" s="76" t="s">
        <v>1287</v>
      </c>
      <c r="B2583" s="76" t="s">
        <v>1191</v>
      </c>
      <c r="C2583" s="76" t="s">
        <v>1281</v>
      </c>
      <c r="D2583" s="75"/>
    </row>
    <row hidden="true" r="2584">
      <c r="A2584" s="76" t="s">
        <v>1287</v>
      </c>
      <c r="B2584" s="76" t="s">
        <v>1199</v>
      </c>
      <c r="C2584" s="76" t="s">
        <v>1281</v>
      </c>
      <c r="D2584" s="75"/>
    </row>
    <row hidden="true" r="2585">
      <c r="A2585" s="76" t="s">
        <v>1287</v>
      </c>
      <c r="B2585" s="76" t="s">
        <v>1201</v>
      </c>
      <c r="C2585" s="76" t="s">
        <v>1281</v>
      </c>
      <c r="D2585" s="75"/>
    </row>
    <row hidden="true" r="2586">
      <c r="A2586" s="76" t="s">
        <v>1287</v>
      </c>
      <c r="B2586" s="76" t="s">
        <v>1203</v>
      </c>
      <c r="C2586" s="76" t="s">
        <v>1281</v>
      </c>
      <c r="D2586" s="75"/>
    </row>
    <row hidden="true" r="2587">
      <c r="A2587" s="76" t="s">
        <v>1287</v>
      </c>
      <c r="B2587" s="76" t="s">
        <v>1205</v>
      </c>
      <c r="C2587" s="76" t="s">
        <v>1281</v>
      </c>
      <c r="D2587" s="75"/>
    </row>
    <row hidden="true" r="2588">
      <c r="A2588" s="76" t="s">
        <v>1287</v>
      </c>
      <c r="B2588" s="76" t="s">
        <v>1207</v>
      </c>
      <c r="C2588" s="76" t="s">
        <v>1281</v>
      </c>
      <c r="D2588" s="75"/>
    </row>
    <row hidden="true" r="2589">
      <c r="A2589" s="76" t="s">
        <v>1287</v>
      </c>
      <c r="B2589" s="76" t="s">
        <v>1209</v>
      </c>
      <c r="C2589" s="76" t="s">
        <v>1281</v>
      </c>
      <c r="D2589" s="75"/>
    </row>
    <row hidden="true" r="2590">
      <c r="A2590" s="76" t="s">
        <v>1287</v>
      </c>
      <c r="B2590" s="76" t="s">
        <v>1211</v>
      </c>
      <c r="C2590" s="76" t="s">
        <v>1281</v>
      </c>
      <c r="D2590" s="75"/>
    </row>
    <row hidden="true" r="2591">
      <c r="A2591" s="76" t="s">
        <v>1287</v>
      </c>
      <c r="B2591" s="76" t="s">
        <v>1282</v>
      </c>
      <c r="C2591" s="76" t="s">
        <v>1281</v>
      </c>
      <c r="D2591" s="75"/>
    </row>
    <row hidden="true" r="2592">
      <c r="A2592" s="76" t="s">
        <v>1287</v>
      </c>
      <c r="B2592" s="76" t="s">
        <v>735</v>
      </c>
      <c r="C2592" s="76" t="s">
        <v>1283</v>
      </c>
      <c r="D2592" s="75"/>
    </row>
    <row hidden="true" r="2593">
      <c r="A2593" s="76" t="s">
        <v>1288</v>
      </c>
      <c r="B2593" s="76" t="s">
        <v>407</v>
      </c>
      <c r="C2593" s="76"/>
      <c r="D2593" s="75"/>
    </row>
    <row hidden="true" r="2594">
      <c r="A2594" s="76" t="s">
        <v>1288</v>
      </c>
      <c r="B2594" s="76" t="s">
        <v>744</v>
      </c>
      <c r="C2594" s="76"/>
      <c r="D2594" s="75"/>
    </row>
    <row hidden="true" r="2595">
      <c r="A2595" s="76" t="s">
        <v>1288</v>
      </c>
      <c r="B2595" s="76" t="s">
        <v>409</v>
      </c>
      <c r="C2595" s="76"/>
      <c r="D2595" s="75"/>
    </row>
    <row hidden="true" r="2596">
      <c r="A2596" s="76" t="s">
        <v>1288</v>
      </c>
      <c r="B2596" s="76" t="s">
        <v>884</v>
      </c>
      <c r="C2596" s="76"/>
      <c r="D2596" s="75"/>
    </row>
    <row hidden="true" r="2597">
      <c r="A2597" s="76" t="s">
        <v>1288</v>
      </c>
      <c r="B2597" s="76" t="s">
        <v>886</v>
      </c>
      <c r="C2597" s="76"/>
      <c r="D2597" s="75"/>
    </row>
    <row hidden="true" r="2598">
      <c r="A2598" s="76" t="s">
        <v>1288</v>
      </c>
      <c r="B2598" s="76" t="s">
        <v>888</v>
      </c>
      <c r="C2598" s="76"/>
      <c r="D2598" s="75"/>
    </row>
    <row hidden="true" r="2599">
      <c r="A2599" s="76" t="s">
        <v>1288</v>
      </c>
      <c r="B2599" s="76" t="s">
        <v>890</v>
      </c>
      <c r="C2599" s="76"/>
      <c r="D2599" s="75"/>
    </row>
    <row hidden="true" r="2600">
      <c r="A2600" s="76" t="s">
        <v>1288</v>
      </c>
      <c r="B2600" s="76" t="s">
        <v>892</v>
      </c>
      <c r="C2600" s="76"/>
      <c r="D2600" s="75"/>
    </row>
    <row hidden="true" r="2601">
      <c r="A2601" s="76" t="s">
        <v>1288</v>
      </c>
      <c r="B2601" s="76" t="s">
        <v>894</v>
      </c>
      <c r="C2601" s="76"/>
      <c r="D2601" s="75"/>
    </row>
    <row hidden="true" r="2602">
      <c r="A2602" s="76" t="s">
        <v>1288</v>
      </c>
      <c r="B2602" s="76" t="s">
        <v>896</v>
      </c>
      <c r="C2602" s="76"/>
      <c r="D2602" s="75"/>
    </row>
    <row hidden="true" r="2603">
      <c r="A2603" s="76" t="s">
        <v>1288</v>
      </c>
      <c r="B2603" s="76" t="s">
        <v>898</v>
      </c>
      <c r="C2603" s="76"/>
      <c r="D2603" s="75"/>
    </row>
    <row hidden="true" r="2604">
      <c r="A2604" s="76" t="s">
        <v>1288</v>
      </c>
      <c r="B2604" s="76" t="s">
        <v>900</v>
      </c>
      <c r="C2604" s="76"/>
      <c r="D2604" s="75"/>
    </row>
    <row hidden="true" r="2605">
      <c r="A2605" s="76" t="s">
        <v>1288</v>
      </c>
      <c r="B2605" s="76" t="s">
        <v>902</v>
      </c>
      <c r="C2605" s="76"/>
      <c r="D2605" s="75"/>
    </row>
    <row hidden="true" r="2606">
      <c r="A2606" s="76" t="s">
        <v>1288</v>
      </c>
      <c r="B2606" s="76" t="s">
        <v>904</v>
      </c>
      <c r="C2606" s="76"/>
      <c r="D2606" s="75"/>
    </row>
    <row hidden="true" r="2607">
      <c r="A2607" s="76" t="s">
        <v>1288</v>
      </c>
      <c r="B2607" s="76" t="s">
        <v>906</v>
      </c>
      <c r="C2607" s="76"/>
      <c r="D2607" s="75"/>
    </row>
    <row hidden="true" r="2608">
      <c r="A2608" s="76" t="s">
        <v>1288</v>
      </c>
      <c r="B2608" s="76" t="s">
        <v>908</v>
      </c>
      <c r="C2608" s="76"/>
      <c r="D2608" s="75"/>
    </row>
    <row hidden="true" r="2609">
      <c r="A2609" s="76" t="s">
        <v>1288</v>
      </c>
      <c r="B2609" s="76" t="s">
        <v>910</v>
      </c>
      <c r="C2609" s="76"/>
      <c r="D2609" s="75"/>
    </row>
    <row hidden="true" r="2610">
      <c r="A2610" s="76" t="s">
        <v>1288</v>
      </c>
      <c r="B2610" s="76" t="s">
        <v>912</v>
      </c>
      <c r="C2610" s="76"/>
      <c r="D2610" s="75"/>
    </row>
    <row hidden="true" r="2611">
      <c r="A2611" s="76" t="s">
        <v>1288</v>
      </c>
      <c r="B2611" s="76" t="s">
        <v>914</v>
      </c>
      <c r="C2611" s="76"/>
      <c r="D2611" s="75"/>
    </row>
    <row hidden="true" r="2612">
      <c r="A2612" s="76" t="s">
        <v>1288</v>
      </c>
      <c r="B2612" s="76" t="s">
        <v>916</v>
      </c>
      <c r="C2612" s="76"/>
      <c r="D2612" s="75"/>
    </row>
    <row hidden="true" r="2613">
      <c r="A2613" s="76" t="s">
        <v>1288</v>
      </c>
      <c r="B2613" s="76" t="s">
        <v>918</v>
      </c>
      <c r="C2613" s="76"/>
      <c r="D2613" s="75"/>
    </row>
    <row hidden="true" r="2614">
      <c r="A2614" s="76" t="s">
        <v>1288</v>
      </c>
      <c r="B2614" s="76" t="s">
        <v>920</v>
      </c>
      <c r="C2614" s="76"/>
      <c r="D2614" s="75"/>
    </row>
    <row hidden="true" r="2615">
      <c r="A2615" s="76" t="s">
        <v>1288</v>
      </c>
      <c r="B2615" s="76" t="s">
        <v>922</v>
      </c>
      <c r="C2615" s="76"/>
      <c r="D2615" s="75"/>
    </row>
    <row hidden="true" r="2616">
      <c r="A2616" s="76" t="s">
        <v>1288</v>
      </c>
      <c r="B2616" s="76" t="s">
        <v>924</v>
      </c>
      <c r="C2616" s="76"/>
      <c r="D2616" s="75"/>
    </row>
    <row hidden="true" r="2617">
      <c r="A2617" s="76" t="s">
        <v>1288</v>
      </c>
      <c r="B2617" s="76" t="s">
        <v>926</v>
      </c>
      <c r="C2617" s="76"/>
      <c r="D2617" s="75"/>
    </row>
    <row hidden="true" r="2618">
      <c r="A2618" s="76" t="s">
        <v>1288</v>
      </c>
      <c r="B2618" s="76" t="s">
        <v>928</v>
      </c>
      <c r="C2618" s="76"/>
      <c r="D2618" s="75"/>
    </row>
    <row hidden="true" r="2619">
      <c r="A2619" s="76" t="s">
        <v>1288</v>
      </c>
      <c r="B2619" s="76" t="s">
        <v>930</v>
      </c>
      <c r="C2619" s="76"/>
      <c r="D2619" s="75"/>
    </row>
    <row hidden="true" r="2620">
      <c r="A2620" s="76" t="s">
        <v>1288</v>
      </c>
      <c r="B2620" s="76" t="s">
        <v>932</v>
      </c>
      <c r="C2620" s="76"/>
      <c r="D2620" s="75"/>
    </row>
    <row hidden="true" r="2621">
      <c r="A2621" s="76" t="s">
        <v>1288</v>
      </c>
      <c r="B2621" s="76" t="s">
        <v>934</v>
      </c>
      <c r="C2621" s="76"/>
      <c r="D2621" s="75"/>
    </row>
    <row hidden="true" r="2622">
      <c r="A2622" s="76" t="s">
        <v>1288</v>
      </c>
      <c r="B2622" s="76" t="s">
        <v>936</v>
      </c>
      <c r="C2622" s="76"/>
      <c r="D2622" s="75"/>
    </row>
    <row hidden="true" r="2623">
      <c r="A2623" s="76" t="s">
        <v>1288</v>
      </c>
      <c r="B2623" s="76" t="s">
        <v>938</v>
      </c>
      <c r="C2623" s="76"/>
      <c r="D2623" s="75"/>
    </row>
    <row hidden="true" r="2624">
      <c r="A2624" s="76" t="s">
        <v>1288</v>
      </c>
      <c r="B2624" s="76" t="s">
        <v>940</v>
      </c>
      <c r="C2624" s="76"/>
      <c r="D2624" s="75"/>
    </row>
    <row hidden="true" r="2625">
      <c r="A2625" s="76" t="s">
        <v>1288</v>
      </c>
      <c r="B2625" s="76" t="s">
        <v>942</v>
      </c>
      <c r="C2625" s="76"/>
      <c r="D2625" s="75"/>
    </row>
    <row hidden="true" r="2626">
      <c r="A2626" s="76" t="s">
        <v>1288</v>
      </c>
      <c r="B2626" s="76" t="s">
        <v>944</v>
      </c>
      <c r="C2626" s="76"/>
      <c r="D2626" s="75"/>
    </row>
    <row hidden="true" r="2627">
      <c r="A2627" s="76" t="s">
        <v>1288</v>
      </c>
      <c r="B2627" s="76" t="s">
        <v>946</v>
      </c>
      <c r="C2627" s="76"/>
      <c r="D2627" s="75"/>
    </row>
    <row hidden="true" r="2628">
      <c r="A2628" s="76" t="s">
        <v>1288</v>
      </c>
      <c r="B2628" s="76" t="s">
        <v>948</v>
      </c>
      <c r="C2628" s="76"/>
      <c r="D2628" s="75"/>
    </row>
    <row hidden="true" r="2629">
      <c r="A2629" s="76" t="s">
        <v>1288</v>
      </c>
      <c r="B2629" s="76" t="s">
        <v>950</v>
      </c>
      <c r="C2629" s="76"/>
      <c r="D2629" s="75"/>
    </row>
    <row hidden="true" r="2630">
      <c r="A2630" s="76" t="s">
        <v>1288</v>
      </c>
      <c r="B2630" s="76" t="s">
        <v>952</v>
      </c>
      <c r="C2630" s="76"/>
      <c r="D2630" s="75"/>
    </row>
    <row hidden="true" r="2631">
      <c r="A2631" s="76" t="s">
        <v>1288</v>
      </c>
      <c r="B2631" s="76" t="s">
        <v>954</v>
      </c>
      <c r="C2631" s="76"/>
      <c r="D2631" s="75"/>
    </row>
    <row hidden="true" r="2632">
      <c r="A2632" s="76" t="s">
        <v>1288</v>
      </c>
      <c r="B2632" s="76" t="s">
        <v>775</v>
      </c>
      <c r="C2632" s="76"/>
      <c r="D2632" s="75"/>
    </row>
    <row hidden="true" r="2633">
      <c r="A2633" s="76" t="s">
        <v>1288</v>
      </c>
      <c r="B2633" s="76" t="s">
        <v>956</v>
      </c>
      <c r="C2633" s="76"/>
      <c r="D2633" s="75"/>
    </row>
    <row hidden="true" r="2634">
      <c r="A2634" s="76" t="s">
        <v>1288</v>
      </c>
      <c r="B2634" s="76" t="s">
        <v>958</v>
      </c>
      <c r="C2634" s="76"/>
      <c r="D2634" s="75"/>
    </row>
    <row hidden="true" r="2635">
      <c r="A2635" s="76" t="s">
        <v>1288</v>
      </c>
      <c r="B2635" s="76" t="s">
        <v>960</v>
      </c>
      <c r="C2635" s="76"/>
      <c r="D2635" s="75"/>
    </row>
    <row hidden="true" r="2636">
      <c r="A2636" s="76" t="s">
        <v>1288</v>
      </c>
      <c r="B2636" s="76" t="s">
        <v>962</v>
      </c>
      <c r="C2636" s="76"/>
      <c r="D2636" s="75"/>
    </row>
    <row hidden="true" r="2637">
      <c r="A2637" s="76" t="s">
        <v>1288</v>
      </c>
      <c r="B2637" s="76" t="s">
        <v>964</v>
      </c>
      <c r="C2637" s="76"/>
      <c r="D2637" s="75"/>
    </row>
    <row hidden="true" r="2638">
      <c r="A2638" s="76" t="s">
        <v>1288</v>
      </c>
      <c r="B2638" s="76" t="s">
        <v>966</v>
      </c>
      <c r="C2638" s="76"/>
      <c r="D2638" s="75"/>
    </row>
    <row hidden="true" r="2639">
      <c r="A2639" s="76" t="s">
        <v>1288</v>
      </c>
      <c r="B2639" s="76" t="s">
        <v>968</v>
      </c>
      <c r="C2639" s="76"/>
      <c r="D2639" s="75"/>
    </row>
    <row hidden="true" r="2640">
      <c r="A2640" s="76" t="s">
        <v>1288</v>
      </c>
      <c r="B2640" s="76" t="s">
        <v>970</v>
      </c>
      <c r="C2640" s="76"/>
      <c r="D2640" s="75"/>
    </row>
    <row hidden="true" r="2641">
      <c r="A2641" s="76" t="s">
        <v>1288</v>
      </c>
      <c r="B2641" s="76" t="s">
        <v>972</v>
      </c>
      <c r="C2641" s="76"/>
      <c r="D2641" s="75"/>
    </row>
    <row hidden="true" r="2642">
      <c r="A2642" s="76" t="s">
        <v>1288</v>
      </c>
      <c r="B2642" s="76" t="s">
        <v>974</v>
      </c>
      <c r="C2642" s="76"/>
      <c r="D2642" s="75"/>
    </row>
    <row hidden="true" r="2643">
      <c r="A2643" s="76" t="s">
        <v>1288</v>
      </c>
      <c r="B2643" s="76" t="s">
        <v>976</v>
      </c>
      <c r="C2643" s="76"/>
      <c r="D2643" s="75"/>
    </row>
    <row hidden="true" r="2644">
      <c r="A2644" s="76" t="s">
        <v>1288</v>
      </c>
      <c r="B2644" s="76" t="s">
        <v>823</v>
      </c>
      <c r="C2644" s="76"/>
      <c r="D2644" s="75"/>
    </row>
    <row hidden="true" r="2645">
      <c r="A2645" s="76" t="s">
        <v>1288</v>
      </c>
      <c r="B2645" s="76" t="s">
        <v>978</v>
      </c>
      <c r="C2645" s="76"/>
      <c r="D2645" s="75"/>
    </row>
    <row hidden="true" r="2646">
      <c r="A2646" s="76" t="s">
        <v>1288</v>
      </c>
      <c r="B2646" s="76" t="s">
        <v>980</v>
      </c>
      <c r="C2646" s="76"/>
      <c r="D2646" s="75"/>
    </row>
    <row hidden="true" r="2647">
      <c r="A2647" s="76" t="s">
        <v>1288</v>
      </c>
      <c r="B2647" s="76" t="s">
        <v>982</v>
      </c>
      <c r="C2647" s="76"/>
      <c r="D2647" s="75"/>
    </row>
    <row hidden="true" r="2648">
      <c r="A2648" s="76" t="s">
        <v>1288</v>
      </c>
      <c r="B2648" s="76" t="s">
        <v>984</v>
      </c>
      <c r="C2648" s="76"/>
      <c r="D2648" s="75"/>
    </row>
    <row hidden="true" r="2649">
      <c r="A2649" s="76" t="s">
        <v>1288</v>
      </c>
      <c r="B2649" s="76" t="s">
        <v>986</v>
      </c>
      <c r="C2649" s="76"/>
      <c r="D2649" s="75"/>
    </row>
    <row hidden="true" r="2650">
      <c r="A2650" s="76" t="s">
        <v>1288</v>
      </c>
      <c r="B2650" s="76" t="s">
        <v>988</v>
      </c>
      <c r="C2650" s="76"/>
      <c r="D2650" s="75"/>
    </row>
    <row hidden="true" r="2651">
      <c r="A2651" s="76" t="s">
        <v>1288</v>
      </c>
      <c r="B2651" s="76" t="s">
        <v>990</v>
      </c>
      <c r="C2651" s="76"/>
      <c r="D2651" s="75"/>
    </row>
    <row hidden="true" r="2652">
      <c r="A2652" s="76" t="s">
        <v>1288</v>
      </c>
      <c r="B2652" s="76" t="s">
        <v>992</v>
      </c>
      <c r="C2652" s="76"/>
      <c r="D2652" s="75"/>
    </row>
    <row hidden="true" r="2653">
      <c r="A2653" s="76" t="s">
        <v>1288</v>
      </c>
      <c r="B2653" s="76" t="s">
        <v>994</v>
      </c>
      <c r="C2653" s="76"/>
      <c r="D2653" s="75"/>
    </row>
    <row hidden="true" r="2654">
      <c r="A2654" s="76" t="s">
        <v>1288</v>
      </c>
      <c r="B2654" s="76" t="s">
        <v>996</v>
      </c>
      <c r="C2654" s="76"/>
      <c r="D2654" s="75"/>
    </row>
    <row hidden="true" r="2655">
      <c r="A2655" s="76" t="s">
        <v>1288</v>
      </c>
      <c r="B2655" s="76" t="s">
        <v>998</v>
      </c>
      <c r="C2655" s="76"/>
      <c r="D2655" s="75"/>
    </row>
    <row hidden="true" r="2656">
      <c r="A2656" s="76" t="s">
        <v>1288</v>
      </c>
      <c r="B2656" s="76" t="s">
        <v>1000</v>
      </c>
      <c r="C2656" s="76"/>
      <c r="D2656" s="75"/>
    </row>
    <row hidden="true" r="2657">
      <c r="A2657" s="76" t="s">
        <v>1288</v>
      </c>
      <c r="B2657" s="76" t="s">
        <v>1002</v>
      </c>
      <c r="C2657" s="76"/>
      <c r="D2657" s="75"/>
    </row>
    <row hidden="true" r="2658">
      <c r="A2658" s="76" t="s">
        <v>1288</v>
      </c>
      <c r="B2658" s="76" t="s">
        <v>1004</v>
      </c>
      <c r="C2658" s="76"/>
      <c r="D2658" s="75"/>
    </row>
    <row hidden="true" r="2659">
      <c r="A2659" s="76" t="s">
        <v>1288</v>
      </c>
      <c r="B2659" s="76" t="s">
        <v>1006</v>
      </c>
      <c r="C2659" s="76"/>
      <c r="D2659" s="75"/>
    </row>
    <row hidden="true" r="2660">
      <c r="A2660" s="76" t="s">
        <v>1288</v>
      </c>
      <c r="B2660" s="76" t="s">
        <v>1008</v>
      </c>
      <c r="C2660" s="76"/>
      <c r="D2660" s="75"/>
    </row>
    <row hidden="true" r="2661">
      <c r="A2661" s="76" t="s">
        <v>1288</v>
      </c>
      <c r="B2661" s="76" t="s">
        <v>1010</v>
      </c>
      <c r="C2661" s="76"/>
      <c r="D2661" s="75"/>
    </row>
    <row hidden="true" r="2662">
      <c r="A2662" s="76" t="s">
        <v>1288</v>
      </c>
      <c r="B2662" s="76" t="s">
        <v>1012</v>
      </c>
      <c r="C2662" s="76"/>
      <c r="D2662" s="75"/>
    </row>
    <row hidden="true" r="2663">
      <c r="A2663" s="76" t="s">
        <v>1288</v>
      </c>
      <c r="B2663" s="76" t="s">
        <v>1014</v>
      </c>
      <c r="C2663" s="76"/>
      <c r="D2663" s="75"/>
    </row>
    <row hidden="true" r="2664">
      <c r="A2664" s="76" t="s">
        <v>1288</v>
      </c>
      <c r="B2664" s="76" t="s">
        <v>1016</v>
      </c>
      <c r="C2664" s="76"/>
      <c r="D2664" s="75"/>
    </row>
    <row hidden="true" r="2665">
      <c r="A2665" s="76" t="s">
        <v>1288</v>
      </c>
      <c r="B2665" s="76" t="s">
        <v>1018</v>
      </c>
      <c r="C2665" s="76"/>
      <c r="D2665" s="75"/>
    </row>
    <row hidden="true" r="2666">
      <c r="A2666" s="76" t="s">
        <v>1288</v>
      </c>
      <c r="B2666" s="76" t="s">
        <v>1020</v>
      </c>
      <c r="C2666" s="76"/>
      <c r="D2666" s="75"/>
    </row>
    <row hidden="true" r="2667">
      <c r="A2667" s="76" t="s">
        <v>1288</v>
      </c>
      <c r="B2667" s="76" t="s">
        <v>1022</v>
      </c>
      <c r="C2667" s="76"/>
      <c r="D2667" s="75"/>
    </row>
    <row hidden="true" r="2668">
      <c r="A2668" s="76" t="s">
        <v>1288</v>
      </c>
      <c r="B2668" s="76" t="s">
        <v>1023</v>
      </c>
      <c r="C2668" s="76"/>
      <c r="D2668" s="75"/>
    </row>
    <row hidden="true" r="2669">
      <c r="A2669" s="76" t="s">
        <v>1288</v>
      </c>
      <c r="B2669" s="76" t="s">
        <v>1024</v>
      </c>
      <c r="C2669" s="76"/>
      <c r="D2669" s="75"/>
    </row>
    <row hidden="true" r="2670">
      <c r="A2670" s="76" t="s">
        <v>1288</v>
      </c>
      <c r="B2670" s="76" t="s">
        <v>1025</v>
      </c>
      <c r="C2670" s="76"/>
      <c r="D2670" s="75"/>
    </row>
    <row hidden="true" r="2671">
      <c r="A2671" s="76" t="s">
        <v>1288</v>
      </c>
      <c r="B2671" s="76" t="s">
        <v>1026</v>
      </c>
      <c r="C2671" s="76"/>
      <c r="D2671" s="75"/>
    </row>
    <row hidden="true" r="2672">
      <c r="A2672" s="76" t="s">
        <v>1288</v>
      </c>
      <c r="B2672" s="76" t="s">
        <v>1027</v>
      </c>
      <c r="C2672" s="76"/>
      <c r="D2672" s="75"/>
    </row>
    <row hidden="true" r="2673">
      <c r="A2673" s="76" t="s">
        <v>1288</v>
      </c>
      <c r="B2673" s="76" t="s">
        <v>1028</v>
      </c>
      <c r="C2673" s="76"/>
      <c r="D2673" s="75"/>
    </row>
    <row hidden="true" r="2674">
      <c r="A2674" s="76" t="s">
        <v>1288</v>
      </c>
      <c r="B2674" s="76" t="s">
        <v>530</v>
      </c>
      <c r="C2674" s="76"/>
      <c r="D2674" s="75"/>
    </row>
    <row hidden="true" r="2675">
      <c r="A2675" s="76" t="s">
        <v>1288</v>
      </c>
      <c r="B2675" s="76" t="s">
        <v>1030</v>
      </c>
      <c r="C2675" s="76"/>
      <c r="D2675" s="75"/>
    </row>
    <row hidden="true" r="2676">
      <c r="A2676" s="76" t="s">
        <v>1288</v>
      </c>
      <c r="B2676" s="76" t="s">
        <v>1032</v>
      </c>
      <c r="C2676" s="76"/>
      <c r="D2676" s="75"/>
    </row>
    <row hidden="true" r="2677">
      <c r="A2677" s="76" t="s">
        <v>1288</v>
      </c>
      <c r="B2677" s="76" t="s">
        <v>1034</v>
      </c>
      <c r="C2677" s="76"/>
      <c r="D2677" s="75"/>
    </row>
    <row hidden="true" r="2678">
      <c r="A2678" s="76" t="s">
        <v>1288</v>
      </c>
      <c r="B2678" s="76" t="s">
        <v>532</v>
      </c>
      <c r="C2678" s="76"/>
      <c r="D2678" s="75"/>
    </row>
    <row hidden="true" r="2679">
      <c r="A2679" s="76" t="s">
        <v>1288</v>
      </c>
      <c r="B2679" s="76" t="s">
        <v>1036</v>
      </c>
      <c r="C2679" s="76"/>
      <c r="D2679" s="75"/>
    </row>
    <row hidden="true" r="2680">
      <c r="A2680" s="76" t="s">
        <v>1288</v>
      </c>
      <c r="B2680" s="76" t="s">
        <v>1038</v>
      </c>
      <c r="C2680" s="76"/>
      <c r="D2680" s="75"/>
    </row>
    <row hidden="true" r="2681">
      <c r="A2681" s="76" t="s">
        <v>1288</v>
      </c>
      <c r="B2681" s="76" t="s">
        <v>1040</v>
      </c>
      <c r="C2681" s="76"/>
      <c r="D2681" s="75"/>
    </row>
    <row hidden="true" r="2682">
      <c r="A2682" s="76" t="s">
        <v>1288</v>
      </c>
      <c r="B2682" s="76" t="s">
        <v>1042</v>
      </c>
      <c r="C2682" s="76"/>
      <c r="D2682" s="75"/>
    </row>
    <row hidden="true" r="2683">
      <c r="A2683" s="76" t="s">
        <v>1288</v>
      </c>
      <c r="B2683" s="76" t="s">
        <v>1044</v>
      </c>
      <c r="C2683" s="76"/>
      <c r="D2683" s="75"/>
    </row>
    <row hidden="true" r="2684">
      <c r="A2684" s="76" t="s">
        <v>1288</v>
      </c>
      <c r="B2684" s="76" t="s">
        <v>1046</v>
      </c>
      <c r="C2684" s="76"/>
      <c r="D2684" s="75"/>
    </row>
    <row hidden="true" r="2685">
      <c r="A2685" s="76" t="s">
        <v>1288</v>
      </c>
      <c r="B2685" s="76" t="s">
        <v>1048</v>
      </c>
      <c r="C2685" s="76"/>
      <c r="D2685" s="75"/>
    </row>
    <row hidden="true" r="2686">
      <c r="A2686" s="76" t="s">
        <v>1288</v>
      </c>
      <c r="B2686" s="76" t="s">
        <v>1050</v>
      </c>
      <c r="C2686" s="76"/>
      <c r="D2686" s="75"/>
    </row>
    <row hidden="true" r="2687">
      <c r="A2687" s="76" t="s">
        <v>1288</v>
      </c>
      <c r="B2687" s="76" t="s">
        <v>1052</v>
      </c>
      <c r="C2687" s="76"/>
      <c r="D2687" s="75"/>
    </row>
    <row hidden="true" r="2688">
      <c r="A2688" s="76" t="s">
        <v>1288</v>
      </c>
      <c r="B2688" s="76" t="s">
        <v>1054</v>
      </c>
      <c r="C2688" s="76"/>
      <c r="D2688" s="75"/>
    </row>
    <row hidden="true" r="2689">
      <c r="A2689" s="76" t="s">
        <v>1288</v>
      </c>
      <c r="B2689" s="76" t="s">
        <v>1056</v>
      </c>
      <c r="C2689" s="76"/>
      <c r="D2689" s="75"/>
    </row>
    <row hidden="true" r="2690">
      <c r="A2690" s="76" t="s">
        <v>1288</v>
      </c>
      <c r="B2690" s="76" t="s">
        <v>1058</v>
      </c>
      <c r="C2690" s="76"/>
      <c r="D2690" s="75"/>
    </row>
    <row hidden="true" r="2691">
      <c r="A2691" s="76" t="s">
        <v>1288</v>
      </c>
      <c r="B2691" s="76" t="s">
        <v>1060</v>
      </c>
      <c r="C2691" s="76"/>
      <c r="D2691" s="75"/>
    </row>
    <row hidden="true" r="2692">
      <c r="A2692" s="76" t="s">
        <v>1288</v>
      </c>
      <c r="B2692" s="76" t="s">
        <v>1062</v>
      </c>
      <c r="C2692" s="76"/>
      <c r="D2692" s="75"/>
    </row>
    <row hidden="true" r="2693">
      <c r="A2693" s="76" t="s">
        <v>1288</v>
      </c>
      <c r="B2693" s="76" t="s">
        <v>1064</v>
      </c>
      <c r="C2693" s="76"/>
      <c r="D2693" s="75"/>
    </row>
    <row hidden="true" r="2694">
      <c r="A2694" s="76" t="s">
        <v>1288</v>
      </c>
      <c r="B2694" s="76" t="s">
        <v>1066</v>
      </c>
      <c r="C2694" s="76"/>
      <c r="D2694" s="75"/>
    </row>
    <row hidden="true" r="2695">
      <c r="A2695" s="76" t="s">
        <v>1288</v>
      </c>
      <c r="B2695" s="76" t="s">
        <v>1068</v>
      </c>
      <c r="C2695" s="76"/>
      <c r="D2695" s="75"/>
    </row>
    <row hidden="true" r="2696">
      <c r="A2696" s="76" t="s">
        <v>1288</v>
      </c>
      <c r="B2696" s="76" t="s">
        <v>1070</v>
      </c>
      <c r="C2696" s="76"/>
      <c r="D2696" s="75"/>
    </row>
    <row hidden="true" r="2697">
      <c r="A2697" s="76" t="s">
        <v>1288</v>
      </c>
      <c r="B2697" s="76" t="s">
        <v>1071</v>
      </c>
      <c r="C2697" s="76"/>
      <c r="D2697" s="75"/>
    </row>
    <row hidden="true" r="2698">
      <c r="A2698" s="76" t="s">
        <v>1288</v>
      </c>
      <c r="B2698" s="76" t="s">
        <v>1072</v>
      </c>
      <c r="C2698" s="76"/>
      <c r="D2698" s="75"/>
    </row>
    <row hidden="true" r="2699">
      <c r="A2699" s="76" t="s">
        <v>1288</v>
      </c>
      <c r="B2699" s="76" t="s">
        <v>1074</v>
      </c>
      <c r="C2699" s="76"/>
      <c r="D2699" s="75"/>
    </row>
    <row hidden="true" r="2700">
      <c r="A2700" s="76" t="s">
        <v>1288</v>
      </c>
      <c r="B2700" s="76" t="s">
        <v>1075</v>
      </c>
      <c r="C2700" s="76"/>
      <c r="D2700" s="75"/>
    </row>
    <row hidden="true" r="2701">
      <c r="A2701" s="76" t="s">
        <v>1288</v>
      </c>
      <c r="B2701" s="76" t="s">
        <v>1076</v>
      </c>
      <c r="C2701" s="76"/>
      <c r="D2701" s="75"/>
    </row>
    <row hidden="true" r="2702">
      <c r="A2702" s="76" t="s">
        <v>1288</v>
      </c>
      <c r="B2702" s="76" t="s">
        <v>1078</v>
      </c>
      <c r="C2702" s="76"/>
      <c r="D2702" s="75"/>
    </row>
    <row hidden="true" r="2703">
      <c r="A2703" s="76" t="s">
        <v>1288</v>
      </c>
      <c r="B2703" s="76" t="s">
        <v>839</v>
      </c>
      <c r="C2703" s="76"/>
      <c r="D2703" s="75"/>
    </row>
    <row hidden="true" r="2704">
      <c r="A2704" s="76" t="s">
        <v>1288</v>
      </c>
      <c r="B2704" s="76" t="s">
        <v>1080</v>
      </c>
      <c r="C2704" s="76"/>
      <c r="D2704" s="75"/>
    </row>
    <row hidden="true" r="2705">
      <c r="A2705" s="76" t="s">
        <v>1288</v>
      </c>
      <c r="B2705" s="76" t="s">
        <v>1082</v>
      </c>
      <c r="C2705" s="76"/>
      <c r="D2705" s="75"/>
    </row>
    <row hidden="true" r="2706">
      <c r="A2706" s="76" t="s">
        <v>1288</v>
      </c>
      <c r="B2706" s="76" t="s">
        <v>1084</v>
      </c>
      <c r="C2706" s="76"/>
      <c r="D2706" s="75"/>
    </row>
    <row hidden="true" r="2707">
      <c r="A2707" s="76" t="s">
        <v>1288</v>
      </c>
      <c r="B2707" s="76" t="s">
        <v>1086</v>
      </c>
      <c r="C2707" s="76"/>
      <c r="D2707" s="75"/>
    </row>
    <row hidden="true" r="2708">
      <c r="A2708" s="76" t="s">
        <v>1288</v>
      </c>
      <c r="B2708" s="76" t="s">
        <v>1088</v>
      </c>
      <c r="C2708" s="76"/>
      <c r="D2708" s="75"/>
    </row>
    <row hidden="true" r="2709">
      <c r="A2709" s="76" t="s">
        <v>1288</v>
      </c>
      <c r="B2709" s="76" t="s">
        <v>1090</v>
      </c>
      <c r="C2709" s="76"/>
      <c r="D2709" s="75"/>
    </row>
    <row hidden="true" r="2710">
      <c r="A2710" s="76" t="s">
        <v>1288</v>
      </c>
      <c r="B2710" s="76" t="s">
        <v>1092</v>
      </c>
      <c r="C2710" s="76"/>
      <c r="D2710" s="75"/>
    </row>
    <row hidden="true" r="2711">
      <c r="A2711" s="76" t="s">
        <v>1288</v>
      </c>
      <c r="B2711" s="76" t="s">
        <v>1093</v>
      </c>
      <c r="C2711" s="76"/>
      <c r="D2711" s="75"/>
    </row>
    <row hidden="true" r="2712">
      <c r="A2712" s="76" t="s">
        <v>1288</v>
      </c>
      <c r="B2712" s="76" t="s">
        <v>1095</v>
      </c>
      <c r="C2712" s="76"/>
      <c r="D2712" s="75"/>
    </row>
    <row hidden="true" r="2713">
      <c r="A2713" s="76" t="s">
        <v>1288</v>
      </c>
      <c r="B2713" s="76" t="s">
        <v>1097</v>
      </c>
      <c r="C2713" s="76"/>
      <c r="D2713" s="75"/>
    </row>
    <row hidden="true" r="2714">
      <c r="A2714" s="76" t="s">
        <v>1288</v>
      </c>
      <c r="B2714" s="76" t="s">
        <v>1099</v>
      </c>
      <c r="C2714" s="76"/>
      <c r="D2714" s="75"/>
    </row>
    <row hidden="true" r="2715">
      <c r="A2715" s="76" t="s">
        <v>1288</v>
      </c>
      <c r="B2715" s="76" t="s">
        <v>1101</v>
      </c>
      <c r="C2715" s="76"/>
      <c r="D2715" s="75"/>
    </row>
    <row hidden="true" r="2716">
      <c r="A2716" s="76" t="s">
        <v>1288</v>
      </c>
      <c r="B2716" s="76" t="s">
        <v>1103</v>
      </c>
      <c r="C2716" s="76"/>
      <c r="D2716" s="75"/>
    </row>
    <row hidden="true" r="2717">
      <c r="A2717" s="76" t="s">
        <v>1288</v>
      </c>
      <c r="B2717" s="76" t="s">
        <v>1105</v>
      </c>
      <c r="C2717" s="76"/>
      <c r="D2717" s="75"/>
    </row>
    <row hidden="true" r="2718">
      <c r="A2718" s="76" t="s">
        <v>1288</v>
      </c>
      <c r="B2718" s="76" t="s">
        <v>1107</v>
      </c>
      <c r="C2718" s="76"/>
      <c r="D2718" s="75"/>
    </row>
    <row hidden="true" r="2719">
      <c r="A2719" s="76" t="s">
        <v>1288</v>
      </c>
      <c r="B2719" s="76" t="s">
        <v>1109</v>
      </c>
      <c r="C2719" s="76"/>
      <c r="D2719" s="75"/>
    </row>
    <row hidden="true" r="2720">
      <c r="A2720" s="76" t="s">
        <v>1288</v>
      </c>
      <c r="B2720" s="76" t="s">
        <v>1111</v>
      </c>
      <c r="C2720" s="76"/>
      <c r="D2720" s="75"/>
    </row>
    <row hidden="true" r="2721">
      <c r="A2721" s="76" t="s">
        <v>1288</v>
      </c>
      <c r="B2721" s="76" t="s">
        <v>1113</v>
      </c>
      <c r="C2721" s="76"/>
      <c r="D2721" s="75"/>
    </row>
    <row hidden="true" r="2722">
      <c r="A2722" s="76" t="s">
        <v>1288</v>
      </c>
      <c r="B2722" s="76" t="s">
        <v>1115</v>
      </c>
      <c r="C2722" s="76"/>
      <c r="D2722" s="75"/>
    </row>
    <row hidden="true" r="2723">
      <c r="A2723" s="76" t="s">
        <v>1288</v>
      </c>
      <c r="B2723" s="76" t="s">
        <v>1117</v>
      </c>
      <c r="C2723" s="76"/>
      <c r="D2723" s="75"/>
    </row>
    <row hidden="true" r="2724">
      <c r="A2724" s="76" t="s">
        <v>1288</v>
      </c>
      <c r="B2724" s="76" t="s">
        <v>1119</v>
      </c>
      <c r="C2724" s="76"/>
      <c r="D2724" s="75"/>
    </row>
    <row hidden="true" r="2725">
      <c r="A2725" s="76" t="s">
        <v>1288</v>
      </c>
      <c r="B2725" s="76" t="s">
        <v>1121</v>
      </c>
      <c r="C2725" s="76"/>
      <c r="D2725" s="75"/>
    </row>
    <row hidden="true" r="2726">
      <c r="A2726" s="76" t="s">
        <v>1288</v>
      </c>
      <c r="B2726" s="76" t="s">
        <v>1123</v>
      </c>
      <c r="C2726" s="76"/>
      <c r="D2726" s="75"/>
    </row>
    <row hidden="true" r="2727">
      <c r="A2727" s="76" t="s">
        <v>1288</v>
      </c>
      <c r="B2727" s="76" t="s">
        <v>1125</v>
      </c>
      <c r="C2727" s="76"/>
      <c r="D2727" s="75"/>
    </row>
    <row hidden="true" r="2728">
      <c r="A2728" s="76" t="s">
        <v>1288</v>
      </c>
      <c r="B2728" s="76" t="s">
        <v>1127</v>
      </c>
      <c r="C2728" s="76"/>
      <c r="D2728" s="75"/>
    </row>
    <row hidden="true" r="2729">
      <c r="A2729" s="76" t="s">
        <v>1288</v>
      </c>
      <c r="B2729" s="76" t="s">
        <v>1129</v>
      </c>
      <c r="C2729" s="76"/>
      <c r="D2729" s="75"/>
    </row>
    <row hidden="true" r="2730">
      <c r="A2730" s="76" t="s">
        <v>1288</v>
      </c>
      <c r="B2730" s="76" t="s">
        <v>1131</v>
      </c>
      <c r="C2730" s="76"/>
      <c r="D2730" s="75"/>
    </row>
    <row hidden="true" r="2731">
      <c r="A2731" s="76" t="s">
        <v>1288</v>
      </c>
      <c r="B2731" s="76" t="s">
        <v>1133</v>
      </c>
      <c r="C2731" s="76"/>
      <c r="D2731" s="75"/>
    </row>
    <row hidden="true" r="2732">
      <c r="A2732" s="76" t="s">
        <v>1288</v>
      </c>
      <c r="B2732" s="76" t="s">
        <v>1135</v>
      </c>
      <c r="C2732" s="76"/>
      <c r="D2732" s="75"/>
    </row>
    <row hidden="true" r="2733">
      <c r="A2733" s="76" t="s">
        <v>1288</v>
      </c>
      <c r="B2733" s="76" t="s">
        <v>1137</v>
      </c>
      <c r="C2733" s="76"/>
      <c r="D2733" s="75"/>
    </row>
    <row hidden="true" r="2734">
      <c r="A2734" s="76" t="s">
        <v>1288</v>
      </c>
      <c r="B2734" s="76" t="s">
        <v>1139</v>
      </c>
      <c r="C2734" s="76"/>
      <c r="D2734" s="75"/>
    </row>
    <row hidden="true" r="2735">
      <c r="A2735" s="76" t="s">
        <v>1288</v>
      </c>
      <c r="B2735" s="76" t="s">
        <v>1141</v>
      </c>
      <c r="C2735" s="76"/>
      <c r="D2735" s="75"/>
    </row>
    <row hidden="true" r="2736">
      <c r="A2736" s="76" t="s">
        <v>1288</v>
      </c>
      <c r="B2736" s="76" t="s">
        <v>1143</v>
      </c>
      <c r="C2736" s="76"/>
      <c r="D2736" s="75"/>
    </row>
    <row hidden="true" r="2737">
      <c r="A2737" s="76" t="s">
        <v>1288</v>
      </c>
      <c r="B2737" s="76" t="s">
        <v>1145</v>
      </c>
      <c r="C2737" s="76"/>
      <c r="D2737" s="75"/>
    </row>
    <row hidden="true" r="2738">
      <c r="A2738" s="76" t="s">
        <v>1288</v>
      </c>
      <c r="B2738" s="76" t="s">
        <v>1147</v>
      </c>
      <c r="C2738" s="76"/>
      <c r="D2738" s="75"/>
    </row>
    <row hidden="true" r="2739">
      <c r="A2739" s="76" t="s">
        <v>1288</v>
      </c>
      <c r="B2739" s="76" t="s">
        <v>1149</v>
      </c>
      <c r="C2739" s="76"/>
      <c r="D2739" s="75"/>
    </row>
    <row hidden="true" r="2740">
      <c r="A2740" s="76" t="s">
        <v>1288</v>
      </c>
      <c r="B2740" s="76" t="s">
        <v>1151</v>
      </c>
      <c r="C2740" s="76"/>
      <c r="D2740" s="75"/>
    </row>
    <row hidden="true" r="2741">
      <c r="A2741" s="76" t="s">
        <v>1288</v>
      </c>
      <c r="B2741" s="76" t="s">
        <v>1153</v>
      </c>
      <c r="C2741" s="76"/>
      <c r="D2741" s="75"/>
    </row>
    <row hidden="true" r="2742">
      <c r="A2742" s="76" t="s">
        <v>1288</v>
      </c>
      <c r="B2742" s="76" t="s">
        <v>1155</v>
      </c>
      <c r="C2742" s="76"/>
      <c r="D2742" s="75"/>
    </row>
    <row hidden="true" r="2743">
      <c r="A2743" s="76" t="s">
        <v>1288</v>
      </c>
      <c r="B2743" s="76" t="s">
        <v>1157</v>
      </c>
      <c r="C2743" s="76"/>
      <c r="D2743" s="75"/>
    </row>
    <row hidden="true" r="2744">
      <c r="A2744" s="76" t="s">
        <v>1288</v>
      </c>
      <c r="B2744" s="76" t="s">
        <v>1159</v>
      </c>
      <c r="C2744" s="76"/>
      <c r="D2744" s="75"/>
    </row>
    <row hidden="true" r="2745">
      <c r="A2745" s="76" t="s">
        <v>1288</v>
      </c>
      <c r="B2745" s="76" t="s">
        <v>868</v>
      </c>
      <c r="C2745" s="76"/>
      <c r="D2745" s="75"/>
    </row>
    <row hidden="true" r="2746">
      <c r="A2746" s="76" t="s">
        <v>1288</v>
      </c>
      <c r="B2746" s="76" t="s">
        <v>1161</v>
      </c>
      <c r="C2746" s="76"/>
      <c r="D2746" s="75"/>
    </row>
    <row hidden="true" r="2747">
      <c r="A2747" s="76" t="s">
        <v>1288</v>
      </c>
      <c r="B2747" s="76" t="s">
        <v>1163</v>
      </c>
      <c r="C2747" s="76"/>
      <c r="D2747" s="75"/>
    </row>
    <row hidden="true" r="2748">
      <c r="A2748" s="76" t="s">
        <v>1288</v>
      </c>
      <c r="B2748" s="76" t="s">
        <v>1165</v>
      </c>
      <c r="C2748" s="76"/>
      <c r="D2748" s="75"/>
    </row>
    <row hidden="true" r="2749">
      <c r="A2749" s="76" t="s">
        <v>1288</v>
      </c>
      <c r="B2749" s="76" t="s">
        <v>1167</v>
      </c>
      <c r="C2749" s="76"/>
      <c r="D2749" s="75"/>
    </row>
    <row hidden="true" r="2750">
      <c r="A2750" s="76" t="s">
        <v>1288</v>
      </c>
      <c r="B2750" s="76" t="s">
        <v>1169</v>
      </c>
      <c r="C2750" s="76"/>
      <c r="D2750" s="75"/>
    </row>
    <row hidden="true" r="2751">
      <c r="A2751" s="76" t="s">
        <v>1288</v>
      </c>
      <c r="B2751" s="76" t="s">
        <v>1171</v>
      </c>
      <c r="C2751" s="76"/>
      <c r="D2751" s="75"/>
    </row>
    <row hidden="true" r="2752">
      <c r="A2752" s="76" t="s">
        <v>1288</v>
      </c>
      <c r="B2752" s="76" t="s">
        <v>1173</v>
      </c>
      <c r="C2752" s="76"/>
      <c r="D2752" s="75"/>
    </row>
    <row hidden="true" r="2753">
      <c r="A2753" s="76" t="s">
        <v>1288</v>
      </c>
      <c r="B2753" s="76" t="s">
        <v>1175</v>
      </c>
      <c r="C2753" s="76"/>
      <c r="D2753" s="75"/>
    </row>
    <row hidden="true" r="2754">
      <c r="A2754" s="76" t="s">
        <v>1288</v>
      </c>
      <c r="B2754" s="76" t="s">
        <v>1177</v>
      </c>
      <c r="C2754" s="76"/>
      <c r="D2754" s="75"/>
    </row>
    <row hidden="true" r="2755">
      <c r="A2755" s="76" t="s">
        <v>1288</v>
      </c>
      <c r="B2755" s="76" t="s">
        <v>1179</v>
      </c>
      <c r="C2755" s="76"/>
      <c r="D2755" s="75"/>
    </row>
    <row hidden="true" r="2756">
      <c r="A2756" s="76" t="s">
        <v>1288</v>
      </c>
      <c r="B2756" s="76" t="s">
        <v>1181</v>
      </c>
      <c r="C2756" s="76"/>
      <c r="D2756" s="75"/>
    </row>
    <row hidden="true" r="2757">
      <c r="A2757" s="76" t="s">
        <v>1288</v>
      </c>
      <c r="B2757" s="76" t="s">
        <v>1183</v>
      </c>
      <c r="C2757" s="76"/>
      <c r="D2757" s="75"/>
    </row>
    <row hidden="true" r="2758">
      <c r="A2758" s="76" t="s">
        <v>1288</v>
      </c>
      <c r="B2758" s="76" t="s">
        <v>1185</v>
      </c>
      <c r="C2758" s="76"/>
      <c r="D2758" s="75"/>
    </row>
    <row hidden="true" r="2759">
      <c r="A2759" s="76" t="s">
        <v>1288</v>
      </c>
      <c r="B2759" s="76" t="s">
        <v>1187</v>
      </c>
      <c r="C2759" s="76"/>
      <c r="D2759" s="75"/>
    </row>
    <row hidden="true" r="2760">
      <c r="A2760" s="76" t="s">
        <v>1288</v>
      </c>
      <c r="B2760" s="76" t="s">
        <v>1189</v>
      </c>
      <c r="C2760" s="76"/>
      <c r="D2760" s="75"/>
    </row>
    <row hidden="true" r="2761">
      <c r="A2761" s="76" t="s">
        <v>1288</v>
      </c>
      <c r="B2761" s="76" t="s">
        <v>1199</v>
      </c>
      <c r="C2761" s="76"/>
      <c r="D2761" s="75"/>
    </row>
    <row hidden="true" r="2762">
      <c r="A2762" s="76" t="s">
        <v>1288</v>
      </c>
      <c r="B2762" s="76" t="s">
        <v>1201</v>
      </c>
      <c r="C2762" s="76"/>
      <c r="D2762" s="75"/>
    </row>
    <row hidden="true" r="2763">
      <c r="A2763" s="76" t="s">
        <v>1288</v>
      </c>
      <c r="B2763" s="76" t="s">
        <v>1203</v>
      </c>
      <c r="C2763" s="76"/>
      <c r="D2763" s="75"/>
    </row>
    <row hidden="true" r="2764">
      <c r="A2764" s="76" t="s">
        <v>1288</v>
      </c>
      <c r="B2764" s="76" t="s">
        <v>1205</v>
      </c>
      <c r="C2764" s="76"/>
      <c r="D2764" s="75"/>
    </row>
    <row hidden="true" r="2765">
      <c r="A2765" s="76" t="s">
        <v>1288</v>
      </c>
      <c r="B2765" s="76" t="s">
        <v>1207</v>
      </c>
      <c r="C2765" s="76"/>
      <c r="D2765" s="75"/>
    </row>
    <row hidden="true" r="2766">
      <c r="A2766" s="76" t="s">
        <v>1288</v>
      </c>
      <c r="B2766" s="76" t="s">
        <v>1209</v>
      </c>
      <c r="C2766" s="76"/>
      <c r="D2766" s="75"/>
    </row>
    <row hidden="true" r="2767">
      <c r="A2767" s="76" t="s">
        <v>1288</v>
      </c>
      <c r="B2767" s="76" t="s">
        <v>1211</v>
      </c>
      <c r="C2767" s="76"/>
      <c r="D2767" s="75"/>
    </row>
    <row hidden="true" r="2768">
      <c r="A2768" s="76" t="s">
        <v>1288</v>
      </c>
      <c r="B2768" s="76" t="s">
        <v>1282</v>
      </c>
      <c r="C2768" s="76"/>
      <c r="D2768" s="75"/>
    </row>
    <row hidden="true" r="2769">
      <c r="A2769" s="76" t="s">
        <v>1288</v>
      </c>
      <c r="B2769" s="76" t="s">
        <v>735</v>
      </c>
      <c r="C2769" s="76"/>
      <c r="D2769" s="75"/>
    </row>
    <row hidden="true" r="2770">
      <c r="A2770" s="76" t="s">
        <v>1289</v>
      </c>
      <c r="B2770" s="76" t="s">
        <v>407</v>
      </c>
      <c r="C2770" s="76" t="s">
        <v>1281</v>
      </c>
      <c r="D2770" s="75"/>
    </row>
    <row hidden="true" r="2771">
      <c r="A2771" s="76" t="s">
        <v>1289</v>
      </c>
      <c r="B2771" s="76" t="s">
        <v>744</v>
      </c>
      <c r="C2771" s="76" t="s">
        <v>1281</v>
      </c>
      <c r="D2771" s="75"/>
    </row>
    <row hidden="true" r="2772">
      <c r="A2772" s="76" t="s">
        <v>1289</v>
      </c>
      <c r="B2772" s="76" t="s">
        <v>409</v>
      </c>
      <c r="C2772" s="76" t="s">
        <v>1281</v>
      </c>
      <c r="D2772" s="75"/>
    </row>
    <row hidden="true" r="2773">
      <c r="A2773" s="76" t="s">
        <v>1289</v>
      </c>
      <c r="B2773" s="76" t="s">
        <v>884</v>
      </c>
      <c r="C2773" s="76" t="s">
        <v>1281</v>
      </c>
      <c r="D2773" s="75"/>
    </row>
    <row hidden="true" r="2774">
      <c r="A2774" s="76" t="s">
        <v>1289</v>
      </c>
      <c r="B2774" s="76" t="s">
        <v>886</v>
      </c>
      <c r="C2774" s="76" t="s">
        <v>1281</v>
      </c>
      <c r="D2774" s="75"/>
    </row>
    <row hidden="true" r="2775">
      <c r="A2775" s="76" t="s">
        <v>1289</v>
      </c>
      <c r="B2775" s="76" t="s">
        <v>888</v>
      </c>
      <c r="C2775" s="76" t="s">
        <v>1281</v>
      </c>
      <c r="D2775" s="75"/>
    </row>
    <row hidden="true" r="2776">
      <c r="A2776" s="76" t="s">
        <v>1289</v>
      </c>
      <c r="B2776" s="76" t="s">
        <v>890</v>
      </c>
      <c r="C2776" s="76" t="s">
        <v>1281</v>
      </c>
      <c r="D2776" s="75"/>
    </row>
    <row hidden="true" r="2777">
      <c r="A2777" s="76" t="s">
        <v>1289</v>
      </c>
      <c r="B2777" s="76" t="s">
        <v>892</v>
      </c>
      <c r="C2777" s="76" t="s">
        <v>1281</v>
      </c>
      <c r="D2777" s="75"/>
    </row>
    <row hidden="true" r="2778">
      <c r="A2778" s="76" t="s">
        <v>1289</v>
      </c>
      <c r="B2778" s="76" t="s">
        <v>894</v>
      </c>
      <c r="C2778" s="76" t="s">
        <v>1281</v>
      </c>
      <c r="D2778" s="75"/>
    </row>
    <row hidden="true" r="2779">
      <c r="A2779" s="76" t="s">
        <v>1289</v>
      </c>
      <c r="B2779" s="76" t="s">
        <v>896</v>
      </c>
      <c r="C2779" s="76" t="s">
        <v>1281</v>
      </c>
      <c r="D2779" s="75"/>
    </row>
    <row hidden="true" r="2780">
      <c r="A2780" s="76" t="s">
        <v>1289</v>
      </c>
      <c r="B2780" s="76" t="s">
        <v>898</v>
      </c>
      <c r="C2780" s="76" t="s">
        <v>1281</v>
      </c>
      <c r="D2780" s="75"/>
    </row>
    <row hidden="true" r="2781">
      <c r="A2781" s="76" t="s">
        <v>1289</v>
      </c>
      <c r="B2781" s="76" t="s">
        <v>900</v>
      </c>
      <c r="C2781" s="76" t="s">
        <v>1281</v>
      </c>
      <c r="D2781" s="75"/>
    </row>
    <row hidden="true" r="2782">
      <c r="A2782" s="76" t="s">
        <v>1289</v>
      </c>
      <c r="B2782" s="76" t="s">
        <v>902</v>
      </c>
      <c r="C2782" s="76" t="s">
        <v>1281</v>
      </c>
      <c r="D2782" s="75"/>
    </row>
    <row hidden="true" r="2783">
      <c r="A2783" s="76" t="s">
        <v>1289</v>
      </c>
      <c r="B2783" s="76" t="s">
        <v>904</v>
      </c>
      <c r="C2783" s="76" t="s">
        <v>1281</v>
      </c>
      <c r="D2783" s="75"/>
    </row>
    <row hidden="true" r="2784">
      <c r="A2784" s="76" t="s">
        <v>1289</v>
      </c>
      <c r="B2784" s="76" t="s">
        <v>906</v>
      </c>
      <c r="C2784" s="76" t="s">
        <v>1281</v>
      </c>
      <c r="D2784" s="75"/>
    </row>
    <row hidden="true" r="2785">
      <c r="A2785" s="76" t="s">
        <v>1289</v>
      </c>
      <c r="B2785" s="76" t="s">
        <v>908</v>
      </c>
      <c r="C2785" s="76" t="s">
        <v>1281</v>
      </c>
      <c r="D2785" s="75"/>
    </row>
    <row hidden="true" r="2786">
      <c r="A2786" s="76" t="s">
        <v>1289</v>
      </c>
      <c r="B2786" s="76" t="s">
        <v>910</v>
      </c>
      <c r="C2786" s="76" t="s">
        <v>1281</v>
      </c>
      <c r="D2786" s="75"/>
    </row>
    <row hidden="true" r="2787">
      <c r="A2787" s="76" t="s">
        <v>1289</v>
      </c>
      <c r="B2787" s="76" t="s">
        <v>912</v>
      </c>
      <c r="C2787" s="76" t="s">
        <v>1281</v>
      </c>
      <c r="D2787" s="75"/>
    </row>
    <row hidden="true" r="2788">
      <c r="A2788" s="76" t="s">
        <v>1289</v>
      </c>
      <c r="B2788" s="76" t="s">
        <v>914</v>
      </c>
      <c r="C2788" s="76" t="s">
        <v>1281</v>
      </c>
      <c r="D2788" s="75"/>
    </row>
    <row hidden="true" r="2789">
      <c r="A2789" s="76" t="s">
        <v>1289</v>
      </c>
      <c r="B2789" s="76" t="s">
        <v>916</v>
      </c>
      <c r="C2789" s="76" t="s">
        <v>1281</v>
      </c>
      <c r="D2789" s="75"/>
    </row>
    <row hidden="true" r="2790">
      <c r="A2790" s="76" t="s">
        <v>1289</v>
      </c>
      <c r="B2790" s="76" t="s">
        <v>918</v>
      </c>
      <c r="C2790" s="76" t="s">
        <v>1281</v>
      </c>
      <c r="D2790" s="75"/>
    </row>
    <row hidden="true" r="2791">
      <c r="A2791" s="76" t="s">
        <v>1289</v>
      </c>
      <c r="B2791" s="76" t="s">
        <v>920</v>
      </c>
      <c r="C2791" s="76" t="s">
        <v>1281</v>
      </c>
      <c r="D2791" s="75"/>
    </row>
    <row hidden="true" r="2792">
      <c r="A2792" s="76" t="s">
        <v>1289</v>
      </c>
      <c r="B2792" s="76" t="s">
        <v>922</v>
      </c>
      <c r="C2792" s="76" t="s">
        <v>1281</v>
      </c>
      <c r="D2792" s="75"/>
    </row>
    <row hidden="true" r="2793">
      <c r="A2793" s="76" t="s">
        <v>1289</v>
      </c>
      <c r="B2793" s="76" t="s">
        <v>924</v>
      </c>
      <c r="C2793" s="76" t="s">
        <v>1281</v>
      </c>
      <c r="D2793" s="75"/>
    </row>
    <row hidden="true" r="2794">
      <c r="A2794" s="76" t="s">
        <v>1289</v>
      </c>
      <c r="B2794" s="76" t="s">
        <v>926</v>
      </c>
      <c r="C2794" s="76" t="s">
        <v>1281</v>
      </c>
      <c r="D2794" s="75"/>
    </row>
    <row hidden="true" r="2795">
      <c r="A2795" s="76" t="s">
        <v>1289</v>
      </c>
      <c r="B2795" s="76" t="s">
        <v>928</v>
      </c>
      <c r="C2795" s="76" t="s">
        <v>1281</v>
      </c>
      <c r="D2795" s="75"/>
    </row>
    <row hidden="true" r="2796">
      <c r="A2796" s="76" t="s">
        <v>1289</v>
      </c>
      <c r="B2796" s="76" t="s">
        <v>930</v>
      </c>
      <c r="C2796" s="76" t="s">
        <v>1281</v>
      </c>
      <c r="D2796" s="75"/>
    </row>
    <row hidden="true" r="2797">
      <c r="A2797" s="76" t="s">
        <v>1289</v>
      </c>
      <c r="B2797" s="76" t="s">
        <v>932</v>
      </c>
      <c r="C2797" s="76" t="s">
        <v>1281</v>
      </c>
      <c r="D2797" s="75"/>
    </row>
    <row hidden="true" r="2798">
      <c r="A2798" s="76" t="s">
        <v>1289</v>
      </c>
      <c r="B2798" s="76" t="s">
        <v>934</v>
      </c>
      <c r="C2798" s="76" t="s">
        <v>1281</v>
      </c>
      <c r="D2798" s="75"/>
    </row>
    <row hidden="true" r="2799">
      <c r="A2799" s="76" t="s">
        <v>1289</v>
      </c>
      <c r="B2799" s="76" t="s">
        <v>936</v>
      </c>
      <c r="C2799" s="76" t="s">
        <v>1281</v>
      </c>
      <c r="D2799" s="75"/>
    </row>
    <row hidden="true" r="2800">
      <c r="A2800" s="76" t="s">
        <v>1289</v>
      </c>
      <c r="B2800" s="76" t="s">
        <v>938</v>
      </c>
      <c r="C2800" s="76" t="s">
        <v>1281</v>
      </c>
      <c r="D2800" s="75"/>
    </row>
    <row hidden="true" r="2801">
      <c r="A2801" s="76" t="s">
        <v>1289</v>
      </c>
      <c r="B2801" s="76" t="s">
        <v>940</v>
      </c>
      <c r="C2801" s="76" t="s">
        <v>1281</v>
      </c>
      <c r="D2801" s="75"/>
    </row>
    <row hidden="true" r="2802">
      <c r="A2802" s="76" t="s">
        <v>1289</v>
      </c>
      <c r="B2802" s="76" t="s">
        <v>942</v>
      </c>
      <c r="C2802" s="76" t="s">
        <v>1281</v>
      </c>
      <c r="D2802" s="75"/>
    </row>
    <row hidden="true" r="2803">
      <c r="A2803" s="76" t="s">
        <v>1289</v>
      </c>
      <c r="B2803" s="76" t="s">
        <v>944</v>
      </c>
      <c r="C2803" s="76" t="s">
        <v>1281</v>
      </c>
      <c r="D2803" s="75"/>
    </row>
    <row hidden="true" r="2804">
      <c r="A2804" s="76" t="s">
        <v>1289</v>
      </c>
      <c r="B2804" s="76" t="s">
        <v>946</v>
      </c>
      <c r="C2804" s="76" t="s">
        <v>1281</v>
      </c>
      <c r="D2804" s="75"/>
    </row>
    <row hidden="true" r="2805">
      <c r="A2805" s="76" t="s">
        <v>1289</v>
      </c>
      <c r="B2805" s="76" t="s">
        <v>948</v>
      </c>
      <c r="C2805" s="76" t="s">
        <v>1281</v>
      </c>
      <c r="D2805" s="75"/>
    </row>
    <row hidden="true" r="2806">
      <c r="A2806" s="76" t="s">
        <v>1289</v>
      </c>
      <c r="B2806" s="76" t="s">
        <v>950</v>
      </c>
      <c r="C2806" s="76" t="s">
        <v>1281</v>
      </c>
      <c r="D2806" s="75"/>
    </row>
    <row hidden="true" r="2807">
      <c r="A2807" s="76" t="s">
        <v>1289</v>
      </c>
      <c r="B2807" s="76" t="s">
        <v>952</v>
      </c>
      <c r="C2807" s="76" t="s">
        <v>1281</v>
      </c>
      <c r="D2807" s="75"/>
    </row>
    <row hidden="true" r="2808">
      <c r="A2808" s="76" t="s">
        <v>1289</v>
      </c>
      <c r="B2808" s="76" t="s">
        <v>954</v>
      </c>
      <c r="C2808" s="76" t="s">
        <v>1281</v>
      </c>
      <c r="D2808" s="75"/>
    </row>
    <row hidden="true" r="2809">
      <c r="A2809" s="76" t="s">
        <v>1289</v>
      </c>
      <c r="B2809" s="76" t="s">
        <v>775</v>
      </c>
      <c r="C2809" s="76" t="s">
        <v>1281</v>
      </c>
      <c r="D2809" s="75"/>
    </row>
    <row hidden="true" r="2810">
      <c r="A2810" s="76" t="s">
        <v>1289</v>
      </c>
      <c r="B2810" s="76" t="s">
        <v>956</v>
      </c>
      <c r="C2810" s="76" t="s">
        <v>1281</v>
      </c>
      <c r="D2810" s="75"/>
    </row>
    <row hidden="true" r="2811">
      <c r="A2811" s="76" t="s">
        <v>1289</v>
      </c>
      <c r="B2811" s="76" t="s">
        <v>958</v>
      </c>
      <c r="C2811" s="76" t="s">
        <v>1281</v>
      </c>
      <c r="D2811" s="75"/>
    </row>
    <row hidden="true" r="2812">
      <c r="A2812" s="76" t="s">
        <v>1289</v>
      </c>
      <c r="B2812" s="76" t="s">
        <v>960</v>
      </c>
      <c r="C2812" s="76" t="s">
        <v>1281</v>
      </c>
      <c r="D2812" s="75"/>
    </row>
    <row hidden="true" r="2813">
      <c r="A2813" s="76" t="s">
        <v>1289</v>
      </c>
      <c r="B2813" s="76" t="s">
        <v>962</v>
      </c>
      <c r="C2813" s="76" t="s">
        <v>1281</v>
      </c>
      <c r="D2813" s="75"/>
    </row>
    <row hidden="true" r="2814">
      <c r="A2814" s="76" t="s">
        <v>1289</v>
      </c>
      <c r="B2814" s="76" t="s">
        <v>964</v>
      </c>
      <c r="C2814" s="76" t="s">
        <v>1281</v>
      </c>
      <c r="D2814" s="75"/>
    </row>
    <row hidden="true" r="2815">
      <c r="A2815" s="76" t="s">
        <v>1289</v>
      </c>
      <c r="B2815" s="76" t="s">
        <v>966</v>
      </c>
      <c r="C2815" s="76" t="s">
        <v>1281</v>
      </c>
      <c r="D2815" s="75"/>
    </row>
    <row hidden="true" r="2816">
      <c r="A2816" s="76" t="s">
        <v>1289</v>
      </c>
      <c r="B2816" s="76" t="s">
        <v>968</v>
      </c>
      <c r="C2816" s="76" t="s">
        <v>1281</v>
      </c>
      <c r="D2816" s="75"/>
    </row>
    <row hidden="true" r="2817">
      <c r="A2817" s="76" t="s">
        <v>1289</v>
      </c>
      <c r="B2817" s="76" t="s">
        <v>970</v>
      </c>
      <c r="C2817" s="76" t="s">
        <v>1281</v>
      </c>
      <c r="D2817" s="75"/>
    </row>
    <row hidden="true" r="2818">
      <c r="A2818" s="76" t="s">
        <v>1289</v>
      </c>
      <c r="B2818" s="76" t="s">
        <v>972</v>
      </c>
      <c r="C2818" s="76" t="s">
        <v>1281</v>
      </c>
      <c r="D2818" s="75"/>
    </row>
    <row hidden="true" r="2819">
      <c r="A2819" s="76" t="s">
        <v>1289</v>
      </c>
      <c r="B2819" s="76" t="s">
        <v>974</v>
      </c>
      <c r="C2819" s="76" t="s">
        <v>1281</v>
      </c>
      <c r="D2819" s="75"/>
    </row>
    <row hidden="true" r="2820">
      <c r="A2820" s="76" t="s">
        <v>1289</v>
      </c>
      <c r="B2820" s="76" t="s">
        <v>976</v>
      </c>
      <c r="C2820" s="76" t="s">
        <v>1281</v>
      </c>
      <c r="D2820" s="75"/>
    </row>
    <row hidden="true" r="2821">
      <c r="A2821" s="76" t="s">
        <v>1289</v>
      </c>
      <c r="B2821" s="76" t="s">
        <v>823</v>
      </c>
      <c r="C2821" s="76" t="s">
        <v>1281</v>
      </c>
      <c r="D2821" s="75"/>
    </row>
    <row hidden="true" r="2822">
      <c r="A2822" s="76" t="s">
        <v>1289</v>
      </c>
      <c r="B2822" s="76" t="s">
        <v>978</v>
      </c>
      <c r="C2822" s="76" t="s">
        <v>1281</v>
      </c>
      <c r="D2822" s="75"/>
    </row>
    <row hidden="true" r="2823">
      <c r="A2823" s="76" t="s">
        <v>1289</v>
      </c>
      <c r="B2823" s="76" t="s">
        <v>980</v>
      </c>
      <c r="C2823" s="76" t="s">
        <v>1281</v>
      </c>
      <c r="D2823" s="75"/>
    </row>
    <row hidden="true" r="2824">
      <c r="A2824" s="76" t="s">
        <v>1289</v>
      </c>
      <c r="B2824" s="76" t="s">
        <v>982</v>
      </c>
      <c r="C2824" s="76" t="s">
        <v>1281</v>
      </c>
      <c r="D2824" s="75"/>
    </row>
    <row hidden="true" r="2825">
      <c r="A2825" s="76" t="s">
        <v>1289</v>
      </c>
      <c r="B2825" s="76" t="s">
        <v>984</v>
      </c>
      <c r="C2825" s="76" t="s">
        <v>1281</v>
      </c>
      <c r="D2825" s="75"/>
    </row>
    <row hidden="true" r="2826">
      <c r="A2826" s="76" t="s">
        <v>1289</v>
      </c>
      <c r="B2826" s="76" t="s">
        <v>986</v>
      </c>
      <c r="C2826" s="76" t="s">
        <v>1281</v>
      </c>
      <c r="D2826" s="75"/>
    </row>
    <row hidden="true" r="2827">
      <c r="A2827" s="76" t="s">
        <v>1289</v>
      </c>
      <c r="B2827" s="76" t="s">
        <v>988</v>
      </c>
      <c r="C2827" s="76" t="s">
        <v>1281</v>
      </c>
      <c r="D2827" s="75"/>
    </row>
    <row hidden="true" r="2828">
      <c r="A2828" s="76" t="s">
        <v>1289</v>
      </c>
      <c r="B2828" s="76" t="s">
        <v>990</v>
      </c>
      <c r="C2828" s="76" t="s">
        <v>1281</v>
      </c>
      <c r="D2828" s="75"/>
    </row>
    <row hidden="true" r="2829">
      <c r="A2829" s="76" t="s">
        <v>1289</v>
      </c>
      <c r="B2829" s="76" t="s">
        <v>992</v>
      </c>
      <c r="C2829" s="76" t="s">
        <v>1281</v>
      </c>
      <c r="D2829" s="75"/>
    </row>
    <row hidden="true" r="2830">
      <c r="A2830" s="76" t="s">
        <v>1289</v>
      </c>
      <c r="B2830" s="76" t="s">
        <v>994</v>
      </c>
      <c r="C2830" s="76" t="s">
        <v>1281</v>
      </c>
      <c r="D2830" s="75"/>
    </row>
    <row hidden="true" r="2831">
      <c r="A2831" s="76" t="s">
        <v>1289</v>
      </c>
      <c r="B2831" s="76" t="s">
        <v>996</v>
      </c>
      <c r="C2831" s="76" t="s">
        <v>1281</v>
      </c>
      <c r="D2831" s="75"/>
    </row>
    <row hidden="true" r="2832">
      <c r="A2832" s="76" t="s">
        <v>1289</v>
      </c>
      <c r="B2832" s="76" t="s">
        <v>998</v>
      </c>
      <c r="C2832" s="76" t="s">
        <v>1281</v>
      </c>
      <c r="D2832" s="75"/>
    </row>
    <row hidden="true" r="2833">
      <c r="A2833" s="76" t="s">
        <v>1289</v>
      </c>
      <c r="B2833" s="76" t="s">
        <v>1000</v>
      </c>
      <c r="C2833" s="76" t="s">
        <v>1281</v>
      </c>
      <c r="D2833" s="75"/>
    </row>
    <row hidden="true" r="2834">
      <c r="A2834" s="76" t="s">
        <v>1289</v>
      </c>
      <c r="B2834" s="76" t="s">
        <v>1002</v>
      </c>
      <c r="C2834" s="76" t="s">
        <v>1281</v>
      </c>
      <c r="D2834" s="75"/>
    </row>
    <row hidden="true" r="2835">
      <c r="A2835" s="76" t="s">
        <v>1289</v>
      </c>
      <c r="B2835" s="76" t="s">
        <v>1004</v>
      </c>
      <c r="C2835" s="76" t="s">
        <v>1281</v>
      </c>
      <c r="D2835" s="75"/>
    </row>
    <row hidden="true" r="2836">
      <c r="A2836" s="76" t="s">
        <v>1289</v>
      </c>
      <c r="B2836" s="76" t="s">
        <v>1006</v>
      </c>
      <c r="C2836" s="76" t="s">
        <v>1281</v>
      </c>
      <c r="D2836" s="75"/>
    </row>
    <row hidden="true" r="2837">
      <c r="A2837" s="76" t="s">
        <v>1289</v>
      </c>
      <c r="B2837" s="76" t="s">
        <v>1008</v>
      </c>
      <c r="C2837" s="76" t="s">
        <v>1281</v>
      </c>
      <c r="D2837" s="75"/>
    </row>
    <row hidden="true" r="2838">
      <c r="A2838" s="76" t="s">
        <v>1289</v>
      </c>
      <c r="B2838" s="76" t="s">
        <v>1010</v>
      </c>
      <c r="C2838" s="76" t="s">
        <v>1281</v>
      </c>
      <c r="D2838" s="75"/>
    </row>
    <row hidden="true" r="2839">
      <c r="A2839" s="76" t="s">
        <v>1289</v>
      </c>
      <c r="B2839" s="76" t="s">
        <v>1012</v>
      </c>
      <c r="C2839" s="76" t="s">
        <v>1281</v>
      </c>
      <c r="D2839" s="75"/>
    </row>
    <row hidden="true" r="2840">
      <c r="A2840" s="76" t="s">
        <v>1289</v>
      </c>
      <c r="B2840" s="76" t="s">
        <v>1014</v>
      </c>
      <c r="C2840" s="76" t="s">
        <v>1281</v>
      </c>
      <c r="D2840" s="75"/>
    </row>
    <row hidden="true" r="2841">
      <c r="A2841" s="76" t="s">
        <v>1289</v>
      </c>
      <c r="B2841" s="76" t="s">
        <v>1016</v>
      </c>
      <c r="C2841" s="76" t="s">
        <v>1281</v>
      </c>
      <c r="D2841" s="75"/>
    </row>
    <row hidden="true" r="2842">
      <c r="A2842" s="76" t="s">
        <v>1289</v>
      </c>
      <c r="B2842" s="76" t="s">
        <v>1018</v>
      </c>
      <c r="C2842" s="76" t="s">
        <v>1281</v>
      </c>
      <c r="D2842" s="75"/>
    </row>
    <row hidden="true" r="2843">
      <c r="A2843" s="76" t="s">
        <v>1289</v>
      </c>
      <c r="B2843" s="76" t="s">
        <v>1020</v>
      </c>
      <c r="C2843" s="76" t="s">
        <v>1281</v>
      </c>
      <c r="D2843" s="75"/>
    </row>
    <row hidden="true" r="2844">
      <c r="A2844" s="76" t="s">
        <v>1289</v>
      </c>
      <c r="B2844" s="76" t="s">
        <v>1022</v>
      </c>
      <c r="C2844" s="76" t="s">
        <v>1281</v>
      </c>
      <c r="D2844" s="75"/>
    </row>
    <row hidden="true" r="2845">
      <c r="A2845" s="76" t="s">
        <v>1289</v>
      </c>
      <c r="B2845" s="76" t="s">
        <v>1023</v>
      </c>
      <c r="C2845" s="76" t="s">
        <v>1281</v>
      </c>
      <c r="D2845" s="75"/>
    </row>
    <row hidden="true" r="2846">
      <c r="A2846" s="76" t="s">
        <v>1289</v>
      </c>
      <c r="B2846" s="76" t="s">
        <v>1024</v>
      </c>
      <c r="C2846" s="76" t="s">
        <v>1281</v>
      </c>
      <c r="D2846" s="75"/>
    </row>
    <row hidden="true" r="2847">
      <c r="A2847" s="76" t="s">
        <v>1289</v>
      </c>
      <c r="B2847" s="76" t="s">
        <v>1025</v>
      </c>
      <c r="C2847" s="76" t="s">
        <v>1281</v>
      </c>
      <c r="D2847" s="75"/>
    </row>
    <row hidden="true" r="2848">
      <c r="A2848" s="76" t="s">
        <v>1289</v>
      </c>
      <c r="B2848" s="76" t="s">
        <v>1026</v>
      </c>
      <c r="C2848" s="76" t="s">
        <v>1281</v>
      </c>
      <c r="D2848" s="75"/>
    </row>
    <row hidden="true" r="2849">
      <c r="A2849" s="76" t="s">
        <v>1289</v>
      </c>
      <c r="B2849" s="76" t="s">
        <v>1027</v>
      </c>
      <c r="C2849" s="76" t="s">
        <v>1281</v>
      </c>
      <c r="D2849" s="75"/>
    </row>
    <row hidden="true" r="2850">
      <c r="A2850" s="76" t="s">
        <v>1289</v>
      </c>
      <c r="B2850" s="76" t="s">
        <v>1028</v>
      </c>
      <c r="C2850" s="76" t="s">
        <v>1281</v>
      </c>
      <c r="D2850" s="75"/>
    </row>
    <row hidden="true" r="2851">
      <c r="A2851" s="76" t="s">
        <v>1289</v>
      </c>
      <c r="B2851" s="76" t="s">
        <v>530</v>
      </c>
      <c r="C2851" s="76" t="s">
        <v>1281</v>
      </c>
      <c r="D2851" s="75"/>
    </row>
    <row hidden="true" r="2852">
      <c r="A2852" s="76" t="s">
        <v>1289</v>
      </c>
      <c r="B2852" s="76" t="s">
        <v>1030</v>
      </c>
      <c r="C2852" s="76" t="s">
        <v>1281</v>
      </c>
      <c r="D2852" s="75"/>
    </row>
    <row hidden="true" r="2853">
      <c r="A2853" s="76" t="s">
        <v>1289</v>
      </c>
      <c r="B2853" s="76" t="s">
        <v>1032</v>
      </c>
      <c r="C2853" s="76" t="s">
        <v>1281</v>
      </c>
      <c r="D2853" s="75"/>
    </row>
    <row hidden="true" r="2854">
      <c r="A2854" s="76" t="s">
        <v>1289</v>
      </c>
      <c r="B2854" s="76" t="s">
        <v>1034</v>
      </c>
      <c r="C2854" s="76" t="s">
        <v>1281</v>
      </c>
      <c r="D2854" s="75"/>
    </row>
    <row hidden="true" r="2855">
      <c r="A2855" s="76" t="s">
        <v>1289</v>
      </c>
      <c r="B2855" s="76" t="s">
        <v>532</v>
      </c>
      <c r="C2855" s="76" t="s">
        <v>1281</v>
      </c>
      <c r="D2855" s="75"/>
    </row>
    <row hidden="true" r="2856">
      <c r="A2856" s="76" t="s">
        <v>1289</v>
      </c>
      <c r="B2856" s="76" t="s">
        <v>1036</v>
      </c>
      <c r="C2856" s="76" t="s">
        <v>1281</v>
      </c>
      <c r="D2856" s="75"/>
    </row>
    <row hidden="true" r="2857">
      <c r="A2857" s="76" t="s">
        <v>1289</v>
      </c>
      <c r="B2857" s="76" t="s">
        <v>1038</v>
      </c>
      <c r="C2857" s="76" t="s">
        <v>1281</v>
      </c>
      <c r="D2857" s="75"/>
    </row>
    <row hidden="true" r="2858">
      <c r="A2858" s="76" t="s">
        <v>1289</v>
      </c>
      <c r="B2858" s="76" t="s">
        <v>1040</v>
      </c>
      <c r="C2858" s="76" t="s">
        <v>1281</v>
      </c>
      <c r="D2858" s="75"/>
    </row>
    <row hidden="true" r="2859">
      <c r="A2859" s="76" t="s">
        <v>1289</v>
      </c>
      <c r="B2859" s="76" t="s">
        <v>1042</v>
      </c>
      <c r="C2859" s="76" t="s">
        <v>1281</v>
      </c>
      <c r="D2859" s="75"/>
    </row>
    <row hidden="true" r="2860">
      <c r="A2860" s="76" t="s">
        <v>1289</v>
      </c>
      <c r="B2860" s="76" t="s">
        <v>1044</v>
      </c>
      <c r="C2860" s="76" t="s">
        <v>1281</v>
      </c>
      <c r="D2860" s="75"/>
    </row>
    <row hidden="true" r="2861">
      <c r="A2861" s="76" t="s">
        <v>1289</v>
      </c>
      <c r="B2861" s="76" t="s">
        <v>1046</v>
      </c>
      <c r="C2861" s="76" t="s">
        <v>1281</v>
      </c>
      <c r="D2861" s="75"/>
    </row>
    <row hidden="true" r="2862">
      <c r="A2862" s="76" t="s">
        <v>1289</v>
      </c>
      <c r="B2862" s="76" t="s">
        <v>1048</v>
      </c>
      <c r="C2862" s="76" t="s">
        <v>1281</v>
      </c>
      <c r="D2862" s="75"/>
    </row>
    <row hidden="true" r="2863">
      <c r="A2863" s="76" t="s">
        <v>1289</v>
      </c>
      <c r="B2863" s="76" t="s">
        <v>1050</v>
      </c>
      <c r="C2863" s="76" t="s">
        <v>1281</v>
      </c>
      <c r="D2863" s="75"/>
    </row>
    <row hidden="true" r="2864">
      <c r="A2864" s="76" t="s">
        <v>1289</v>
      </c>
      <c r="B2864" s="76" t="s">
        <v>1052</v>
      </c>
      <c r="C2864" s="76" t="s">
        <v>1281</v>
      </c>
      <c r="D2864" s="75"/>
    </row>
    <row hidden="true" r="2865">
      <c r="A2865" s="76" t="s">
        <v>1289</v>
      </c>
      <c r="B2865" s="76" t="s">
        <v>1054</v>
      </c>
      <c r="C2865" s="76" t="s">
        <v>1281</v>
      </c>
      <c r="D2865" s="75"/>
    </row>
    <row hidden="true" r="2866">
      <c r="A2866" s="76" t="s">
        <v>1289</v>
      </c>
      <c r="B2866" s="76" t="s">
        <v>1056</v>
      </c>
      <c r="C2866" s="76" t="s">
        <v>1281</v>
      </c>
      <c r="D2866" s="75"/>
    </row>
    <row hidden="true" r="2867">
      <c r="A2867" s="76" t="s">
        <v>1289</v>
      </c>
      <c r="B2867" s="76" t="s">
        <v>1058</v>
      </c>
      <c r="C2867" s="76" t="s">
        <v>1281</v>
      </c>
      <c r="D2867" s="75"/>
    </row>
    <row hidden="true" r="2868">
      <c r="A2868" s="76" t="s">
        <v>1289</v>
      </c>
      <c r="B2868" s="76" t="s">
        <v>1060</v>
      </c>
      <c r="C2868" s="76" t="s">
        <v>1281</v>
      </c>
      <c r="D2868" s="75"/>
    </row>
    <row hidden="true" r="2869">
      <c r="A2869" s="76" t="s">
        <v>1289</v>
      </c>
      <c r="B2869" s="76" t="s">
        <v>1062</v>
      </c>
      <c r="C2869" s="76" t="s">
        <v>1281</v>
      </c>
      <c r="D2869" s="75"/>
    </row>
    <row hidden="true" r="2870">
      <c r="A2870" s="76" t="s">
        <v>1289</v>
      </c>
      <c r="B2870" s="76" t="s">
        <v>1064</v>
      </c>
      <c r="C2870" s="76" t="s">
        <v>1281</v>
      </c>
      <c r="D2870" s="75"/>
    </row>
    <row hidden="true" r="2871">
      <c r="A2871" s="76" t="s">
        <v>1289</v>
      </c>
      <c r="B2871" s="76" t="s">
        <v>1066</v>
      </c>
      <c r="C2871" s="76" t="s">
        <v>1281</v>
      </c>
      <c r="D2871" s="75"/>
    </row>
    <row hidden="true" r="2872">
      <c r="A2872" s="76" t="s">
        <v>1289</v>
      </c>
      <c r="B2872" s="76" t="s">
        <v>1068</v>
      </c>
      <c r="C2872" s="76" t="s">
        <v>1281</v>
      </c>
      <c r="D2872" s="75"/>
    </row>
    <row hidden="true" r="2873">
      <c r="A2873" s="76" t="s">
        <v>1289</v>
      </c>
      <c r="B2873" s="76" t="s">
        <v>1070</v>
      </c>
      <c r="C2873" s="76" t="s">
        <v>1281</v>
      </c>
      <c r="D2873" s="75"/>
    </row>
    <row hidden="true" r="2874">
      <c r="A2874" s="76" t="s">
        <v>1289</v>
      </c>
      <c r="B2874" s="76" t="s">
        <v>1071</v>
      </c>
      <c r="C2874" s="76" t="s">
        <v>1281</v>
      </c>
      <c r="D2874" s="75"/>
    </row>
    <row hidden="true" r="2875">
      <c r="A2875" s="76" t="s">
        <v>1289</v>
      </c>
      <c r="B2875" s="76" t="s">
        <v>1072</v>
      </c>
      <c r="C2875" s="76" t="s">
        <v>1281</v>
      </c>
      <c r="D2875" s="75"/>
    </row>
    <row hidden="true" r="2876">
      <c r="A2876" s="76" t="s">
        <v>1289</v>
      </c>
      <c r="B2876" s="76" t="s">
        <v>1074</v>
      </c>
      <c r="C2876" s="76" t="s">
        <v>1281</v>
      </c>
      <c r="D2876" s="75"/>
    </row>
    <row hidden="true" r="2877">
      <c r="A2877" s="76" t="s">
        <v>1289</v>
      </c>
      <c r="B2877" s="76" t="s">
        <v>1075</v>
      </c>
      <c r="C2877" s="76" t="s">
        <v>1281</v>
      </c>
      <c r="D2877" s="75"/>
    </row>
    <row hidden="true" r="2878">
      <c r="A2878" s="76" t="s">
        <v>1289</v>
      </c>
      <c r="B2878" s="76" t="s">
        <v>1076</v>
      </c>
      <c r="C2878" s="76" t="s">
        <v>1281</v>
      </c>
      <c r="D2878" s="75"/>
    </row>
    <row hidden="true" r="2879">
      <c r="A2879" s="76" t="s">
        <v>1289</v>
      </c>
      <c r="B2879" s="76" t="s">
        <v>1078</v>
      </c>
      <c r="C2879" s="76" t="s">
        <v>1281</v>
      </c>
      <c r="D2879" s="75"/>
    </row>
    <row hidden="true" r="2880">
      <c r="A2880" s="76" t="s">
        <v>1289</v>
      </c>
      <c r="B2880" s="76" t="s">
        <v>839</v>
      </c>
      <c r="C2880" s="76" t="s">
        <v>1281</v>
      </c>
      <c r="D2880" s="75"/>
    </row>
    <row hidden="true" r="2881">
      <c r="A2881" s="76" t="s">
        <v>1289</v>
      </c>
      <c r="B2881" s="76" t="s">
        <v>1080</v>
      </c>
      <c r="C2881" s="76" t="s">
        <v>1281</v>
      </c>
      <c r="D2881" s="75"/>
    </row>
    <row hidden="true" r="2882">
      <c r="A2882" s="76" t="s">
        <v>1289</v>
      </c>
      <c r="B2882" s="76" t="s">
        <v>1082</v>
      </c>
      <c r="C2882" s="76" t="s">
        <v>1281</v>
      </c>
      <c r="D2882" s="75"/>
    </row>
    <row hidden="true" r="2883">
      <c r="A2883" s="76" t="s">
        <v>1289</v>
      </c>
      <c r="B2883" s="76" t="s">
        <v>1084</v>
      </c>
      <c r="C2883" s="76" t="s">
        <v>1281</v>
      </c>
      <c r="D2883" s="75"/>
    </row>
    <row hidden="true" r="2884">
      <c r="A2884" s="76" t="s">
        <v>1289</v>
      </c>
      <c r="B2884" s="76" t="s">
        <v>1086</v>
      </c>
      <c r="C2884" s="76" t="s">
        <v>1281</v>
      </c>
      <c r="D2884" s="75"/>
    </row>
    <row hidden="true" r="2885">
      <c r="A2885" s="76" t="s">
        <v>1289</v>
      </c>
      <c r="B2885" s="76" t="s">
        <v>1088</v>
      </c>
      <c r="C2885" s="76" t="s">
        <v>1281</v>
      </c>
      <c r="D2885" s="75"/>
    </row>
    <row hidden="true" r="2886">
      <c r="A2886" s="76" t="s">
        <v>1289</v>
      </c>
      <c r="B2886" s="76" t="s">
        <v>1090</v>
      </c>
      <c r="C2886" s="76" t="s">
        <v>1281</v>
      </c>
      <c r="D2886" s="75"/>
    </row>
    <row hidden="true" r="2887">
      <c r="A2887" s="76" t="s">
        <v>1289</v>
      </c>
      <c r="B2887" s="76" t="s">
        <v>1092</v>
      </c>
      <c r="C2887" s="76" t="s">
        <v>1281</v>
      </c>
      <c r="D2887" s="75"/>
    </row>
    <row hidden="true" r="2888">
      <c r="A2888" s="76" t="s">
        <v>1289</v>
      </c>
      <c r="B2888" s="76" t="s">
        <v>1093</v>
      </c>
      <c r="C2888" s="76" t="s">
        <v>1281</v>
      </c>
      <c r="D2888" s="75"/>
    </row>
    <row hidden="true" r="2889">
      <c r="A2889" s="76" t="s">
        <v>1289</v>
      </c>
      <c r="B2889" s="76" t="s">
        <v>1095</v>
      </c>
      <c r="C2889" s="76" t="s">
        <v>1281</v>
      </c>
      <c r="D2889" s="75"/>
    </row>
    <row hidden="true" r="2890">
      <c r="A2890" s="76" t="s">
        <v>1289</v>
      </c>
      <c r="B2890" s="76" t="s">
        <v>1097</v>
      </c>
      <c r="C2890" s="76" t="s">
        <v>1281</v>
      </c>
      <c r="D2890" s="75"/>
    </row>
    <row hidden="true" r="2891">
      <c r="A2891" s="76" t="s">
        <v>1289</v>
      </c>
      <c r="B2891" s="76" t="s">
        <v>1099</v>
      </c>
      <c r="C2891" s="76" t="s">
        <v>1281</v>
      </c>
      <c r="D2891" s="75"/>
    </row>
    <row hidden="true" r="2892">
      <c r="A2892" s="76" t="s">
        <v>1289</v>
      </c>
      <c r="B2892" s="76" t="s">
        <v>1101</v>
      </c>
      <c r="C2892" s="76" t="s">
        <v>1281</v>
      </c>
      <c r="D2892" s="75"/>
    </row>
    <row hidden="true" r="2893">
      <c r="A2893" s="76" t="s">
        <v>1289</v>
      </c>
      <c r="B2893" s="76" t="s">
        <v>1103</v>
      </c>
      <c r="C2893" s="76" t="s">
        <v>1281</v>
      </c>
      <c r="D2893" s="75"/>
    </row>
    <row hidden="true" r="2894">
      <c r="A2894" s="76" t="s">
        <v>1289</v>
      </c>
      <c r="B2894" s="76" t="s">
        <v>1105</v>
      </c>
      <c r="C2894" s="76" t="s">
        <v>1281</v>
      </c>
      <c r="D2894" s="75"/>
    </row>
    <row hidden="true" r="2895">
      <c r="A2895" s="76" t="s">
        <v>1289</v>
      </c>
      <c r="B2895" s="76" t="s">
        <v>1107</v>
      </c>
      <c r="C2895" s="76" t="s">
        <v>1281</v>
      </c>
      <c r="D2895" s="75"/>
    </row>
    <row hidden="true" r="2896">
      <c r="A2896" s="76" t="s">
        <v>1289</v>
      </c>
      <c r="B2896" s="76" t="s">
        <v>1109</v>
      </c>
      <c r="C2896" s="76" t="s">
        <v>1281</v>
      </c>
      <c r="D2896" s="75"/>
    </row>
    <row hidden="true" r="2897">
      <c r="A2897" s="76" t="s">
        <v>1289</v>
      </c>
      <c r="B2897" s="76" t="s">
        <v>1111</v>
      </c>
      <c r="C2897" s="76" t="s">
        <v>1281</v>
      </c>
      <c r="D2897" s="75"/>
    </row>
    <row hidden="true" r="2898">
      <c r="A2898" s="76" t="s">
        <v>1289</v>
      </c>
      <c r="B2898" s="76" t="s">
        <v>1113</v>
      </c>
      <c r="C2898" s="76" t="s">
        <v>1281</v>
      </c>
      <c r="D2898" s="75"/>
    </row>
    <row hidden="true" r="2899">
      <c r="A2899" s="76" t="s">
        <v>1289</v>
      </c>
      <c r="B2899" s="76" t="s">
        <v>1115</v>
      </c>
      <c r="C2899" s="76" t="s">
        <v>1281</v>
      </c>
      <c r="D2899" s="75"/>
    </row>
    <row hidden="true" r="2900">
      <c r="A2900" s="76" t="s">
        <v>1289</v>
      </c>
      <c r="B2900" s="76" t="s">
        <v>1117</v>
      </c>
      <c r="C2900" s="76" t="s">
        <v>1281</v>
      </c>
      <c r="D2900" s="75"/>
    </row>
    <row hidden="true" r="2901">
      <c r="A2901" s="76" t="s">
        <v>1289</v>
      </c>
      <c r="B2901" s="76" t="s">
        <v>1119</v>
      </c>
      <c r="C2901" s="76" t="s">
        <v>1281</v>
      </c>
      <c r="D2901" s="75"/>
    </row>
    <row hidden="true" r="2902">
      <c r="A2902" s="76" t="s">
        <v>1289</v>
      </c>
      <c r="B2902" s="76" t="s">
        <v>1121</v>
      </c>
      <c r="C2902" s="76" t="s">
        <v>1281</v>
      </c>
      <c r="D2902" s="75"/>
    </row>
    <row hidden="true" r="2903">
      <c r="A2903" s="76" t="s">
        <v>1289</v>
      </c>
      <c r="B2903" s="76" t="s">
        <v>1123</v>
      </c>
      <c r="C2903" s="76" t="s">
        <v>1281</v>
      </c>
      <c r="D2903" s="75"/>
    </row>
    <row hidden="true" r="2904">
      <c r="A2904" s="76" t="s">
        <v>1289</v>
      </c>
      <c r="B2904" s="76" t="s">
        <v>1125</v>
      </c>
      <c r="C2904" s="76" t="s">
        <v>1281</v>
      </c>
      <c r="D2904" s="75"/>
    </row>
    <row hidden="true" r="2905">
      <c r="A2905" s="76" t="s">
        <v>1289</v>
      </c>
      <c r="B2905" s="76" t="s">
        <v>1127</v>
      </c>
      <c r="C2905" s="76" t="s">
        <v>1281</v>
      </c>
      <c r="D2905" s="75"/>
    </row>
    <row hidden="true" r="2906">
      <c r="A2906" s="76" t="s">
        <v>1289</v>
      </c>
      <c r="B2906" s="76" t="s">
        <v>1129</v>
      </c>
      <c r="C2906" s="76" t="s">
        <v>1281</v>
      </c>
      <c r="D2906" s="75"/>
    </row>
    <row hidden="true" r="2907">
      <c r="A2907" s="76" t="s">
        <v>1289</v>
      </c>
      <c r="B2907" s="76" t="s">
        <v>1131</v>
      </c>
      <c r="C2907" s="76" t="s">
        <v>1281</v>
      </c>
      <c r="D2907" s="75"/>
    </row>
    <row hidden="true" r="2908">
      <c r="A2908" s="76" t="s">
        <v>1289</v>
      </c>
      <c r="B2908" s="76" t="s">
        <v>1133</v>
      </c>
      <c r="C2908" s="76" t="s">
        <v>1281</v>
      </c>
      <c r="D2908" s="75"/>
    </row>
    <row hidden="true" r="2909">
      <c r="A2909" s="76" t="s">
        <v>1289</v>
      </c>
      <c r="B2909" s="76" t="s">
        <v>1135</v>
      </c>
      <c r="C2909" s="76" t="s">
        <v>1281</v>
      </c>
      <c r="D2909" s="75"/>
    </row>
    <row hidden="true" r="2910">
      <c r="A2910" s="76" t="s">
        <v>1289</v>
      </c>
      <c r="B2910" s="76" t="s">
        <v>1137</v>
      </c>
      <c r="C2910" s="76" t="s">
        <v>1281</v>
      </c>
      <c r="D2910" s="75"/>
    </row>
    <row hidden="true" r="2911">
      <c r="A2911" s="76" t="s">
        <v>1289</v>
      </c>
      <c r="B2911" s="76" t="s">
        <v>1139</v>
      </c>
      <c r="C2911" s="76" t="s">
        <v>1281</v>
      </c>
      <c r="D2911" s="75"/>
    </row>
    <row hidden="true" r="2912">
      <c r="A2912" s="76" t="s">
        <v>1289</v>
      </c>
      <c r="B2912" s="76" t="s">
        <v>1141</v>
      </c>
      <c r="C2912" s="76" t="s">
        <v>1281</v>
      </c>
      <c r="D2912" s="75"/>
    </row>
    <row hidden="true" r="2913">
      <c r="A2913" s="76" t="s">
        <v>1289</v>
      </c>
      <c r="B2913" s="76" t="s">
        <v>1143</v>
      </c>
      <c r="C2913" s="76" t="s">
        <v>1281</v>
      </c>
      <c r="D2913" s="75"/>
    </row>
    <row hidden="true" r="2914">
      <c r="A2914" s="76" t="s">
        <v>1289</v>
      </c>
      <c r="B2914" s="76" t="s">
        <v>1145</v>
      </c>
      <c r="C2914" s="76" t="s">
        <v>1281</v>
      </c>
      <c r="D2914" s="75"/>
    </row>
    <row hidden="true" r="2915">
      <c r="A2915" s="76" t="s">
        <v>1289</v>
      </c>
      <c r="B2915" s="76" t="s">
        <v>1147</v>
      </c>
      <c r="C2915" s="76" t="s">
        <v>1281</v>
      </c>
      <c r="D2915" s="75"/>
    </row>
    <row hidden="true" r="2916">
      <c r="A2916" s="76" t="s">
        <v>1289</v>
      </c>
      <c r="B2916" s="76" t="s">
        <v>1149</v>
      </c>
      <c r="C2916" s="76" t="s">
        <v>1281</v>
      </c>
      <c r="D2916" s="75"/>
    </row>
    <row hidden="true" r="2917">
      <c r="A2917" s="76" t="s">
        <v>1289</v>
      </c>
      <c r="B2917" s="76" t="s">
        <v>1151</v>
      </c>
      <c r="C2917" s="76" t="s">
        <v>1281</v>
      </c>
      <c r="D2917" s="75"/>
    </row>
    <row hidden="true" r="2918">
      <c r="A2918" s="76" t="s">
        <v>1289</v>
      </c>
      <c r="B2918" s="76" t="s">
        <v>1153</v>
      </c>
      <c r="C2918" s="76" t="s">
        <v>1281</v>
      </c>
      <c r="D2918" s="75"/>
    </row>
    <row hidden="true" r="2919">
      <c r="A2919" s="76" t="s">
        <v>1289</v>
      </c>
      <c r="B2919" s="76" t="s">
        <v>1155</v>
      </c>
      <c r="C2919" s="76" t="s">
        <v>1281</v>
      </c>
      <c r="D2919" s="75"/>
    </row>
    <row hidden="true" r="2920">
      <c r="A2920" s="76" t="s">
        <v>1289</v>
      </c>
      <c r="B2920" s="76" t="s">
        <v>1157</v>
      </c>
      <c r="C2920" s="76" t="s">
        <v>1281</v>
      </c>
      <c r="D2920" s="75"/>
    </row>
    <row hidden="true" r="2921">
      <c r="A2921" s="76" t="s">
        <v>1289</v>
      </c>
      <c r="B2921" s="76" t="s">
        <v>1159</v>
      </c>
      <c r="C2921" s="76" t="s">
        <v>1281</v>
      </c>
      <c r="D2921" s="75"/>
    </row>
    <row hidden="true" r="2922">
      <c r="A2922" s="76" t="s">
        <v>1289</v>
      </c>
      <c r="B2922" s="76" t="s">
        <v>868</v>
      </c>
      <c r="C2922" s="76" t="s">
        <v>1281</v>
      </c>
      <c r="D2922" s="75"/>
    </row>
    <row hidden="true" r="2923">
      <c r="A2923" s="76" t="s">
        <v>1289</v>
      </c>
      <c r="B2923" s="76" t="s">
        <v>1161</v>
      </c>
      <c r="C2923" s="76" t="s">
        <v>1281</v>
      </c>
      <c r="D2923" s="75"/>
    </row>
    <row hidden="true" r="2924">
      <c r="A2924" s="76" t="s">
        <v>1289</v>
      </c>
      <c r="B2924" s="76" t="s">
        <v>1163</v>
      </c>
      <c r="C2924" s="76" t="s">
        <v>1281</v>
      </c>
      <c r="D2924" s="75"/>
    </row>
    <row hidden="true" r="2925">
      <c r="A2925" s="76" t="s">
        <v>1289</v>
      </c>
      <c r="B2925" s="76" t="s">
        <v>1165</v>
      </c>
      <c r="C2925" s="76" t="s">
        <v>1281</v>
      </c>
      <c r="D2925" s="75"/>
    </row>
    <row hidden="true" r="2926">
      <c r="A2926" s="76" t="s">
        <v>1289</v>
      </c>
      <c r="B2926" s="76" t="s">
        <v>1167</v>
      </c>
      <c r="C2926" s="76" t="s">
        <v>1281</v>
      </c>
      <c r="D2926" s="75"/>
    </row>
    <row hidden="true" r="2927">
      <c r="A2927" s="76" t="s">
        <v>1289</v>
      </c>
      <c r="B2927" s="76" t="s">
        <v>1169</v>
      </c>
      <c r="C2927" s="76" t="s">
        <v>1281</v>
      </c>
      <c r="D2927" s="75"/>
    </row>
    <row hidden="true" r="2928">
      <c r="A2928" s="76" t="s">
        <v>1289</v>
      </c>
      <c r="B2928" s="76" t="s">
        <v>1171</v>
      </c>
      <c r="C2928" s="76" t="s">
        <v>1281</v>
      </c>
      <c r="D2928" s="75"/>
    </row>
    <row hidden="true" r="2929">
      <c r="A2929" s="76" t="s">
        <v>1289</v>
      </c>
      <c r="B2929" s="76" t="s">
        <v>1173</v>
      </c>
      <c r="C2929" s="76" t="s">
        <v>1281</v>
      </c>
      <c r="D2929" s="75"/>
    </row>
    <row hidden="true" r="2930">
      <c r="A2930" s="76" t="s">
        <v>1289</v>
      </c>
      <c r="B2930" s="76" t="s">
        <v>1175</v>
      </c>
      <c r="C2930" s="76" t="s">
        <v>1281</v>
      </c>
      <c r="D2930" s="75"/>
    </row>
    <row hidden="true" r="2931">
      <c r="A2931" s="76" t="s">
        <v>1289</v>
      </c>
      <c r="B2931" s="76" t="s">
        <v>1177</v>
      </c>
      <c r="C2931" s="76" t="s">
        <v>1281</v>
      </c>
      <c r="D2931" s="75"/>
    </row>
    <row hidden="true" r="2932">
      <c r="A2932" s="76" t="s">
        <v>1289</v>
      </c>
      <c r="B2932" s="76" t="s">
        <v>1179</v>
      </c>
      <c r="C2932" s="76" t="s">
        <v>1281</v>
      </c>
      <c r="D2932" s="75"/>
    </row>
    <row hidden="true" r="2933">
      <c r="A2933" s="76" t="s">
        <v>1289</v>
      </c>
      <c r="B2933" s="76" t="s">
        <v>1181</v>
      </c>
      <c r="C2933" s="76" t="s">
        <v>1281</v>
      </c>
      <c r="D2933" s="75"/>
    </row>
    <row hidden="true" r="2934">
      <c r="A2934" s="76" t="s">
        <v>1289</v>
      </c>
      <c r="B2934" s="76" t="s">
        <v>1183</v>
      </c>
      <c r="C2934" s="76" t="s">
        <v>1281</v>
      </c>
      <c r="D2934" s="75"/>
    </row>
    <row hidden="true" r="2935">
      <c r="A2935" s="76" t="s">
        <v>1289</v>
      </c>
      <c r="B2935" s="76" t="s">
        <v>1185</v>
      </c>
      <c r="C2935" s="76" t="s">
        <v>1281</v>
      </c>
      <c r="D2935" s="75"/>
    </row>
    <row hidden="true" r="2936">
      <c r="A2936" s="76" t="s">
        <v>1289</v>
      </c>
      <c r="B2936" s="76" t="s">
        <v>1187</v>
      </c>
      <c r="C2936" s="76" t="s">
        <v>1281</v>
      </c>
      <c r="D2936" s="75"/>
    </row>
    <row hidden="true" r="2937">
      <c r="A2937" s="76" t="s">
        <v>1289</v>
      </c>
      <c r="B2937" s="76" t="s">
        <v>1199</v>
      </c>
      <c r="C2937" s="76" t="s">
        <v>1281</v>
      </c>
      <c r="D2937" s="75"/>
    </row>
    <row hidden="true" r="2938">
      <c r="A2938" s="76" t="s">
        <v>1289</v>
      </c>
      <c r="B2938" s="76" t="s">
        <v>1201</v>
      </c>
      <c r="C2938" s="76" t="s">
        <v>1281</v>
      </c>
      <c r="D2938" s="75"/>
    </row>
    <row hidden="true" r="2939">
      <c r="A2939" s="76" t="s">
        <v>1289</v>
      </c>
      <c r="B2939" s="76" t="s">
        <v>1203</v>
      </c>
      <c r="C2939" s="76" t="s">
        <v>1281</v>
      </c>
      <c r="D2939" s="75"/>
    </row>
    <row hidden="true" r="2940">
      <c r="A2940" s="76" t="s">
        <v>1289</v>
      </c>
      <c r="B2940" s="76" t="s">
        <v>1205</v>
      </c>
      <c r="C2940" s="76" t="s">
        <v>1281</v>
      </c>
      <c r="D2940" s="75"/>
    </row>
    <row hidden="true" r="2941">
      <c r="A2941" s="76" t="s">
        <v>1289</v>
      </c>
      <c r="B2941" s="76" t="s">
        <v>1207</v>
      </c>
      <c r="C2941" s="76" t="s">
        <v>1281</v>
      </c>
      <c r="D2941" s="75"/>
    </row>
    <row hidden="true" r="2942">
      <c r="A2942" s="76" t="s">
        <v>1289</v>
      </c>
      <c r="B2942" s="76" t="s">
        <v>1209</v>
      </c>
      <c r="C2942" s="76" t="s">
        <v>1281</v>
      </c>
      <c r="D2942" s="75"/>
    </row>
    <row hidden="true" r="2943">
      <c r="A2943" s="76" t="s">
        <v>1289</v>
      </c>
      <c r="B2943" s="76" t="s">
        <v>1282</v>
      </c>
      <c r="C2943" s="76" t="s">
        <v>1281</v>
      </c>
      <c r="D2943" s="75"/>
    </row>
    <row hidden="true" r="2944">
      <c r="A2944" s="76" t="s">
        <v>1289</v>
      </c>
      <c r="B2944" s="76" t="s">
        <v>735</v>
      </c>
      <c r="C2944" s="76" t="s">
        <v>1283</v>
      </c>
      <c r="D2944" s="75"/>
    </row>
    <row hidden="true" r="2945">
      <c r="A2945" s="76" t="s">
        <v>1290</v>
      </c>
      <c r="B2945" s="76" t="s">
        <v>407</v>
      </c>
      <c r="C2945" s="76" t="s">
        <v>408</v>
      </c>
      <c r="D2945" s="75"/>
    </row>
    <row hidden="true" r="2946">
      <c r="A2946" s="76" t="s">
        <v>1290</v>
      </c>
      <c r="B2946" s="76" t="s">
        <v>744</v>
      </c>
      <c r="C2946" s="76" t="s">
        <v>745</v>
      </c>
      <c r="D2946" s="75"/>
    </row>
    <row hidden="true" r="2947">
      <c r="A2947" s="76" t="s">
        <v>1290</v>
      </c>
      <c r="B2947" s="76" t="s">
        <v>409</v>
      </c>
      <c r="C2947" s="76" t="s">
        <v>410</v>
      </c>
      <c r="D2947" s="75"/>
    </row>
    <row hidden="true" r="2948">
      <c r="A2948" s="76" t="s">
        <v>1290</v>
      </c>
      <c r="B2948" s="76" t="s">
        <v>884</v>
      </c>
      <c r="C2948" s="76" t="s">
        <v>885</v>
      </c>
      <c r="D2948" s="75"/>
    </row>
    <row hidden="true" r="2949">
      <c r="A2949" s="76" t="s">
        <v>1290</v>
      </c>
      <c r="B2949" s="76" t="s">
        <v>886</v>
      </c>
      <c r="C2949" s="76" t="s">
        <v>887</v>
      </c>
      <c r="D2949" s="75"/>
    </row>
    <row hidden="true" r="2950">
      <c r="A2950" s="76" t="s">
        <v>1290</v>
      </c>
      <c r="B2950" s="76" t="s">
        <v>888</v>
      </c>
      <c r="C2950" s="76" t="s">
        <v>889</v>
      </c>
      <c r="D2950" s="75"/>
    </row>
    <row hidden="true" r="2951">
      <c r="A2951" s="76" t="s">
        <v>1290</v>
      </c>
      <c r="B2951" s="76" t="s">
        <v>890</v>
      </c>
      <c r="C2951" s="76" t="s">
        <v>891</v>
      </c>
      <c r="D2951" s="75"/>
    </row>
    <row hidden="true" r="2952">
      <c r="A2952" s="76" t="s">
        <v>1290</v>
      </c>
      <c r="B2952" s="76" t="s">
        <v>892</v>
      </c>
      <c r="C2952" s="76" t="s">
        <v>893</v>
      </c>
      <c r="D2952" s="75"/>
    </row>
    <row hidden="true" r="2953">
      <c r="A2953" s="76" t="s">
        <v>1290</v>
      </c>
      <c r="B2953" s="76" t="s">
        <v>894</v>
      </c>
      <c r="C2953" s="76" t="s">
        <v>895</v>
      </c>
      <c r="D2953" s="75"/>
    </row>
    <row hidden="true" r="2954">
      <c r="A2954" s="76" t="s">
        <v>1290</v>
      </c>
      <c r="B2954" s="76" t="s">
        <v>896</v>
      </c>
      <c r="C2954" s="76" t="s">
        <v>897</v>
      </c>
      <c r="D2954" s="75"/>
    </row>
    <row hidden="true" r="2955">
      <c r="A2955" s="76" t="s">
        <v>1290</v>
      </c>
      <c r="B2955" s="76" t="s">
        <v>898</v>
      </c>
      <c r="C2955" s="76" t="s">
        <v>899</v>
      </c>
      <c r="D2955" s="75"/>
    </row>
    <row hidden="true" r="2956">
      <c r="A2956" s="76" t="s">
        <v>1290</v>
      </c>
      <c r="B2956" s="76" t="s">
        <v>900</v>
      </c>
      <c r="C2956" s="76" t="s">
        <v>901</v>
      </c>
      <c r="D2956" s="75"/>
    </row>
    <row hidden="true" r="2957">
      <c r="A2957" s="76" t="s">
        <v>1290</v>
      </c>
      <c r="B2957" s="76" t="s">
        <v>902</v>
      </c>
      <c r="C2957" s="76" t="s">
        <v>903</v>
      </c>
      <c r="D2957" s="75"/>
    </row>
    <row hidden="true" r="2958">
      <c r="A2958" s="76" t="s">
        <v>1290</v>
      </c>
      <c r="B2958" s="76" t="s">
        <v>904</v>
      </c>
      <c r="C2958" s="76" t="s">
        <v>905</v>
      </c>
      <c r="D2958" s="75"/>
    </row>
    <row hidden="true" r="2959">
      <c r="A2959" s="76" t="s">
        <v>1290</v>
      </c>
      <c r="B2959" s="76" t="s">
        <v>906</v>
      </c>
      <c r="C2959" s="76" t="s">
        <v>907</v>
      </c>
      <c r="D2959" s="75"/>
    </row>
    <row hidden="true" r="2960">
      <c r="A2960" s="76" t="s">
        <v>1290</v>
      </c>
      <c r="B2960" s="76" t="s">
        <v>908</v>
      </c>
      <c r="C2960" s="76" t="s">
        <v>909</v>
      </c>
      <c r="D2960" s="75"/>
    </row>
    <row hidden="true" r="2961">
      <c r="A2961" s="76" t="s">
        <v>1290</v>
      </c>
      <c r="B2961" s="76" t="s">
        <v>910</v>
      </c>
      <c r="C2961" s="76" t="s">
        <v>911</v>
      </c>
      <c r="D2961" s="75"/>
    </row>
    <row hidden="true" r="2962">
      <c r="A2962" s="76" t="s">
        <v>1290</v>
      </c>
      <c r="B2962" s="76" t="s">
        <v>912</v>
      </c>
      <c r="C2962" s="76" t="s">
        <v>913</v>
      </c>
      <c r="D2962" s="75"/>
    </row>
    <row hidden="true" r="2963">
      <c r="A2963" s="76" t="s">
        <v>1290</v>
      </c>
      <c r="B2963" s="76" t="s">
        <v>914</v>
      </c>
      <c r="C2963" s="76" t="s">
        <v>915</v>
      </c>
      <c r="D2963" s="75"/>
    </row>
    <row hidden="true" r="2964">
      <c r="A2964" s="76" t="s">
        <v>1290</v>
      </c>
      <c r="B2964" s="76" t="s">
        <v>916</v>
      </c>
      <c r="C2964" s="76" t="s">
        <v>917</v>
      </c>
      <c r="D2964" s="75"/>
    </row>
    <row hidden="true" r="2965">
      <c r="A2965" s="76" t="s">
        <v>1290</v>
      </c>
      <c r="B2965" s="76" t="s">
        <v>918</v>
      </c>
      <c r="C2965" s="76" t="s">
        <v>919</v>
      </c>
      <c r="D2965" s="75"/>
    </row>
    <row hidden="true" r="2966">
      <c r="A2966" s="76" t="s">
        <v>1290</v>
      </c>
      <c r="B2966" s="76" t="s">
        <v>920</v>
      </c>
      <c r="C2966" s="76" t="s">
        <v>921</v>
      </c>
      <c r="D2966" s="75"/>
    </row>
    <row hidden="true" r="2967">
      <c r="A2967" s="76" t="s">
        <v>1290</v>
      </c>
      <c r="B2967" s="76" t="s">
        <v>922</v>
      </c>
      <c r="C2967" s="76" t="s">
        <v>923</v>
      </c>
      <c r="D2967" s="75"/>
    </row>
    <row hidden="true" r="2968">
      <c r="A2968" s="76" t="s">
        <v>1290</v>
      </c>
      <c r="B2968" s="76" t="s">
        <v>924</v>
      </c>
      <c r="C2968" s="76" t="s">
        <v>925</v>
      </c>
      <c r="D2968" s="75"/>
    </row>
    <row hidden="true" r="2969">
      <c r="A2969" s="76" t="s">
        <v>1290</v>
      </c>
      <c r="B2969" s="76" t="s">
        <v>926</v>
      </c>
      <c r="C2969" s="76" t="s">
        <v>927</v>
      </c>
      <c r="D2969" s="75"/>
    </row>
    <row hidden="true" r="2970">
      <c r="A2970" s="76" t="s">
        <v>1290</v>
      </c>
      <c r="B2970" s="76" t="s">
        <v>928</v>
      </c>
      <c r="C2970" s="76" t="s">
        <v>929</v>
      </c>
      <c r="D2970" s="75"/>
    </row>
    <row hidden="true" r="2971">
      <c r="A2971" s="76" t="s">
        <v>1290</v>
      </c>
      <c r="B2971" s="76" t="s">
        <v>930</v>
      </c>
      <c r="C2971" s="76" t="s">
        <v>931</v>
      </c>
      <c r="D2971" s="75"/>
    </row>
    <row hidden="true" r="2972">
      <c r="A2972" s="76" t="s">
        <v>1290</v>
      </c>
      <c r="B2972" s="76" t="s">
        <v>932</v>
      </c>
      <c r="C2972" s="76" t="s">
        <v>933</v>
      </c>
      <c r="D2972" s="75"/>
    </row>
    <row hidden="true" r="2973">
      <c r="A2973" s="76" t="s">
        <v>1290</v>
      </c>
      <c r="B2973" s="76" t="s">
        <v>934</v>
      </c>
      <c r="C2973" s="76" t="s">
        <v>935</v>
      </c>
      <c r="D2973" s="75"/>
    </row>
    <row hidden="true" r="2974">
      <c r="A2974" s="76" t="s">
        <v>1290</v>
      </c>
      <c r="B2974" s="76" t="s">
        <v>936</v>
      </c>
      <c r="C2974" s="76" t="s">
        <v>937</v>
      </c>
      <c r="D2974" s="75"/>
    </row>
    <row hidden="true" r="2975">
      <c r="A2975" s="76" t="s">
        <v>1290</v>
      </c>
      <c r="B2975" s="76" t="s">
        <v>938</v>
      </c>
      <c r="C2975" s="76" t="s">
        <v>939</v>
      </c>
      <c r="D2975" s="75"/>
    </row>
    <row hidden="true" r="2976">
      <c r="A2976" s="76" t="s">
        <v>1290</v>
      </c>
      <c r="B2976" s="76" t="s">
        <v>940</v>
      </c>
      <c r="C2976" s="76" t="s">
        <v>941</v>
      </c>
      <c r="D2976" s="75"/>
    </row>
    <row hidden="true" r="2977">
      <c r="A2977" s="76" t="s">
        <v>1290</v>
      </c>
      <c r="B2977" s="76" t="s">
        <v>942</v>
      </c>
      <c r="C2977" s="76" t="s">
        <v>943</v>
      </c>
      <c r="D2977" s="75"/>
    </row>
    <row hidden="true" r="2978">
      <c r="A2978" s="76" t="s">
        <v>1290</v>
      </c>
      <c r="B2978" s="76" t="s">
        <v>944</v>
      </c>
      <c r="C2978" s="76" t="s">
        <v>945</v>
      </c>
      <c r="D2978" s="75"/>
    </row>
    <row hidden="true" r="2979">
      <c r="A2979" s="76" t="s">
        <v>1290</v>
      </c>
      <c r="B2979" s="76" t="s">
        <v>946</v>
      </c>
      <c r="C2979" s="76" t="s">
        <v>947</v>
      </c>
      <c r="D2979" s="75"/>
    </row>
    <row hidden="true" r="2980">
      <c r="A2980" s="76" t="s">
        <v>1290</v>
      </c>
      <c r="B2980" s="76" t="s">
        <v>948</v>
      </c>
      <c r="C2980" s="76" t="s">
        <v>949</v>
      </c>
      <c r="D2980" s="75"/>
    </row>
    <row hidden="true" r="2981">
      <c r="A2981" s="76" t="s">
        <v>1290</v>
      </c>
      <c r="B2981" s="76" t="s">
        <v>950</v>
      </c>
      <c r="C2981" s="76" t="s">
        <v>951</v>
      </c>
      <c r="D2981" s="75"/>
    </row>
    <row hidden="true" r="2982">
      <c r="A2982" s="76" t="s">
        <v>1290</v>
      </c>
      <c r="B2982" s="76" t="s">
        <v>952</v>
      </c>
      <c r="C2982" s="76" t="s">
        <v>953</v>
      </c>
      <c r="D2982" s="75"/>
    </row>
    <row hidden="true" r="2983">
      <c r="A2983" s="76" t="s">
        <v>1290</v>
      </c>
      <c r="B2983" s="76" t="s">
        <v>954</v>
      </c>
      <c r="C2983" s="76" t="s">
        <v>955</v>
      </c>
      <c r="D2983" s="75"/>
    </row>
    <row hidden="true" r="2984">
      <c r="A2984" s="76" t="s">
        <v>1290</v>
      </c>
      <c r="B2984" s="76" t="s">
        <v>775</v>
      </c>
      <c r="C2984" s="76" t="s">
        <v>776</v>
      </c>
      <c r="D2984" s="75"/>
    </row>
    <row hidden="true" r="2985">
      <c r="A2985" s="76" t="s">
        <v>1290</v>
      </c>
      <c r="B2985" s="76" t="s">
        <v>956</v>
      </c>
      <c r="C2985" s="76" t="s">
        <v>957</v>
      </c>
      <c r="D2985" s="75"/>
    </row>
    <row hidden="true" r="2986">
      <c r="A2986" s="76" t="s">
        <v>1290</v>
      </c>
      <c r="B2986" s="76" t="s">
        <v>958</v>
      </c>
      <c r="C2986" s="76" t="s">
        <v>959</v>
      </c>
      <c r="D2986" s="75"/>
    </row>
    <row hidden="true" r="2987">
      <c r="A2987" s="76" t="s">
        <v>1290</v>
      </c>
      <c r="B2987" s="76" t="s">
        <v>960</v>
      </c>
      <c r="C2987" s="76" t="s">
        <v>961</v>
      </c>
      <c r="D2987" s="75"/>
    </row>
    <row hidden="true" r="2988">
      <c r="A2988" s="76" t="s">
        <v>1290</v>
      </c>
      <c r="B2988" s="76" t="s">
        <v>962</v>
      </c>
      <c r="C2988" s="76" t="s">
        <v>963</v>
      </c>
      <c r="D2988" s="75"/>
    </row>
    <row hidden="true" r="2989">
      <c r="A2989" s="76" t="s">
        <v>1290</v>
      </c>
      <c r="B2989" s="76" t="s">
        <v>964</v>
      </c>
      <c r="C2989" s="76" t="s">
        <v>965</v>
      </c>
      <c r="D2989" s="75"/>
    </row>
    <row hidden="true" r="2990">
      <c r="A2990" s="76" t="s">
        <v>1290</v>
      </c>
      <c r="B2990" s="76" t="s">
        <v>966</v>
      </c>
      <c r="C2990" s="76" t="s">
        <v>967</v>
      </c>
      <c r="D2990" s="75"/>
    </row>
    <row hidden="true" r="2991">
      <c r="A2991" s="76" t="s">
        <v>1290</v>
      </c>
      <c r="B2991" s="76" t="s">
        <v>968</v>
      </c>
      <c r="C2991" s="76" t="s">
        <v>969</v>
      </c>
      <c r="D2991" s="75"/>
    </row>
    <row hidden="true" r="2992">
      <c r="A2992" s="76" t="s">
        <v>1290</v>
      </c>
      <c r="B2992" s="76" t="s">
        <v>970</v>
      </c>
      <c r="C2992" s="76" t="s">
        <v>971</v>
      </c>
      <c r="D2992" s="75"/>
    </row>
    <row hidden="true" r="2993">
      <c r="A2993" s="76" t="s">
        <v>1290</v>
      </c>
      <c r="B2993" s="76" t="s">
        <v>972</v>
      </c>
      <c r="C2993" s="76" t="s">
        <v>973</v>
      </c>
      <c r="D2993" s="75"/>
    </row>
    <row hidden="true" r="2994">
      <c r="A2994" s="76" t="s">
        <v>1290</v>
      </c>
      <c r="B2994" s="76" t="s">
        <v>974</v>
      </c>
      <c r="C2994" s="76" t="s">
        <v>975</v>
      </c>
      <c r="D2994" s="75"/>
    </row>
    <row hidden="true" r="2995">
      <c r="A2995" s="76" t="s">
        <v>1290</v>
      </c>
      <c r="B2995" s="76" t="s">
        <v>976</v>
      </c>
      <c r="C2995" s="76" t="s">
        <v>977</v>
      </c>
      <c r="D2995" s="75"/>
    </row>
    <row hidden="true" r="2996">
      <c r="A2996" s="76" t="s">
        <v>1290</v>
      </c>
      <c r="B2996" s="76" t="s">
        <v>823</v>
      </c>
      <c r="C2996" s="76" t="s">
        <v>824</v>
      </c>
      <c r="D2996" s="75"/>
    </row>
    <row hidden="true" r="2997">
      <c r="A2997" s="76" t="s">
        <v>1290</v>
      </c>
      <c r="B2997" s="76" t="s">
        <v>978</v>
      </c>
      <c r="C2997" s="76" t="s">
        <v>979</v>
      </c>
      <c r="D2997" s="75"/>
    </row>
    <row hidden="true" r="2998">
      <c r="A2998" s="76" t="s">
        <v>1290</v>
      </c>
      <c r="B2998" s="76" t="s">
        <v>980</v>
      </c>
      <c r="C2998" s="76" t="s">
        <v>981</v>
      </c>
      <c r="D2998" s="75"/>
    </row>
    <row hidden="true" r="2999">
      <c r="A2999" s="76" t="s">
        <v>1290</v>
      </c>
      <c r="B2999" s="76" t="s">
        <v>982</v>
      </c>
      <c r="C2999" s="76" t="s">
        <v>983</v>
      </c>
      <c r="D2999" s="75"/>
    </row>
    <row hidden="true" r="3000">
      <c r="A3000" s="76" t="s">
        <v>1290</v>
      </c>
      <c r="B3000" s="76" t="s">
        <v>984</v>
      </c>
      <c r="C3000" s="76" t="s">
        <v>985</v>
      </c>
      <c r="D3000" s="75"/>
    </row>
    <row hidden="true" r="3001">
      <c r="A3001" s="76" t="s">
        <v>1290</v>
      </c>
      <c r="B3001" s="76" t="s">
        <v>986</v>
      </c>
      <c r="C3001" s="76" t="s">
        <v>987</v>
      </c>
      <c r="D3001" s="75"/>
    </row>
    <row hidden="true" r="3002">
      <c r="A3002" s="76" t="s">
        <v>1290</v>
      </c>
      <c r="B3002" s="76" t="s">
        <v>988</v>
      </c>
      <c r="C3002" s="76" t="s">
        <v>989</v>
      </c>
      <c r="D3002" s="75"/>
    </row>
    <row hidden="true" r="3003">
      <c r="A3003" s="76" t="s">
        <v>1290</v>
      </c>
      <c r="B3003" s="76" t="s">
        <v>990</v>
      </c>
      <c r="C3003" s="76" t="s">
        <v>991</v>
      </c>
      <c r="D3003" s="75"/>
    </row>
    <row hidden="true" r="3004">
      <c r="A3004" s="76" t="s">
        <v>1290</v>
      </c>
      <c r="B3004" s="76" t="s">
        <v>992</v>
      </c>
      <c r="C3004" s="76" t="s">
        <v>993</v>
      </c>
      <c r="D3004" s="75"/>
    </row>
    <row hidden="true" r="3005">
      <c r="A3005" s="76" t="s">
        <v>1290</v>
      </c>
      <c r="B3005" s="76" t="s">
        <v>994</v>
      </c>
      <c r="C3005" s="76" t="s">
        <v>995</v>
      </c>
      <c r="D3005" s="75"/>
    </row>
    <row hidden="true" r="3006">
      <c r="A3006" s="76" t="s">
        <v>1290</v>
      </c>
      <c r="B3006" s="76" t="s">
        <v>996</v>
      </c>
      <c r="C3006" s="76" t="s">
        <v>997</v>
      </c>
      <c r="D3006" s="75"/>
    </row>
    <row hidden="true" r="3007">
      <c r="A3007" s="76" t="s">
        <v>1290</v>
      </c>
      <c r="B3007" s="76" t="s">
        <v>998</v>
      </c>
      <c r="C3007" s="76" t="s">
        <v>999</v>
      </c>
      <c r="D3007" s="75"/>
    </row>
    <row hidden="true" r="3008">
      <c r="A3008" s="76" t="s">
        <v>1290</v>
      </c>
      <c r="B3008" s="76" t="s">
        <v>1000</v>
      </c>
      <c r="C3008" s="76" t="s">
        <v>1001</v>
      </c>
      <c r="D3008" s="75"/>
    </row>
    <row hidden="true" r="3009">
      <c r="A3009" s="76" t="s">
        <v>1290</v>
      </c>
      <c r="B3009" s="76" t="s">
        <v>1002</v>
      </c>
      <c r="C3009" s="76" t="s">
        <v>1003</v>
      </c>
      <c r="D3009" s="75"/>
    </row>
    <row hidden="true" r="3010">
      <c r="A3010" s="76" t="s">
        <v>1290</v>
      </c>
      <c r="B3010" s="76" t="s">
        <v>1004</v>
      </c>
      <c r="C3010" s="76" t="s">
        <v>1005</v>
      </c>
      <c r="D3010" s="75"/>
    </row>
    <row hidden="true" r="3011">
      <c r="A3011" s="76" t="s">
        <v>1290</v>
      </c>
      <c r="B3011" s="76" t="s">
        <v>1006</v>
      </c>
      <c r="C3011" s="76" t="s">
        <v>1007</v>
      </c>
      <c r="D3011" s="75"/>
    </row>
    <row hidden="true" r="3012">
      <c r="A3012" s="76" t="s">
        <v>1290</v>
      </c>
      <c r="B3012" s="76" t="s">
        <v>1008</v>
      </c>
      <c r="C3012" s="76" t="s">
        <v>1009</v>
      </c>
      <c r="D3012" s="75"/>
    </row>
    <row hidden="true" r="3013">
      <c r="A3013" s="76" t="s">
        <v>1290</v>
      </c>
      <c r="B3013" s="76" t="s">
        <v>1010</v>
      </c>
      <c r="C3013" s="76" t="s">
        <v>1011</v>
      </c>
      <c r="D3013" s="75"/>
    </row>
    <row hidden="true" r="3014">
      <c r="A3014" s="76" t="s">
        <v>1290</v>
      </c>
      <c r="B3014" s="76" t="s">
        <v>1012</v>
      </c>
      <c r="C3014" s="76" t="s">
        <v>1013</v>
      </c>
      <c r="D3014" s="75"/>
    </row>
    <row hidden="true" r="3015">
      <c r="A3015" s="76" t="s">
        <v>1290</v>
      </c>
      <c r="B3015" s="76" t="s">
        <v>1014</v>
      </c>
      <c r="C3015" s="76" t="s">
        <v>1015</v>
      </c>
      <c r="D3015" s="75"/>
    </row>
    <row hidden="true" r="3016">
      <c r="A3016" s="76" t="s">
        <v>1290</v>
      </c>
      <c r="B3016" s="76" t="s">
        <v>1016</v>
      </c>
      <c r="C3016" s="76" t="s">
        <v>1017</v>
      </c>
      <c r="D3016" s="75"/>
    </row>
    <row hidden="true" r="3017">
      <c r="A3017" s="76" t="s">
        <v>1290</v>
      </c>
      <c r="B3017" s="76" t="s">
        <v>1018</v>
      </c>
      <c r="C3017" s="76" t="s">
        <v>1019</v>
      </c>
      <c r="D3017" s="75"/>
    </row>
    <row hidden="true" r="3018">
      <c r="A3018" s="76" t="s">
        <v>1290</v>
      </c>
      <c r="B3018" s="76" t="s">
        <v>1020</v>
      </c>
      <c r="C3018" s="76" t="s">
        <v>1021</v>
      </c>
      <c r="D3018" s="75"/>
    </row>
    <row hidden="true" r="3019">
      <c r="A3019" s="76" t="s">
        <v>1290</v>
      </c>
      <c r="B3019" s="76" t="s">
        <v>1022</v>
      </c>
      <c r="C3019" s="76" t="s">
        <v>1017</v>
      </c>
      <c r="D3019" s="75"/>
    </row>
    <row hidden="true" r="3020">
      <c r="A3020" s="76" t="s">
        <v>1290</v>
      </c>
      <c r="B3020" s="76" t="s">
        <v>1023</v>
      </c>
      <c r="C3020" s="76" t="s">
        <v>1019</v>
      </c>
      <c r="D3020" s="75"/>
    </row>
    <row hidden="true" r="3021">
      <c r="A3021" s="76" t="s">
        <v>1290</v>
      </c>
      <c r="B3021" s="76" t="s">
        <v>1024</v>
      </c>
      <c r="C3021" s="76" t="s">
        <v>1021</v>
      </c>
      <c r="D3021" s="75"/>
    </row>
    <row hidden="true" r="3022">
      <c r="A3022" s="76" t="s">
        <v>1290</v>
      </c>
      <c r="B3022" s="76" t="s">
        <v>1025</v>
      </c>
      <c r="C3022" s="76" t="s">
        <v>1017</v>
      </c>
      <c r="D3022" s="75"/>
    </row>
    <row hidden="true" r="3023">
      <c r="A3023" s="76" t="s">
        <v>1290</v>
      </c>
      <c r="B3023" s="76" t="s">
        <v>1026</v>
      </c>
      <c r="C3023" s="76" t="s">
        <v>1019</v>
      </c>
      <c r="D3023" s="75"/>
    </row>
    <row hidden="true" r="3024">
      <c r="A3024" s="76" t="s">
        <v>1290</v>
      </c>
      <c r="B3024" s="76" t="s">
        <v>1027</v>
      </c>
      <c r="C3024" s="76" t="s">
        <v>1021</v>
      </c>
      <c r="D3024" s="75"/>
    </row>
    <row hidden="true" r="3025">
      <c r="A3025" s="76" t="s">
        <v>1290</v>
      </c>
      <c r="B3025" s="76" t="s">
        <v>1028</v>
      </c>
      <c r="C3025" s="76" t="s">
        <v>1029</v>
      </c>
      <c r="D3025" s="75"/>
    </row>
    <row hidden="true" r="3026">
      <c r="A3026" s="76" t="s">
        <v>1290</v>
      </c>
      <c r="B3026" s="76" t="s">
        <v>530</v>
      </c>
      <c r="C3026" s="76" t="s">
        <v>531</v>
      </c>
      <c r="D3026" s="75"/>
    </row>
    <row hidden="true" r="3027">
      <c r="A3027" s="76" t="s">
        <v>1290</v>
      </c>
      <c r="B3027" s="76" t="s">
        <v>1030</v>
      </c>
      <c r="C3027" s="76" t="s">
        <v>1031</v>
      </c>
      <c r="D3027" s="75"/>
    </row>
    <row hidden="true" r="3028">
      <c r="A3028" s="76" t="s">
        <v>1290</v>
      </c>
      <c r="B3028" s="76" t="s">
        <v>1032</v>
      </c>
      <c r="C3028" s="76" t="s">
        <v>1033</v>
      </c>
      <c r="D3028" s="75"/>
    </row>
    <row hidden="true" r="3029">
      <c r="A3029" s="76" t="s">
        <v>1290</v>
      </c>
      <c r="B3029" s="76" t="s">
        <v>1034</v>
      </c>
      <c r="C3029" s="76" t="s">
        <v>1035</v>
      </c>
      <c r="D3029" s="75"/>
    </row>
    <row hidden="true" r="3030">
      <c r="A3030" s="76" t="s">
        <v>1290</v>
      </c>
      <c r="B3030" s="76" t="s">
        <v>532</v>
      </c>
      <c r="C3030" s="76" t="s">
        <v>533</v>
      </c>
      <c r="D3030" s="75"/>
    </row>
    <row hidden="true" r="3031">
      <c r="A3031" s="76" t="s">
        <v>1290</v>
      </c>
      <c r="B3031" s="76" t="s">
        <v>1036</v>
      </c>
      <c r="C3031" s="76" t="s">
        <v>1037</v>
      </c>
      <c r="D3031" s="75"/>
    </row>
    <row hidden="true" r="3032">
      <c r="A3032" s="76" t="s">
        <v>1290</v>
      </c>
      <c r="B3032" s="76" t="s">
        <v>1038</v>
      </c>
      <c r="C3032" s="76" t="s">
        <v>1039</v>
      </c>
      <c r="D3032" s="75"/>
    </row>
    <row hidden="true" r="3033">
      <c r="A3033" s="76" t="s">
        <v>1290</v>
      </c>
      <c r="B3033" s="76" t="s">
        <v>1040</v>
      </c>
      <c r="C3033" s="76" t="s">
        <v>1041</v>
      </c>
      <c r="D3033" s="75"/>
    </row>
    <row hidden="true" r="3034">
      <c r="A3034" s="76" t="s">
        <v>1290</v>
      </c>
      <c r="B3034" s="76" t="s">
        <v>1042</v>
      </c>
      <c r="C3034" s="76" t="s">
        <v>1043</v>
      </c>
      <c r="D3034" s="75"/>
    </row>
    <row hidden="true" r="3035">
      <c r="A3035" s="76" t="s">
        <v>1290</v>
      </c>
      <c r="B3035" s="76" t="s">
        <v>1044</v>
      </c>
      <c r="C3035" s="76" t="s">
        <v>1045</v>
      </c>
      <c r="D3035" s="75"/>
    </row>
    <row hidden="true" r="3036">
      <c r="A3036" s="76" t="s">
        <v>1290</v>
      </c>
      <c r="B3036" s="76" t="s">
        <v>1046</v>
      </c>
      <c r="C3036" s="76" t="s">
        <v>1047</v>
      </c>
      <c r="D3036" s="75"/>
    </row>
    <row hidden="true" r="3037">
      <c r="A3037" s="76" t="s">
        <v>1290</v>
      </c>
      <c r="B3037" s="76" t="s">
        <v>1048</v>
      </c>
      <c r="C3037" s="76" t="s">
        <v>1049</v>
      </c>
      <c r="D3037" s="75"/>
    </row>
    <row hidden="true" r="3038">
      <c r="A3038" s="76" t="s">
        <v>1290</v>
      </c>
      <c r="B3038" s="76" t="s">
        <v>1050</v>
      </c>
      <c r="C3038" s="76" t="s">
        <v>1051</v>
      </c>
      <c r="D3038" s="75"/>
    </row>
    <row hidden="true" r="3039">
      <c r="A3039" s="76" t="s">
        <v>1290</v>
      </c>
      <c r="B3039" s="76" t="s">
        <v>1052</v>
      </c>
      <c r="C3039" s="76" t="s">
        <v>1053</v>
      </c>
      <c r="D3039" s="75"/>
    </row>
    <row hidden="true" r="3040">
      <c r="A3040" s="76" t="s">
        <v>1290</v>
      </c>
      <c r="B3040" s="76" t="s">
        <v>1054</v>
      </c>
      <c r="C3040" s="76" t="s">
        <v>1055</v>
      </c>
      <c r="D3040" s="75"/>
    </row>
    <row hidden="true" r="3041">
      <c r="A3041" s="76" t="s">
        <v>1290</v>
      </c>
      <c r="B3041" s="76" t="s">
        <v>1056</v>
      </c>
      <c r="C3041" s="76" t="s">
        <v>1057</v>
      </c>
      <c r="D3041" s="75"/>
    </row>
    <row hidden="true" r="3042">
      <c r="A3042" s="76" t="s">
        <v>1290</v>
      </c>
      <c r="B3042" s="76" t="s">
        <v>1058</v>
      </c>
      <c r="C3042" s="76" t="s">
        <v>1059</v>
      </c>
      <c r="D3042" s="75"/>
    </row>
    <row hidden="true" r="3043">
      <c r="A3043" s="76" t="s">
        <v>1290</v>
      </c>
      <c r="B3043" s="76" t="s">
        <v>1060</v>
      </c>
      <c r="C3043" s="76" t="s">
        <v>1061</v>
      </c>
      <c r="D3043" s="75"/>
    </row>
    <row hidden="true" r="3044">
      <c r="A3044" s="76" t="s">
        <v>1290</v>
      </c>
      <c r="B3044" s="76" t="s">
        <v>1062</v>
      </c>
      <c r="C3044" s="76" t="s">
        <v>1063</v>
      </c>
      <c r="D3044" s="75"/>
    </row>
    <row hidden="true" r="3045">
      <c r="A3045" s="76" t="s">
        <v>1290</v>
      </c>
      <c r="B3045" s="76" t="s">
        <v>1064</v>
      </c>
      <c r="C3045" s="76" t="s">
        <v>1065</v>
      </c>
      <c r="D3045" s="75"/>
    </row>
    <row hidden="true" r="3046">
      <c r="A3046" s="76" t="s">
        <v>1290</v>
      </c>
      <c r="B3046" s="76" t="s">
        <v>1066</v>
      </c>
      <c r="C3046" s="76" t="s">
        <v>1067</v>
      </c>
      <c r="D3046" s="75"/>
    </row>
    <row hidden="true" r="3047">
      <c r="A3047" s="76" t="s">
        <v>1290</v>
      </c>
      <c r="B3047" s="76" t="s">
        <v>1068</v>
      </c>
      <c r="C3047" s="76" t="s">
        <v>1069</v>
      </c>
      <c r="D3047" s="75"/>
    </row>
    <row hidden="true" r="3048">
      <c r="A3048" s="76" t="s">
        <v>1290</v>
      </c>
      <c r="B3048" s="76" t="s">
        <v>1070</v>
      </c>
      <c r="C3048" s="76" t="s">
        <v>1069</v>
      </c>
      <c r="D3048" s="75"/>
    </row>
    <row hidden="true" r="3049">
      <c r="A3049" s="76" t="s">
        <v>1290</v>
      </c>
      <c r="B3049" s="76" t="s">
        <v>1071</v>
      </c>
      <c r="C3049" s="76" t="s">
        <v>1069</v>
      </c>
      <c r="D3049" s="75"/>
    </row>
    <row hidden="true" r="3050">
      <c r="A3050" s="76" t="s">
        <v>1290</v>
      </c>
      <c r="B3050" s="76" t="s">
        <v>1072</v>
      </c>
      <c r="C3050" s="76" t="s">
        <v>1073</v>
      </c>
      <c r="D3050" s="75"/>
    </row>
    <row hidden="true" r="3051">
      <c r="A3051" s="76" t="s">
        <v>1290</v>
      </c>
      <c r="B3051" s="76" t="s">
        <v>1074</v>
      </c>
      <c r="C3051" s="76" t="s">
        <v>1073</v>
      </c>
      <c r="D3051" s="75"/>
    </row>
    <row hidden="true" r="3052">
      <c r="A3052" s="76" t="s">
        <v>1290</v>
      </c>
      <c r="B3052" s="76" t="s">
        <v>1075</v>
      </c>
      <c r="C3052" s="76" t="s">
        <v>1073</v>
      </c>
      <c r="D3052" s="75"/>
    </row>
    <row hidden="true" r="3053">
      <c r="A3053" s="76" t="s">
        <v>1290</v>
      </c>
      <c r="B3053" s="76" t="s">
        <v>1076</v>
      </c>
      <c r="C3053" s="76" t="s">
        <v>1077</v>
      </c>
      <c r="D3053" s="75"/>
    </row>
    <row hidden="true" r="3054">
      <c r="A3054" s="76" t="s">
        <v>1290</v>
      </c>
      <c r="B3054" s="76" t="s">
        <v>1078</v>
      </c>
      <c r="C3054" s="76" t="s">
        <v>1079</v>
      </c>
      <c r="D3054" s="75"/>
    </row>
    <row hidden="true" r="3055">
      <c r="A3055" s="76" t="s">
        <v>1290</v>
      </c>
      <c r="B3055" s="76" t="s">
        <v>839</v>
      </c>
      <c r="C3055" s="76" t="s">
        <v>840</v>
      </c>
      <c r="D3055" s="75"/>
    </row>
    <row hidden="true" r="3056">
      <c r="A3056" s="76" t="s">
        <v>1290</v>
      </c>
      <c r="B3056" s="76" t="s">
        <v>1080</v>
      </c>
      <c r="C3056" s="76" t="s">
        <v>1081</v>
      </c>
      <c r="D3056" s="75"/>
    </row>
    <row hidden="true" r="3057">
      <c r="A3057" s="76" t="s">
        <v>1290</v>
      </c>
      <c r="B3057" s="76" t="s">
        <v>1082</v>
      </c>
      <c r="C3057" s="76" t="s">
        <v>1083</v>
      </c>
      <c r="D3057" s="75"/>
    </row>
    <row hidden="true" r="3058">
      <c r="A3058" s="76" t="s">
        <v>1290</v>
      </c>
      <c r="B3058" s="76" t="s">
        <v>1084</v>
      </c>
      <c r="C3058" s="76" t="s">
        <v>1085</v>
      </c>
      <c r="D3058" s="75"/>
    </row>
    <row hidden="true" r="3059">
      <c r="A3059" s="76" t="s">
        <v>1290</v>
      </c>
      <c r="B3059" s="76" t="s">
        <v>1086</v>
      </c>
      <c r="C3059" s="76" t="s">
        <v>1087</v>
      </c>
      <c r="D3059" s="75"/>
    </row>
    <row hidden="true" r="3060">
      <c r="A3060" s="76" t="s">
        <v>1290</v>
      </c>
      <c r="B3060" s="76" t="s">
        <v>1088</v>
      </c>
      <c r="C3060" s="76" t="s">
        <v>1089</v>
      </c>
      <c r="D3060" s="75"/>
    </row>
    <row hidden="true" r="3061">
      <c r="A3061" s="76" t="s">
        <v>1290</v>
      </c>
      <c r="B3061" s="76" t="s">
        <v>1090</v>
      </c>
      <c r="C3061" s="76" t="s">
        <v>1091</v>
      </c>
      <c r="D3061" s="75"/>
    </row>
    <row hidden="true" r="3062">
      <c r="A3062" s="76" t="s">
        <v>1290</v>
      </c>
      <c r="B3062" s="76" t="s">
        <v>1092</v>
      </c>
      <c r="C3062" s="76" t="s">
        <v>1091</v>
      </c>
      <c r="D3062" s="75"/>
    </row>
    <row hidden="true" r="3063">
      <c r="A3063" s="76" t="s">
        <v>1290</v>
      </c>
      <c r="B3063" s="76" t="s">
        <v>1093</v>
      </c>
      <c r="C3063" s="76" t="s">
        <v>1094</v>
      </c>
      <c r="D3063" s="75"/>
    </row>
    <row hidden="true" r="3064">
      <c r="A3064" s="76" t="s">
        <v>1290</v>
      </c>
      <c r="B3064" s="76" t="s">
        <v>1095</v>
      </c>
      <c r="C3064" s="76" t="s">
        <v>1096</v>
      </c>
      <c r="D3064" s="75"/>
    </row>
    <row hidden="true" r="3065">
      <c r="A3065" s="76" t="s">
        <v>1290</v>
      </c>
      <c r="B3065" s="76" t="s">
        <v>1097</v>
      </c>
      <c r="C3065" s="76" t="s">
        <v>1098</v>
      </c>
      <c r="D3065" s="75"/>
    </row>
    <row hidden="true" r="3066">
      <c r="A3066" s="76" t="s">
        <v>1290</v>
      </c>
      <c r="B3066" s="76" t="s">
        <v>1099</v>
      </c>
      <c r="C3066" s="76" t="s">
        <v>1100</v>
      </c>
      <c r="D3066" s="75"/>
    </row>
    <row hidden="true" r="3067">
      <c r="A3067" s="76" t="s">
        <v>1290</v>
      </c>
      <c r="B3067" s="76" t="s">
        <v>1101</v>
      </c>
      <c r="C3067" s="76" t="s">
        <v>1102</v>
      </c>
      <c r="D3067" s="75"/>
    </row>
    <row hidden="true" r="3068">
      <c r="A3068" s="76" t="s">
        <v>1290</v>
      </c>
      <c r="B3068" s="76" t="s">
        <v>1103</v>
      </c>
      <c r="C3068" s="76" t="s">
        <v>1104</v>
      </c>
      <c r="D3068" s="75"/>
    </row>
    <row hidden="true" r="3069">
      <c r="A3069" s="76" t="s">
        <v>1290</v>
      </c>
      <c r="B3069" s="76" t="s">
        <v>1105</v>
      </c>
      <c r="C3069" s="76" t="s">
        <v>1106</v>
      </c>
      <c r="D3069" s="75"/>
    </row>
    <row hidden="true" r="3070">
      <c r="A3070" s="76" t="s">
        <v>1290</v>
      </c>
      <c r="B3070" s="76" t="s">
        <v>1107</v>
      </c>
      <c r="C3070" s="76" t="s">
        <v>1108</v>
      </c>
      <c r="D3070" s="75"/>
    </row>
    <row hidden="true" r="3071">
      <c r="A3071" s="76" t="s">
        <v>1290</v>
      </c>
      <c r="B3071" s="76" t="s">
        <v>1109</v>
      </c>
      <c r="C3071" s="76" t="s">
        <v>1110</v>
      </c>
      <c r="D3071" s="75"/>
    </row>
    <row hidden="true" r="3072">
      <c r="A3072" s="76" t="s">
        <v>1290</v>
      </c>
      <c r="B3072" s="76" t="s">
        <v>1111</v>
      </c>
      <c r="C3072" s="76" t="s">
        <v>1112</v>
      </c>
      <c r="D3072" s="75"/>
    </row>
    <row hidden="true" r="3073">
      <c r="A3073" s="76" t="s">
        <v>1290</v>
      </c>
      <c r="B3073" s="76" t="s">
        <v>1113</v>
      </c>
      <c r="C3073" s="76" t="s">
        <v>1114</v>
      </c>
      <c r="D3073" s="75"/>
    </row>
    <row hidden="true" r="3074">
      <c r="A3074" s="76" t="s">
        <v>1290</v>
      </c>
      <c r="B3074" s="76" t="s">
        <v>1115</v>
      </c>
      <c r="C3074" s="76" t="s">
        <v>1116</v>
      </c>
      <c r="D3074" s="75"/>
    </row>
    <row hidden="true" r="3075">
      <c r="A3075" s="76" t="s">
        <v>1290</v>
      </c>
      <c r="B3075" s="76" t="s">
        <v>1117</v>
      </c>
      <c r="C3075" s="76" t="s">
        <v>1118</v>
      </c>
      <c r="D3075" s="75"/>
    </row>
    <row hidden="true" r="3076">
      <c r="A3076" s="76" t="s">
        <v>1290</v>
      </c>
      <c r="B3076" s="76" t="s">
        <v>1119</v>
      </c>
      <c r="C3076" s="76" t="s">
        <v>1120</v>
      </c>
      <c r="D3076" s="75"/>
    </row>
    <row hidden="true" r="3077">
      <c r="A3077" s="76" t="s">
        <v>1290</v>
      </c>
      <c r="B3077" s="76" t="s">
        <v>1121</v>
      </c>
      <c r="C3077" s="76" t="s">
        <v>1122</v>
      </c>
      <c r="D3077" s="75"/>
    </row>
    <row hidden="true" r="3078">
      <c r="A3078" s="76" t="s">
        <v>1290</v>
      </c>
      <c r="B3078" s="76" t="s">
        <v>1123</v>
      </c>
      <c r="C3078" s="76" t="s">
        <v>1124</v>
      </c>
      <c r="D3078" s="75"/>
    </row>
    <row hidden="true" r="3079">
      <c r="A3079" s="76" t="s">
        <v>1290</v>
      </c>
      <c r="B3079" s="76" t="s">
        <v>1125</v>
      </c>
      <c r="C3079" s="76" t="s">
        <v>1126</v>
      </c>
      <c r="D3079" s="75"/>
    </row>
    <row hidden="true" r="3080">
      <c r="A3080" s="76" t="s">
        <v>1290</v>
      </c>
      <c r="B3080" s="76" t="s">
        <v>1127</v>
      </c>
      <c r="C3080" s="76" t="s">
        <v>1128</v>
      </c>
      <c r="D3080" s="75"/>
    </row>
    <row hidden="true" r="3081">
      <c r="A3081" s="76" t="s">
        <v>1290</v>
      </c>
      <c r="B3081" s="76" t="s">
        <v>1129</v>
      </c>
      <c r="C3081" s="76" t="s">
        <v>1130</v>
      </c>
      <c r="D3081" s="75"/>
    </row>
    <row hidden="true" r="3082">
      <c r="A3082" s="76" t="s">
        <v>1290</v>
      </c>
      <c r="B3082" s="76" t="s">
        <v>1131</v>
      </c>
      <c r="C3082" s="76" t="s">
        <v>1132</v>
      </c>
      <c r="D3082" s="75"/>
    </row>
    <row hidden="true" r="3083">
      <c r="A3083" s="76" t="s">
        <v>1290</v>
      </c>
      <c r="B3083" s="76" t="s">
        <v>1133</v>
      </c>
      <c r="C3083" s="76" t="s">
        <v>1134</v>
      </c>
      <c r="D3083" s="75"/>
    </row>
    <row hidden="true" r="3084">
      <c r="A3084" s="76" t="s">
        <v>1290</v>
      </c>
      <c r="B3084" s="76" t="s">
        <v>1135</v>
      </c>
      <c r="C3084" s="76" t="s">
        <v>1136</v>
      </c>
      <c r="D3084" s="75"/>
    </row>
    <row hidden="true" r="3085">
      <c r="A3085" s="76" t="s">
        <v>1290</v>
      </c>
      <c r="B3085" s="76" t="s">
        <v>1137</v>
      </c>
      <c r="C3085" s="76" t="s">
        <v>1138</v>
      </c>
      <c r="D3085" s="75"/>
    </row>
    <row hidden="true" r="3086">
      <c r="A3086" s="76" t="s">
        <v>1290</v>
      </c>
      <c r="B3086" s="76" t="s">
        <v>1139</v>
      </c>
      <c r="C3086" s="76" t="s">
        <v>1140</v>
      </c>
      <c r="D3086" s="75"/>
    </row>
    <row hidden="true" r="3087">
      <c r="A3087" s="76" t="s">
        <v>1290</v>
      </c>
      <c r="B3087" s="76" t="s">
        <v>1141</v>
      </c>
      <c r="C3087" s="76" t="s">
        <v>1142</v>
      </c>
      <c r="D3087" s="75"/>
    </row>
    <row hidden="true" r="3088">
      <c r="A3088" s="76" t="s">
        <v>1290</v>
      </c>
      <c r="B3088" s="76" t="s">
        <v>1143</v>
      </c>
      <c r="C3088" s="76" t="s">
        <v>1144</v>
      </c>
      <c r="D3088" s="75"/>
    </row>
    <row hidden="true" r="3089">
      <c r="A3089" s="76" t="s">
        <v>1290</v>
      </c>
      <c r="B3089" s="76" t="s">
        <v>1145</v>
      </c>
      <c r="C3089" s="76" t="s">
        <v>1146</v>
      </c>
      <c r="D3089" s="75"/>
    </row>
    <row hidden="true" r="3090">
      <c r="A3090" s="76" t="s">
        <v>1290</v>
      </c>
      <c r="B3090" s="76" t="s">
        <v>1147</v>
      </c>
      <c r="C3090" s="76" t="s">
        <v>1148</v>
      </c>
      <c r="D3090" s="75"/>
    </row>
    <row hidden="true" r="3091">
      <c r="A3091" s="76" t="s">
        <v>1290</v>
      </c>
      <c r="B3091" s="76" t="s">
        <v>1149</v>
      </c>
      <c r="C3091" s="76" t="s">
        <v>1150</v>
      </c>
      <c r="D3091" s="75"/>
    </row>
    <row hidden="true" r="3092">
      <c r="A3092" s="76" t="s">
        <v>1290</v>
      </c>
      <c r="B3092" s="76" t="s">
        <v>1151</v>
      </c>
      <c r="C3092" s="76" t="s">
        <v>1152</v>
      </c>
      <c r="D3092" s="75"/>
    </row>
    <row hidden="true" r="3093">
      <c r="A3093" s="76" t="s">
        <v>1290</v>
      </c>
      <c r="B3093" s="76" t="s">
        <v>1153</v>
      </c>
      <c r="C3093" s="76" t="s">
        <v>1154</v>
      </c>
      <c r="D3093" s="75"/>
    </row>
    <row hidden="true" r="3094">
      <c r="A3094" s="76" t="s">
        <v>1290</v>
      </c>
      <c r="B3094" s="76" t="s">
        <v>1155</v>
      </c>
      <c r="C3094" s="76" t="s">
        <v>1156</v>
      </c>
      <c r="D3094" s="75"/>
    </row>
    <row hidden="true" r="3095">
      <c r="A3095" s="76" t="s">
        <v>1290</v>
      </c>
      <c r="B3095" s="76" t="s">
        <v>1157</v>
      </c>
      <c r="C3095" s="76" t="s">
        <v>1158</v>
      </c>
      <c r="D3095" s="75"/>
    </row>
    <row hidden="true" r="3096">
      <c r="A3096" s="76" t="s">
        <v>1290</v>
      </c>
      <c r="B3096" s="76" t="s">
        <v>1159</v>
      </c>
      <c r="C3096" s="76" t="s">
        <v>1160</v>
      </c>
      <c r="D3096" s="75"/>
    </row>
    <row hidden="true" r="3097">
      <c r="A3097" s="76" t="s">
        <v>1290</v>
      </c>
      <c r="B3097" s="76" t="s">
        <v>868</v>
      </c>
      <c r="C3097" s="76" t="s">
        <v>869</v>
      </c>
      <c r="D3097" s="75"/>
    </row>
    <row hidden="true" r="3098">
      <c r="A3098" s="76" t="s">
        <v>1290</v>
      </c>
      <c r="B3098" s="76" t="s">
        <v>1161</v>
      </c>
      <c r="C3098" s="76" t="s">
        <v>1162</v>
      </c>
      <c r="D3098" s="75"/>
    </row>
    <row hidden="true" r="3099">
      <c r="A3099" s="76" t="s">
        <v>1290</v>
      </c>
      <c r="B3099" s="76" t="s">
        <v>1163</v>
      </c>
      <c r="C3099" s="76" t="s">
        <v>1164</v>
      </c>
      <c r="D3099" s="75"/>
    </row>
    <row hidden="true" r="3100">
      <c r="A3100" s="76" t="s">
        <v>1290</v>
      </c>
      <c r="B3100" s="76" t="s">
        <v>1165</v>
      </c>
      <c r="C3100" s="76" t="s">
        <v>1166</v>
      </c>
      <c r="D3100" s="75"/>
    </row>
    <row hidden="true" r="3101">
      <c r="A3101" s="76" t="s">
        <v>1290</v>
      </c>
      <c r="B3101" s="76" t="s">
        <v>1167</v>
      </c>
      <c r="C3101" s="76" t="s">
        <v>1168</v>
      </c>
      <c r="D3101" s="75"/>
    </row>
    <row hidden="true" r="3102">
      <c r="A3102" s="76" t="s">
        <v>1290</v>
      </c>
      <c r="B3102" s="76" t="s">
        <v>1169</v>
      </c>
      <c r="C3102" s="76" t="s">
        <v>1170</v>
      </c>
      <c r="D3102" s="75"/>
    </row>
    <row hidden="true" r="3103">
      <c r="A3103" s="76" t="s">
        <v>1290</v>
      </c>
      <c r="B3103" s="76" t="s">
        <v>1171</v>
      </c>
      <c r="C3103" s="76" t="s">
        <v>1172</v>
      </c>
      <c r="D3103" s="75"/>
    </row>
    <row hidden="true" r="3104">
      <c r="A3104" s="76" t="s">
        <v>1290</v>
      </c>
      <c r="B3104" s="76" t="s">
        <v>1173</v>
      </c>
      <c r="C3104" s="76" t="s">
        <v>1174</v>
      </c>
      <c r="D3104" s="75"/>
    </row>
    <row hidden="true" r="3105">
      <c r="A3105" s="76" t="s">
        <v>1290</v>
      </c>
      <c r="B3105" s="76" t="s">
        <v>1175</v>
      </c>
      <c r="C3105" s="76" t="s">
        <v>1176</v>
      </c>
      <c r="D3105" s="75"/>
    </row>
    <row hidden="true" r="3106">
      <c r="A3106" s="76" t="s">
        <v>1290</v>
      </c>
      <c r="B3106" s="76" t="s">
        <v>1177</v>
      </c>
      <c r="C3106" s="76" t="s">
        <v>1178</v>
      </c>
      <c r="D3106" s="75"/>
    </row>
    <row hidden="true" r="3107">
      <c r="A3107" s="76" t="s">
        <v>1290</v>
      </c>
      <c r="B3107" s="76" t="s">
        <v>1179</v>
      </c>
      <c r="C3107" s="76" t="s">
        <v>1180</v>
      </c>
      <c r="D3107" s="75"/>
    </row>
    <row hidden="true" r="3108">
      <c r="A3108" s="76" t="s">
        <v>1290</v>
      </c>
      <c r="B3108" s="76" t="s">
        <v>1181</v>
      </c>
      <c r="C3108" s="76" t="s">
        <v>1182</v>
      </c>
      <c r="D3108" s="75"/>
    </row>
    <row hidden="true" r="3109">
      <c r="A3109" s="76" t="s">
        <v>1290</v>
      </c>
      <c r="B3109" s="76" t="s">
        <v>1183</v>
      </c>
      <c r="C3109" s="76" t="s">
        <v>1184</v>
      </c>
      <c r="D3109" s="75"/>
    </row>
    <row hidden="true" r="3110">
      <c r="A3110" s="76" t="s">
        <v>1290</v>
      </c>
      <c r="B3110" s="76" t="s">
        <v>1185</v>
      </c>
      <c r="C3110" s="76" t="s">
        <v>1186</v>
      </c>
      <c r="D3110" s="75"/>
    </row>
    <row hidden="true" r="3111">
      <c r="A3111" s="76" t="s">
        <v>1290</v>
      </c>
      <c r="B3111" s="76" t="s">
        <v>1187</v>
      </c>
      <c r="C3111" s="76" t="s">
        <v>1188</v>
      </c>
      <c r="D3111" s="75"/>
    </row>
    <row hidden="true" r="3112">
      <c r="A3112" s="76" t="s">
        <v>1290</v>
      </c>
      <c r="B3112" s="76" t="s">
        <v>1189</v>
      </c>
      <c r="C3112" s="76" t="s">
        <v>1190</v>
      </c>
      <c r="D3112" s="75"/>
    </row>
    <row hidden="true" r="3113">
      <c r="A3113" s="76" t="s">
        <v>1290</v>
      </c>
      <c r="B3113" s="76" t="s">
        <v>1191</v>
      </c>
      <c r="C3113" s="76" t="s">
        <v>1192</v>
      </c>
      <c r="D3113" s="75"/>
    </row>
    <row hidden="true" r="3114">
      <c r="A3114" s="76" t="s">
        <v>1290</v>
      </c>
      <c r="B3114" s="76" t="s">
        <v>1193</v>
      </c>
      <c r="C3114" s="76" t="s">
        <v>1194</v>
      </c>
      <c r="D3114" s="75"/>
    </row>
    <row hidden="true" r="3115">
      <c r="A3115" s="76" t="s">
        <v>1290</v>
      </c>
      <c r="B3115" s="76" t="s">
        <v>1195</v>
      </c>
      <c r="C3115" s="76" t="s">
        <v>1196</v>
      </c>
      <c r="D3115" s="75"/>
    </row>
    <row hidden="true" r="3116">
      <c r="A3116" s="76" t="s">
        <v>1290</v>
      </c>
      <c r="B3116" s="76" t="s">
        <v>1197</v>
      </c>
      <c r="C3116" s="76" t="s">
        <v>1198</v>
      </c>
      <c r="D3116" s="75"/>
    </row>
    <row hidden="true" r="3117">
      <c r="A3117" s="76" t="s">
        <v>1290</v>
      </c>
      <c r="B3117" s="76" t="s">
        <v>1199</v>
      </c>
      <c r="C3117" s="76" t="s">
        <v>1200</v>
      </c>
      <c r="D3117" s="75"/>
    </row>
    <row hidden="true" r="3118">
      <c r="A3118" s="76" t="s">
        <v>1290</v>
      </c>
      <c r="B3118" s="76" t="s">
        <v>1201</v>
      </c>
      <c r="C3118" s="76" t="s">
        <v>1202</v>
      </c>
      <c r="D3118" s="75"/>
    </row>
    <row hidden="true" r="3119">
      <c r="A3119" s="76" t="s">
        <v>1290</v>
      </c>
      <c r="B3119" s="76" t="s">
        <v>1203</v>
      </c>
      <c r="C3119" s="76" t="s">
        <v>1204</v>
      </c>
      <c r="D3119" s="75"/>
    </row>
    <row hidden="true" r="3120">
      <c r="A3120" s="76" t="s">
        <v>1290</v>
      </c>
      <c r="B3120" s="76" t="s">
        <v>1205</v>
      </c>
      <c r="C3120" s="76" t="s">
        <v>1206</v>
      </c>
      <c r="D3120" s="75"/>
    </row>
    <row hidden="true" r="3121">
      <c r="A3121" s="76" t="s">
        <v>1290</v>
      </c>
      <c r="B3121" s="76" t="s">
        <v>1207</v>
      </c>
      <c r="C3121" s="76" t="s">
        <v>1208</v>
      </c>
      <c r="D3121" s="75"/>
    </row>
    <row hidden="true" r="3122">
      <c r="A3122" s="76" t="s">
        <v>1290</v>
      </c>
      <c r="B3122" s="76" t="s">
        <v>1209</v>
      </c>
      <c r="C3122" s="76" t="s">
        <v>1210</v>
      </c>
      <c r="D3122" s="75"/>
    </row>
    <row hidden="true" r="3123">
      <c r="A3123" s="76" t="s">
        <v>1290</v>
      </c>
      <c r="B3123" s="76" t="s">
        <v>1211</v>
      </c>
      <c r="C3123" s="76" t="s">
        <v>1212</v>
      </c>
      <c r="D3123" s="75"/>
    </row>
    <row hidden="true" r="3124">
      <c r="A3124" s="76" t="s">
        <v>1290</v>
      </c>
      <c r="B3124" s="76" t="s">
        <v>735</v>
      </c>
      <c r="C3124" s="76"/>
      <c r="D3124" s="75"/>
    </row>
    <row hidden="true" r="3125">
      <c r="A3125" s="76" t="s">
        <v>1291</v>
      </c>
      <c r="B3125" s="76" t="s">
        <v>407</v>
      </c>
      <c r="C3125" s="76" t="s">
        <v>408</v>
      </c>
      <c r="D3125" s="75"/>
    </row>
    <row hidden="true" r="3126">
      <c r="A3126" s="76" t="s">
        <v>1291</v>
      </c>
      <c r="B3126" s="76" t="s">
        <v>744</v>
      </c>
      <c r="C3126" s="76" t="s">
        <v>745</v>
      </c>
      <c r="D3126" s="75"/>
    </row>
    <row hidden="true" r="3127">
      <c r="A3127" s="76" t="s">
        <v>1291</v>
      </c>
      <c r="B3127" s="76" t="s">
        <v>409</v>
      </c>
      <c r="C3127" s="76" t="s">
        <v>410</v>
      </c>
      <c r="D3127" s="75"/>
    </row>
    <row hidden="true" r="3128">
      <c r="A3128" s="76" t="s">
        <v>1291</v>
      </c>
      <c r="B3128" s="76" t="s">
        <v>884</v>
      </c>
      <c r="C3128" s="76" t="s">
        <v>885</v>
      </c>
      <c r="D3128" s="75"/>
    </row>
    <row hidden="true" r="3129">
      <c r="A3129" s="76" t="s">
        <v>1291</v>
      </c>
      <c r="B3129" s="76" t="s">
        <v>886</v>
      </c>
      <c r="C3129" s="76" t="s">
        <v>887</v>
      </c>
      <c r="D3129" s="75"/>
    </row>
    <row hidden="true" r="3130">
      <c r="A3130" s="76" t="s">
        <v>1291</v>
      </c>
      <c r="B3130" s="76" t="s">
        <v>888</v>
      </c>
      <c r="C3130" s="76" t="s">
        <v>889</v>
      </c>
      <c r="D3130" s="75"/>
    </row>
    <row hidden="true" r="3131">
      <c r="A3131" s="76" t="s">
        <v>1291</v>
      </c>
      <c r="B3131" s="76" t="s">
        <v>890</v>
      </c>
      <c r="C3131" s="76" t="s">
        <v>891</v>
      </c>
      <c r="D3131" s="75"/>
    </row>
    <row hidden="true" r="3132">
      <c r="A3132" s="76" t="s">
        <v>1291</v>
      </c>
      <c r="B3132" s="76" t="s">
        <v>892</v>
      </c>
      <c r="C3132" s="76" t="s">
        <v>893</v>
      </c>
      <c r="D3132" s="75"/>
    </row>
    <row hidden="true" r="3133">
      <c r="A3133" s="76" t="s">
        <v>1291</v>
      </c>
      <c r="B3133" s="76" t="s">
        <v>894</v>
      </c>
      <c r="C3133" s="76" t="s">
        <v>895</v>
      </c>
      <c r="D3133" s="75"/>
    </row>
    <row hidden="true" r="3134">
      <c r="A3134" s="76" t="s">
        <v>1291</v>
      </c>
      <c r="B3134" s="76" t="s">
        <v>896</v>
      </c>
      <c r="C3134" s="76" t="s">
        <v>897</v>
      </c>
      <c r="D3134" s="75"/>
    </row>
    <row hidden="true" r="3135">
      <c r="A3135" s="76" t="s">
        <v>1291</v>
      </c>
      <c r="B3135" s="76" t="s">
        <v>898</v>
      </c>
      <c r="C3135" s="76" t="s">
        <v>899</v>
      </c>
      <c r="D3135" s="75"/>
    </row>
    <row hidden="true" r="3136">
      <c r="A3136" s="76" t="s">
        <v>1291</v>
      </c>
      <c r="B3136" s="76" t="s">
        <v>900</v>
      </c>
      <c r="C3136" s="76" t="s">
        <v>901</v>
      </c>
      <c r="D3136" s="75"/>
    </row>
    <row hidden="true" r="3137">
      <c r="A3137" s="76" t="s">
        <v>1291</v>
      </c>
      <c r="B3137" s="76" t="s">
        <v>902</v>
      </c>
      <c r="C3137" s="76" t="s">
        <v>903</v>
      </c>
      <c r="D3137" s="75"/>
    </row>
    <row hidden="true" r="3138">
      <c r="A3138" s="76" t="s">
        <v>1291</v>
      </c>
      <c r="B3138" s="76" t="s">
        <v>904</v>
      </c>
      <c r="C3138" s="76" t="s">
        <v>905</v>
      </c>
      <c r="D3138" s="75"/>
    </row>
    <row hidden="true" r="3139">
      <c r="A3139" s="76" t="s">
        <v>1291</v>
      </c>
      <c r="B3139" s="76" t="s">
        <v>906</v>
      </c>
      <c r="C3139" s="76" t="s">
        <v>907</v>
      </c>
      <c r="D3139" s="75"/>
    </row>
    <row hidden="true" r="3140">
      <c r="A3140" s="76" t="s">
        <v>1291</v>
      </c>
      <c r="B3140" s="76" t="s">
        <v>908</v>
      </c>
      <c r="C3140" s="76" t="s">
        <v>909</v>
      </c>
      <c r="D3140" s="75"/>
    </row>
    <row hidden="true" r="3141">
      <c r="A3141" s="76" t="s">
        <v>1291</v>
      </c>
      <c r="B3141" s="76" t="s">
        <v>910</v>
      </c>
      <c r="C3141" s="76" t="s">
        <v>911</v>
      </c>
      <c r="D3141" s="75"/>
    </row>
    <row hidden="true" r="3142">
      <c r="A3142" s="76" t="s">
        <v>1291</v>
      </c>
      <c r="B3142" s="76" t="s">
        <v>912</v>
      </c>
      <c r="C3142" s="76" t="s">
        <v>913</v>
      </c>
      <c r="D3142" s="75"/>
    </row>
    <row hidden="true" r="3143">
      <c r="A3143" s="76" t="s">
        <v>1291</v>
      </c>
      <c r="B3143" s="76" t="s">
        <v>914</v>
      </c>
      <c r="C3143" s="76" t="s">
        <v>915</v>
      </c>
      <c r="D3143" s="75"/>
    </row>
    <row hidden="true" r="3144">
      <c r="A3144" s="76" t="s">
        <v>1291</v>
      </c>
      <c r="B3144" s="76" t="s">
        <v>916</v>
      </c>
      <c r="C3144" s="76" t="s">
        <v>917</v>
      </c>
      <c r="D3144" s="75"/>
    </row>
    <row hidden="true" r="3145">
      <c r="A3145" s="76" t="s">
        <v>1291</v>
      </c>
      <c r="B3145" s="76" t="s">
        <v>918</v>
      </c>
      <c r="C3145" s="76" t="s">
        <v>919</v>
      </c>
      <c r="D3145" s="75"/>
    </row>
    <row hidden="true" r="3146">
      <c r="A3146" s="76" t="s">
        <v>1291</v>
      </c>
      <c r="B3146" s="76" t="s">
        <v>920</v>
      </c>
      <c r="C3146" s="76" t="s">
        <v>921</v>
      </c>
      <c r="D3146" s="75"/>
    </row>
    <row hidden="true" r="3147">
      <c r="A3147" s="76" t="s">
        <v>1291</v>
      </c>
      <c r="B3147" s="76" t="s">
        <v>922</v>
      </c>
      <c r="C3147" s="76" t="s">
        <v>923</v>
      </c>
      <c r="D3147" s="75"/>
    </row>
    <row hidden="true" r="3148">
      <c r="A3148" s="76" t="s">
        <v>1291</v>
      </c>
      <c r="B3148" s="76" t="s">
        <v>924</v>
      </c>
      <c r="C3148" s="76" t="s">
        <v>925</v>
      </c>
      <c r="D3148" s="75"/>
    </row>
    <row hidden="true" r="3149">
      <c r="A3149" s="76" t="s">
        <v>1291</v>
      </c>
      <c r="B3149" s="76" t="s">
        <v>926</v>
      </c>
      <c r="C3149" s="76" t="s">
        <v>927</v>
      </c>
      <c r="D3149" s="75"/>
    </row>
    <row hidden="true" r="3150">
      <c r="A3150" s="76" t="s">
        <v>1291</v>
      </c>
      <c r="B3150" s="76" t="s">
        <v>928</v>
      </c>
      <c r="C3150" s="76" t="s">
        <v>929</v>
      </c>
      <c r="D3150" s="75"/>
    </row>
    <row hidden="true" r="3151">
      <c r="A3151" s="76" t="s">
        <v>1291</v>
      </c>
      <c r="B3151" s="76" t="s">
        <v>930</v>
      </c>
      <c r="C3151" s="76" t="s">
        <v>931</v>
      </c>
      <c r="D3151" s="75"/>
    </row>
    <row hidden="true" r="3152">
      <c r="A3152" s="76" t="s">
        <v>1291</v>
      </c>
      <c r="B3152" s="76" t="s">
        <v>932</v>
      </c>
      <c r="C3152" s="76" t="s">
        <v>933</v>
      </c>
      <c r="D3152" s="75"/>
    </row>
    <row hidden="true" r="3153">
      <c r="A3153" s="76" t="s">
        <v>1291</v>
      </c>
      <c r="B3153" s="76" t="s">
        <v>934</v>
      </c>
      <c r="C3153" s="76" t="s">
        <v>935</v>
      </c>
      <c r="D3153" s="75"/>
    </row>
    <row hidden="true" r="3154">
      <c r="A3154" s="76" t="s">
        <v>1291</v>
      </c>
      <c r="B3154" s="76" t="s">
        <v>936</v>
      </c>
      <c r="C3154" s="76" t="s">
        <v>937</v>
      </c>
      <c r="D3154" s="75"/>
    </row>
    <row hidden="true" r="3155">
      <c r="A3155" s="76" t="s">
        <v>1291</v>
      </c>
      <c r="B3155" s="76" t="s">
        <v>938</v>
      </c>
      <c r="C3155" s="76" t="s">
        <v>939</v>
      </c>
      <c r="D3155" s="75"/>
    </row>
    <row hidden="true" r="3156">
      <c r="A3156" s="76" t="s">
        <v>1291</v>
      </c>
      <c r="B3156" s="76" t="s">
        <v>940</v>
      </c>
      <c r="C3156" s="76" t="s">
        <v>941</v>
      </c>
      <c r="D3156" s="75"/>
    </row>
    <row hidden="true" r="3157">
      <c r="A3157" s="76" t="s">
        <v>1291</v>
      </c>
      <c r="B3157" s="76" t="s">
        <v>942</v>
      </c>
      <c r="C3157" s="76" t="s">
        <v>943</v>
      </c>
      <c r="D3157" s="75"/>
    </row>
    <row hidden="true" r="3158">
      <c r="A3158" s="76" t="s">
        <v>1291</v>
      </c>
      <c r="B3158" s="76" t="s">
        <v>944</v>
      </c>
      <c r="C3158" s="76" t="s">
        <v>945</v>
      </c>
      <c r="D3158" s="75"/>
    </row>
    <row hidden="true" r="3159">
      <c r="A3159" s="76" t="s">
        <v>1291</v>
      </c>
      <c r="B3159" s="76" t="s">
        <v>946</v>
      </c>
      <c r="C3159" s="76" t="s">
        <v>947</v>
      </c>
      <c r="D3159" s="75"/>
    </row>
    <row hidden="true" r="3160">
      <c r="A3160" s="76" t="s">
        <v>1291</v>
      </c>
      <c r="B3160" s="76" t="s">
        <v>948</v>
      </c>
      <c r="C3160" s="76" t="s">
        <v>949</v>
      </c>
      <c r="D3160" s="75"/>
    </row>
    <row hidden="true" r="3161">
      <c r="A3161" s="76" t="s">
        <v>1291</v>
      </c>
      <c r="B3161" s="76" t="s">
        <v>950</v>
      </c>
      <c r="C3161" s="76" t="s">
        <v>951</v>
      </c>
      <c r="D3161" s="75"/>
    </row>
    <row hidden="true" r="3162">
      <c r="A3162" s="76" t="s">
        <v>1291</v>
      </c>
      <c r="B3162" s="76" t="s">
        <v>952</v>
      </c>
      <c r="C3162" s="76" t="s">
        <v>953</v>
      </c>
      <c r="D3162" s="75"/>
    </row>
    <row hidden="true" r="3163">
      <c r="A3163" s="76" t="s">
        <v>1291</v>
      </c>
      <c r="B3163" s="76" t="s">
        <v>954</v>
      </c>
      <c r="C3163" s="76" t="s">
        <v>955</v>
      </c>
      <c r="D3163" s="75"/>
    </row>
    <row hidden="true" r="3164">
      <c r="A3164" s="76" t="s">
        <v>1291</v>
      </c>
      <c r="B3164" s="76" t="s">
        <v>775</v>
      </c>
      <c r="C3164" s="76" t="s">
        <v>776</v>
      </c>
      <c r="D3164" s="75"/>
    </row>
    <row hidden="true" r="3165">
      <c r="A3165" s="76" t="s">
        <v>1291</v>
      </c>
      <c r="B3165" s="76" t="s">
        <v>956</v>
      </c>
      <c r="C3165" s="76" t="s">
        <v>957</v>
      </c>
      <c r="D3165" s="75"/>
    </row>
    <row hidden="true" r="3166">
      <c r="A3166" s="76" t="s">
        <v>1291</v>
      </c>
      <c r="B3166" s="76" t="s">
        <v>958</v>
      </c>
      <c r="C3166" s="76" t="s">
        <v>959</v>
      </c>
      <c r="D3166" s="75"/>
    </row>
    <row hidden="true" r="3167">
      <c r="A3167" s="76" t="s">
        <v>1291</v>
      </c>
      <c r="B3167" s="76" t="s">
        <v>960</v>
      </c>
      <c r="C3167" s="76" t="s">
        <v>961</v>
      </c>
      <c r="D3167" s="75"/>
    </row>
    <row hidden="true" r="3168">
      <c r="A3168" s="76" t="s">
        <v>1291</v>
      </c>
      <c r="B3168" s="76" t="s">
        <v>962</v>
      </c>
      <c r="C3168" s="76" t="s">
        <v>963</v>
      </c>
      <c r="D3168" s="75"/>
    </row>
    <row hidden="true" r="3169">
      <c r="A3169" s="76" t="s">
        <v>1291</v>
      </c>
      <c r="B3169" s="76" t="s">
        <v>964</v>
      </c>
      <c r="C3169" s="76" t="s">
        <v>965</v>
      </c>
      <c r="D3169" s="75"/>
    </row>
    <row hidden="true" r="3170">
      <c r="A3170" s="76" t="s">
        <v>1291</v>
      </c>
      <c r="B3170" s="76" t="s">
        <v>966</v>
      </c>
      <c r="C3170" s="76" t="s">
        <v>967</v>
      </c>
      <c r="D3170" s="75"/>
    </row>
    <row hidden="true" r="3171">
      <c r="A3171" s="76" t="s">
        <v>1291</v>
      </c>
      <c r="B3171" s="76" t="s">
        <v>968</v>
      </c>
      <c r="C3171" s="76" t="s">
        <v>969</v>
      </c>
      <c r="D3171" s="75"/>
    </row>
    <row hidden="true" r="3172">
      <c r="A3172" s="76" t="s">
        <v>1291</v>
      </c>
      <c r="B3172" s="76" t="s">
        <v>970</v>
      </c>
      <c r="C3172" s="76" t="s">
        <v>971</v>
      </c>
      <c r="D3172" s="75"/>
    </row>
    <row hidden="true" r="3173">
      <c r="A3173" s="76" t="s">
        <v>1291</v>
      </c>
      <c r="B3173" s="76" t="s">
        <v>972</v>
      </c>
      <c r="C3173" s="76" t="s">
        <v>973</v>
      </c>
      <c r="D3173" s="75"/>
    </row>
    <row hidden="true" r="3174">
      <c r="A3174" s="76" t="s">
        <v>1291</v>
      </c>
      <c r="B3174" s="76" t="s">
        <v>974</v>
      </c>
      <c r="C3174" s="76" t="s">
        <v>975</v>
      </c>
      <c r="D3174" s="75"/>
    </row>
    <row hidden="true" r="3175">
      <c r="A3175" s="76" t="s">
        <v>1291</v>
      </c>
      <c r="B3175" s="76" t="s">
        <v>976</v>
      </c>
      <c r="C3175" s="76" t="s">
        <v>977</v>
      </c>
      <c r="D3175" s="75"/>
    </row>
    <row hidden="true" r="3176">
      <c r="A3176" s="76" t="s">
        <v>1291</v>
      </c>
      <c r="B3176" s="76" t="s">
        <v>823</v>
      </c>
      <c r="C3176" s="76" t="s">
        <v>824</v>
      </c>
      <c r="D3176" s="75"/>
    </row>
    <row hidden="true" r="3177">
      <c r="A3177" s="76" t="s">
        <v>1291</v>
      </c>
      <c r="B3177" s="76" t="s">
        <v>978</v>
      </c>
      <c r="C3177" s="76" t="s">
        <v>979</v>
      </c>
      <c r="D3177" s="75"/>
    </row>
    <row hidden="true" r="3178">
      <c r="A3178" s="76" t="s">
        <v>1291</v>
      </c>
      <c r="B3178" s="76" t="s">
        <v>980</v>
      </c>
      <c r="C3178" s="76" t="s">
        <v>981</v>
      </c>
      <c r="D3178" s="75"/>
    </row>
    <row hidden="true" r="3179">
      <c r="A3179" s="76" t="s">
        <v>1291</v>
      </c>
      <c r="B3179" s="76" t="s">
        <v>982</v>
      </c>
      <c r="C3179" s="76" t="s">
        <v>983</v>
      </c>
      <c r="D3179" s="75"/>
    </row>
    <row hidden="true" r="3180">
      <c r="A3180" s="76" t="s">
        <v>1291</v>
      </c>
      <c r="B3180" s="76" t="s">
        <v>984</v>
      </c>
      <c r="C3180" s="76" t="s">
        <v>985</v>
      </c>
      <c r="D3180" s="75"/>
    </row>
    <row hidden="true" r="3181">
      <c r="A3181" s="76" t="s">
        <v>1291</v>
      </c>
      <c r="B3181" s="76" t="s">
        <v>986</v>
      </c>
      <c r="C3181" s="76" t="s">
        <v>987</v>
      </c>
      <c r="D3181" s="75"/>
    </row>
    <row hidden="true" r="3182">
      <c r="A3182" s="76" t="s">
        <v>1291</v>
      </c>
      <c r="B3182" s="76" t="s">
        <v>988</v>
      </c>
      <c r="C3182" s="76" t="s">
        <v>989</v>
      </c>
      <c r="D3182" s="75"/>
    </row>
    <row hidden="true" r="3183">
      <c r="A3183" s="76" t="s">
        <v>1291</v>
      </c>
      <c r="B3183" s="76" t="s">
        <v>990</v>
      </c>
      <c r="C3183" s="76" t="s">
        <v>991</v>
      </c>
      <c r="D3183" s="75"/>
    </row>
    <row hidden="true" r="3184">
      <c r="A3184" s="76" t="s">
        <v>1291</v>
      </c>
      <c r="B3184" s="76" t="s">
        <v>992</v>
      </c>
      <c r="C3184" s="76" t="s">
        <v>993</v>
      </c>
      <c r="D3184" s="75"/>
    </row>
    <row hidden="true" r="3185">
      <c r="A3185" s="76" t="s">
        <v>1291</v>
      </c>
      <c r="B3185" s="76" t="s">
        <v>994</v>
      </c>
      <c r="C3185" s="76" t="s">
        <v>995</v>
      </c>
      <c r="D3185" s="75"/>
    </row>
    <row hidden="true" r="3186">
      <c r="A3186" s="76" t="s">
        <v>1291</v>
      </c>
      <c r="B3186" s="76" t="s">
        <v>996</v>
      </c>
      <c r="C3186" s="76" t="s">
        <v>997</v>
      </c>
      <c r="D3186" s="75"/>
    </row>
    <row hidden="true" r="3187">
      <c r="A3187" s="76" t="s">
        <v>1291</v>
      </c>
      <c r="B3187" s="76" t="s">
        <v>998</v>
      </c>
      <c r="C3187" s="76" t="s">
        <v>999</v>
      </c>
      <c r="D3187" s="75"/>
    </row>
    <row hidden="true" r="3188">
      <c r="A3188" s="76" t="s">
        <v>1291</v>
      </c>
      <c r="B3188" s="76" t="s">
        <v>1000</v>
      </c>
      <c r="C3188" s="76" t="s">
        <v>1001</v>
      </c>
      <c r="D3188" s="75"/>
    </row>
    <row hidden="true" r="3189">
      <c r="A3189" s="76" t="s">
        <v>1291</v>
      </c>
      <c r="B3189" s="76" t="s">
        <v>1002</v>
      </c>
      <c r="C3189" s="76" t="s">
        <v>1003</v>
      </c>
      <c r="D3189" s="75"/>
    </row>
    <row hidden="true" r="3190">
      <c r="A3190" s="76" t="s">
        <v>1291</v>
      </c>
      <c r="B3190" s="76" t="s">
        <v>1004</v>
      </c>
      <c r="C3190" s="76" t="s">
        <v>1005</v>
      </c>
      <c r="D3190" s="75"/>
    </row>
    <row hidden="true" r="3191">
      <c r="A3191" s="76" t="s">
        <v>1291</v>
      </c>
      <c r="B3191" s="76" t="s">
        <v>1006</v>
      </c>
      <c r="C3191" s="76" t="s">
        <v>1007</v>
      </c>
      <c r="D3191" s="75"/>
    </row>
    <row hidden="true" r="3192">
      <c r="A3192" s="76" t="s">
        <v>1291</v>
      </c>
      <c r="B3192" s="76" t="s">
        <v>1008</v>
      </c>
      <c r="C3192" s="76" t="s">
        <v>1009</v>
      </c>
      <c r="D3192" s="75"/>
    </row>
    <row hidden="true" r="3193">
      <c r="A3193" s="76" t="s">
        <v>1291</v>
      </c>
      <c r="B3193" s="76" t="s">
        <v>1010</v>
      </c>
      <c r="C3193" s="76" t="s">
        <v>1011</v>
      </c>
      <c r="D3193" s="75"/>
    </row>
    <row hidden="true" r="3194">
      <c r="A3194" s="76" t="s">
        <v>1291</v>
      </c>
      <c r="B3194" s="76" t="s">
        <v>1012</v>
      </c>
      <c r="C3194" s="76" t="s">
        <v>1013</v>
      </c>
      <c r="D3194" s="75"/>
    </row>
    <row hidden="true" r="3195">
      <c r="A3195" s="76" t="s">
        <v>1291</v>
      </c>
      <c r="B3195" s="76" t="s">
        <v>1014</v>
      </c>
      <c r="C3195" s="76" t="s">
        <v>1015</v>
      </c>
      <c r="D3195" s="75"/>
    </row>
    <row hidden="true" r="3196">
      <c r="A3196" s="76" t="s">
        <v>1291</v>
      </c>
      <c r="B3196" s="76" t="s">
        <v>1016</v>
      </c>
      <c r="C3196" s="76" t="s">
        <v>1017</v>
      </c>
      <c r="D3196" s="75"/>
    </row>
    <row hidden="true" r="3197">
      <c r="A3197" s="76" t="s">
        <v>1291</v>
      </c>
      <c r="B3197" s="76" t="s">
        <v>1018</v>
      </c>
      <c r="C3197" s="76" t="s">
        <v>1019</v>
      </c>
      <c r="D3197" s="75"/>
    </row>
    <row hidden="true" r="3198">
      <c r="A3198" s="76" t="s">
        <v>1291</v>
      </c>
      <c r="B3198" s="76" t="s">
        <v>1020</v>
      </c>
      <c r="C3198" s="76" t="s">
        <v>1021</v>
      </c>
      <c r="D3198" s="75"/>
    </row>
    <row hidden="true" r="3199">
      <c r="A3199" s="76" t="s">
        <v>1291</v>
      </c>
      <c r="B3199" s="76" t="s">
        <v>1022</v>
      </c>
      <c r="C3199" s="76" t="s">
        <v>1017</v>
      </c>
      <c r="D3199" s="75"/>
    </row>
    <row hidden="true" r="3200">
      <c r="A3200" s="76" t="s">
        <v>1291</v>
      </c>
      <c r="B3200" s="76" t="s">
        <v>1023</v>
      </c>
      <c r="C3200" s="76" t="s">
        <v>1019</v>
      </c>
      <c r="D3200" s="75"/>
    </row>
    <row hidden="true" r="3201">
      <c r="A3201" s="76" t="s">
        <v>1291</v>
      </c>
      <c r="B3201" s="76" t="s">
        <v>1024</v>
      </c>
      <c r="C3201" s="76" t="s">
        <v>1021</v>
      </c>
      <c r="D3201" s="75"/>
    </row>
    <row hidden="true" r="3202">
      <c r="A3202" s="76" t="s">
        <v>1291</v>
      </c>
      <c r="B3202" s="76" t="s">
        <v>1025</v>
      </c>
      <c r="C3202" s="76" t="s">
        <v>1017</v>
      </c>
      <c r="D3202" s="75"/>
    </row>
    <row hidden="true" r="3203">
      <c r="A3203" s="76" t="s">
        <v>1291</v>
      </c>
      <c r="B3203" s="76" t="s">
        <v>1026</v>
      </c>
      <c r="C3203" s="76" t="s">
        <v>1019</v>
      </c>
      <c r="D3203" s="75"/>
    </row>
    <row hidden="true" r="3204">
      <c r="A3204" s="76" t="s">
        <v>1291</v>
      </c>
      <c r="B3204" s="76" t="s">
        <v>1027</v>
      </c>
      <c r="C3204" s="76" t="s">
        <v>1021</v>
      </c>
      <c r="D3204" s="75"/>
    </row>
    <row hidden="true" r="3205">
      <c r="A3205" s="76" t="s">
        <v>1291</v>
      </c>
      <c r="B3205" s="76" t="s">
        <v>1028</v>
      </c>
      <c r="C3205" s="76" t="s">
        <v>1029</v>
      </c>
      <c r="D3205" s="75"/>
    </row>
    <row hidden="true" r="3206">
      <c r="A3206" s="76" t="s">
        <v>1291</v>
      </c>
      <c r="B3206" s="76" t="s">
        <v>530</v>
      </c>
      <c r="C3206" s="76" t="s">
        <v>531</v>
      </c>
      <c r="D3206" s="75"/>
    </row>
    <row hidden="true" r="3207">
      <c r="A3207" s="76" t="s">
        <v>1291</v>
      </c>
      <c r="B3207" s="76" t="s">
        <v>1030</v>
      </c>
      <c r="C3207" s="76" t="s">
        <v>1031</v>
      </c>
      <c r="D3207" s="75"/>
    </row>
    <row hidden="true" r="3208">
      <c r="A3208" s="76" t="s">
        <v>1291</v>
      </c>
      <c r="B3208" s="76" t="s">
        <v>1032</v>
      </c>
      <c r="C3208" s="76" t="s">
        <v>1033</v>
      </c>
      <c r="D3208" s="75"/>
    </row>
    <row hidden="true" r="3209">
      <c r="A3209" s="76" t="s">
        <v>1291</v>
      </c>
      <c r="B3209" s="76" t="s">
        <v>1034</v>
      </c>
      <c r="C3209" s="76" t="s">
        <v>1035</v>
      </c>
      <c r="D3209" s="75"/>
    </row>
    <row hidden="true" r="3210">
      <c r="A3210" s="76" t="s">
        <v>1291</v>
      </c>
      <c r="B3210" s="76" t="s">
        <v>532</v>
      </c>
      <c r="C3210" s="76" t="s">
        <v>533</v>
      </c>
      <c r="D3210" s="75"/>
    </row>
    <row hidden="true" r="3211">
      <c r="A3211" s="76" t="s">
        <v>1291</v>
      </c>
      <c r="B3211" s="76" t="s">
        <v>1036</v>
      </c>
      <c r="C3211" s="76" t="s">
        <v>1037</v>
      </c>
      <c r="D3211" s="75"/>
    </row>
    <row hidden="true" r="3212">
      <c r="A3212" s="76" t="s">
        <v>1291</v>
      </c>
      <c r="B3212" s="76" t="s">
        <v>1038</v>
      </c>
      <c r="C3212" s="76" t="s">
        <v>1039</v>
      </c>
      <c r="D3212" s="75"/>
    </row>
    <row hidden="true" r="3213">
      <c r="A3213" s="76" t="s">
        <v>1291</v>
      </c>
      <c r="B3213" s="76" t="s">
        <v>1040</v>
      </c>
      <c r="C3213" s="76" t="s">
        <v>1041</v>
      </c>
      <c r="D3213" s="75"/>
    </row>
    <row hidden="true" r="3214">
      <c r="A3214" s="76" t="s">
        <v>1291</v>
      </c>
      <c r="B3214" s="76" t="s">
        <v>1042</v>
      </c>
      <c r="C3214" s="76" t="s">
        <v>1043</v>
      </c>
      <c r="D3214" s="75"/>
    </row>
    <row hidden="true" r="3215">
      <c r="A3215" s="76" t="s">
        <v>1291</v>
      </c>
      <c r="B3215" s="76" t="s">
        <v>1044</v>
      </c>
      <c r="C3215" s="76" t="s">
        <v>1045</v>
      </c>
      <c r="D3215" s="75"/>
    </row>
    <row hidden="true" r="3216">
      <c r="A3216" s="76" t="s">
        <v>1291</v>
      </c>
      <c r="B3216" s="76" t="s">
        <v>1046</v>
      </c>
      <c r="C3216" s="76" t="s">
        <v>1047</v>
      </c>
      <c r="D3216" s="75"/>
    </row>
    <row hidden="true" r="3217">
      <c r="A3217" s="76" t="s">
        <v>1291</v>
      </c>
      <c r="B3217" s="76" t="s">
        <v>1048</v>
      </c>
      <c r="C3217" s="76" t="s">
        <v>1049</v>
      </c>
      <c r="D3217" s="75"/>
    </row>
    <row hidden="true" r="3218">
      <c r="A3218" s="76" t="s">
        <v>1291</v>
      </c>
      <c r="B3218" s="76" t="s">
        <v>1050</v>
      </c>
      <c r="C3218" s="76" t="s">
        <v>1051</v>
      </c>
      <c r="D3218" s="75"/>
    </row>
    <row hidden="true" r="3219">
      <c r="A3219" s="76" t="s">
        <v>1291</v>
      </c>
      <c r="B3219" s="76" t="s">
        <v>1052</v>
      </c>
      <c r="C3219" s="76" t="s">
        <v>1053</v>
      </c>
      <c r="D3219" s="75"/>
    </row>
    <row hidden="true" r="3220">
      <c r="A3220" s="76" t="s">
        <v>1291</v>
      </c>
      <c r="B3220" s="76" t="s">
        <v>1054</v>
      </c>
      <c r="C3220" s="76" t="s">
        <v>1055</v>
      </c>
      <c r="D3220" s="75"/>
    </row>
    <row hidden="true" r="3221">
      <c r="A3221" s="76" t="s">
        <v>1291</v>
      </c>
      <c r="B3221" s="76" t="s">
        <v>1056</v>
      </c>
      <c r="C3221" s="76" t="s">
        <v>1057</v>
      </c>
      <c r="D3221" s="75"/>
    </row>
    <row hidden="true" r="3222">
      <c r="A3222" s="76" t="s">
        <v>1291</v>
      </c>
      <c r="B3222" s="76" t="s">
        <v>1058</v>
      </c>
      <c r="C3222" s="76" t="s">
        <v>1059</v>
      </c>
      <c r="D3222" s="75"/>
    </row>
    <row hidden="true" r="3223">
      <c r="A3223" s="76" t="s">
        <v>1291</v>
      </c>
      <c r="B3223" s="76" t="s">
        <v>1060</v>
      </c>
      <c r="C3223" s="76" t="s">
        <v>1061</v>
      </c>
      <c r="D3223" s="75"/>
    </row>
    <row hidden="true" r="3224">
      <c r="A3224" s="76" t="s">
        <v>1291</v>
      </c>
      <c r="B3224" s="76" t="s">
        <v>1062</v>
      </c>
      <c r="C3224" s="76" t="s">
        <v>1063</v>
      </c>
      <c r="D3224" s="75"/>
    </row>
    <row hidden="true" r="3225">
      <c r="A3225" s="76" t="s">
        <v>1291</v>
      </c>
      <c r="B3225" s="76" t="s">
        <v>1064</v>
      </c>
      <c r="C3225" s="76" t="s">
        <v>1065</v>
      </c>
      <c r="D3225" s="75"/>
    </row>
    <row hidden="true" r="3226">
      <c r="A3226" s="76" t="s">
        <v>1291</v>
      </c>
      <c r="B3226" s="76" t="s">
        <v>1066</v>
      </c>
      <c r="C3226" s="76" t="s">
        <v>1067</v>
      </c>
      <c r="D3226" s="75"/>
    </row>
    <row hidden="true" r="3227">
      <c r="A3227" s="76" t="s">
        <v>1291</v>
      </c>
      <c r="B3227" s="76" t="s">
        <v>1068</v>
      </c>
      <c r="C3227" s="76" t="s">
        <v>1069</v>
      </c>
      <c r="D3227" s="75"/>
    </row>
    <row hidden="true" r="3228">
      <c r="A3228" s="76" t="s">
        <v>1291</v>
      </c>
      <c r="B3228" s="76" t="s">
        <v>1070</v>
      </c>
      <c r="C3228" s="76" t="s">
        <v>1069</v>
      </c>
      <c r="D3228" s="75"/>
    </row>
    <row hidden="true" r="3229">
      <c r="A3229" s="76" t="s">
        <v>1291</v>
      </c>
      <c r="B3229" s="76" t="s">
        <v>1071</v>
      </c>
      <c r="C3229" s="76" t="s">
        <v>1069</v>
      </c>
      <c r="D3229" s="75"/>
    </row>
    <row hidden="true" r="3230">
      <c r="A3230" s="76" t="s">
        <v>1291</v>
      </c>
      <c r="B3230" s="76" t="s">
        <v>1072</v>
      </c>
      <c r="C3230" s="76" t="s">
        <v>1073</v>
      </c>
      <c r="D3230" s="75"/>
    </row>
    <row hidden="true" r="3231">
      <c r="A3231" s="76" t="s">
        <v>1291</v>
      </c>
      <c r="B3231" s="76" t="s">
        <v>1074</v>
      </c>
      <c r="C3231" s="76" t="s">
        <v>1073</v>
      </c>
      <c r="D3231" s="75"/>
    </row>
    <row hidden="true" r="3232">
      <c r="A3232" s="76" t="s">
        <v>1291</v>
      </c>
      <c r="B3232" s="76" t="s">
        <v>1075</v>
      </c>
      <c r="C3232" s="76" t="s">
        <v>1073</v>
      </c>
      <c r="D3232" s="75"/>
    </row>
    <row hidden="true" r="3233">
      <c r="A3233" s="76" t="s">
        <v>1291</v>
      </c>
      <c r="B3233" s="76" t="s">
        <v>1076</v>
      </c>
      <c r="C3233" s="76" t="s">
        <v>1077</v>
      </c>
      <c r="D3233" s="75"/>
    </row>
    <row hidden="true" r="3234">
      <c r="A3234" s="76" t="s">
        <v>1291</v>
      </c>
      <c r="B3234" s="76" t="s">
        <v>1078</v>
      </c>
      <c r="C3234" s="76" t="s">
        <v>1079</v>
      </c>
      <c r="D3234" s="75"/>
    </row>
    <row hidden="true" r="3235">
      <c r="A3235" s="76" t="s">
        <v>1291</v>
      </c>
      <c r="B3235" s="76" t="s">
        <v>839</v>
      </c>
      <c r="C3235" s="76" t="s">
        <v>840</v>
      </c>
      <c r="D3235" s="75"/>
    </row>
    <row hidden="true" r="3236">
      <c r="A3236" s="76" t="s">
        <v>1291</v>
      </c>
      <c r="B3236" s="76" t="s">
        <v>1080</v>
      </c>
      <c r="C3236" s="76" t="s">
        <v>1081</v>
      </c>
      <c r="D3236" s="75"/>
    </row>
    <row hidden="true" r="3237">
      <c r="A3237" s="76" t="s">
        <v>1291</v>
      </c>
      <c r="B3237" s="76" t="s">
        <v>1082</v>
      </c>
      <c r="C3237" s="76" t="s">
        <v>1083</v>
      </c>
      <c r="D3237" s="75"/>
    </row>
    <row hidden="true" r="3238">
      <c r="A3238" s="76" t="s">
        <v>1291</v>
      </c>
      <c r="B3238" s="76" t="s">
        <v>1084</v>
      </c>
      <c r="C3238" s="76" t="s">
        <v>1085</v>
      </c>
      <c r="D3238" s="75"/>
    </row>
    <row hidden="true" r="3239">
      <c r="A3239" s="76" t="s">
        <v>1291</v>
      </c>
      <c r="B3239" s="76" t="s">
        <v>1086</v>
      </c>
      <c r="C3239" s="76" t="s">
        <v>1087</v>
      </c>
      <c r="D3239" s="75"/>
    </row>
    <row hidden="true" r="3240">
      <c r="A3240" s="76" t="s">
        <v>1291</v>
      </c>
      <c r="B3240" s="76" t="s">
        <v>1088</v>
      </c>
      <c r="C3240" s="76" t="s">
        <v>1089</v>
      </c>
      <c r="D3240" s="75"/>
    </row>
    <row hidden="true" r="3241">
      <c r="A3241" s="76" t="s">
        <v>1291</v>
      </c>
      <c r="B3241" s="76" t="s">
        <v>1090</v>
      </c>
      <c r="C3241" s="76" t="s">
        <v>1091</v>
      </c>
      <c r="D3241" s="75"/>
    </row>
    <row hidden="true" r="3242">
      <c r="A3242" s="76" t="s">
        <v>1291</v>
      </c>
      <c r="B3242" s="76" t="s">
        <v>1092</v>
      </c>
      <c r="C3242" s="76" t="s">
        <v>1091</v>
      </c>
      <c r="D3242" s="75"/>
    </row>
    <row hidden="true" r="3243">
      <c r="A3243" s="76" t="s">
        <v>1291</v>
      </c>
      <c r="B3243" s="76" t="s">
        <v>1093</v>
      </c>
      <c r="C3243" s="76" t="s">
        <v>1094</v>
      </c>
      <c r="D3243" s="75"/>
    </row>
    <row hidden="true" r="3244">
      <c r="A3244" s="76" t="s">
        <v>1291</v>
      </c>
      <c r="B3244" s="76" t="s">
        <v>1095</v>
      </c>
      <c r="C3244" s="76" t="s">
        <v>1096</v>
      </c>
      <c r="D3244" s="75"/>
    </row>
    <row hidden="true" r="3245">
      <c r="A3245" s="76" t="s">
        <v>1291</v>
      </c>
      <c r="B3245" s="76" t="s">
        <v>1097</v>
      </c>
      <c r="C3245" s="76" t="s">
        <v>1098</v>
      </c>
      <c r="D3245" s="75"/>
    </row>
    <row hidden="true" r="3246">
      <c r="A3246" s="76" t="s">
        <v>1291</v>
      </c>
      <c r="B3246" s="76" t="s">
        <v>1099</v>
      </c>
      <c r="C3246" s="76" t="s">
        <v>1100</v>
      </c>
      <c r="D3246" s="75"/>
    </row>
    <row hidden="true" r="3247">
      <c r="A3247" s="76" t="s">
        <v>1291</v>
      </c>
      <c r="B3247" s="76" t="s">
        <v>1101</v>
      </c>
      <c r="C3247" s="76" t="s">
        <v>1102</v>
      </c>
      <c r="D3247" s="75"/>
    </row>
    <row hidden="true" r="3248">
      <c r="A3248" s="76" t="s">
        <v>1291</v>
      </c>
      <c r="B3248" s="76" t="s">
        <v>1103</v>
      </c>
      <c r="C3248" s="76" t="s">
        <v>1104</v>
      </c>
      <c r="D3248" s="75"/>
    </row>
    <row hidden="true" r="3249">
      <c r="A3249" s="76" t="s">
        <v>1291</v>
      </c>
      <c r="B3249" s="76" t="s">
        <v>1105</v>
      </c>
      <c r="C3249" s="76" t="s">
        <v>1106</v>
      </c>
      <c r="D3249" s="75"/>
    </row>
    <row hidden="true" r="3250">
      <c r="A3250" s="76" t="s">
        <v>1291</v>
      </c>
      <c r="B3250" s="76" t="s">
        <v>1107</v>
      </c>
      <c r="C3250" s="76" t="s">
        <v>1108</v>
      </c>
      <c r="D3250" s="75"/>
    </row>
    <row hidden="true" r="3251">
      <c r="A3251" s="76" t="s">
        <v>1291</v>
      </c>
      <c r="B3251" s="76" t="s">
        <v>1109</v>
      </c>
      <c r="C3251" s="76" t="s">
        <v>1110</v>
      </c>
      <c r="D3251" s="75"/>
    </row>
    <row hidden="true" r="3252">
      <c r="A3252" s="76" t="s">
        <v>1291</v>
      </c>
      <c r="B3252" s="76" t="s">
        <v>1111</v>
      </c>
      <c r="C3252" s="76" t="s">
        <v>1112</v>
      </c>
      <c r="D3252" s="75"/>
    </row>
    <row hidden="true" r="3253">
      <c r="A3253" s="76" t="s">
        <v>1291</v>
      </c>
      <c r="B3253" s="76" t="s">
        <v>1113</v>
      </c>
      <c r="C3253" s="76" t="s">
        <v>1114</v>
      </c>
      <c r="D3253" s="75"/>
    </row>
    <row hidden="true" r="3254">
      <c r="A3254" s="76" t="s">
        <v>1291</v>
      </c>
      <c r="B3254" s="76" t="s">
        <v>1115</v>
      </c>
      <c r="C3254" s="76" t="s">
        <v>1116</v>
      </c>
      <c r="D3254" s="75"/>
    </row>
    <row hidden="true" r="3255">
      <c r="A3255" s="76" t="s">
        <v>1291</v>
      </c>
      <c r="B3255" s="76" t="s">
        <v>1117</v>
      </c>
      <c r="C3255" s="76" t="s">
        <v>1118</v>
      </c>
      <c r="D3255" s="75"/>
    </row>
    <row hidden="true" r="3256">
      <c r="A3256" s="76" t="s">
        <v>1291</v>
      </c>
      <c r="B3256" s="76" t="s">
        <v>1119</v>
      </c>
      <c r="C3256" s="76" t="s">
        <v>1120</v>
      </c>
      <c r="D3256" s="75"/>
    </row>
    <row hidden="true" r="3257">
      <c r="A3257" s="76" t="s">
        <v>1291</v>
      </c>
      <c r="B3257" s="76" t="s">
        <v>1121</v>
      </c>
      <c r="C3257" s="76" t="s">
        <v>1122</v>
      </c>
      <c r="D3257" s="75"/>
    </row>
    <row hidden="true" r="3258">
      <c r="A3258" s="76" t="s">
        <v>1291</v>
      </c>
      <c r="B3258" s="76" t="s">
        <v>1123</v>
      </c>
      <c r="C3258" s="76" t="s">
        <v>1124</v>
      </c>
      <c r="D3258" s="75"/>
    </row>
    <row hidden="true" r="3259">
      <c r="A3259" s="76" t="s">
        <v>1291</v>
      </c>
      <c r="B3259" s="76" t="s">
        <v>1125</v>
      </c>
      <c r="C3259" s="76" t="s">
        <v>1126</v>
      </c>
      <c r="D3259" s="75"/>
    </row>
    <row hidden="true" r="3260">
      <c r="A3260" s="76" t="s">
        <v>1291</v>
      </c>
      <c r="B3260" s="76" t="s">
        <v>1127</v>
      </c>
      <c r="C3260" s="76" t="s">
        <v>1128</v>
      </c>
      <c r="D3260" s="75"/>
    </row>
    <row hidden="true" r="3261">
      <c r="A3261" s="76" t="s">
        <v>1291</v>
      </c>
      <c r="B3261" s="76" t="s">
        <v>1129</v>
      </c>
      <c r="C3261" s="76" t="s">
        <v>1130</v>
      </c>
      <c r="D3261" s="75"/>
    </row>
    <row hidden="true" r="3262">
      <c r="A3262" s="76" t="s">
        <v>1291</v>
      </c>
      <c r="B3262" s="76" t="s">
        <v>1131</v>
      </c>
      <c r="C3262" s="76" t="s">
        <v>1132</v>
      </c>
      <c r="D3262" s="75"/>
    </row>
    <row hidden="true" r="3263">
      <c r="A3263" s="76" t="s">
        <v>1291</v>
      </c>
      <c r="B3263" s="76" t="s">
        <v>1133</v>
      </c>
      <c r="C3263" s="76" t="s">
        <v>1134</v>
      </c>
      <c r="D3263" s="75"/>
    </row>
    <row hidden="true" r="3264">
      <c r="A3264" s="76" t="s">
        <v>1291</v>
      </c>
      <c r="B3264" s="76" t="s">
        <v>1135</v>
      </c>
      <c r="C3264" s="76" t="s">
        <v>1136</v>
      </c>
      <c r="D3264" s="75"/>
    </row>
    <row hidden="true" r="3265">
      <c r="A3265" s="76" t="s">
        <v>1291</v>
      </c>
      <c r="B3265" s="76" t="s">
        <v>1137</v>
      </c>
      <c r="C3265" s="76" t="s">
        <v>1138</v>
      </c>
      <c r="D3265" s="75"/>
    </row>
    <row hidden="true" r="3266">
      <c r="A3266" s="76" t="s">
        <v>1291</v>
      </c>
      <c r="B3266" s="76" t="s">
        <v>1139</v>
      </c>
      <c r="C3266" s="76" t="s">
        <v>1140</v>
      </c>
      <c r="D3266" s="75"/>
    </row>
    <row hidden="true" r="3267">
      <c r="A3267" s="76" t="s">
        <v>1291</v>
      </c>
      <c r="B3267" s="76" t="s">
        <v>1141</v>
      </c>
      <c r="C3267" s="76" t="s">
        <v>1142</v>
      </c>
      <c r="D3267" s="75"/>
    </row>
    <row hidden="true" r="3268">
      <c r="A3268" s="76" t="s">
        <v>1291</v>
      </c>
      <c r="B3268" s="76" t="s">
        <v>1143</v>
      </c>
      <c r="C3268" s="76" t="s">
        <v>1144</v>
      </c>
      <c r="D3268" s="75"/>
    </row>
    <row hidden="true" r="3269">
      <c r="A3269" s="76" t="s">
        <v>1291</v>
      </c>
      <c r="B3269" s="76" t="s">
        <v>1145</v>
      </c>
      <c r="C3269" s="76" t="s">
        <v>1146</v>
      </c>
      <c r="D3269" s="75"/>
    </row>
    <row hidden="true" r="3270">
      <c r="A3270" s="76" t="s">
        <v>1291</v>
      </c>
      <c r="B3270" s="76" t="s">
        <v>1147</v>
      </c>
      <c r="C3270" s="76" t="s">
        <v>1148</v>
      </c>
      <c r="D3270" s="75"/>
    </row>
    <row hidden="true" r="3271">
      <c r="A3271" s="76" t="s">
        <v>1291</v>
      </c>
      <c r="B3271" s="76" t="s">
        <v>1149</v>
      </c>
      <c r="C3271" s="76" t="s">
        <v>1150</v>
      </c>
      <c r="D3271" s="75"/>
    </row>
    <row hidden="true" r="3272">
      <c r="A3272" s="76" t="s">
        <v>1291</v>
      </c>
      <c r="B3272" s="76" t="s">
        <v>1151</v>
      </c>
      <c r="C3272" s="76" t="s">
        <v>1152</v>
      </c>
      <c r="D3272" s="75"/>
    </row>
    <row hidden="true" r="3273">
      <c r="A3273" s="76" t="s">
        <v>1291</v>
      </c>
      <c r="B3273" s="76" t="s">
        <v>1153</v>
      </c>
      <c r="C3273" s="76" t="s">
        <v>1154</v>
      </c>
      <c r="D3273" s="75"/>
    </row>
    <row hidden="true" r="3274">
      <c r="A3274" s="76" t="s">
        <v>1291</v>
      </c>
      <c r="B3274" s="76" t="s">
        <v>1155</v>
      </c>
      <c r="C3274" s="76" t="s">
        <v>1156</v>
      </c>
      <c r="D3274" s="75"/>
    </row>
    <row hidden="true" r="3275">
      <c r="A3275" s="76" t="s">
        <v>1291</v>
      </c>
      <c r="B3275" s="76" t="s">
        <v>1157</v>
      </c>
      <c r="C3275" s="76" t="s">
        <v>1158</v>
      </c>
      <c r="D3275" s="75"/>
    </row>
    <row hidden="true" r="3276">
      <c r="A3276" s="76" t="s">
        <v>1291</v>
      </c>
      <c r="B3276" s="76" t="s">
        <v>1159</v>
      </c>
      <c r="C3276" s="76" t="s">
        <v>1160</v>
      </c>
      <c r="D3276" s="75"/>
    </row>
    <row hidden="true" r="3277">
      <c r="A3277" s="76" t="s">
        <v>1291</v>
      </c>
      <c r="B3277" s="76" t="s">
        <v>868</v>
      </c>
      <c r="C3277" s="76" t="s">
        <v>869</v>
      </c>
      <c r="D3277" s="75"/>
    </row>
    <row hidden="true" r="3278">
      <c r="A3278" s="76" t="s">
        <v>1291</v>
      </c>
      <c r="B3278" s="76" t="s">
        <v>1161</v>
      </c>
      <c r="C3278" s="76" t="s">
        <v>1162</v>
      </c>
      <c r="D3278" s="75"/>
    </row>
    <row hidden="true" r="3279">
      <c r="A3279" s="76" t="s">
        <v>1291</v>
      </c>
      <c r="B3279" s="76" t="s">
        <v>1163</v>
      </c>
      <c r="C3279" s="76" t="s">
        <v>1164</v>
      </c>
      <c r="D3279" s="75"/>
    </row>
    <row hidden="true" r="3280">
      <c r="A3280" s="76" t="s">
        <v>1291</v>
      </c>
      <c r="B3280" s="76" t="s">
        <v>1165</v>
      </c>
      <c r="C3280" s="76" t="s">
        <v>1166</v>
      </c>
      <c r="D3280" s="75"/>
    </row>
    <row hidden="true" r="3281">
      <c r="A3281" s="76" t="s">
        <v>1291</v>
      </c>
      <c r="B3281" s="76" t="s">
        <v>1167</v>
      </c>
      <c r="C3281" s="76" t="s">
        <v>1168</v>
      </c>
      <c r="D3281" s="75"/>
    </row>
    <row hidden="true" r="3282">
      <c r="A3282" s="76" t="s">
        <v>1291</v>
      </c>
      <c r="B3282" s="76" t="s">
        <v>1169</v>
      </c>
      <c r="C3282" s="76" t="s">
        <v>1170</v>
      </c>
      <c r="D3282" s="75"/>
    </row>
    <row hidden="true" r="3283">
      <c r="A3283" s="76" t="s">
        <v>1291</v>
      </c>
      <c r="B3283" s="76" t="s">
        <v>1171</v>
      </c>
      <c r="C3283" s="76" t="s">
        <v>1172</v>
      </c>
      <c r="D3283" s="75"/>
    </row>
    <row hidden="true" r="3284">
      <c r="A3284" s="76" t="s">
        <v>1291</v>
      </c>
      <c r="B3284" s="76" t="s">
        <v>1173</v>
      </c>
      <c r="C3284" s="76" t="s">
        <v>1174</v>
      </c>
      <c r="D3284" s="75"/>
    </row>
    <row hidden="true" r="3285">
      <c r="A3285" s="76" t="s">
        <v>1291</v>
      </c>
      <c r="B3285" s="76" t="s">
        <v>1175</v>
      </c>
      <c r="C3285" s="76" t="s">
        <v>1176</v>
      </c>
      <c r="D3285" s="75"/>
    </row>
    <row hidden="true" r="3286">
      <c r="A3286" s="76" t="s">
        <v>1291</v>
      </c>
      <c r="B3286" s="76" t="s">
        <v>1177</v>
      </c>
      <c r="C3286" s="76" t="s">
        <v>1178</v>
      </c>
      <c r="D3286" s="75"/>
    </row>
    <row hidden="true" r="3287">
      <c r="A3287" s="76" t="s">
        <v>1291</v>
      </c>
      <c r="B3287" s="76" t="s">
        <v>1179</v>
      </c>
      <c r="C3287" s="76" t="s">
        <v>1180</v>
      </c>
      <c r="D3287" s="75"/>
    </row>
    <row hidden="true" r="3288">
      <c r="A3288" s="76" t="s">
        <v>1291</v>
      </c>
      <c r="B3288" s="76" t="s">
        <v>1181</v>
      </c>
      <c r="C3288" s="76" t="s">
        <v>1182</v>
      </c>
      <c r="D3288" s="75"/>
    </row>
    <row hidden="true" r="3289">
      <c r="A3289" s="76" t="s">
        <v>1291</v>
      </c>
      <c r="B3289" s="76" t="s">
        <v>1183</v>
      </c>
      <c r="C3289" s="76" t="s">
        <v>1184</v>
      </c>
      <c r="D3289" s="75"/>
    </row>
    <row hidden="true" r="3290">
      <c r="A3290" s="76" t="s">
        <v>1291</v>
      </c>
      <c r="B3290" s="76" t="s">
        <v>1185</v>
      </c>
      <c r="C3290" s="76" t="s">
        <v>1186</v>
      </c>
      <c r="D3290" s="75"/>
    </row>
    <row hidden="true" r="3291">
      <c r="A3291" s="76" t="s">
        <v>1291</v>
      </c>
      <c r="B3291" s="76" t="s">
        <v>1187</v>
      </c>
      <c r="C3291" s="76" t="s">
        <v>1188</v>
      </c>
      <c r="D3291" s="75"/>
    </row>
    <row hidden="true" r="3292">
      <c r="A3292" s="76" t="s">
        <v>1291</v>
      </c>
      <c r="B3292" s="76" t="s">
        <v>1189</v>
      </c>
      <c r="C3292" s="76" t="s">
        <v>1190</v>
      </c>
      <c r="D3292" s="75"/>
    </row>
    <row hidden="true" r="3293">
      <c r="A3293" s="76" t="s">
        <v>1291</v>
      </c>
      <c r="B3293" s="76" t="s">
        <v>1199</v>
      </c>
      <c r="C3293" s="76" t="s">
        <v>1200</v>
      </c>
      <c r="D3293" s="75"/>
    </row>
    <row hidden="true" r="3294">
      <c r="A3294" s="76" t="s">
        <v>1291</v>
      </c>
      <c r="B3294" s="76" t="s">
        <v>1201</v>
      </c>
      <c r="C3294" s="76" t="s">
        <v>1202</v>
      </c>
      <c r="D3294" s="75"/>
    </row>
    <row hidden="true" r="3295">
      <c r="A3295" s="76" t="s">
        <v>1291</v>
      </c>
      <c r="B3295" s="76" t="s">
        <v>1203</v>
      </c>
      <c r="C3295" s="76" t="s">
        <v>1204</v>
      </c>
      <c r="D3295" s="75"/>
    </row>
    <row hidden="true" r="3296">
      <c r="A3296" s="76" t="s">
        <v>1291</v>
      </c>
      <c r="B3296" s="76" t="s">
        <v>1205</v>
      </c>
      <c r="C3296" s="76" t="s">
        <v>1206</v>
      </c>
      <c r="D3296" s="75"/>
    </row>
    <row hidden="true" r="3297">
      <c r="A3297" s="76" t="s">
        <v>1291</v>
      </c>
      <c r="B3297" s="76" t="s">
        <v>1207</v>
      </c>
      <c r="C3297" s="76" t="s">
        <v>1208</v>
      </c>
      <c r="D3297" s="75"/>
    </row>
    <row hidden="true" r="3298">
      <c r="A3298" s="76" t="s">
        <v>1291</v>
      </c>
      <c r="B3298" s="76" t="s">
        <v>1209</v>
      </c>
      <c r="C3298" s="76" t="s">
        <v>1210</v>
      </c>
      <c r="D3298" s="75"/>
    </row>
    <row hidden="true" r="3299">
      <c r="A3299" s="76" t="s">
        <v>1291</v>
      </c>
      <c r="B3299" s="76" t="s">
        <v>1211</v>
      </c>
      <c r="C3299" s="76" t="s">
        <v>1212</v>
      </c>
      <c r="D3299" s="75"/>
    </row>
    <row hidden="true" r="3300">
      <c r="A3300" s="76" t="s">
        <v>1291</v>
      </c>
      <c r="B3300" s="76" t="s">
        <v>735</v>
      </c>
      <c r="C3300" s="76"/>
      <c r="D3300" s="75"/>
    </row>
    <row hidden="true" r="3301">
      <c r="A3301" s="76" t="s">
        <v>1292</v>
      </c>
      <c r="B3301" s="76" t="s">
        <v>407</v>
      </c>
      <c r="C3301" s="76" t="s">
        <v>408</v>
      </c>
      <c r="D3301" s="75"/>
    </row>
    <row hidden="true" r="3302">
      <c r="A3302" s="76" t="s">
        <v>1292</v>
      </c>
      <c r="B3302" s="76" t="s">
        <v>744</v>
      </c>
      <c r="C3302" s="76" t="s">
        <v>745</v>
      </c>
      <c r="D3302" s="75"/>
    </row>
    <row hidden="true" r="3303">
      <c r="A3303" s="76" t="s">
        <v>1292</v>
      </c>
      <c r="B3303" s="76" t="s">
        <v>409</v>
      </c>
      <c r="C3303" s="76" t="s">
        <v>1215</v>
      </c>
      <c r="D3303" s="75"/>
    </row>
    <row hidden="true" r="3304">
      <c r="A3304" s="76" t="s">
        <v>1292</v>
      </c>
      <c r="B3304" s="76" t="s">
        <v>884</v>
      </c>
      <c r="C3304" s="76" t="s">
        <v>885</v>
      </c>
      <c r="D3304" s="75"/>
    </row>
    <row hidden="true" r="3305">
      <c r="A3305" s="76" t="s">
        <v>1292</v>
      </c>
      <c r="B3305" s="76" t="s">
        <v>886</v>
      </c>
      <c r="C3305" s="76" t="s">
        <v>1216</v>
      </c>
      <c r="D3305" s="75"/>
    </row>
    <row hidden="true" r="3306">
      <c r="A3306" s="76" t="s">
        <v>1292</v>
      </c>
      <c r="B3306" s="76" t="s">
        <v>888</v>
      </c>
      <c r="C3306" s="76" t="s">
        <v>889</v>
      </c>
      <c r="D3306" s="75"/>
    </row>
    <row hidden="true" r="3307">
      <c r="A3307" s="76" t="s">
        <v>1292</v>
      </c>
      <c r="B3307" s="76" t="s">
        <v>890</v>
      </c>
      <c r="C3307" s="76" t="s">
        <v>891</v>
      </c>
      <c r="D3307" s="75"/>
    </row>
    <row hidden="true" r="3308">
      <c r="A3308" s="76" t="s">
        <v>1292</v>
      </c>
      <c r="B3308" s="76" t="s">
        <v>892</v>
      </c>
      <c r="C3308" s="76" t="s">
        <v>893</v>
      </c>
      <c r="D3308" s="75"/>
    </row>
    <row hidden="true" r="3309">
      <c r="A3309" s="76" t="s">
        <v>1292</v>
      </c>
      <c r="B3309" s="76" t="s">
        <v>894</v>
      </c>
      <c r="C3309" s="76" t="s">
        <v>1217</v>
      </c>
      <c r="D3309" s="75"/>
    </row>
    <row hidden="true" r="3310">
      <c r="A3310" s="76" t="s">
        <v>1292</v>
      </c>
      <c r="B3310" s="76" t="s">
        <v>896</v>
      </c>
      <c r="C3310" s="76" t="s">
        <v>897</v>
      </c>
      <c r="D3310" s="75"/>
    </row>
    <row hidden="true" r="3311">
      <c r="A3311" s="76" t="s">
        <v>1292</v>
      </c>
      <c r="B3311" s="76" t="s">
        <v>898</v>
      </c>
      <c r="C3311" s="76" t="s">
        <v>899</v>
      </c>
      <c r="D3311" s="75"/>
    </row>
    <row hidden="true" r="3312">
      <c r="A3312" s="76" t="s">
        <v>1292</v>
      </c>
      <c r="B3312" s="76" t="s">
        <v>900</v>
      </c>
      <c r="C3312" s="76" t="s">
        <v>1218</v>
      </c>
      <c r="D3312" s="75"/>
    </row>
    <row hidden="true" r="3313">
      <c r="A3313" s="76" t="s">
        <v>1292</v>
      </c>
      <c r="B3313" s="76" t="s">
        <v>902</v>
      </c>
      <c r="C3313" s="76" t="s">
        <v>903</v>
      </c>
      <c r="D3313" s="75"/>
    </row>
    <row hidden="true" r="3314">
      <c r="A3314" s="76" t="s">
        <v>1292</v>
      </c>
      <c r="B3314" s="76" t="s">
        <v>904</v>
      </c>
      <c r="C3314" s="76" t="s">
        <v>905</v>
      </c>
      <c r="D3314" s="75"/>
    </row>
    <row hidden="true" r="3315">
      <c r="A3315" s="76" t="s">
        <v>1292</v>
      </c>
      <c r="B3315" s="76" t="s">
        <v>906</v>
      </c>
      <c r="C3315" s="76" t="s">
        <v>907</v>
      </c>
      <c r="D3315" s="75"/>
    </row>
    <row hidden="true" r="3316">
      <c r="A3316" s="76" t="s">
        <v>1292</v>
      </c>
      <c r="B3316" s="76" t="s">
        <v>908</v>
      </c>
      <c r="C3316" s="76" t="s">
        <v>909</v>
      </c>
      <c r="D3316" s="75"/>
    </row>
    <row hidden="true" r="3317">
      <c r="A3317" s="76" t="s">
        <v>1292</v>
      </c>
      <c r="B3317" s="76" t="s">
        <v>910</v>
      </c>
      <c r="C3317" s="76" t="s">
        <v>911</v>
      </c>
      <c r="D3317" s="75"/>
    </row>
    <row hidden="true" r="3318">
      <c r="A3318" s="76" t="s">
        <v>1292</v>
      </c>
      <c r="B3318" s="76" t="s">
        <v>912</v>
      </c>
      <c r="C3318" s="76" t="s">
        <v>913</v>
      </c>
      <c r="D3318" s="75"/>
    </row>
    <row hidden="true" r="3319">
      <c r="A3319" s="76" t="s">
        <v>1292</v>
      </c>
      <c r="B3319" s="76" t="s">
        <v>914</v>
      </c>
      <c r="C3319" s="76" t="s">
        <v>915</v>
      </c>
      <c r="D3319" s="75"/>
    </row>
    <row hidden="true" r="3320">
      <c r="A3320" s="76" t="s">
        <v>1292</v>
      </c>
      <c r="B3320" s="76" t="s">
        <v>916</v>
      </c>
      <c r="C3320" s="76" t="s">
        <v>917</v>
      </c>
      <c r="D3320" s="75"/>
    </row>
    <row hidden="true" r="3321">
      <c r="A3321" s="76" t="s">
        <v>1292</v>
      </c>
      <c r="B3321" s="76" t="s">
        <v>918</v>
      </c>
      <c r="C3321" s="76" t="s">
        <v>919</v>
      </c>
      <c r="D3321" s="75"/>
    </row>
    <row hidden="true" r="3322">
      <c r="A3322" s="76" t="s">
        <v>1292</v>
      </c>
      <c r="B3322" s="76" t="s">
        <v>920</v>
      </c>
      <c r="C3322" s="76" t="s">
        <v>921</v>
      </c>
      <c r="D3322" s="75"/>
    </row>
    <row hidden="true" r="3323">
      <c r="A3323" s="76" t="s">
        <v>1292</v>
      </c>
      <c r="B3323" s="76" t="s">
        <v>922</v>
      </c>
      <c r="C3323" s="76" t="s">
        <v>1219</v>
      </c>
      <c r="D3323" s="75"/>
    </row>
    <row hidden="true" r="3324">
      <c r="A3324" s="76" t="s">
        <v>1292</v>
      </c>
      <c r="B3324" s="76" t="s">
        <v>924</v>
      </c>
      <c r="C3324" s="76" t="s">
        <v>925</v>
      </c>
      <c r="D3324" s="75"/>
    </row>
    <row hidden="true" r="3325">
      <c r="A3325" s="76" t="s">
        <v>1292</v>
      </c>
      <c r="B3325" s="76" t="s">
        <v>926</v>
      </c>
      <c r="C3325" s="76" t="s">
        <v>927</v>
      </c>
      <c r="D3325" s="75"/>
    </row>
    <row hidden="true" r="3326">
      <c r="A3326" s="76" t="s">
        <v>1292</v>
      </c>
      <c r="B3326" s="76" t="s">
        <v>928</v>
      </c>
      <c r="C3326" s="76" t="s">
        <v>929</v>
      </c>
      <c r="D3326" s="75"/>
    </row>
    <row hidden="true" r="3327">
      <c r="A3327" s="76" t="s">
        <v>1292</v>
      </c>
      <c r="B3327" s="76" t="s">
        <v>930</v>
      </c>
      <c r="C3327" s="76" t="s">
        <v>931</v>
      </c>
      <c r="D3327" s="75"/>
    </row>
    <row hidden="true" r="3328">
      <c r="A3328" s="76" t="s">
        <v>1292</v>
      </c>
      <c r="B3328" s="76" t="s">
        <v>932</v>
      </c>
      <c r="C3328" s="76" t="s">
        <v>933</v>
      </c>
      <c r="D3328" s="75"/>
    </row>
    <row hidden="true" r="3329">
      <c r="A3329" s="76" t="s">
        <v>1292</v>
      </c>
      <c r="B3329" s="76" t="s">
        <v>934</v>
      </c>
      <c r="C3329" s="76" t="s">
        <v>935</v>
      </c>
      <c r="D3329" s="75"/>
    </row>
    <row hidden="true" r="3330">
      <c r="A3330" s="76" t="s">
        <v>1292</v>
      </c>
      <c r="B3330" s="76" t="s">
        <v>936</v>
      </c>
      <c r="C3330" s="76" t="s">
        <v>937</v>
      </c>
      <c r="D3330" s="75"/>
    </row>
    <row hidden="true" r="3331">
      <c r="A3331" s="76" t="s">
        <v>1292</v>
      </c>
      <c r="B3331" s="76" t="s">
        <v>938</v>
      </c>
      <c r="C3331" s="76" t="s">
        <v>1220</v>
      </c>
      <c r="D3331" s="75"/>
    </row>
    <row hidden="true" r="3332">
      <c r="A3332" s="76" t="s">
        <v>1292</v>
      </c>
      <c r="B3332" s="76" t="s">
        <v>940</v>
      </c>
      <c r="C3332" s="76" t="s">
        <v>941</v>
      </c>
      <c r="D3332" s="75"/>
    </row>
    <row hidden="true" r="3333">
      <c r="A3333" s="76" t="s">
        <v>1292</v>
      </c>
      <c r="B3333" s="76" t="s">
        <v>942</v>
      </c>
      <c r="C3333" s="76" t="s">
        <v>943</v>
      </c>
      <c r="D3333" s="75"/>
    </row>
    <row hidden="true" r="3334">
      <c r="A3334" s="76" t="s">
        <v>1292</v>
      </c>
      <c r="B3334" s="76" t="s">
        <v>944</v>
      </c>
      <c r="C3334" s="76" t="s">
        <v>945</v>
      </c>
      <c r="D3334" s="75"/>
    </row>
    <row hidden="true" r="3335">
      <c r="A3335" s="76" t="s">
        <v>1292</v>
      </c>
      <c r="B3335" s="76" t="s">
        <v>946</v>
      </c>
      <c r="C3335" s="76" t="s">
        <v>1221</v>
      </c>
      <c r="D3335" s="75"/>
    </row>
    <row hidden="true" r="3336">
      <c r="A3336" s="76" t="s">
        <v>1292</v>
      </c>
      <c r="B3336" s="76" t="s">
        <v>948</v>
      </c>
      <c r="C3336" s="76" t="s">
        <v>1222</v>
      </c>
      <c r="D3336" s="75"/>
    </row>
    <row hidden="true" r="3337">
      <c r="A3337" s="76" t="s">
        <v>1292</v>
      </c>
      <c r="B3337" s="76" t="s">
        <v>950</v>
      </c>
      <c r="C3337" s="76" t="s">
        <v>951</v>
      </c>
      <c r="D3337" s="75"/>
    </row>
    <row hidden="true" r="3338">
      <c r="A3338" s="76" t="s">
        <v>1292</v>
      </c>
      <c r="B3338" s="76" t="s">
        <v>952</v>
      </c>
      <c r="C3338" s="76" t="s">
        <v>953</v>
      </c>
      <c r="D3338" s="75"/>
    </row>
    <row hidden="true" r="3339">
      <c r="A3339" s="76" t="s">
        <v>1292</v>
      </c>
      <c r="B3339" s="76" t="s">
        <v>954</v>
      </c>
      <c r="C3339" s="76" t="s">
        <v>955</v>
      </c>
      <c r="D3339" s="75"/>
    </row>
    <row hidden="true" r="3340">
      <c r="A3340" s="76" t="s">
        <v>1292</v>
      </c>
      <c r="B3340" s="76" t="s">
        <v>775</v>
      </c>
      <c r="C3340" s="76" t="s">
        <v>776</v>
      </c>
      <c r="D3340" s="75"/>
    </row>
    <row hidden="true" r="3341">
      <c r="A3341" s="76" t="s">
        <v>1292</v>
      </c>
      <c r="B3341" s="76" t="s">
        <v>956</v>
      </c>
      <c r="C3341" s="76" t="s">
        <v>957</v>
      </c>
      <c r="D3341" s="75"/>
    </row>
    <row hidden="true" r="3342">
      <c r="A3342" s="76" t="s">
        <v>1292</v>
      </c>
      <c r="B3342" s="76" t="s">
        <v>958</v>
      </c>
      <c r="C3342" s="76" t="s">
        <v>959</v>
      </c>
      <c r="D3342" s="75"/>
    </row>
    <row hidden="true" r="3343">
      <c r="A3343" s="76" t="s">
        <v>1292</v>
      </c>
      <c r="B3343" s="76" t="s">
        <v>960</v>
      </c>
      <c r="C3343" s="76" t="s">
        <v>961</v>
      </c>
      <c r="D3343" s="75"/>
    </row>
    <row hidden="true" r="3344">
      <c r="A3344" s="76" t="s">
        <v>1292</v>
      </c>
      <c r="B3344" s="76" t="s">
        <v>962</v>
      </c>
      <c r="C3344" s="76" t="s">
        <v>963</v>
      </c>
      <c r="D3344" s="75"/>
    </row>
    <row hidden="true" r="3345">
      <c r="A3345" s="76" t="s">
        <v>1292</v>
      </c>
      <c r="B3345" s="76" t="s">
        <v>964</v>
      </c>
      <c r="C3345" s="76" t="s">
        <v>965</v>
      </c>
      <c r="D3345" s="75"/>
    </row>
    <row hidden="true" r="3346">
      <c r="A3346" s="76" t="s">
        <v>1292</v>
      </c>
      <c r="B3346" s="76" t="s">
        <v>966</v>
      </c>
      <c r="C3346" s="76" t="s">
        <v>967</v>
      </c>
      <c r="D3346" s="75"/>
    </row>
    <row hidden="true" r="3347">
      <c r="A3347" s="76" t="s">
        <v>1292</v>
      </c>
      <c r="B3347" s="76" t="s">
        <v>968</v>
      </c>
      <c r="C3347" s="76" t="s">
        <v>969</v>
      </c>
      <c r="D3347" s="75"/>
    </row>
    <row hidden="true" r="3348">
      <c r="A3348" s="76" t="s">
        <v>1292</v>
      </c>
      <c r="B3348" s="76" t="s">
        <v>970</v>
      </c>
      <c r="C3348" s="76" t="s">
        <v>971</v>
      </c>
      <c r="D3348" s="75"/>
    </row>
    <row hidden="true" r="3349">
      <c r="A3349" s="76" t="s">
        <v>1292</v>
      </c>
      <c r="B3349" s="76" t="s">
        <v>972</v>
      </c>
      <c r="C3349" s="76" t="s">
        <v>973</v>
      </c>
      <c r="D3349" s="75"/>
    </row>
    <row hidden="true" r="3350">
      <c r="A3350" s="76" t="s">
        <v>1292</v>
      </c>
      <c r="B3350" s="76" t="s">
        <v>974</v>
      </c>
      <c r="C3350" s="76" t="s">
        <v>975</v>
      </c>
      <c r="D3350" s="75"/>
    </row>
    <row hidden="true" r="3351">
      <c r="A3351" s="76" t="s">
        <v>1292</v>
      </c>
      <c r="B3351" s="76" t="s">
        <v>976</v>
      </c>
      <c r="C3351" s="76" t="s">
        <v>977</v>
      </c>
      <c r="D3351" s="75"/>
    </row>
    <row hidden="true" r="3352">
      <c r="A3352" s="76" t="s">
        <v>1292</v>
      </c>
      <c r="B3352" s="76" t="s">
        <v>823</v>
      </c>
      <c r="C3352" s="76" t="s">
        <v>824</v>
      </c>
      <c r="D3352" s="75"/>
    </row>
    <row hidden="true" r="3353">
      <c r="A3353" s="76" t="s">
        <v>1292</v>
      </c>
      <c r="B3353" s="76" t="s">
        <v>978</v>
      </c>
      <c r="C3353" s="76" t="s">
        <v>979</v>
      </c>
      <c r="D3353" s="75"/>
    </row>
    <row hidden="true" r="3354">
      <c r="A3354" s="76" t="s">
        <v>1292</v>
      </c>
      <c r="B3354" s="76" t="s">
        <v>980</v>
      </c>
      <c r="C3354" s="76" t="s">
        <v>981</v>
      </c>
      <c r="D3354" s="75"/>
    </row>
    <row hidden="true" r="3355">
      <c r="A3355" s="76" t="s">
        <v>1292</v>
      </c>
      <c r="B3355" s="76" t="s">
        <v>982</v>
      </c>
      <c r="C3355" s="76" t="s">
        <v>983</v>
      </c>
      <c r="D3355" s="75"/>
    </row>
    <row hidden="true" r="3356">
      <c r="A3356" s="76" t="s">
        <v>1292</v>
      </c>
      <c r="B3356" s="76" t="s">
        <v>984</v>
      </c>
      <c r="C3356" s="76" t="s">
        <v>985</v>
      </c>
      <c r="D3356" s="75"/>
    </row>
    <row hidden="true" r="3357">
      <c r="A3357" s="76" t="s">
        <v>1292</v>
      </c>
      <c r="B3357" s="76" t="s">
        <v>986</v>
      </c>
      <c r="C3357" s="76" t="s">
        <v>987</v>
      </c>
      <c r="D3357" s="75"/>
    </row>
    <row hidden="true" r="3358">
      <c r="A3358" s="76" t="s">
        <v>1292</v>
      </c>
      <c r="B3358" s="76" t="s">
        <v>988</v>
      </c>
      <c r="C3358" s="76" t="s">
        <v>989</v>
      </c>
      <c r="D3358" s="75"/>
    </row>
    <row hidden="true" r="3359">
      <c r="A3359" s="76" t="s">
        <v>1292</v>
      </c>
      <c r="B3359" s="76" t="s">
        <v>990</v>
      </c>
      <c r="C3359" s="76" t="s">
        <v>991</v>
      </c>
      <c r="D3359" s="75"/>
    </row>
    <row hidden="true" r="3360">
      <c r="A3360" s="76" t="s">
        <v>1292</v>
      </c>
      <c r="B3360" s="76" t="s">
        <v>992</v>
      </c>
      <c r="C3360" s="76" t="s">
        <v>993</v>
      </c>
      <c r="D3360" s="75"/>
    </row>
    <row hidden="true" r="3361">
      <c r="A3361" s="76" t="s">
        <v>1292</v>
      </c>
      <c r="B3361" s="76" t="s">
        <v>994</v>
      </c>
      <c r="C3361" s="76" t="s">
        <v>995</v>
      </c>
      <c r="D3361" s="75"/>
    </row>
    <row hidden="true" r="3362">
      <c r="A3362" s="76" t="s">
        <v>1292</v>
      </c>
      <c r="B3362" s="76" t="s">
        <v>996</v>
      </c>
      <c r="C3362" s="76" t="s">
        <v>997</v>
      </c>
      <c r="D3362" s="75"/>
    </row>
    <row hidden="true" r="3363">
      <c r="A3363" s="76" t="s">
        <v>1292</v>
      </c>
      <c r="B3363" s="76" t="s">
        <v>998</v>
      </c>
      <c r="C3363" s="76" t="s">
        <v>999</v>
      </c>
      <c r="D3363" s="75"/>
    </row>
    <row hidden="true" r="3364">
      <c r="A3364" s="76" t="s">
        <v>1292</v>
      </c>
      <c r="B3364" s="76" t="s">
        <v>1000</v>
      </c>
      <c r="C3364" s="76" t="s">
        <v>1001</v>
      </c>
      <c r="D3364" s="75"/>
    </row>
    <row hidden="true" r="3365">
      <c r="A3365" s="76" t="s">
        <v>1292</v>
      </c>
      <c r="B3365" s="76" t="s">
        <v>1002</v>
      </c>
      <c r="C3365" s="76" t="s">
        <v>1003</v>
      </c>
      <c r="D3365" s="75"/>
    </row>
    <row hidden="true" r="3366">
      <c r="A3366" s="76" t="s">
        <v>1292</v>
      </c>
      <c r="B3366" s="76" t="s">
        <v>1004</v>
      </c>
      <c r="C3366" s="76" t="s">
        <v>1005</v>
      </c>
      <c r="D3366" s="75"/>
    </row>
    <row hidden="true" r="3367">
      <c r="A3367" s="76" t="s">
        <v>1292</v>
      </c>
      <c r="B3367" s="76" t="s">
        <v>1006</v>
      </c>
      <c r="C3367" s="76" t="s">
        <v>1007</v>
      </c>
      <c r="D3367" s="75"/>
    </row>
    <row hidden="true" r="3368">
      <c r="A3368" s="76" t="s">
        <v>1292</v>
      </c>
      <c r="B3368" s="76" t="s">
        <v>1008</v>
      </c>
      <c r="C3368" s="76" t="s">
        <v>1009</v>
      </c>
      <c r="D3368" s="75"/>
    </row>
    <row hidden="true" r="3369">
      <c r="A3369" s="76" t="s">
        <v>1292</v>
      </c>
      <c r="B3369" s="76" t="s">
        <v>1010</v>
      </c>
      <c r="C3369" s="76" t="s">
        <v>1011</v>
      </c>
      <c r="D3369" s="75"/>
    </row>
    <row hidden="true" r="3370">
      <c r="A3370" s="76" t="s">
        <v>1292</v>
      </c>
      <c r="B3370" s="76" t="s">
        <v>1012</v>
      </c>
      <c r="C3370" s="76" t="s">
        <v>1013</v>
      </c>
      <c r="D3370" s="75"/>
    </row>
    <row hidden="true" r="3371">
      <c r="A3371" s="76" t="s">
        <v>1292</v>
      </c>
      <c r="B3371" s="76" t="s">
        <v>1014</v>
      </c>
      <c r="C3371" s="76" t="s">
        <v>1015</v>
      </c>
      <c r="D3371" s="75"/>
    </row>
    <row hidden="true" r="3372">
      <c r="A3372" s="76" t="s">
        <v>1292</v>
      </c>
      <c r="B3372" s="76" t="s">
        <v>1016</v>
      </c>
      <c r="C3372" s="76" t="s">
        <v>1017</v>
      </c>
      <c r="D3372" s="75"/>
    </row>
    <row hidden="true" r="3373">
      <c r="A3373" s="76" t="s">
        <v>1292</v>
      </c>
      <c r="B3373" s="76" t="s">
        <v>1018</v>
      </c>
      <c r="C3373" s="76" t="s">
        <v>1019</v>
      </c>
      <c r="D3373" s="75"/>
    </row>
    <row hidden="true" r="3374">
      <c r="A3374" s="76" t="s">
        <v>1292</v>
      </c>
      <c r="B3374" s="76" t="s">
        <v>1020</v>
      </c>
      <c r="C3374" s="76" t="s">
        <v>1021</v>
      </c>
      <c r="D3374" s="75"/>
    </row>
    <row hidden="true" r="3375">
      <c r="A3375" s="76" t="s">
        <v>1292</v>
      </c>
      <c r="B3375" s="76" t="s">
        <v>1022</v>
      </c>
      <c r="C3375" s="76" t="s">
        <v>1017</v>
      </c>
      <c r="D3375" s="75"/>
    </row>
    <row hidden="true" r="3376">
      <c r="A3376" s="76" t="s">
        <v>1292</v>
      </c>
      <c r="B3376" s="76" t="s">
        <v>1023</v>
      </c>
      <c r="C3376" s="76" t="s">
        <v>1019</v>
      </c>
      <c r="D3376" s="75"/>
    </row>
    <row hidden="true" r="3377">
      <c r="A3377" s="76" t="s">
        <v>1292</v>
      </c>
      <c r="B3377" s="76" t="s">
        <v>1024</v>
      </c>
      <c r="C3377" s="76" t="s">
        <v>1021</v>
      </c>
      <c r="D3377" s="75"/>
    </row>
    <row hidden="true" r="3378">
      <c r="A3378" s="76" t="s">
        <v>1292</v>
      </c>
      <c r="B3378" s="76" t="s">
        <v>1025</v>
      </c>
      <c r="C3378" s="76" t="s">
        <v>1017</v>
      </c>
      <c r="D3378" s="75"/>
    </row>
    <row hidden="true" r="3379">
      <c r="A3379" s="76" t="s">
        <v>1292</v>
      </c>
      <c r="B3379" s="76" t="s">
        <v>1026</v>
      </c>
      <c r="C3379" s="76" t="s">
        <v>1019</v>
      </c>
      <c r="D3379" s="75"/>
    </row>
    <row hidden="true" r="3380">
      <c r="A3380" s="76" t="s">
        <v>1292</v>
      </c>
      <c r="B3380" s="76" t="s">
        <v>1027</v>
      </c>
      <c r="C3380" s="76" t="s">
        <v>1021</v>
      </c>
      <c r="D3380" s="75"/>
    </row>
    <row hidden="true" r="3381">
      <c r="A3381" s="76" t="s">
        <v>1292</v>
      </c>
      <c r="B3381" s="76" t="s">
        <v>1028</v>
      </c>
      <c r="C3381" s="76" t="s">
        <v>1029</v>
      </c>
      <c r="D3381" s="75"/>
    </row>
    <row hidden="true" r="3382">
      <c r="A3382" s="76" t="s">
        <v>1292</v>
      </c>
      <c r="B3382" s="76" t="s">
        <v>530</v>
      </c>
      <c r="C3382" s="76" t="s">
        <v>531</v>
      </c>
      <c r="D3382" s="75"/>
    </row>
    <row hidden="true" r="3383">
      <c r="A3383" s="76" t="s">
        <v>1292</v>
      </c>
      <c r="B3383" s="76" t="s">
        <v>1030</v>
      </c>
      <c r="C3383" s="76" t="s">
        <v>1031</v>
      </c>
      <c r="D3383" s="75"/>
    </row>
    <row hidden="true" r="3384">
      <c r="A3384" s="76" t="s">
        <v>1292</v>
      </c>
      <c r="B3384" s="76" t="s">
        <v>1032</v>
      </c>
      <c r="C3384" s="76" t="s">
        <v>1033</v>
      </c>
      <c r="D3384" s="75"/>
    </row>
    <row hidden="true" r="3385">
      <c r="A3385" s="76" t="s">
        <v>1292</v>
      </c>
      <c r="B3385" s="76" t="s">
        <v>1034</v>
      </c>
      <c r="C3385" s="76" t="s">
        <v>1035</v>
      </c>
      <c r="D3385" s="75"/>
    </row>
    <row hidden="true" r="3386">
      <c r="A3386" s="76" t="s">
        <v>1292</v>
      </c>
      <c r="B3386" s="76" t="s">
        <v>532</v>
      </c>
      <c r="C3386" s="76" t="s">
        <v>533</v>
      </c>
      <c r="D3386" s="75"/>
    </row>
    <row hidden="true" r="3387">
      <c r="A3387" s="76" t="s">
        <v>1292</v>
      </c>
      <c r="B3387" s="76" t="s">
        <v>1036</v>
      </c>
      <c r="C3387" s="76" t="s">
        <v>1037</v>
      </c>
      <c r="D3387" s="75"/>
    </row>
    <row hidden="true" r="3388">
      <c r="A3388" s="76" t="s">
        <v>1292</v>
      </c>
      <c r="B3388" s="76" t="s">
        <v>1038</v>
      </c>
      <c r="C3388" s="76" t="s">
        <v>1039</v>
      </c>
      <c r="D3388" s="75"/>
    </row>
    <row hidden="true" r="3389">
      <c r="A3389" s="76" t="s">
        <v>1292</v>
      </c>
      <c r="B3389" s="76" t="s">
        <v>1040</v>
      </c>
      <c r="C3389" s="76" t="s">
        <v>1041</v>
      </c>
      <c r="D3389" s="75"/>
    </row>
    <row hidden="true" r="3390">
      <c r="A3390" s="76" t="s">
        <v>1292</v>
      </c>
      <c r="B3390" s="76" t="s">
        <v>1042</v>
      </c>
      <c r="C3390" s="76" t="s">
        <v>1043</v>
      </c>
      <c r="D3390" s="75"/>
    </row>
    <row hidden="true" r="3391">
      <c r="A3391" s="76" t="s">
        <v>1292</v>
      </c>
      <c r="B3391" s="76" t="s">
        <v>1044</v>
      </c>
      <c r="C3391" s="76" t="s">
        <v>1045</v>
      </c>
      <c r="D3391" s="75"/>
    </row>
    <row hidden="true" r="3392">
      <c r="A3392" s="76" t="s">
        <v>1292</v>
      </c>
      <c r="B3392" s="76" t="s">
        <v>1046</v>
      </c>
      <c r="C3392" s="76" t="s">
        <v>1047</v>
      </c>
      <c r="D3392" s="75"/>
    </row>
    <row hidden="true" r="3393">
      <c r="A3393" s="76" t="s">
        <v>1292</v>
      </c>
      <c r="B3393" s="76" t="s">
        <v>1048</v>
      </c>
      <c r="C3393" s="76" t="s">
        <v>1049</v>
      </c>
      <c r="D3393" s="75"/>
    </row>
    <row hidden="true" r="3394">
      <c r="A3394" s="76" t="s">
        <v>1292</v>
      </c>
      <c r="B3394" s="76" t="s">
        <v>1050</v>
      </c>
      <c r="C3394" s="76" t="s">
        <v>1051</v>
      </c>
      <c r="D3394" s="75"/>
    </row>
    <row hidden="true" r="3395">
      <c r="A3395" s="76" t="s">
        <v>1292</v>
      </c>
      <c r="B3395" s="76" t="s">
        <v>1052</v>
      </c>
      <c r="C3395" s="76" t="s">
        <v>1053</v>
      </c>
      <c r="D3395" s="75"/>
    </row>
    <row hidden="true" r="3396">
      <c r="A3396" s="76" t="s">
        <v>1292</v>
      </c>
      <c r="B3396" s="76" t="s">
        <v>1054</v>
      </c>
      <c r="C3396" s="76" t="s">
        <v>1055</v>
      </c>
      <c r="D3396" s="75"/>
    </row>
    <row hidden="true" r="3397">
      <c r="A3397" s="76" t="s">
        <v>1292</v>
      </c>
      <c r="B3397" s="76" t="s">
        <v>1056</v>
      </c>
      <c r="C3397" s="76" t="s">
        <v>1057</v>
      </c>
      <c r="D3397" s="75"/>
    </row>
    <row hidden="true" r="3398">
      <c r="A3398" s="76" t="s">
        <v>1292</v>
      </c>
      <c r="B3398" s="76" t="s">
        <v>1058</v>
      </c>
      <c r="C3398" s="76" t="s">
        <v>1059</v>
      </c>
      <c r="D3398" s="75"/>
    </row>
    <row hidden="true" r="3399">
      <c r="A3399" s="76" t="s">
        <v>1292</v>
      </c>
      <c r="B3399" s="76" t="s">
        <v>1060</v>
      </c>
      <c r="C3399" s="76" t="s">
        <v>1061</v>
      </c>
      <c r="D3399" s="75"/>
    </row>
    <row hidden="true" r="3400">
      <c r="A3400" s="76" t="s">
        <v>1292</v>
      </c>
      <c r="B3400" s="76" t="s">
        <v>1062</v>
      </c>
      <c r="C3400" s="76" t="s">
        <v>1063</v>
      </c>
      <c r="D3400" s="75"/>
    </row>
    <row hidden="true" r="3401">
      <c r="A3401" s="76" t="s">
        <v>1292</v>
      </c>
      <c r="B3401" s="76" t="s">
        <v>1064</v>
      </c>
      <c r="C3401" s="76" t="s">
        <v>1065</v>
      </c>
      <c r="D3401" s="75"/>
    </row>
    <row hidden="true" r="3402">
      <c r="A3402" s="76" t="s">
        <v>1292</v>
      </c>
      <c r="B3402" s="76" t="s">
        <v>1066</v>
      </c>
      <c r="C3402" s="76" t="s">
        <v>1067</v>
      </c>
      <c r="D3402" s="75"/>
    </row>
    <row hidden="true" r="3403">
      <c r="A3403" s="76" t="s">
        <v>1292</v>
      </c>
      <c r="B3403" s="76" t="s">
        <v>1068</v>
      </c>
      <c r="C3403" s="76" t="s">
        <v>1069</v>
      </c>
      <c r="D3403" s="75"/>
    </row>
    <row hidden="true" r="3404">
      <c r="A3404" s="76" t="s">
        <v>1292</v>
      </c>
      <c r="B3404" s="76" t="s">
        <v>1070</v>
      </c>
      <c r="C3404" s="76" t="s">
        <v>1069</v>
      </c>
      <c r="D3404" s="75"/>
    </row>
    <row hidden="true" r="3405">
      <c r="A3405" s="76" t="s">
        <v>1292</v>
      </c>
      <c r="B3405" s="76" t="s">
        <v>1071</v>
      </c>
      <c r="C3405" s="76" t="s">
        <v>1069</v>
      </c>
      <c r="D3405" s="75"/>
    </row>
    <row hidden="true" r="3406">
      <c r="A3406" s="76" t="s">
        <v>1292</v>
      </c>
      <c r="B3406" s="76" t="s">
        <v>1072</v>
      </c>
      <c r="C3406" s="76" t="s">
        <v>1073</v>
      </c>
      <c r="D3406" s="75"/>
    </row>
    <row hidden="true" r="3407">
      <c r="A3407" s="76" t="s">
        <v>1292</v>
      </c>
      <c r="B3407" s="76" t="s">
        <v>1074</v>
      </c>
      <c r="C3407" s="76" t="s">
        <v>1073</v>
      </c>
      <c r="D3407" s="75"/>
    </row>
    <row hidden="true" r="3408">
      <c r="A3408" s="76" t="s">
        <v>1292</v>
      </c>
      <c r="B3408" s="76" t="s">
        <v>1075</v>
      </c>
      <c r="C3408" s="76" t="s">
        <v>1073</v>
      </c>
      <c r="D3408" s="75"/>
    </row>
    <row hidden="true" r="3409">
      <c r="A3409" s="76" t="s">
        <v>1292</v>
      </c>
      <c r="B3409" s="76" t="s">
        <v>1076</v>
      </c>
      <c r="C3409" s="76" t="s">
        <v>1077</v>
      </c>
      <c r="D3409" s="75"/>
    </row>
    <row hidden="true" r="3410">
      <c r="A3410" s="76" t="s">
        <v>1292</v>
      </c>
      <c r="B3410" s="76" t="s">
        <v>1078</v>
      </c>
      <c r="C3410" s="76" t="s">
        <v>1079</v>
      </c>
      <c r="D3410" s="75"/>
    </row>
    <row hidden="true" r="3411">
      <c r="A3411" s="76" t="s">
        <v>1292</v>
      </c>
      <c r="B3411" s="76" t="s">
        <v>839</v>
      </c>
      <c r="C3411" s="76" t="s">
        <v>840</v>
      </c>
      <c r="D3411" s="75"/>
    </row>
    <row hidden="true" r="3412">
      <c r="A3412" s="76" t="s">
        <v>1292</v>
      </c>
      <c r="B3412" s="76" t="s">
        <v>1080</v>
      </c>
      <c r="C3412" s="76" t="s">
        <v>1081</v>
      </c>
      <c r="D3412" s="75"/>
    </row>
    <row hidden="true" r="3413">
      <c r="A3413" s="76" t="s">
        <v>1292</v>
      </c>
      <c r="B3413" s="76" t="s">
        <v>1082</v>
      </c>
      <c r="C3413" s="76" t="s">
        <v>1083</v>
      </c>
      <c r="D3413" s="75"/>
    </row>
    <row hidden="true" r="3414">
      <c r="A3414" s="76" t="s">
        <v>1292</v>
      </c>
      <c r="B3414" s="76" t="s">
        <v>1084</v>
      </c>
      <c r="C3414" s="76" t="s">
        <v>1085</v>
      </c>
      <c r="D3414" s="75"/>
    </row>
    <row hidden="true" r="3415">
      <c r="A3415" s="76" t="s">
        <v>1292</v>
      </c>
      <c r="B3415" s="76" t="s">
        <v>1086</v>
      </c>
      <c r="C3415" s="76" t="s">
        <v>1087</v>
      </c>
      <c r="D3415" s="75"/>
    </row>
    <row hidden="true" r="3416">
      <c r="A3416" s="76" t="s">
        <v>1292</v>
      </c>
      <c r="B3416" s="76" t="s">
        <v>1088</v>
      </c>
      <c r="C3416" s="76" t="s">
        <v>1089</v>
      </c>
      <c r="D3416" s="75"/>
    </row>
    <row hidden="true" r="3417">
      <c r="A3417" s="76" t="s">
        <v>1292</v>
      </c>
      <c r="B3417" s="76" t="s">
        <v>1090</v>
      </c>
      <c r="C3417" s="76" t="s">
        <v>1091</v>
      </c>
      <c r="D3417" s="75"/>
    </row>
    <row hidden="true" r="3418">
      <c r="A3418" s="76" t="s">
        <v>1292</v>
      </c>
      <c r="B3418" s="76" t="s">
        <v>1092</v>
      </c>
      <c r="C3418" s="76" t="s">
        <v>1091</v>
      </c>
      <c r="D3418" s="75"/>
    </row>
    <row hidden="true" r="3419">
      <c r="A3419" s="76" t="s">
        <v>1292</v>
      </c>
      <c r="B3419" s="76" t="s">
        <v>1093</v>
      </c>
      <c r="C3419" s="76" t="s">
        <v>1094</v>
      </c>
      <c r="D3419" s="75"/>
    </row>
    <row hidden="true" r="3420">
      <c r="A3420" s="76" t="s">
        <v>1292</v>
      </c>
      <c r="B3420" s="76" t="s">
        <v>1095</v>
      </c>
      <c r="C3420" s="76" t="s">
        <v>1096</v>
      </c>
      <c r="D3420" s="75"/>
    </row>
    <row hidden="true" r="3421">
      <c r="A3421" s="76" t="s">
        <v>1292</v>
      </c>
      <c r="B3421" s="76" t="s">
        <v>1097</v>
      </c>
      <c r="C3421" s="76" t="s">
        <v>1098</v>
      </c>
      <c r="D3421" s="75"/>
    </row>
    <row hidden="true" r="3422">
      <c r="A3422" s="76" t="s">
        <v>1292</v>
      </c>
      <c r="B3422" s="76" t="s">
        <v>1099</v>
      </c>
      <c r="C3422" s="76" t="s">
        <v>1100</v>
      </c>
      <c r="D3422" s="75"/>
    </row>
    <row hidden="true" r="3423">
      <c r="A3423" s="76" t="s">
        <v>1292</v>
      </c>
      <c r="B3423" s="76" t="s">
        <v>1101</v>
      </c>
      <c r="C3423" s="76" t="s">
        <v>1102</v>
      </c>
      <c r="D3423" s="75"/>
    </row>
    <row hidden="true" r="3424">
      <c r="A3424" s="76" t="s">
        <v>1292</v>
      </c>
      <c r="B3424" s="76" t="s">
        <v>1103</v>
      </c>
      <c r="C3424" s="76" t="s">
        <v>1104</v>
      </c>
      <c r="D3424" s="75"/>
    </row>
    <row hidden="true" r="3425">
      <c r="A3425" s="76" t="s">
        <v>1292</v>
      </c>
      <c r="B3425" s="76" t="s">
        <v>1105</v>
      </c>
      <c r="C3425" s="76" t="s">
        <v>1106</v>
      </c>
      <c r="D3425" s="75"/>
    </row>
    <row hidden="true" r="3426">
      <c r="A3426" s="76" t="s">
        <v>1292</v>
      </c>
      <c r="B3426" s="76" t="s">
        <v>1107</v>
      </c>
      <c r="C3426" s="76" t="s">
        <v>1108</v>
      </c>
      <c r="D3426" s="75"/>
    </row>
    <row hidden="true" r="3427">
      <c r="A3427" s="76" t="s">
        <v>1292</v>
      </c>
      <c r="B3427" s="76" t="s">
        <v>1109</v>
      </c>
      <c r="C3427" s="76" t="s">
        <v>1110</v>
      </c>
      <c r="D3427" s="75"/>
    </row>
    <row hidden="true" r="3428">
      <c r="A3428" s="76" t="s">
        <v>1292</v>
      </c>
      <c r="B3428" s="76" t="s">
        <v>1111</v>
      </c>
      <c r="C3428" s="76" t="s">
        <v>1112</v>
      </c>
      <c r="D3428" s="75"/>
    </row>
    <row hidden="true" r="3429">
      <c r="A3429" s="76" t="s">
        <v>1292</v>
      </c>
      <c r="B3429" s="76" t="s">
        <v>1113</v>
      </c>
      <c r="C3429" s="76" t="s">
        <v>1114</v>
      </c>
      <c r="D3429" s="75"/>
    </row>
    <row hidden="true" r="3430">
      <c r="A3430" s="76" t="s">
        <v>1292</v>
      </c>
      <c r="B3430" s="76" t="s">
        <v>1115</v>
      </c>
      <c r="C3430" s="76" t="s">
        <v>1116</v>
      </c>
      <c r="D3430" s="75"/>
    </row>
    <row hidden="true" r="3431">
      <c r="A3431" s="76" t="s">
        <v>1292</v>
      </c>
      <c r="B3431" s="76" t="s">
        <v>1117</v>
      </c>
      <c r="C3431" s="76" t="s">
        <v>1118</v>
      </c>
      <c r="D3431" s="75"/>
    </row>
    <row hidden="true" r="3432">
      <c r="A3432" s="76" t="s">
        <v>1292</v>
      </c>
      <c r="B3432" s="76" t="s">
        <v>1119</v>
      </c>
      <c r="C3432" s="76" t="s">
        <v>1120</v>
      </c>
      <c r="D3432" s="75"/>
    </row>
    <row hidden="true" r="3433">
      <c r="A3433" s="76" t="s">
        <v>1292</v>
      </c>
      <c r="B3433" s="76" t="s">
        <v>1121</v>
      </c>
      <c r="C3433" s="76" t="s">
        <v>1122</v>
      </c>
      <c r="D3433" s="75"/>
    </row>
    <row hidden="true" r="3434">
      <c r="A3434" s="76" t="s">
        <v>1292</v>
      </c>
      <c r="B3434" s="76" t="s">
        <v>1123</v>
      </c>
      <c r="C3434" s="76" t="s">
        <v>1124</v>
      </c>
      <c r="D3434" s="75"/>
    </row>
    <row hidden="true" r="3435">
      <c r="A3435" s="76" t="s">
        <v>1292</v>
      </c>
      <c r="B3435" s="76" t="s">
        <v>1125</v>
      </c>
      <c r="C3435" s="76" t="s">
        <v>1126</v>
      </c>
      <c r="D3435" s="75"/>
    </row>
    <row hidden="true" r="3436">
      <c r="A3436" s="76" t="s">
        <v>1292</v>
      </c>
      <c r="B3436" s="76" t="s">
        <v>1127</v>
      </c>
      <c r="C3436" s="76" t="s">
        <v>1128</v>
      </c>
      <c r="D3436" s="75"/>
    </row>
    <row hidden="true" r="3437">
      <c r="A3437" s="76" t="s">
        <v>1292</v>
      </c>
      <c r="B3437" s="76" t="s">
        <v>1129</v>
      </c>
      <c r="C3437" s="76" t="s">
        <v>1130</v>
      </c>
      <c r="D3437" s="75"/>
    </row>
    <row hidden="true" r="3438">
      <c r="A3438" s="76" t="s">
        <v>1292</v>
      </c>
      <c r="B3438" s="76" t="s">
        <v>1131</v>
      </c>
      <c r="C3438" s="76" t="s">
        <v>1132</v>
      </c>
      <c r="D3438" s="75"/>
    </row>
    <row hidden="true" r="3439">
      <c r="A3439" s="76" t="s">
        <v>1292</v>
      </c>
      <c r="B3439" s="76" t="s">
        <v>1133</v>
      </c>
      <c r="C3439" s="76" t="s">
        <v>1134</v>
      </c>
      <c r="D3439" s="75"/>
    </row>
    <row hidden="true" r="3440">
      <c r="A3440" s="76" t="s">
        <v>1292</v>
      </c>
      <c r="B3440" s="76" t="s">
        <v>1135</v>
      </c>
      <c r="C3440" s="76" t="s">
        <v>1136</v>
      </c>
      <c r="D3440" s="75"/>
    </row>
    <row hidden="true" r="3441">
      <c r="A3441" s="76" t="s">
        <v>1292</v>
      </c>
      <c r="B3441" s="76" t="s">
        <v>1137</v>
      </c>
      <c r="C3441" s="76" t="s">
        <v>1138</v>
      </c>
      <c r="D3441" s="75"/>
    </row>
    <row hidden="true" r="3442">
      <c r="A3442" s="76" t="s">
        <v>1292</v>
      </c>
      <c r="B3442" s="76" t="s">
        <v>1139</v>
      </c>
      <c r="C3442" s="76" t="s">
        <v>1140</v>
      </c>
      <c r="D3442" s="75"/>
    </row>
    <row hidden="true" r="3443">
      <c r="A3443" s="76" t="s">
        <v>1292</v>
      </c>
      <c r="B3443" s="76" t="s">
        <v>1141</v>
      </c>
      <c r="C3443" s="76" t="s">
        <v>1142</v>
      </c>
      <c r="D3443" s="75"/>
    </row>
    <row hidden="true" r="3444">
      <c r="A3444" s="76" t="s">
        <v>1292</v>
      </c>
      <c r="B3444" s="76" t="s">
        <v>1143</v>
      </c>
      <c r="C3444" s="76" t="s">
        <v>1144</v>
      </c>
      <c r="D3444" s="75"/>
    </row>
    <row hidden="true" r="3445">
      <c r="A3445" s="76" t="s">
        <v>1292</v>
      </c>
      <c r="B3445" s="76" t="s">
        <v>1145</v>
      </c>
      <c r="C3445" s="76" t="s">
        <v>1223</v>
      </c>
      <c r="D3445" s="75"/>
    </row>
    <row hidden="true" r="3446">
      <c r="A3446" s="76" t="s">
        <v>1292</v>
      </c>
      <c r="B3446" s="76" t="s">
        <v>1147</v>
      </c>
      <c r="C3446" s="76" t="s">
        <v>1148</v>
      </c>
      <c r="D3446" s="75"/>
    </row>
    <row hidden="true" r="3447">
      <c r="A3447" s="76" t="s">
        <v>1292</v>
      </c>
      <c r="B3447" s="76" t="s">
        <v>1149</v>
      </c>
      <c r="C3447" s="76" t="s">
        <v>1150</v>
      </c>
      <c r="D3447" s="75"/>
    </row>
    <row hidden="true" r="3448">
      <c r="A3448" s="76" t="s">
        <v>1292</v>
      </c>
      <c r="B3448" s="76" t="s">
        <v>1151</v>
      </c>
      <c r="C3448" s="76" t="s">
        <v>1152</v>
      </c>
      <c r="D3448" s="75"/>
    </row>
    <row hidden="true" r="3449">
      <c r="A3449" s="76" t="s">
        <v>1292</v>
      </c>
      <c r="B3449" s="76" t="s">
        <v>1153</v>
      </c>
      <c r="C3449" s="76" t="s">
        <v>1154</v>
      </c>
      <c r="D3449" s="75"/>
    </row>
    <row hidden="true" r="3450">
      <c r="A3450" s="76" t="s">
        <v>1292</v>
      </c>
      <c r="B3450" s="76" t="s">
        <v>1155</v>
      </c>
      <c r="C3450" s="76" t="s">
        <v>1156</v>
      </c>
      <c r="D3450" s="75"/>
    </row>
    <row hidden="true" r="3451">
      <c r="A3451" s="76" t="s">
        <v>1292</v>
      </c>
      <c r="B3451" s="76" t="s">
        <v>1157</v>
      </c>
      <c r="C3451" s="76" t="s">
        <v>1158</v>
      </c>
      <c r="D3451" s="75"/>
    </row>
    <row hidden="true" r="3452">
      <c r="A3452" s="76" t="s">
        <v>1292</v>
      </c>
      <c r="B3452" s="76" t="s">
        <v>1159</v>
      </c>
      <c r="C3452" s="76" t="s">
        <v>1160</v>
      </c>
      <c r="D3452" s="75"/>
    </row>
    <row hidden="true" r="3453">
      <c r="A3453" s="76" t="s">
        <v>1292</v>
      </c>
      <c r="B3453" s="76" t="s">
        <v>868</v>
      </c>
      <c r="C3453" s="76" t="s">
        <v>869</v>
      </c>
      <c r="D3453" s="75"/>
    </row>
    <row hidden="true" r="3454">
      <c r="A3454" s="76" t="s">
        <v>1292</v>
      </c>
      <c r="B3454" s="76" t="s">
        <v>1161</v>
      </c>
      <c r="C3454" s="76" t="s">
        <v>1162</v>
      </c>
      <c r="D3454" s="75"/>
    </row>
    <row hidden="true" r="3455">
      <c r="A3455" s="76" t="s">
        <v>1292</v>
      </c>
      <c r="B3455" s="76" t="s">
        <v>1163</v>
      </c>
      <c r="C3455" s="76" t="s">
        <v>1164</v>
      </c>
      <c r="D3455" s="75"/>
    </row>
    <row hidden="true" r="3456">
      <c r="A3456" s="76" t="s">
        <v>1292</v>
      </c>
      <c r="B3456" s="76" t="s">
        <v>1165</v>
      </c>
      <c r="C3456" s="76" t="s">
        <v>1166</v>
      </c>
      <c r="D3456" s="75"/>
    </row>
    <row hidden="true" r="3457">
      <c r="A3457" s="76" t="s">
        <v>1292</v>
      </c>
      <c r="B3457" s="76" t="s">
        <v>1167</v>
      </c>
      <c r="C3457" s="76" t="s">
        <v>1168</v>
      </c>
      <c r="D3457" s="75"/>
    </row>
    <row hidden="true" r="3458">
      <c r="A3458" s="76" t="s">
        <v>1292</v>
      </c>
      <c r="B3458" s="76" t="s">
        <v>1169</v>
      </c>
      <c r="C3458" s="76" t="s">
        <v>1170</v>
      </c>
      <c r="D3458" s="75"/>
    </row>
    <row hidden="true" r="3459">
      <c r="A3459" s="76" t="s">
        <v>1292</v>
      </c>
      <c r="B3459" s="76" t="s">
        <v>1171</v>
      </c>
      <c r="C3459" s="76" t="s">
        <v>1172</v>
      </c>
      <c r="D3459" s="75"/>
    </row>
    <row hidden="true" r="3460">
      <c r="A3460" s="76" t="s">
        <v>1292</v>
      </c>
      <c r="B3460" s="76" t="s">
        <v>1173</v>
      </c>
      <c r="C3460" s="76" t="s">
        <v>1174</v>
      </c>
      <c r="D3460" s="75"/>
    </row>
    <row hidden="true" r="3461">
      <c r="A3461" s="76" t="s">
        <v>1292</v>
      </c>
      <c r="B3461" s="76" t="s">
        <v>1175</v>
      </c>
      <c r="C3461" s="76" t="s">
        <v>1176</v>
      </c>
      <c r="D3461" s="75"/>
    </row>
    <row hidden="true" r="3462">
      <c r="A3462" s="76" t="s">
        <v>1292</v>
      </c>
      <c r="B3462" s="76" t="s">
        <v>1177</v>
      </c>
      <c r="C3462" s="76" t="s">
        <v>1178</v>
      </c>
      <c r="D3462" s="75"/>
    </row>
    <row hidden="true" r="3463">
      <c r="A3463" s="76" t="s">
        <v>1292</v>
      </c>
      <c r="B3463" s="76" t="s">
        <v>1179</v>
      </c>
      <c r="C3463" s="76" t="s">
        <v>1180</v>
      </c>
      <c r="D3463" s="75"/>
    </row>
    <row hidden="true" r="3464">
      <c r="A3464" s="76" t="s">
        <v>1292</v>
      </c>
      <c r="B3464" s="76" t="s">
        <v>1181</v>
      </c>
      <c r="C3464" s="76" t="s">
        <v>1182</v>
      </c>
      <c r="D3464" s="75"/>
    </row>
    <row hidden="true" r="3465">
      <c r="A3465" s="76" t="s">
        <v>1292</v>
      </c>
      <c r="B3465" s="76" t="s">
        <v>1183</v>
      </c>
      <c r="C3465" s="76" t="s">
        <v>1184</v>
      </c>
      <c r="D3465" s="75"/>
    </row>
    <row hidden="true" r="3466">
      <c r="A3466" s="76" t="s">
        <v>1292</v>
      </c>
      <c r="B3466" s="76" t="s">
        <v>1185</v>
      </c>
      <c r="C3466" s="76" t="s">
        <v>1186</v>
      </c>
      <c r="D3466" s="75"/>
    </row>
    <row hidden="true" r="3467">
      <c r="A3467" s="76" t="s">
        <v>1292</v>
      </c>
      <c r="B3467" s="76" t="s">
        <v>1187</v>
      </c>
      <c r="C3467" s="76" t="s">
        <v>1188</v>
      </c>
      <c r="D3467" s="75"/>
    </row>
    <row hidden="true" r="3468">
      <c r="A3468" s="76" t="s">
        <v>1292</v>
      </c>
      <c r="B3468" s="76" t="s">
        <v>1189</v>
      </c>
      <c r="C3468" s="76" t="s">
        <v>1190</v>
      </c>
      <c r="D3468" s="75"/>
    </row>
    <row hidden="true" r="3469">
      <c r="A3469" s="76" t="s">
        <v>1292</v>
      </c>
      <c r="B3469" s="76" t="s">
        <v>1199</v>
      </c>
      <c r="C3469" s="76" t="s">
        <v>1200</v>
      </c>
      <c r="D3469" s="75"/>
    </row>
    <row hidden="true" r="3470">
      <c r="A3470" s="76" t="s">
        <v>1292</v>
      </c>
      <c r="B3470" s="76" t="s">
        <v>1201</v>
      </c>
      <c r="C3470" s="76" t="s">
        <v>1202</v>
      </c>
      <c r="D3470" s="75"/>
    </row>
    <row hidden="true" r="3471">
      <c r="A3471" s="76" t="s">
        <v>1292</v>
      </c>
      <c r="B3471" s="76" t="s">
        <v>1203</v>
      </c>
      <c r="C3471" s="76" t="s">
        <v>1204</v>
      </c>
      <c r="D3471" s="75"/>
    </row>
    <row hidden="true" r="3472">
      <c r="A3472" s="76" t="s">
        <v>1292</v>
      </c>
      <c r="B3472" s="76" t="s">
        <v>1205</v>
      </c>
      <c r="C3472" s="76" t="s">
        <v>1206</v>
      </c>
      <c r="D3472" s="75"/>
    </row>
    <row hidden="true" r="3473">
      <c r="A3473" s="76" t="s">
        <v>1292</v>
      </c>
      <c r="B3473" s="76" t="s">
        <v>1207</v>
      </c>
      <c r="C3473" s="76" t="s">
        <v>1208</v>
      </c>
      <c r="D3473" s="75"/>
    </row>
    <row hidden="true" r="3474">
      <c r="A3474" s="76" t="s">
        <v>1292</v>
      </c>
      <c r="B3474" s="76" t="s">
        <v>1209</v>
      </c>
      <c r="C3474" s="76" t="s">
        <v>1210</v>
      </c>
      <c r="D3474" s="75"/>
    </row>
    <row hidden="true" r="3475">
      <c r="A3475" s="76" t="s">
        <v>1292</v>
      </c>
      <c r="B3475" s="76" t="s">
        <v>1211</v>
      </c>
      <c r="C3475" s="76"/>
      <c r="D3475" s="75"/>
    </row>
    <row hidden="true" r="3476">
      <c r="A3476" s="76" t="s">
        <v>1292</v>
      </c>
      <c r="B3476" s="76" t="s">
        <v>735</v>
      </c>
      <c r="C3476" s="76"/>
      <c r="D3476" s="75"/>
    </row>
    <row hidden="true" r="3477">
      <c r="A3477" s="76" t="s">
        <v>1293</v>
      </c>
      <c r="B3477" s="76" t="s">
        <v>407</v>
      </c>
      <c r="C3477" s="76" t="s">
        <v>1226</v>
      </c>
      <c r="D3477" s="75"/>
    </row>
    <row hidden="true" r="3478">
      <c r="A3478" s="76" t="s">
        <v>1293</v>
      </c>
      <c r="B3478" s="76" t="s">
        <v>744</v>
      </c>
      <c r="C3478" s="76" t="s">
        <v>745</v>
      </c>
      <c r="D3478" s="75"/>
    </row>
    <row hidden="true" r="3479">
      <c r="A3479" s="76" t="s">
        <v>1293</v>
      </c>
      <c r="B3479" s="76" t="s">
        <v>409</v>
      </c>
      <c r="C3479" s="76" t="s">
        <v>1215</v>
      </c>
      <c r="D3479" s="75"/>
    </row>
    <row hidden="true" r="3480">
      <c r="A3480" s="76" t="s">
        <v>1293</v>
      </c>
      <c r="B3480" s="76" t="s">
        <v>884</v>
      </c>
      <c r="C3480" s="76" t="s">
        <v>1227</v>
      </c>
      <c r="D3480" s="75"/>
    </row>
    <row hidden="true" r="3481">
      <c r="A3481" s="76" t="s">
        <v>1293</v>
      </c>
      <c r="B3481" s="76" t="s">
        <v>886</v>
      </c>
      <c r="C3481" s="76" t="s">
        <v>1228</v>
      </c>
      <c r="D3481" s="75"/>
    </row>
    <row hidden="true" r="3482">
      <c r="A3482" s="76" t="s">
        <v>1293</v>
      </c>
      <c r="B3482" s="76" t="s">
        <v>888</v>
      </c>
      <c r="C3482" s="76" t="s">
        <v>889</v>
      </c>
      <c r="D3482" s="75"/>
    </row>
    <row hidden="true" r="3483">
      <c r="A3483" s="76" t="s">
        <v>1293</v>
      </c>
      <c r="B3483" s="76" t="s">
        <v>890</v>
      </c>
      <c r="C3483" s="76" t="s">
        <v>891</v>
      </c>
      <c r="D3483" s="75"/>
    </row>
    <row hidden="true" r="3484">
      <c r="A3484" s="76" t="s">
        <v>1293</v>
      </c>
      <c r="B3484" s="76" t="s">
        <v>892</v>
      </c>
      <c r="C3484" s="76" t="s">
        <v>893</v>
      </c>
      <c r="D3484" s="75"/>
    </row>
    <row hidden="true" r="3485">
      <c r="A3485" s="76" t="s">
        <v>1293</v>
      </c>
      <c r="B3485" s="76" t="s">
        <v>894</v>
      </c>
      <c r="C3485" s="76" t="s">
        <v>1217</v>
      </c>
      <c r="D3485" s="75"/>
    </row>
    <row hidden="true" r="3486">
      <c r="A3486" s="76" t="s">
        <v>1293</v>
      </c>
      <c r="B3486" s="76" t="s">
        <v>896</v>
      </c>
      <c r="C3486" s="76" t="s">
        <v>1229</v>
      </c>
      <c r="D3486" s="75"/>
    </row>
    <row hidden="true" r="3487">
      <c r="A3487" s="76" t="s">
        <v>1293</v>
      </c>
      <c r="B3487" s="76" t="s">
        <v>898</v>
      </c>
      <c r="C3487" s="76" t="s">
        <v>899</v>
      </c>
      <c r="D3487" s="75"/>
    </row>
    <row hidden="true" r="3488">
      <c r="A3488" s="76" t="s">
        <v>1293</v>
      </c>
      <c r="B3488" s="76" t="s">
        <v>900</v>
      </c>
      <c r="C3488" s="76" t="s">
        <v>1230</v>
      </c>
      <c r="D3488" s="75"/>
    </row>
    <row hidden="true" r="3489">
      <c r="A3489" s="76" t="s">
        <v>1293</v>
      </c>
      <c r="B3489" s="76" t="s">
        <v>902</v>
      </c>
      <c r="C3489" s="76" t="s">
        <v>903</v>
      </c>
      <c r="D3489" s="75"/>
    </row>
    <row hidden="true" r="3490">
      <c r="A3490" s="76" t="s">
        <v>1293</v>
      </c>
      <c r="B3490" s="76" t="s">
        <v>904</v>
      </c>
      <c r="C3490" s="76" t="s">
        <v>905</v>
      </c>
      <c r="D3490" s="75"/>
    </row>
    <row hidden="true" r="3491">
      <c r="A3491" s="76" t="s">
        <v>1293</v>
      </c>
      <c r="B3491" s="76" t="s">
        <v>906</v>
      </c>
      <c r="C3491" s="76" t="s">
        <v>1231</v>
      </c>
      <c r="D3491" s="75"/>
    </row>
    <row hidden="true" r="3492">
      <c r="A3492" s="76" t="s">
        <v>1293</v>
      </c>
      <c r="B3492" s="76" t="s">
        <v>908</v>
      </c>
      <c r="C3492" s="76" t="s">
        <v>909</v>
      </c>
      <c r="D3492" s="75"/>
    </row>
    <row hidden="true" r="3493">
      <c r="A3493" s="76" t="s">
        <v>1293</v>
      </c>
      <c r="B3493" s="76" t="s">
        <v>910</v>
      </c>
      <c r="C3493" s="76" t="s">
        <v>911</v>
      </c>
      <c r="D3493" s="75"/>
    </row>
    <row hidden="true" r="3494">
      <c r="A3494" s="76" t="s">
        <v>1293</v>
      </c>
      <c r="B3494" s="76" t="s">
        <v>912</v>
      </c>
      <c r="C3494" s="76" t="s">
        <v>913</v>
      </c>
      <c r="D3494" s="75"/>
    </row>
    <row hidden="true" r="3495">
      <c r="A3495" s="76" t="s">
        <v>1293</v>
      </c>
      <c r="B3495" s="76" t="s">
        <v>914</v>
      </c>
      <c r="C3495" s="76" t="s">
        <v>915</v>
      </c>
      <c r="D3495" s="75"/>
    </row>
    <row hidden="true" r="3496">
      <c r="A3496" s="76" t="s">
        <v>1293</v>
      </c>
      <c r="B3496" s="76" t="s">
        <v>916</v>
      </c>
      <c r="C3496" s="76" t="s">
        <v>917</v>
      </c>
      <c r="D3496" s="75"/>
    </row>
    <row hidden="true" r="3497">
      <c r="A3497" s="76" t="s">
        <v>1293</v>
      </c>
      <c r="B3497" s="76" t="s">
        <v>918</v>
      </c>
      <c r="C3497" s="76" t="s">
        <v>919</v>
      </c>
      <c r="D3497" s="75"/>
    </row>
    <row hidden="true" r="3498">
      <c r="A3498" s="76" t="s">
        <v>1293</v>
      </c>
      <c r="B3498" s="76" t="s">
        <v>920</v>
      </c>
      <c r="C3498" s="76" t="s">
        <v>921</v>
      </c>
      <c r="D3498" s="75"/>
    </row>
    <row hidden="true" r="3499">
      <c r="A3499" s="76" t="s">
        <v>1293</v>
      </c>
      <c r="B3499" s="76" t="s">
        <v>922</v>
      </c>
      <c r="C3499" s="76" t="s">
        <v>923</v>
      </c>
      <c r="D3499" s="75"/>
    </row>
    <row hidden="true" r="3500">
      <c r="A3500" s="76" t="s">
        <v>1293</v>
      </c>
      <c r="B3500" s="76" t="s">
        <v>924</v>
      </c>
      <c r="C3500" s="76" t="s">
        <v>925</v>
      </c>
      <c r="D3500" s="75"/>
    </row>
    <row hidden="true" r="3501">
      <c r="A3501" s="76" t="s">
        <v>1293</v>
      </c>
      <c r="B3501" s="76" t="s">
        <v>926</v>
      </c>
      <c r="C3501" s="76" t="s">
        <v>927</v>
      </c>
      <c r="D3501" s="75"/>
    </row>
    <row hidden="true" r="3502">
      <c r="A3502" s="76" t="s">
        <v>1293</v>
      </c>
      <c r="B3502" s="76" t="s">
        <v>928</v>
      </c>
      <c r="C3502" s="76" t="s">
        <v>929</v>
      </c>
      <c r="D3502" s="75"/>
    </row>
    <row hidden="true" r="3503">
      <c r="A3503" s="76" t="s">
        <v>1293</v>
      </c>
      <c r="B3503" s="76" t="s">
        <v>930</v>
      </c>
      <c r="C3503" s="76" t="s">
        <v>931</v>
      </c>
      <c r="D3503" s="75"/>
    </row>
    <row hidden="true" r="3504">
      <c r="A3504" s="76" t="s">
        <v>1293</v>
      </c>
      <c r="B3504" s="76" t="s">
        <v>932</v>
      </c>
      <c r="C3504" s="76" t="s">
        <v>933</v>
      </c>
      <c r="D3504" s="75"/>
    </row>
    <row hidden="true" r="3505">
      <c r="A3505" s="76" t="s">
        <v>1293</v>
      </c>
      <c r="B3505" s="76" t="s">
        <v>934</v>
      </c>
      <c r="C3505" s="76" t="s">
        <v>935</v>
      </c>
      <c r="D3505" s="75"/>
    </row>
    <row hidden="true" r="3506">
      <c r="A3506" s="76" t="s">
        <v>1293</v>
      </c>
      <c r="B3506" s="76" t="s">
        <v>936</v>
      </c>
      <c r="C3506" s="76" t="s">
        <v>937</v>
      </c>
      <c r="D3506" s="75"/>
    </row>
    <row hidden="true" r="3507">
      <c r="A3507" s="76" t="s">
        <v>1293</v>
      </c>
      <c r="B3507" s="76" t="s">
        <v>938</v>
      </c>
      <c r="C3507" s="76" t="s">
        <v>1220</v>
      </c>
      <c r="D3507" s="75"/>
    </row>
    <row hidden="true" r="3508">
      <c r="A3508" s="76" t="s">
        <v>1293</v>
      </c>
      <c r="B3508" s="76" t="s">
        <v>940</v>
      </c>
      <c r="C3508" s="76" t="s">
        <v>1232</v>
      </c>
      <c r="D3508" s="75"/>
    </row>
    <row hidden="true" r="3509">
      <c r="A3509" s="76" t="s">
        <v>1293</v>
      </c>
      <c r="B3509" s="76" t="s">
        <v>942</v>
      </c>
      <c r="C3509" s="76" t="s">
        <v>943</v>
      </c>
      <c r="D3509" s="75"/>
    </row>
    <row hidden="true" r="3510">
      <c r="A3510" s="76" t="s">
        <v>1293</v>
      </c>
      <c r="B3510" s="76" t="s">
        <v>944</v>
      </c>
      <c r="C3510" s="76" t="s">
        <v>945</v>
      </c>
      <c r="D3510" s="75"/>
    </row>
    <row hidden="true" r="3511">
      <c r="A3511" s="76" t="s">
        <v>1293</v>
      </c>
      <c r="B3511" s="76" t="s">
        <v>946</v>
      </c>
      <c r="C3511" s="76" t="s">
        <v>1233</v>
      </c>
      <c r="D3511" s="75"/>
    </row>
    <row hidden="true" r="3512">
      <c r="A3512" s="76" t="s">
        <v>1293</v>
      </c>
      <c r="B3512" s="76" t="s">
        <v>948</v>
      </c>
      <c r="C3512" s="76" t="s">
        <v>1222</v>
      </c>
      <c r="D3512" s="75"/>
    </row>
    <row hidden="true" r="3513">
      <c r="A3513" s="76" t="s">
        <v>1293</v>
      </c>
      <c r="B3513" s="76" t="s">
        <v>950</v>
      </c>
      <c r="C3513" s="76" t="s">
        <v>951</v>
      </c>
      <c r="D3513" s="75"/>
    </row>
    <row hidden="true" r="3514">
      <c r="A3514" s="76" t="s">
        <v>1293</v>
      </c>
      <c r="B3514" s="76" t="s">
        <v>952</v>
      </c>
      <c r="C3514" s="76" t="s">
        <v>953</v>
      </c>
      <c r="D3514" s="75"/>
    </row>
    <row hidden="true" r="3515">
      <c r="A3515" s="76" t="s">
        <v>1293</v>
      </c>
      <c r="B3515" s="76" t="s">
        <v>954</v>
      </c>
      <c r="C3515" s="76" t="s">
        <v>955</v>
      </c>
      <c r="D3515" s="75"/>
    </row>
    <row hidden="true" r="3516">
      <c r="A3516" s="76" t="s">
        <v>1293</v>
      </c>
      <c r="B3516" s="76" t="s">
        <v>775</v>
      </c>
      <c r="C3516" s="76" t="s">
        <v>1234</v>
      </c>
      <c r="D3516" s="75"/>
    </row>
    <row hidden="true" r="3517">
      <c r="A3517" s="76" t="s">
        <v>1293</v>
      </c>
      <c r="B3517" s="76" t="s">
        <v>956</v>
      </c>
      <c r="C3517" s="76" t="s">
        <v>957</v>
      </c>
      <c r="D3517" s="75"/>
    </row>
    <row hidden="true" r="3518">
      <c r="A3518" s="76" t="s">
        <v>1293</v>
      </c>
      <c r="B3518" s="76" t="s">
        <v>958</v>
      </c>
      <c r="C3518" s="76" t="s">
        <v>959</v>
      </c>
      <c r="D3518" s="75"/>
    </row>
    <row hidden="true" r="3519">
      <c r="A3519" s="76" t="s">
        <v>1293</v>
      </c>
      <c r="B3519" s="76" t="s">
        <v>960</v>
      </c>
      <c r="C3519" s="76" t="s">
        <v>961</v>
      </c>
      <c r="D3519" s="75"/>
    </row>
    <row hidden="true" r="3520">
      <c r="A3520" s="76" t="s">
        <v>1293</v>
      </c>
      <c r="B3520" s="76" t="s">
        <v>962</v>
      </c>
      <c r="C3520" s="76" t="s">
        <v>1235</v>
      </c>
      <c r="D3520" s="75"/>
    </row>
    <row hidden="true" r="3521">
      <c r="A3521" s="76" t="s">
        <v>1293</v>
      </c>
      <c r="B3521" s="76" t="s">
        <v>964</v>
      </c>
      <c r="C3521" s="76" t="s">
        <v>1236</v>
      </c>
      <c r="D3521" s="75"/>
    </row>
    <row hidden="true" r="3522">
      <c r="A3522" s="76" t="s">
        <v>1293</v>
      </c>
      <c r="B3522" s="76" t="s">
        <v>966</v>
      </c>
      <c r="C3522" s="76" t="s">
        <v>967</v>
      </c>
      <c r="D3522" s="75"/>
    </row>
    <row hidden="true" r="3523">
      <c r="A3523" s="76" t="s">
        <v>1293</v>
      </c>
      <c r="B3523" s="76" t="s">
        <v>968</v>
      </c>
      <c r="C3523" s="76" t="s">
        <v>969</v>
      </c>
      <c r="D3523" s="75"/>
    </row>
    <row hidden="true" r="3524">
      <c r="A3524" s="76" t="s">
        <v>1293</v>
      </c>
      <c r="B3524" s="76" t="s">
        <v>970</v>
      </c>
      <c r="C3524" s="76" t="s">
        <v>971</v>
      </c>
      <c r="D3524" s="75"/>
    </row>
    <row hidden="true" r="3525">
      <c r="A3525" s="76" t="s">
        <v>1293</v>
      </c>
      <c r="B3525" s="76" t="s">
        <v>972</v>
      </c>
      <c r="C3525" s="76" t="s">
        <v>1237</v>
      </c>
      <c r="D3525" s="75"/>
    </row>
    <row hidden="true" r="3526">
      <c r="A3526" s="76" t="s">
        <v>1293</v>
      </c>
      <c r="B3526" s="76" t="s">
        <v>974</v>
      </c>
      <c r="C3526" s="76" t="s">
        <v>975</v>
      </c>
      <c r="D3526" s="75"/>
    </row>
    <row hidden="true" r="3527">
      <c r="A3527" s="76" t="s">
        <v>1293</v>
      </c>
      <c r="B3527" s="76" t="s">
        <v>976</v>
      </c>
      <c r="C3527" s="76" t="s">
        <v>977</v>
      </c>
      <c r="D3527" s="75"/>
    </row>
    <row hidden="true" r="3528">
      <c r="A3528" s="76" t="s">
        <v>1293</v>
      </c>
      <c r="B3528" s="76" t="s">
        <v>823</v>
      </c>
      <c r="C3528" s="76" t="s">
        <v>824</v>
      </c>
      <c r="D3528" s="75"/>
    </row>
    <row hidden="true" r="3529">
      <c r="A3529" s="76" t="s">
        <v>1293</v>
      </c>
      <c r="B3529" s="76" t="s">
        <v>978</v>
      </c>
      <c r="C3529" s="76" t="s">
        <v>1238</v>
      </c>
      <c r="D3529" s="75"/>
    </row>
    <row hidden="true" r="3530">
      <c r="A3530" s="76" t="s">
        <v>1293</v>
      </c>
      <c r="B3530" s="76" t="s">
        <v>980</v>
      </c>
      <c r="C3530" s="76" t="s">
        <v>981</v>
      </c>
      <c r="D3530" s="75"/>
    </row>
    <row hidden="true" r="3531">
      <c r="A3531" s="76" t="s">
        <v>1293</v>
      </c>
      <c r="B3531" s="76" t="s">
        <v>982</v>
      </c>
      <c r="C3531" s="76" t="s">
        <v>983</v>
      </c>
      <c r="D3531" s="75"/>
    </row>
    <row hidden="true" r="3532">
      <c r="A3532" s="76" t="s">
        <v>1293</v>
      </c>
      <c r="B3532" s="76" t="s">
        <v>984</v>
      </c>
      <c r="C3532" s="76" t="s">
        <v>985</v>
      </c>
      <c r="D3532" s="75"/>
    </row>
    <row hidden="true" r="3533">
      <c r="A3533" s="76" t="s">
        <v>1293</v>
      </c>
      <c r="B3533" s="76" t="s">
        <v>986</v>
      </c>
      <c r="C3533" s="76" t="s">
        <v>987</v>
      </c>
      <c r="D3533" s="75"/>
    </row>
    <row hidden="true" r="3534">
      <c r="A3534" s="76" t="s">
        <v>1293</v>
      </c>
      <c r="B3534" s="76" t="s">
        <v>988</v>
      </c>
      <c r="C3534" s="76" t="s">
        <v>989</v>
      </c>
      <c r="D3534" s="75"/>
    </row>
    <row hidden="true" r="3535">
      <c r="A3535" s="76" t="s">
        <v>1293</v>
      </c>
      <c r="B3535" s="76" t="s">
        <v>990</v>
      </c>
      <c r="C3535" s="76" t="s">
        <v>991</v>
      </c>
      <c r="D3535" s="75"/>
    </row>
    <row hidden="true" r="3536">
      <c r="A3536" s="76" t="s">
        <v>1293</v>
      </c>
      <c r="B3536" s="76" t="s">
        <v>992</v>
      </c>
      <c r="C3536" s="76" t="s">
        <v>993</v>
      </c>
      <c r="D3536" s="75"/>
    </row>
    <row hidden="true" r="3537">
      <c r="A3537" s="76" t="s">
        <v>1293</v>
      </c>
      <c r="B3537" s="76" t="s">
        <v>994</v>
      </c>
      <c r="C3537" s="76" t="s">
        <v>995</v>
      </c>
      <c r="D3537" s="75"/>
    </row>
    <row hidden="true" r="3538">
      <c r="A3538" s="76" t="s">
        <v>1293</v>
      </c>
      <c r="B3538" s="76" t="s">
        <v>996</v>
      </c>
      <c r="C3538" s="76" t="s">
        <v>997</v>
      </c>
      <c r="D3538" s="75"/>
    </row>
    <row hidden="true" r="3539">
      <c r="A3539" s="76" t="s">
        <v>1293</v>
      </c>
      <c r="B3539" s="76" t="s">
        <v>998</v>
      </c>
      <c r="C3539" s="76" t="s">
        <v>1239</v>
      </c>
      <c r="D3539" s="75"/>
    </row>
    <row hidden="true" r="3540">
      <c r="A3540" s="76" t="s">
        <v>1293</v>
      </c>
      <c r="B3540" s="76" t="s">
        <v>1000</v>
      </c>
      <c r="C3540" s="76" t="s">
        <v>1001</v>
      </c>
      <c r="D3540" s="75"/>
    </row>
    <row hidden="true" r="3541">
      <c r="A3541" s="76" t="s">
        <v>1293</v>
      </c>
      <c r="B3541" s="76" t="s">
        <v>1002</v>
      </c>
      <c r="C3541" s="76" t="s">
        <v>1003</v>
      </c>
      <c r="D3541" s="75"/>
    </row>
    <row hidden="true" r="3542">
      <c r="A3542" s="76" t="s">
        <v>1293</v>
      </c>
      <c r="B3542" s="76" t="s">
        <v>1004</v>
      </c>
      <c r="C3542" s="76" t="s">
        <v>1005</v>
      </c>
      <c r="D3542" s="75"/>
    </row>
    <row hidden="true" r="3543">
      <c r="A3543" s="76" t="s">
        <v>1293</v>
      </c>
      <c r="B3543" s="76" t="s">
        <v>1006</v>
      </c>
      <c r="C3543" s="76" t="s">
        <v>1007</v>
      </c>
      <c r="D3543" s="75"/>
    </row>
    <row hidden="true" r="3544">
      <c r="A3544" s="76" t="s">
        <v>1293</v>
      </c>
      <c r="B3544" s="76" t="s">
        <v>1008</v>
      </c>
      <c r="C3544" s="76" t="s">
        <v>1009</v>
      </c>
      <c r="D3544" s="75"/>
    </row>
    <row hidden="true" r="3545">
      <c r="A3545" s="76" t="s">
        <v>1293</v>
      </c>
      <c r="B3545" s="76" t="s">
        <v>1010</v>
      </c>
      <c r="C3545" s="76" t="s">
        <v>1011</v>
      </c>
      <c r="D3545" s="75"/>
    </row>
    <row hidden="true" r="3546">
      <c r="A3546" s="76" t="s">
        <v>1293</v>
      </c>
      <c r="B3546" s="76" t="s">
        <v>1012</v>
      </c>
      <c r="C3546" s="76" t="s">
        <v>1013</v>
      </c>
      <c r="D3546" s="75"/>
    </row>
    <row hidden="true" r="3547">
      <c r="A3547" s="76" t="s">
        <v>1293</v>
      </c>
      <c r="B3547" s="76" t="s">
        <v>1014</v>
      </c>
      <c r="C3547" s="76" t="s">
        <v>1015</v>
      </c>
      <c r="D3547" s="75"/>
    </row>
    <row hidden="true" r="3548">
      <c r="A3548" s="76" t="s">
        <v>1293</v>
      </c>
      <c r="B3548" s="76" t="s">
        <v>1016</v>
      </c>
      <c r="C3548" s="76" t="s">
        <v>1017</v>
      </c>
      <c r="D3548" s="75"/>
    </row>
    <row hidden="true" r="3549">
      <c r="A3549" s="76" t="s">
        <v>1293</v>
      </c>
      <c r="B3549" s="76" t="s">
        <v>1018</v>
      </c>
      <c r="C3549" s="76" t="s">
        <v>1019</v>
      </c>
      <c r="D3549" s="75"/>
    </row>
    <row hidden="true" r="3550">
      <c r="A3550" s="76" t="s">
        <v>1293</v>
      </c>
      <c r="B3550" s="76" t="s">
        <v>1020</v>
      </c>
      <c r="C3550" s="76" t="s">
        <v>1021</v>
      </c>
      <c r="D3550" s="75"/>
    </row>
    <row hidden="true" r="3551">
      <c r="A3551" s="76" t="s">
        <v>1293</v>
      </c>
      <c r="B3551" s="76" t="s">
        <v>1022</v>
      </c>
      <c r="C3551" s="76" t="s">
        <v>1017</v>
      </c>
      <c r="D3551" s="75"/>
    </row>
    <row hidden="true" r="3552">
      <c r="A3552" s="76" t="s">
        <v>1293</v>
      </c>
      <c r="B3552" s="76" t="s">
        <v>1023</v>
      </c>
      <c r="C3552" s="76" t="s">
        <v>1019</v>
      </c>
      <c r="D3552" s="75"/>
    </row>
    <row hidden="true" r="3553">
      <c r="A3553" s="76" t="s">
        <v>1293</v>
      </c>
      <c r="B3553" s="76" t="s">
        <v>1024</v>
      </c>
      <c r="C3553" s="76" t="s">
        <v>1021</v>
      </c>
      <c r="D3553" s="75"/>
    </row>
    <row hidden="true" r="3554">
      <c r="A3554" s="76" t="s">
        <v>1293</v>
      </c>
      <c r="B3554" s="76" t="s">
        <v>1025</v>
      </c>
      <c r="C3554" s="76" t="s">
        <v>1017</v>
      </c>
      <c r="D3554" s="75"/>
    </row>
    <row hidden="true" r="3555">
      <c r="A3555" s="76" t="s">
        <v>1293</v>
      </c>
      <c r="B3555" s="76" t="s">
        <v>1026</v>
      </c>
      <c r="C3555" s="76" t="s">
        <v>1019</v>
      </c>
      <c r="D3555" s="75"/>
    </row>
    <row hidden="true" r="3556">
      <c r="A3556" s="76" t="s">
        <v>1293</v>
      </c>
      <c r="B3556" s="76" t="s">
        <v>1027</v>
      </c>
      <c r="C3556" s="76" t="s">
        <v>1021</v>
      </c>
      <c r="D3556" s="75"/>
    </row>
    <row hidden="true" r="3557">
      <c r="A3557" s="76" t="s">
        <v>1293</v>
      </c>
      <c r="B3557" s="76" t="s">
        <v>1028</v>
      </c>
      <c r="C3557" s="76" t="s">
        <v>1029</v>
      </c>
      <c r="D3557" s="75"/>
    </row>
    <row hidden="true" r="3558">
      <c r="A3558" s="76" t="s">
        <v>1293</v>
      </c>
      <c r="B3558" s="76" t="s">
        <v>530</v>
      </c>
      <c r="C3558" s="76" t="s">
        <v>1240</v>
      </c>
      <c r="D3558" s="75"/>
    </row>
    <row hidden="true" r="3559">
      <c r="A3559" s="76" t="s">
        <v>1293</v>
      </c>
      <c r="B3559" s="76" t="s">
        <v>1030</v>
      </c>
      <c r="C3559" s="76" t="s">
        <v>1031</v>
      </c>
      <c r="D3559" s="75"/>
    </row>
    <row hidden="true" r="3560">
      <c r="A3560" s="76" t="s">
        <v>1293</v>
      </c>
      <c r="B3560" s="76" t="s">
        <v>1032</v>
      </c>
      <c r="C3560" s="76" t="s">
        <v>1033</v>
      </c>
      <c r="D3560" s="75"/>
    </row>
    <row hidden="true" r="3561">
      <c r="A3561" s="76" t="s">
        <v>1293</v>
      </c>
      <c r="B3561" s="76" t="s">
        <v>1034</v>
      </c>
      <c r="C3561" s="76" t="s">
        <v>1035</v>
      </c>
      <c r="D3561" s="75"/>
    </row>
    <row hidden="true" r="3562">
      <c r="A3562" s="76" t="s">
        <v>1293</v>
      </c>
      <c r="B3562" s="76" t="s">
        <v>532</v>
      </c>
      <c r="C3562" s="76" t="s">
        <v>533</v>
      </c>
      <c r="D3562" s="75"/>
    </row>
    <row hidden="true" r="3563">
      <c r="A3563" s="76" t="s">
        <v>1293</v>
      </c>
      <c r="B3563" s="76" t="s">
        <v>1036</v>
      </c>
      <c r="C3563" s="76" t="s">
        <v>1037</v>
      </c>
      <c r="D3563" s="75"/>
    </row>
    <row hidden="true" r="3564">
      <c r="A3564" s="76" t="s">
        <v>1293</v>
      </c>
      <c r="B3564" s="76" t="s">
        <v>1038</v>
      </c>
      <c r="C3564" s="76" t="s">
        <v>1039</v>
      </c>
      <c r="D3564" s="75"/>
    </row>
    <row hidden="true" r="3565">
      <c r="A3565" s="76" t="s">
        <v>1293</v>
      </c>
      <c r="B3565" s="76" t="s">
        <v>1040</v>
      </c>
      <c r="C3565" s="76" t="s">
        <v>1041</v>
      </c>
      <c r="D3565" s="75"/>
    </row>
    <row hidden="true" r="3566">
      <c r="A3566" s="76" t="s">
        <v>1293</v>
      </c>
      <c r="B3566" s="76" t="s">
        <v>1042</v>
      </c>
      <c r="C3566" s="76" t="s">
        <v>1043</v>
      </c>
      <c r="D3566" s="75"/>
    </row>
    <row hidden="true" r="3567">
      <c r="A3567" s="76" t="s">
        <v>1293</v>
      </c>
      <c r="B3567" s="76" t="s">
        <v>1044</v>
      </c>
      <c r="C3567" s="76" t="s">
        <v>1045</v>
      </c>
      <c r="D3567" s="75"/>
    </row>
    <row hidden="true" r="3568">
      <c r="A3568" s="76" t="s">
        <v>1293</v>
      </c>
      <c r="B3568" s="76" t="s">
        <v>1046</v>
      </c>
      <c r="C3568" s="76" t="s">
        <v>1047</v>
      </c>
      <c r="D3568" s="75"/>
    </row>
    <row hidden="true" r="3569">
      <c r="A3569" s="76" t="s">
        <v>1293</v>
      </c>
      <c r="B3569" s="76" t="s">
        <v>1048</v>
      </c>
      <c r="C3569" s="76" t="s">
        <v>1241</v>
      </c>
      <c r="D3569" s="75"/>
    </row>
    <row hidden="true" r="3570">
      <c r="A3570" s="76" t="s">
        <v>1293</v>
      </c>
      <c r="B3570" s="76" t="s">
        <v>1050</v>
      </c>
      <c r="C3570" s="76" t="s">
        <v>1051</v>
      </c>
      <c r="D3570" s="75"/>
    </row>
    <row hidden="true" r="3571">
      <c r="A3571" s="76" t="s">
        <v>1293</v>
      </c>
      <c r="B3571" s="76" t="s">
        <v>1052</v>
      </c>
      <c r="C3571" s="76" t="s">
        <v>1053</v>
      </c>
      <c r="D3571" s="75"/>
    </row>
    <row hidden="true" r="3572">
      <c r="A3572" s="76" t="s">
        <v>1293</v>
      </c>
      <c r="B3572" s="76" t="s">
        <v>1054</v>
      </c>
      <c r="C3572" s="76" t="s">
        <v>1055</v>
      </c>
      <c r="D3572" s="75"/>
    </row>
    <row hidden="true" r="3573">
      <c r="A3573" s="76" t="s">
        <v>1293</v>
      </c>
      <c r="B3573" s="76" t="s">
        <v>1056</v>
      </c>
      <c r="C3573" s="76" t="s">
        <v>1057</v>
      </c>
      <c r="D3573" s="75"/>
    </row>
    <row hidden="true" r="3574">
      <c r="A3574" s="76" t="s">
        <v>1293</v>
      </c>
      <c r="B3574" s="76" t="s">
        <v>1058</v>
      </c>
      <c r="C3574" s="76" t="s">
        <v>1059</v>
      </c>
      <c r="D3574" s="75"/>
    </row>
    <row hidden="true" r="3575">
      <c r="A3575" s="76" t="s">
        <v>1293</v>
      </c>
      <c r="B3575" s="76" t="s">
        <v>1060</v>
      </c>
      <c r="C3575" s="76" t="s">
        <v>1061</v>
      </c>
      <c r="D3575" s="75"/>
    </row>
    <row hidden="true" r="3576">
      <c r="A3576" s="76" t="s">
        <v>1293</v>
      </c>
      <c r="B3576" s="76" t="s">
        <v>1062</v>
      </c>
      <c r="C3576" s="76" t="s">
        <v>1063</v>
      </c>
      <c r="D3576" s="75"/>
    </row>
    <row hidden="true" r="3577">
      <c r="A3577" s="76" t="s">
        <v>1293</v>
      </c>
      <c r="B3577" s="76" t="s">
        <v>1064</v>
      </c>
      <c r="C3577" s="76" t="s">
        <v>1065</v>
      </c>
      <c r="D3577" s="75"/>
    </row>
    <row hidden="true" r="3578">
      <c r="A3578" s="76" t="s">
        <v>1293</v>
      </c>
      <c r="B3578" s="76" t="s">
        <v>1066</v>
      </c>
      <c r="C3578" s="76" t="s">
        <v>1067</v>
      </c>
      <c r="D3578" s="75"/>
    </row>
    <row hidden="true" r="3579">
      <c r="A3579" s="76" t="s">
        <v>1293</v>
      </c>
      <c r="B3579" s="76" t="s">
        <v>1068</v>
      </c>
      <c r="C3579" s="76" t="s">
        <v>1069</v>
      </c>
      <c r="D3579" s="75"/>
    </row>
    <row hidden="true" r="3580">
      <c r="A3580" s="76" t="s">
        <v>1293</v>
      </c>
      <c r="B3580" s="76" t="s">
        <v>1070</v>
      </c>
      <c r="C3580" s="76" t="s">
        <v>1069</v>
      </c>
      <c r="D3580" s="75"/>
    </row>
    <row hidden="true" r="3581">
      <c r="A3581" s="76" t="s">
        <v>1293</v>
      </c>
      <c r="B3581" s="76" t="s">
        <v>1071</v>
      </c>
      <c r="C3581" s="76" t="s">
        <v>1069</v>
      </c>
      <c r="D3581" s="75"/>
    </row>
    <row hidden="true" r="3582">
      <c r="A3582" s="76" t="s">
        <v>1293</v>
      </c>
      <c r="B3582" s="76" t="s">
        <v>1072</v>
      </c>
      <c r="C3582" s="76" t="s">
        <v>1073</v>
      </c>
      <c r="D3582" s="75"/>
    </row>
    <row hidden="true" r="3583">
      <c r="A3583" s="76" t="s">
        <v>1293</v>
      </c>
      <c r="B3583" s="76" t="s">
        <v>1074</v>
      </c>
      <c r="C3583" s="76" t="s">
        <v>1073</v>
      </c>
      <c r="D3583" s="75"/>
    </row>
    <row hidden="true" r="3584">
      <c r="A3584" s="76" t="s">
        <v>1293</v>
      </c>
      <c r="B3584" s="76" t="s">
        <v>1075</v>
      </c>
      <c r="C3584" s="76" t="s">
        <v>1073</v>
      </c>
      <c r="D3584" s="75"/>
    </row>
    <row hidden="true" r="3585">
      <c r="A3585" s="76" t="s">
        <v>1293</v>
      </c>
      <c r="B3585" s="76" t="s">
        <v>1076</v>
      </c>
      <c r="C3585" s="76" t="s">
        <v>1077</v>
      </c>
      <c r="D3585" s="75"/>
    </row>
    <row hidden="true" r="3586">
      <c r="A3586" s="76" t="s">
        <v>1293</v>
      </c>
      <c r="B3586" s="76" t="s">
        <v>1078</v>
      </c>
      <c r="C3586" s="76" t="s">
        <v>1079</v>
      </c>
      <c r="D3586" s="75"/>
    </row>
    <row hidden="true" r="3587">
      <c r="A3587" s="76" t="s">
        <v>1293</v>
      </c>
      <c r="B3587" s="76" t="s">
        <v>839</v>
      </c>
      <c r="C3587" s="76" t="s">
        <v>840</v>
      </c>
      <c r="D3587" s="75"/>
    </row>
    <row hidden="true" r="3588">
      <c r="A3588" s="76" t="s">
        <v>1293</v>
      </c>
      <c r="B3588" s="76" t="s">
        <v>1080</v>
      </c>
      <c r="C3588" s="76" t="s">
        <v>1081</v>
      </c>
      <c r="D3588" s="75"/>
    </row>
    <row hidden="true" r="3589">
      <c r="A3589" s="76" t="s">
        <v>1293</v>
      </c>
      <c r="B3589" s="76" t="s">
        <v>1082</v>
      </c>
      <c r="C3589" s="76" t="s">
        <v>1083</v>
      </c>
      <c r="D3589" s="75"/>
    </row>
    <row hidden="true" r="3590">
      <c r="A3590" s="76" t="s">
        <v>1293</v>
      </c>
      <c r="B3590" s="76" t="s">
        <v>1084</v>
      </c>
      <c r="C3590" s="76" t="s">
        <v>1085</v>
      </c>
      <c r="D3590" s="75"/>
    </row>
    <row hidden="true" r="3591">
      <c r="A3591" s="76" t="s">
        <v>1293</v>
      </c>
      <c r="B3591" s="76" t="s">
        <v>1086</v>
      </c>
      <c r="C3591" s="76" t="s">
        <v>1087</v>
      </c>
      <c r="D3591" s="75"/>
    </row>
    <row hidden="true" r="3592">
      <c r="A3592" s="76" t="s">
        <v>1293</v>
      </c>
      <c r="B3592" s="76" t="s">
        <v>1088</v>
      </c>
      <c r="C3592" s="76" t="s">
        <v>1089</v>
      </c>
      <c r="D3592" s="75"/>
    </row>
    <row hidden="true" r="3593">
      <c r="A3593" s="76" t="s">
        <v>1293</v>
      </c>
      <c r="B3593" s="76" t="s">
        <v>1090</v>
      </c>
      <c r="C3593" s="76" t="s">
        <v>1091</v>
      </c>
      <c r="D3593" s="75"/>
    </row>
    <row hidden="true" r="3594">
      <c r="A3594" s="76" t="s">
        <v>1293</v>
      </c>
      <c r="B3594" s="76" t="s">
        <v>1092</v>
      </c>
      <c r="C3594" s="76" t="s">
        <v>1091</v>
      </c>
      <c r="D3594" s="75"/>
    </row>
    <row hidden="true" r="3595">
      <c r="A3595" s="76" t="s">
        <v>1293</v>
      </c>
      <c r="B3595" s="76" t="s">
        <v>1093</v>
      </c>
      <c r="C3595" s="76" t="s">
        <v>1094</v>
      </c>
      <c r="D3595" s="75"/>
    </row>
    <row hidden="true" r="3596">
      <c r="A3596" s="76" t="s">
        <v>1293</v>
      </c>
      <c r="B3596" s="76" t="s">
        <v>1095</v>
      </c>
      <c r="C3596" s="76" t="s">
        <v>1096</v>
      </c>
      <c r="D3596" s="75"/>
    </row>
    <row hidden="true" r="3597">
      <c r="A3597" s="76" t="s">
        <v>1293</v>
      </c>
      <c r="B3597" s="76" t="s">
        <v>1097</v>
      </c>
      <c r="C3597" s="76" t="s">
        <v>1098</v>
      </c>
      <c r="D3597" s="75"/>
    </row>
    <row hidden="true" r="3598">
      <c r="A3598" s="76" t="s">
        <v>1293</v>
      </c>
      <c r="B3598" s="76" t="s">
        <v>1099</v>
      </c>
      <c r="C3598" s="76" t="s">
        <v>1242</v>
      </c>
      <c r="D3598" s="75"/>
    </row>
    <row hidden="true" r="3599">
      <c r="A3599" s="76" t="s">
        <v>1293</v>
      </c>
      <c r="B3599" s="76" t="s">
        <v>1101</v>
      </c>
      <c r="C3599" s="76" t="s">
        <v>1102</v>
      </c>
      <c r="D3599" s="75"/>
    </row>
    <row hidden="true" r="3600">
      <c r="A3600" s="76" t="s">
        <v>1293</v>
      </c>
      <c r="B3600" s="76" t="s">
        <v>1103</v>
      </c>
      <c r="C3600" s="76" t="s">
        <v>1104</v>
      </c>
      <c r="D3600" s="75"/>
    </row>
    <row hidden="true" r="3601">
      <c r="A3601" s="76" t="s">
        <v>1293</v>
      </c>
      <c r="B3601" s="76" t="s">
        <v>1105</v>
      </c>
      <c r="C3601" s="76" t="s">
        <v>1106</v>
      </c>
      <c r="D3601" s="75"/>
    </row>
    <row hidden="true" r="3602">
      <c r="A3602" s="76" t="s">
        <v>1293</v>
      </c>
      <c r="B3602" s="76" t="s">
        <v>1107</v>
      </c>
      <c r="C3602" s="76" t="s">
        <v>1108</v>
      </c>
      <c r="D3602" s="75"/>
    </row>
    <row hidden="true" r="3603">
      <c r="A3603" s="76" t="s">
        <v>1293</v>
      </c>
      <c r="B3603" s="76" t="s">
        <v>1109</v>
      </c>
      <c r="C3603" s="76" t="s">
        <v>1110</v>
      </c>
      <c r="D3603" s="75"/>
    </row>
    <row hidden="true" r="3604">
      <c r="A3604" s="76" t="s">
        <v>1293</v>
      </c>
      <c r="B3604" s="76" t="s">
        <v>1111</v>
      </c>
      <c r="C3604" s="76" t="s">
        <v>1243</v>
      </c>
      <c r="D3604" s="75"/>
    </row>
    <row hidden="true" r="3605">
      <c r="A3605" s="76" t="s">
        <v>1293</v>
      </c>
      <c r="B3605" s="76" t="s">
        <v>1113</v>
      </c>
      <c r="C3605" s="76" t="s">
        <v>1114</v>
      </c>
      <c r="D3605" s="75"/>
    </row>
    <row hidden="true" r="3606">
      <c r="A3606" s="76" t="s">
        <v>1293</v>
      </c>
      <c r="B3606" s="76" t="s">
        <v>1115</v>
      </c>
      <c r="C3606" s="76" t="s">
        <v>1116</v>
      </c>
      <c r="D3606" s="75"/>
    </row>
    <row hidden="true" r="3607">
      <c r="A3607" s="76" t="s">
        <v>1293</v>
      </c>
      <c r="B3607" s="76" t="s">
        <v>1117</v>
      </c>
      <c r="C3607" s="76" t="s">
        <v>1244</v>
      </c>
      <c r="D3607" s="75"/>
    </row>
    <row hidden="true" r="3608">
      <c r="A3608" s="76" t="s">
        <v>1293</v>
      </c>
      <c r="B3608" s="76" t="s">
        <v>1119</v>
      </c>
      <c r="C3608" s="76" t="s">
        <v>1120</v>
      </c>
      <c r="D3608" s="75"/>
    </row>
    <row hidden="true" r="3609">
      <c r="A3609" s="76" t="s">
        <v>1293</v>
      </c>
      <c r="B3609" s="76" t="s">
        <v>1121</v>
      </c>
      <c r="C3609" s="76" t="s">
        <v>1122</v>
      </c>
      <c r="D3609" s="75"/>
    </row>
    <row hidden="true" r="3610">
      <c r="A3610" s="76" t="s">
        <v>1293</v>
      </c>
      <c r="B3610" s="76" t="s">
        <v>1123</v>
      </c>
      <c r="C3610" s="76" t="s">
        <v>1124</v>
      </c>
      <c r="D3610" s="75"/>
    </row>
    <row hidden="true" r="3611">
      <c r="A3611" s="76" t="s">
        <v>1293</v>
      </c>
      <c r="B3611" s="76" t="s">
        <v>1125</v>
      </c>
      <c r="C3611" s="76" t="s">
        <v>1245</v>
      </c>
      <c r="D3611" s="75"/>
    </row>
    <row hidden="true" r="3612">
      <c r="A3612" s="76" t="s">
        <v>1293</v>
      </c>
      <c r="B3612" s="76" t="s">
        <v>1127</v>
      </c>
      <c r="C3612" s="76" t="s">
        <v>1128</v>
      </c>
      <c r="D3612" s="75"/>
    </row>
    <row hidden="true" r="3613">
      <c r="A3613" s="76" t="s">
        <v>1293</v>
      </c>
      <c r="B3613" s="76" t="s">
        <v>1129</v>
      </c>
      <c r="C3613" s="76" t="s">
        <v>1130</v>
      </c>
      <c r="D3613" s="75"/>
    </row>
    <row hidden="true" r="3614">
      <c r="A3614" s="76" t="s">
        <v>1293</v>
      </c>
      <c r="B3614" s="76" t="s">
        <v>1131</v>
      </c>
      <c r="C3614" s="76" t="s">
        <v>1132</v>
      </c>
      <c r="D3614" s="75"/>
    </row>
    <row hidden="true" r="3615">
      <c r="A3615" s="76" t="s">
        <v>1293</v>
      </c>
      <c r="B3615" s="76" t="s">
        <v>1133</v>
      </c>
      <c r="C3615" s="76" t="s">
        <v>1134</v>
      </c>
      <c r="D3615" s="75"/>
    </row>
    <row hidden="true" r="3616">
      <c r="A3616" s="76" t="s">
        <v>1293</v>
      </c>
      <c r="B3616" s="76" t="s">
        <v>1135</v>
      </c>
      <c r="C3616" s="76" t="s">
        <v>1136</v>
      </c>
      <c r="D3616" s="75"/>
    </row>
    <row hidden="true" r="3617">
      <c r="A3617" s="76" t="s">
        <v>1293</v>
      </c>
      <c r="B3617" s="76" t="s">
        <v>1137</v>
      </c>
      <c r="C3617" s="76" t="s">
        <v>1138</v>
      </c>
      <c r="D3617" s="75"/>
    </row>
    <row hidden="true" r="3618">
      <c r="A3618" s="76" t="s">
        <v>1293</v>
      </c>
      <c r="B3618" s="76" t="s">
        <v>1139</v>
      </c>
      <c r="C3618" s="76" t="s">
        <v>1140</v>
      </c>
      <c r="D3618" s="75"/>
    </row>
    <row hidden="true" r="3619">
      <c r="A3619" s="76" t="s">
        <v>1293</v>
      </c>
      <c r="B3619" s="76" t="s">
        <v>1141</v>
      </c>
      <c r="C3619" s="76" t="s">
        <v>1142</v>
      </c>
      <c r="D3619" s="75"/>
    </row>
    <row hidden="true" r="3620">
      <c r="A3620" s="76" t="s">
        <v>1293</v>
      </c>
      <c r="B3620" s="76" t="s">
        <v>1143</v>
      </c>
      <c r="C3620" s="76" t="s">
        <v>1144</v>
      </c>
      <c r="D3620" s="75"/>
    </row>
    <row hidden="true" r="3621">
      <c r="A3621" s="76" t="s">
        <v>1293</v>
      </c>
      <c r="B3621" s="76" t="s">
        <v>1145</v>
      </c>
      <c r="C3621" s="76" t="s">
        <v>1223</v>
      </c>
      <c r="D3621" s="75"/>
    </row>
    <row hidden="true" r="3622">
      <c r="A3622" s="76" t="s">
        <v>1293</v>
      </c>
      <c r="B3622" s="76" t="s">
        <v>1147</v>
      </c>
      <c r="C3622" s="76" t="s">
        <v>1148</v>
      </c>
      <c r="D3622" s="75"/>
    </row>
    <row hidden="true" r="3623">
      <c r="A3623" s="76" t="s">
        <v>1293</v>
      </c>
      <c r="B3623" s="76" t="s">
        <v>1149</v>
      </c>
      <c r="C3623" s="76" t="s">
        <v>1150</v>
      </c>
      <c r="D3623" s="75"/>
    </row>
    <row hidden="true" r="3624">
      <c r="A3624" s="76" t="s">
        <v>1293</v>
      </c>
      <c r="B3624" s="76" t="s">
        <v>1151</v>
      </c>
      <c r="C3624" s="76" t="s">
        <v>1152</v>
      </c>
      <c r="D3624" s="75"/>
    </row>
    <row hidden="true" r="3625">
      <c r="A3625" s="76" t="s">
        <v>1293</v>
      </c>
      <c r="B3625" s="76" t="s">
        <v>1153</v>
      </c>
      <c r="C3625" s="76" t="s">
        <v>1154</v>
      </c>
      <c r="D3625" s="75"/>
    </row>
    <row hidden="true" r="3626">
      <c r="A3626" s="76" t="s">
        <v>1293</v>
      </c>
      <c r="B3626" s="76" t="s">
        <v>1155</v>
      </c>
      <c r="C3626" s="76" t="s">
        <v>1156</v>
      </c>
      <c r="D3626" s="75"/>
    </row>
    <row hidden="true" r="3627">
      <c r="A3627" s="76" t="s">
        <v>1293</v>
      </c>
      <c r="B3627" s="76" t="s">
        <v>1157</v>
      </c>
      <c r="C3627" s="76" t="s">
        <v>1158</v>
      </c>
      <c r="D3627" s="75"/>
    </row>
    <row hidden="true" r="3628">
      <c r="A3628" s="76" t="s">
        <v>1293</v>
      </c>
      <c r="B3628" s="76" t="s">
        <v>1159</v>
      </c>
      <c r="C3628" s="76" t="s">
        <v>1160</v>
      </c>
      <c r="D3628" s="75"/>
    </row>
    <row hidden="true" r="3629">
      <c r="A3629" s="76" t="s">
        <v>1293</v>
      </c>
      <c r="B3629" s="76" t="s">
        <v>868</v>
      </c>
      <c r="C3629" s="76" t="s">
        <v>869</v>
      </c>
      <c r="D3629" s="75"/>
    </row>
    <row hidden="true" r="3630">
      <c r="A3630" s="76" t="s">
        <v>1293</v>
      </c>
      <c r="B3630" s="76" t="s">
        <v>1161</v>
      </c>
      <c r="C3630" s="76" t="s">
        <v>1162</v>
      </c>
      <c r="D3630" s="75"/>
    </row>
    <row hidden="true" r="3631">
      <c r="A3631" s="76" t="s">
        <v>1293</v>
      </c>
      <c r="B3631" s="76" t="s">
        <v>1163</v>
      </c>
      <c r="C3631" s="76" t="s">
        <v>1164</v>
      </c>
      <c r="D3631" s="75"/>
    </row>
    <row hidden="true" r="3632">
      <c r="A3632" s="76" t="s">
        <v>1293</v>
      </c>
      <c r="B3632" s="76" t="s">
        <v>1165</v>
      </c>
      <c r="C3632" s="76" t="s">
        <v>1166</v>
      </c>
      <c r="D3632" s="75"/>
    </row>
    <row hidden="true" r="3633">
      <c r="A3633" s="76" t="s">
        <v>1293</v>
      </c>
      <c r="B3633" s="76" t="s">
        <v>1167</v>
      </c>
      <c r="C3633" s="76" t="s">
        <v>1246</v>
      </c>
      <c r="D3633" s="75"/>
    </row>
    <row hidden="true" r="3634">
      <c r="A3634" s="76" t="s">
        <v>1293</v>
      </c>
      <c r="B3634" s="76" t="s">
        <v>1169</v>
      </c>
      <c r="C3634" s="76" t="s">
        <v>1170</v>
      </c>
      <c r="D3634" s="75"/>
    </row>
    <row hidden="true" r="3635">
      <c r="A3635" s="76" t="s">
        <v>1293</v>
      </c>
      <c r="B3635" s="76" t="s">
        <v>1171</v>
      </c>
      <c r="C3635" s="76" t="s">
        <v>1172</v>
      </c>
      <c r="D3635" s="75"/>
    </row>
    <row hidden="true" r="3636">
      <c r="A3636" s="76" t="s">
        <v>1293</v>
      </c>
      <c r="B3636" s="76" t="s">
        <v>1173</v>
      </c>
      <c r="C3636" s="76" t="s">
        <v>1247</v>
      </c>
      <c r="D3636" s="75"/>
    </row>
    <row hidden="true" r="3637">
      <c r="A3637" s="76" t="s">
        <v>1293</v>
      </c>
      <c r="B3637" s="76" t="s">
        <v>1175</v>
      </c>
      <c r="C3637" s="76" t="s">
        <v>1176</v>
      </c>
      <c r="D3637" s="75"/>
    </row>
    <row hidden="true" r="3638">
      <c r="A3638" s="76" t="s">
        <v>1293</v>
      </c>
      <c r="B3638" s="76" t="s">
        <v>1177</v>
      </c>
      <c r="C3638" s="76" t="s">
        <v>1178</v>
      </c>
      <c r="D3638" s="75"/>
    </row>
    <row hidden="true" r="3639">
      <c r="A3639" s="76" t="s">
        <v>1293</v>
      </c>
      <c r="B3639" s="76" t="s">
        <v>1179</v>
      </c>
      <c r="C3639" s="76" t="s">
        <v>1180</v>
      </c>
      <c r="D3639" s="75"/>
    </row>
    <row hidden="true" r="3640">
      <c r="A3640" s="76" t="s">
        <v>1293</v>
      </c>
      <c r="B3640" s="76" t="s">
        <v>1181</v>
      </c>
      <c r="C3640" s="76" t="s">
        <v>1182</v>
      </c>
      <c r="D3640" s="75"/>
    </row>
    <row hidden="true" r="3641">
      <c r="A3641" s="76" t="s">
        <v>1293</v>
      </c>
      <c r="B3641" s="76" t="s">
        <v>1183</v>
      </c>
      <c r="C3641" s="76" t="s">
        <v>1184</v>
      </c>
      <c r="D3641" s="75"/>
    </row>
    <row hidden="true" r="3642">
      <c r="A3642" s="76" t="s">
        <v>1293</v>
      </c>
      <c r="B3642" s="76" t="s">
        <v>1185</v>
      </c>
      <c r="C3642" s="76" t="s">
        <v>1186</v>
      </c>
      <c r="D3642" s="75"/>
    </row>
    <row hidden="true" r="3643">
      <c r="A3643" s="76" t="s">
        <v>1293</v>
      </c>
      <c r="B3643" s="76" t="s">
        <v>1187</v>
      </c>
      <c r="C3643" s="76" t="s">
        <v>1188</v>
      </c>
      <c r="D3643" s="75"/>
    </row>
    <row hidden="true" r="3644">
      <c r="A3644" s="76" t="s">
        <v>1293</v>
      </c>
      <c r="B3644" s="76" t="s">
        <v>1199</v>
      </c>
      <c r="C3644" s="76" t="s">
        <v>1200</v>
      </c>
      <c r="D3644" s="75"/>
    </row>
    <row hidden="true" r="3645">
      <c r="A3645" s="76" t="s">
        <v>1293</v>
      </c>
      <c r="B3645" s="76" t="s">
        <v>1201</v>
      </c>
      <c r="C3645" s="76" t="s">
        <v>1202</v>
      </c>
      <c r="D3645" s="75"/>
    </row>
    <row hidden="true" r="3646">
      <c r="A3646" s="76" t="s">
        <v>1293</v>
      </c>
      <c r="B3646" s="76" t="s">
        <v>1203</v>
      </c>
      <c r="C3646" s="76" t="s">
        <v>1204</v>
      </c>
      <c r="D3646" s="75"/>
    </row>
    <row hidden="true" r="3647">
      <c r="A3647" s="76" t="s">
        <v>1293</v>
      </c>
      <c r="B3647" s="76" t="s">
        <v>1205</v>
      </c>
      <c r="C3647" s="76" t="s">
        <v>1206</v>
      </c>
      <c r="D3647" s="75"/>
    </row>
    <row hidden="true" r="3648">
      <c r="A3648" s="76" t="s">
        <v>1293</v>
      </c>
      <c r="B3648" s="76" t="s">
        <v>1207</v>
      </c>
      <c r="C3648" s="76" t="s">
        <v>1208</v>
      </c>
      <c r="D3648" s="75"/>
    </row>
    <row hidden="true" r="3649">
      <c r="A3649" s="76" t="s">
        <v>1293</v>
      </c>
      <c r="B3649" s="76" t="s">
        <v>1209</v>
      </c>
      <c r="C3649" s="76" t="s">
        <v>1210</v>
      </c>
      <c r="D3649" s="75"/>
    </row>
    <row hidden="true" r="3650">
      <c r="A3650" s="76" t="s">
        <v>1293</v>
      </c>
      <c r="B3650" s="76" t="s">
        <v>735</v>
      </c>
      <c r="C3650" s="76"/>
      <c r="D3650" s="75"/>
    </row>
    <row hidden="true" r="3651">
      <c r="A3651" s="76" t="s">
        <v>1294</v>
      </c>
      <c r="B3651" s="76" t="s">
        <v>407</v>
      </c>
      <c r="C3651" s="76" t="s">
        <v>408</v>
      </c>
      <c r="D3651" s="75"/>
    </row>
    <row hidden="true" r="3652">
      <c r="A3652" s="76" t="s">
        <v>1294</v>
      </c>
      <c r="B3652" s="76" t="s">
        <v>744</v>
      </c>
      <c r="C3652" s="76" t="s">
        <v>745</v>
      </c>
      <c r="D3652" s="75"/>
    </row>
    <row hidden="true" r="3653">
      <c r="A3653" s="76" t="s">
        <v>1294</v>
      </c>
      <c r="B3653" s="76" t="s">
        <v>409</v>
      </c>
      <c r="C3653" s="76" t="s">
        <v>1215</v>
      </c>
      <c r="D3653" s="75"/>
    </row>
    <row hidden="true" r="3654">
      <c r="A3654" s="76" t="s">
        <v>1294</v>
      </c>
      <c r="B3654" s="76" t="s">
        <v>884</v>
      </c>
      <c r="C3654" s="76" t="s">
        <v>885</v>
      </c>
      <c r="D3654" s="75"/>
    </row>
    <row hidden="true" r="3655">
      <c r="A3655" s="76" t="s">
        <v>1294</v>
      </c>
      <c r="B3655" s="76" t="s">
        <v>886</v>
      </c>
      <c r="C3655" s="76" t="s">
        <v>887</v>
      </c>
      <c r="D3655" s="75"/>
    </row>
    <row hidden="true" r="3656">
      <c r="A3656" s="76" t="s">
        <v>1294</v>
      </c>
      <c r="B3656" s="76" t="s">
        <v>888</v>
      </c>
      <c r="C3656" s="76" t="s">
        <v>889</v>
      </c>
      <c r="D3656" s="75"/>
    </row>
    <row hidden="true" r="3657">
      <c r="A3657" s="76" t="s">
        <v>1294</v>
      </c>
      <c r="B3657" s="76" t="s">
        <v>890</v>
      </c>
      <c r="C3657" s="76" t="s">
        <v>891</v>
      </c>
      <c r="D3657" s="75"/>
    </row>
    <row hidden="true" r="3658">
      <c r="A3658" s="76" t="s">
        <v>1294</v>
      </c>
      <c r="B3658" s="76" t="s">
        <v>892</v>
      </c>
      <c r="C3658" s="76" t="s">
        <v>893</v>
      </c>
      <c r="D3658" s="75"/>
    </row>
    <row hidden="true" r="3659">
      <c r="A3659" s="76" t="s">
        <v>1294</v>
      </c>
      <c r="B3659" s="76" t="s">
        <v>894</v>
      </c>
      <c r="C3659" s="76" t="s">
        <v>1217</v>
      </c>
      <c r="D3659" s="75"/>
    </row>
    <row hidden="true" r="3660">
      <c r="A3660" s="76" t="s">
        <v>1294</v>
      </c>
      <c r="B3660" s="76" t="s">
        <v>896</v>
      </c>
      <c r="C3660" s="76" t="s">
        <v>897</v>
      </c>
      <c r="D3660" s="75"/>
    </row>
    <row hidden="true" r="3661">
      <c r="A3661" s="76" t="s">
        <v>1294</v>
      </c>
      <c r="B3661" s="76" t="s">
        <v>898</v>
      </c>
      <c r="C3661" s="76" t="s">
        <v>899</v>
      </c>
      <c r="D3661" s="75"/>
    </row>
    <row hidden="true" r="3662">
      <c r="A3662" s="76" t="s">
        <v>1294</v>
      </c>
      <c r="B3662" s="76" t="s">
        <v>900</v>
      </c>
      <c r="C3662" s="76" t="s">
        <v>1218</v>
      </c>
      <c r="D3662" s="75"/>
    </row>
    <row hidden="true" r="3663">
      <c r="A3663" s="76" t="s">
        <v>1294</v>
      </c>
      <c r="B3663" s="76" t="s">
        <v>902</v>
      </c>
      <c r="C3663" s="76" t="s">
        <v>903</v>
      </c>
      <c r="D3663" s="75"/>
    </row>
    <row hidden="true" r="3664">
      <c r="A3664" s="76" t="s">
        <v>1294</v>
      </c>
      <c r="B3664" s="76" t="s">
        <v>904</v>
      </c>
      <c r="C3664" s="76" t="s">
        <v>905</v>
      </c>
      <c r="D3664" s="75"/>
    </row>
    <row hidden="true" r="3665">
      <c r="A3665" s="76" t="s">
        <v>1294</v>
      </c>
      <c r="B3665" s="76" t="s">
        <v>906</v>
      </c>
      <c r="C3665" s="76" t="s">
        <v>907</v>
      </c>
      <c r="D3665" s="75"/>
    </row>
    <row hidden="true" r="3666">
      <c r="A3666" s="76" t="s">
        <v>1294</v>
      </c>
      <c r="B3666" s="76" t="s">
        <v>908</v>
      </c>
      <c r="C3666" s="76" t="s">
        <v>909</v>
      </c>
      <c r="D3666" s="75"/>
    </row>
    <row hidden="true" r="3667">
      <c r="A3667" s="76" t="s">
        <v>1294</v>
      </c>
      <c r="B3667" s="76" t="s">
        <v>910</v>
      </c>
      <c r="C3667" s="76" t="s">
        <v>911</v>
      </c>
      <c r="D3667" s="75"/>
    </row>
    <row hidden="true" r="3668">
      <c r="A3668" s="76" t="s">
        <v>1294</v>
      </c>
      <c r="B3668" s="76" t="s">
        <v>912</v>
      </c>
      <c r="C3668" s="76" t="s">
        <v>913</v>
      </c>
      <c r="D3668" s="75"/>
    </row>
    <row hidden="true" r="3669">
      <c r="A3669" s="76" t="s">
        <v>1294</v>
      </c>
      <c r="B3669" s="76" t="s">
        <v>914</v>
      </c>
      <c r="C3669" s="76" t="s">
        <v>915</v>
      </c>
      <c r="D3669" s="75"/>
    </row>
    <row hidden="true" r="3670">
      <c r="A3670" s="76" t="s">
        <v>1294</v>
      </c>
      <c r="B3670" s="76" t="s">
        <v>916</v>
      </c>
      <c r="C3670" s="76" t="s">
        <v>917</v>
      </c>
      <c r="D3670" s="75"/>
    </row>
    <row hidden="true" r="3671">
      <c r="A3671" s="76" t="s">
        <v>1294</v>
      </c>
      <c r="B3671" s="76" t="s">
        <v>918</v>
      </c>
      <c r="C3671" s="76" t="s">
        <v>919</v>
      </c>
      <c r="D3671" s="75"/>
    </row>
    <row hidden="true" r="3672">
      <c r="A3672" s="76" t="s">
        <v>1294</v>
      </c>
      <c r="B3672" s="76" t="s">
        <v>920</v>
      </c>
      <c r="C3672" s="76" t="s">
        <v>921</v>
      </c>
      <c r="D3672" s="75"/>
    </row>
    <row hidden="true" r="3673">
      <c r="A3673" s="76" t="s">
        <v>1294</v>
      </c>
      <c r="B3673" s="76" t="s">
        <v>922</v>
      </c>
      <c r="C3673" s="76" t="s">
        <v>1219</v>
      </c>
      <c r="D3673" s="75"/>
    </row>
    <row hidden="true" r="3674">
      <c r="A3674" s="76" t="s">
        <v>1294</v>
      </c>
      <c r="B3674" s="76" t="s">
        <v>924</v>
      </c>
      <c r="C3674" s="76" t="s">
        <v>925</v>
      </c>
      <c r="D3674" s="75"/>
    </row>
    <row hidden="true" r="3675">
      <c r="A3675" s="76" t="s">
        <v>1294</v>
      </c>
      <c r="B3675" s="76" t="s">
        <v>926</v>
      </c>
      <c r="C3675" s="76" t="s">
        <v>927</v>
      </c>
      <c r="D3675" s="75"/>
    </row>
    <row hidden="true" r="3676">
      <c r="A3676" s="76" t="s">
        <v>1294</v>
      </c>
      <c r="B3676" s="76" t="s">
        <v>928</v>
      </c>
      <c r="C3676" s="76" t="s">
        <v>929</v>
      </c>
      <c r="D3676" s="75"/>
    </row>
    <row hidden="true" r="3677">
      <c r="A3677" s="76" t="s">
        <v>1294</v>
      </c>
      <c r="B3677" s="76" t="s">
        <v>930</v>
      </c>
      <c r="C3677" s="76" t="s">
        <v>931</v>
      </c>
      <c r="D3677" s="75"/>
    </row>
    <row hidden="true" r="3678">
      <c r="A3678" s="76" t="s">
        <v>1294</v>
      </c>
      <c r="B3678" s="76" t="s">
        <v>932</v>
      </c>
      <c r="C3678" s="76" t="s">
        <v>933</v>
      </c>
      <c r="D3678" s="75"/>
    </row>
    <row hidden="true" r="3679">
      <c r="A3679" s="76" t="s">
        <v>1294</v>
      </c>
      <c r="B3679" s="76" t="s">
        <v>934</v>
      </c>
      <c r="C3679" s="76" t="s">
        <v>935</v>
      </c>
      <c r="D3679" s="75"/>
    </row>
    <row hidden="true" r="3680">
      <c r="A3680" s="76" t="s">
        <v>1294</v>
      </c>
      <c r="B3680" s="76" t="s">
        <v>936</v>
      </c>
      <c r="C3680" s="76" t="s">
        <v>937</v>
      </c>
      <c r="D3680" s="75"/>
    </row>
    <row hidden="true" r="3681">
      <c r="A3681" s="76" t="s">
        <v>1294</v>
      </c>
      <c r="B3681" s="76" t="s">
        <v>938</v>
      </c>
      <c r="C3681" s="76" t="s">
        <v>1220</v>
      </c>
      <c r="D3681" s="75"/>
    </row>
    <row hidden="true" r="3682">
      <c r="A3682" s="76" t="s">
        <v>1294</v>
      </c>
      <c r="B3682" s="76" t="s">
        <v>940</v>
      </c>
      <c r="C3682" s="76" t="s">
        <v>941</v>
      </c>
      <c r="D3682" s="75"/>
    </row>
    <row hidden="true" r="3683">
      <c r="A3683" s="76" t="s">
        <v>1294</v>
      </c>
      <c r="B3683" s="76" t="s">
        <v>942</v>
      </c>
      <c r="C3683" s="76" t="s">
        <v>943</v>
      </c>
      <c r="D3683" s="75"/>
    </row>
    <row hidden="true" r="3684">
      <c r="A3684" s="76" t="s">
        <v>1294</v>
      </c>
      <c r="B3684" s="76" t="s">
        <v>944</v>
      </c>
      <c r="C3684" s="76" t="s">
        <v>945</v>
      </c>
      <c r="D3684" s="75"/>
    </row>
    <row hidden="true" r="3685">
      <c r="A3685" s="76" t="s">
        <v>1294</v>
      </c>
      <c r="B3685" s="76" t="s">
        <v>946</v>
      </c>
      <c r="C3685" s="76" t="s">
        <v>1221</v>
      </c>
      <c r="D3685" s="75"/>
    </row>
    <row hidden="true" r="3686">
      <c r="A3686" s="76" t="s">
        <v>1294</v>
      </c>
      <c r="B3686" s="76" t="s">
        <v>948</v>
      </c>
      <c r="C3686" s="76" t="s">
        <v>1222</v>
      </c>
      <c r="D3686" s="75"/>
    </row>
    <row hidden="true" r="3687">
      <c r="A3687" s="76" t="s">
        <v>1294</v>
      </c>
      <c r="B3687" s="76" t="s">
        <v>950</v>
      </c>
      <c r="C3687" s="76" t="s">
        <v>951</v>
      </c>
      <c r="D3687" s="75"/>
    </row>
    <row hidden="true" r="3688">
      <c r="A3688" s="76" t="s">
        <v>1294</v>
      </c>
      <c r="B3688" s="76" t="s">
        <v>952</v>
      </c>
      <c r="C3688" s="76" t="s">
        <v>953</v>
      </c>
      <c r="D3688" s="75"/>
    </row>
    <row hidden="true" r="3689">
      <c r="A3689" s="76" t="s">
        <v>1294</v>
      </c>
      <c r="B3689" s="76" t="s">
        <v>954</v>
      </c>
      <c r="C3689" s="76" t="s">
        <v>955</v>
      </c>
      <c r="D3689" s="75"/>
    </row>
    <row hidden="true" r="3690">
      <c r="A3690" s="76" t="s">
        <v>1294</v>
      </c>
      <c r="B3690" s="76" t="s">
        <v>775</v>
      </c>
      <c r="C3690" s="76" t="s">
        <v>776</v>
      </c>
      <c r="D3690" s="75"/>
    </row>
    <row hidden="true" r="3691">
      <c r="A3691" s="76" t="s">
        <v>1294</v>
      </c>
      <c r="B3691" s="76" t="s">
        <v>956</v>
      </c>
      <c r="C3691" s="76" t="s">
        <v>957</v>
      </c>
      <c r="D3691" s="75"/>
    </row>
    <row hidden="true" r="3692">
      <c r="A3692" s="76" t="s">
        <v>1294</v>
      </c>
      <c r="B3692" s="76" t="s">
        <v>958</v>
      </c>
      <c r="C3692" s="76" t="s">
        <v>959</v>
      </c>
      <c r="D3692" s="75"/>
    </row>
    <row hidden="true" r="3693">
      <c r="A3693" s="76" t="s">
        <v>1294</v>
      </c>
      <c r="B3693" s="76" t="s">
        <v>960</v>
      </c>
      <c r="C3693" s="76" t="s">
        <v>961</v>
      </c>
      <c r="D3693" s="75"/>
    </row>
    <row hidden="true" r="3694">
      <c r="A3694" s="76" t="s">
        <v>1294</v>
      </c>
      <c r="B3694" s="76" t="s">
        <v>962</v>
      </c>
      <c r="C3694" s="76" t="s">
        <v>963</v>
      </c>
      <c r="D3694" s="75"/>
    </row>
    <row hidden="true" r="3695">
      <c r="A3695" s="76" t="s">
        <v>1294</v>
      </c>
      <c r="B3695" s="76" t="s">
        <v>964</v>
      </c>
      <c r="C3695" s="76" t="s">
        <v>965</v>
      </c>
      <c r="D3695" s="75"/>
    </row>
    <row hidden="true" r="3696">
      <c r="A3696" s="76" t="s">
        <v>1294</v>
      </c>
      <c r="B3696" s="76" t="s">
        <v>966</v>
      </c>
      <c r="C3696" s="76" t="s">
        <v>967</v>
      </c>
      <c r="D3696" s="75"/>
    </row>
    <row hidden="true" r="3697">
      <c r="A3697" s="76" t="s">
        <v>1294</v>
      </c>
      <c r="B3697" s="76" t="s">
        <v>968</v>
      </c>
      <c r="C3697" s="76" t="s">
        <v>969</v>
      </c>
      <c r="D3697" s="75"/>
    </row>
    <row hidden="true" r="3698">
      <c r="A3698" s="76" t="s">
        <v>1294</v>
      </c>
      <c r="B3698" s="76" t="s">
        <v>970</v>
      </c>
      <c r="C3698" s="76" t="s">
        <v>971</v>
      </c>
      <c r="D3698" s="75"/>
    </row>
    <row hidden="true" r="3699">
      <c r="A3699" s="76" t="s">
        <v>1294</v>
      </c>
      <c r="B3699" s="76" t="s">
        <v>972</v>
      </c>
      <c r="C3699" s="76" t="s">
        <v>973</v>
      </c>
      <c r="D3699" s="75"/>
    </row>
    <row hidden="true" r="3700">
      <c r="A3700" s="76" t="s">
        <v>1294</v>
      </c>
      <c r="B3700" s="76" t="s">
        <v>974</v>
      </c>
      <c r="C3700" s="76" t="s">
        <v>975</v>
      </c>
      <c r="D3700" s="75"/>
    </row>
    <row hidden="true" r="3701">
      <c r="A3701" s="76" t="s">
        <v>1294</v>
      </c>
      <c r="B3701" s="76" t="s">
        <v>976</v>
      </c>
      <c r="C3701" s="76" t="s">
        <v>977</v>
      </c>
      <c r="D3701" s="75"/>
    </row>
    <row hidden="true" r="3702">
      <c r="A3702" s="76" t="s">
        <v>1294</v>
      </c>
      <c r="B3702" s="76" t="s">
        <v>823</v>
      </c>
      <c r="C3702" s="76" t="s">
        <v>824</v>
      </c>
      <c r="D3702" s="75"/>
    </row>
    <row hidden="true" r="3703">
      <c r="A3703" s="76" t="s">
        <v>1294</v>
      </c>
      <c r="B3703" s="76" t="s">
        <v>978</v>
      </c>
      <c r="C3703" s="76" t="s">
        <v>979</v>
      </c>
      <c r="D3703" s="75"/>
    </row>
    <row hidden="true" r="3704">
      <c r="A3704" s="76" t="s">
        <v>1294</v>
      </c>
      <c r="B3704" s="76" t="s">
        <v>980</v>
      </c>
      <c r="C3704" s="76" t="s">
        <v>981</v>
      </c>
      <c r="D3704" s="75"/>
    </row>
    <row hidden="true" r="3705">
      <c r="A3705" s="76" t="s">
        <v>1294</v>
      </c>
      <c r="B3705" s="76" t="s">
        <v>982</v>
      </c>
      <c r="C3705" s="76" t="s">
        <v>983</v>
      </c>
      <c r="D3705" s="75"/>
    </row>
    <row hidden="true" r="3706">
      <c r="A3706" s="76" t="s">
        <v>1294</v>
      </c>
      <c r="B3706" s="76" t="s">
        <v>984</v>
      </c>
      <c r="C3706" s="76" t="s">
        <v>985</v>
      </c>
      <c r="D3706" s="75"/>
    </row>
    <row hidden="true" r="3707">
      <c r="A3707" s="76" t="s">
        <v>1294</v>
      </c>
      <c r="B3707" s="76" t="s">
        <v>986</v>
      </c>
      <c r="C3707" s="76" t="s">
        <v>987</v>
      </c>
      <c r="D3707" s="75"/>
    </row>
    <row hidden="true" r="3708">
      <c r="A3708" s="76" t="s">
        <v>1294</v>
      </c>
      <c r="B3708" s="76" t="s">
        <v>988</v>
      </c>
      <c r="C3708" s="76" t="s">
        <v>989</v>
      </c>
      <c r="D3708" s="75"/>
    </row>
    <row hidden="true" r="3709">
      <c r="A3709" s="76" t="s">
        <v>1294</v>
      </c>
      <c r="B3709" s="76" t="s">
        <v>990</v>
      </c>
      <c r="C3709" s="76" t="s">
        <v>991</v>
      </c>
      <c r="D3709" s="75"/>
    </row>
    <row hidden="true" r="3710">
      <c r="A3710" s="76" t="s">
        <v>1294</v>
      </c>
      <c r="B3710" s="76" t="s">
        <v>992</v>
      </c>
      <c r="C3710" s="76" t="s">
        <v>993</v>
      </c>
      <c r="D3710" s="75"/>
    </row>
    <row hidden="true" r="3711">
      <c r="A3711" s="76" t="s">
        <v>1294</v>
      </c>
      <c r="B3711" s="76" t="s">
        <v>994</v>
      </c>
      <c r="C3711" s="76" t="s">
        <v>995</v>
      </c>
      <c r="D3711" s="75"/>
    </row>
    <row hidden="true" r="3712">
      <c r="A3712" s="76" t="s">
        <v>1294</v>
      </c>
      <c r="B3712" s="76" t="s">
        <v>996</v>
      </c>
      <c r="C3712" s="76" t="s">
        <v>997</v>
      </c>
      <c r="D3712" s="75"/>
    </row>
    <row hidden="true" r="3713">
      <c r="A3713" s="76" t="s">
        <v>1294</v>
      </c>
      <c r="B3713" s="76" t="s">
        <v>998</v>
      </c>
      <c r="C3713" s="76" t="s">
        <v>999</v>
      </c>
      <c r="D3713" s="75"/>
    </row>
    <row hidden="true" r="3714">
      <c r="A3714" s="76" t="s">
        <v>1294</v>
      </c>
      <c r="B3714" s="76" t="s">
        <v>1000</v>
      </c>
      <c r="C3714" s="76" t="s">
        <v>1001</v>
      </c>
      <c r="D3714" s="75"/>
    </row>
    <row hidden="true" r="3715">
      <c r="A3715" s="76" t="s">
        <v>1294</v>
      </c>
      <c r="B3715" s="76" t="s">
        <v>1002</v>
      </c>
      <c r="C3715" s="76" t="s">
        <v>1003</v>
      </c>
      <c r="D3715" s="75"/>
    </row>
    <row hidden="true" r="3716">
      <c r="A3716" s="76" t="s">
        <v>1294</v>
      </c>
      <c r="B3716" s="76" t="s">
        <v>1004</v>
      </c>
      <c r="C3716" s="76" t="s">
        <v>1005</v>
      </c>
      <c r="D3716" s="75"/>
    </row>
    <row hidden="true" r="3717">
      <c r="A3717" s="76" t="s">
        <v>1294</v>
      </c>
      <c r="B3717" s="76" t="s">
        <v>1006</v>
      </c>
      <c r="C3717" s="76" t="s">
        <v>1007</v>
      </c>
      <c r="D3717" s="75"/>
    </row>
    <row hidden="true" r="3718">
      <c r="A3718" s="76" t="s">
        <v>1294</v>
      </c>
      <c r="B3718" s="76" t="s">
        <v>1008</v>
      </c>
      <c r="C3718" s="76" t="s">
        <v>1009</v>
      </c>
      <c r="D3718" s="75"/>
    </row>
    <row hidden="true" r="3719">
      <c r="A3719" s="76" t="s">
        <v>1294</v>
      </c>
      <c r="B3719" s="76" t="s">
        <v>1010</v>
      </c>
      <c r="C3719" s="76" t="s">
        <v>1011</v>
      </c>
      <c r="D3719" s="75"/>
    </row>
    <row hidden="true" r="3720">
      <c r="A3720" s="76" t="s">
        <v>1294</v>
      </c>
      <c r="B3720" s="76" t="s">
        <v>1012</v>
      </c>
      <c r="C3720" s="76" t="s">
        <v>1013</v>
      </c>
      <c r="D3720" s="75"/>
    </row>
    <row hidden="true" r="3721">
      <c r="A3721" s="76" t="s">
        <v>1294</v>
      </c>
      <c r="B3721" s="76" t="s">
        <v>1014</v>
      </c>
      <c r="C3721" s="76" t="s">
        <v>1015</v>
      </c>
      <c r="D3721" s="75"/>
    </row>
    <row hidden="true" r="3722">
      <c r="A3722" s="76" t="s">
        <v>1294</v>
      </c>
      <c r="B3722" s="76" t="s">
        <v>1016</v>
      </c>
      <c r="C3722" s="76" t="s">
        <v>1017</v>
      </c>
      <c r="D3722" s="75"/>
    </row>
    <row hidden="true" r="3723">
      <c r="A3723" s="76" t="s">
        <v>1294</v>
      </c>
      <c r="B3723" s="76" t="s">
        <v>1018</v>
      </c>
      <c r="C3723" s="76" t="s">
        <v>1019</v>
      </c>
      <c r="D3723" s="75"/>
    </row>
    <row hidden="true" r="3724">
      <c r="A3724" s="76" t="s">
        <v>1294</v>
      </c>
      <c r="B3724" s="76" t="s">
        <v>1020</v>
      </c>
      <c r="C3724" s="76" t="s">
        <v>1021</v>
      </c>
      <c r="D3724" s="75"/>
    </row>
    <row hidden="true" r="3725">
      <c r="A3725" s="76" t="s">
        <v>1294</v>
      </c>
      <c r="B3725" s="76" t="s">
        <v>1022</v>
      </c>
      <c r="C3725" s="76" t="s">
        <v>1017</v>
      </c>
      <c r="D3725" s="75"/>
    </row>
    <row hidden="true" r="3726">
      <c r="A3726" s="76" t="s">
        <v>1294</v>
      </c>
      <c r="B3726" s="76" t="s">
        <v>1023</v>
      </c>
      <c r="C3726" s="76" t="s">
        <v>1019</v>
      </c>
      <c r="D3726" s="75"/>
    </row>
    <row hidden="true" r="3727">
      <c r="A3727" s="76" t="s">
        <v>1294</v>
      </c>
      <c r="B3727" s="76" t="s">
        <v>1024</v>
      </c>
      <c r="C3727" s="76" t="s">
        <v>1021</v>
      </c>
      <c r="D3727" s="75"/>
    </row>
    <row hidden="true" r="3728">
      <c r="A3728" s="76" t="s">
        <v>1294</v>
      </c>
      <c r="B3728" s="76" t="s">
        <v>1025</v>
      </c>
      <c r="C3728" s="76" t="s">
        <v>1017</v>
      </c>
      <c r="D3728" s="75"/>
    </row>
    <row hidden="true" r="3729">
      <c r="A3729" s="76" t="s">
        <v>1294</v>
      </c>
      <c r="B3729" s="76" t="s">
        <v>1026</v>
      </c>
      <c r="C3729" s="76" t="s">
        <v>1019</v>
      </c>
      <c r="D3729" s="75"/>
    </row>
    <row hidden="true" r="3730">
      <c r="A3730" s="76" t="s">
        <v>1294</v>
      </c>
      <c r="B3730" s="76" t="s">
        <v>1027</v>
      </c>
      <c r="C3730" s="76" t="s">
        <v>1021</v>
      </c>
      <c r="D3730" s="75"/>
    </row>
    <row hidden="true" r="3731">
      <c r="A3731" s="76" t="s">
        <v>1294</v>
      </c>
      <c r="B3731" s="76" t="s">
        <v>1028</v>
      </c>
      <c r="C3731" s="76" t="s">
        <v>1029</v>
      </c>
      <c r="D3731" s="75"/>
    </row>
    <row hidden="true" r="3732">
      <c r="A3732" s="76" t="s">
        <v>1294</v>
      </c>
      <c r="B3732" s="76" t="s">
        <v>530</v>
      </c>
      <c r="C3732" s="76" t="s">
        <v>531</v>
      </c>
      <c r="D3732" s="75"/>
    </row>
    <row hidden="true" r="3733">
      <c r="A3733" s="76" t="s">
        <v>1294</v>
      </c>
      <c r="B3733" s="76" t="s">
        <v>1030</v>
      </c>
      <c r="C3733" s="76" t="s">
        <v>1031</v>
      </c>
      <c r="D3733" s="75"/>
    </row>
    <row hidden="true" r="3734">
      <c r="A3734" s="76" t="s">
        <v>1294</v>
      </c>
      <c r="B3734" s="76" t="s">
        <v>1032</v>
      </c>
      <c r="C3734" s="76" t="s">
        <v>1033</v>
      </c>
      <c r="D3734" s="75"/>
    </row>
    <row hidden="true" r="3735">
      <c r="A3735" s="76" t="s">
        <v>1294</v>
      </c>
      <c r="B3735" s="76" t="s">
        <v>1034</v>
      </c>
      <c r="C3735" s="76" t="s">
        <v>1035</v>
      </c>
      <c r="D3735" s="75"/>
    </row>
    <row hidden="true" r="3736">
      <c r="A3736" s="76" t="s">
        <v>1294</v>
      </c>
      <c r="B3736" s="76" t="s">
        <v>532</v>
      </c>
      <c r="C3736" s="76" t="s">
        <v>533</v>
      </c>
      <c r="D3736" s="75"/>
    </row>
    <row hidden="true" r="3737">
      <c r="A3737" s="76" t="s">
        <v>1294</v>
      </c>
      <c r="B3737" s="76" t="s">
        <v>1036</v>
      </c>
      <c r="C3737" s="76" t="s">
        <v>1037</v>
      </c>
      <c r="D3737" s="75"/>
    </row>
    <row hidden="true" r="3738">
      <c r="A3738" s="76" t="s">
        <v>1294</v>
      </c>
      <c r="B3738" s="76" t="s">
        <v>1038</v>
      </c>
      <c r="C3738" s="76" t="s">
        <v>1039</v>
      </c>
      <c r="D3738" s="75"/>
    </row>
    <row hidden="true" r="3739">
      <c r="A3739" s="76" t="s">
        <v>1294</v>
      </c>
      <c r="B3739" s="76" t="s">
        <v>1040</v>
      </c>
      <c r="C3739" s="76" t="s">
        <v>1041</v>
      </c>
      <c r="D3739" s="75"/>
    </row>
    <row hidden="true" r="3740">
      <c r="A3740" s="76" t="s">
        <v>1294</v>
      </c>
      <c r="B3740" s="76" t="s">
        <v>1042</v>
      </c>
      <c r="C3740" s="76" t="s">
        <v>1043</v>
      </c>
      <c r="D3740" s="75"/>
    </row>
    <row hidden="true" r="3741">
      <c r="A3741" s="76" t="s">
        <v>1294</v>
      </c>
      <c r="B3741" s="76" t="s">
        <v>1044</v>
      </c>
      <c r="C3741" s="76" t="s">
        <v>1045</v>
      </c>
      <c r="D3741" s="75"/>
    </row>
    <row hidden="true" r="3742">
      <c r="A3742" s="76" t="s">
        <v>1294</v>
      </c>
      <c r="B3742" s="76" t="s">
        <v>1046</v>
      </c>
      <c r="C3742" s="76" t="s">
        <v>1047</v>
      </c>
      <c r="D3742" s="75"/>
    </row>
    <row hidden="true" r="3743">
      <c r="A3743" s="76" t="s">
        <v>1294</v>
      </c>
      <c r="B3743" s="76" t="s">
        <v>1048</v>
      </c>
      <c r="C3743" s="76" t="s">
        <v>1049</v>
      </c>
      <c r="D3743" s="75"/>
    </row>
    <row hidden="true" r="3744">
      <c r="A3744" s="76" t="s">
        <v>1294</v>
      </c>
      <c r="B3744" s="76" t="s">
        <v>1050</v>
      </c>
      <c r="C3744" s="76" t="s">
        <v>1051</v>
      </c>
      <c r="D3744" s="75"/>
    </row>
    <row hidden="true" r="3745">
      <c r="A3745" s="76" t="s">
        <v>1294</v>
      </c>
      <c r="B3745" s="76" t="s">
        <v>1052</v>
      </c>
      <c r="C3745" s="76" t="s">
        <v>1053</v>
      </c>
      <c r="D3745" s="75"/>
    </row>
    <row hidden="true" r="3746">
      <c r="A3746" s="76" t="s">
        <v>1294</v>
      </c>
      <c r="B3746" s="76" t="s">
        <v>1054</v>
      </c>
      <c r="C3746" s="76" t="s">
        <v>1055</v>
      </c>
      <c r="D3746" s="75"/>
    </row>
    <row hidden="true" r="3747">
      <c r="A3747" s="76" t="s">
        <v>1294</v>
      </c>
      <c r="B3747" s="76" t="s">
        <v>1056</v>
      </c>
      <c r="C3747" s="76" t="s">
        <v>1057</v>
      </c>
      <c r="D3747" s="75"/>
    </row>
    <row hidden="true" r="3748">
      <c r="A3748" s="76" t="s">
        <v>1294</v>
      </c>
      <c r="B3748" s="76" t="s">
        <v>1058</v>
      </c>
      <c r="C3748" s="76" t="s">
        <v>1059</v>
      </c>
      <c r="D3748" s="75"/>
    </row>
    <row hidden="true" r="3749">
      <c r="A3749" s="76" t="s">
        <v>1294</v>
      </c>
      <c r="B3749" s="76" t="s">
        <v>1060</v>
      </c>
      <c r="C3749" s="76" t="s">
        <v>1061</v>
      </c>
      <c r="D3749" s="75"/>
    </row>
    <row hidden="true" r="3750">
      <c r="A3750" s="76" t="s">
        <v>1294</v>
      </c>
      <c r="B3750" s="76" t="s">
        <v>1062</v>
      </c>
      <c r="C3750" s="76" t="s">
        <v>1063</v>
      </c>
      <c r="D3750" s="75"/>
    </row>
    <row hidden="true" r="3751">
      <c r="A3751" s="76" t="s">
        <v>1294</v>
      </c>
      <c r="B3751" s="76" t="s">
        <v>1064</v>
      </c>
      <c r="C3751" s="76" t="s">
        <v>1065</v>
      </c>
      <c r="D3751" s="75"/>
    </row>
    <row hidden="true" r="3752">
      <c r="A3752" s="76" t="s">
        <v>1294</v>
      </c>
      <c r="B3752" s="76" t="s">
        <v>1066</v>
      </c>
      <c r="C3752" s="76" t="s">
        <v>1067</v>
      </c>
      <c r="D3752" s="75"/>
    </row>
    <row hidden="true" r="3753">
      <c r="A3753" s="76" t="s">
        <v>1294</v>
      </c>
      <c r="B3753" s="76" t="s">
        <v>1068</v>
      </c>
      <c r="C3753" s="76" t="s">
        <v>1069</v>
      </c>
      <c r="D3753" s="75"/>
    </row>
    <row hidden="true" r="3754">
      <c r="A3754" s="76" t="s">
        <v>1294</v>
      </c>
      <c r="B3754" s="76" t="s">
        <v>1070</v>
      </c>
      <c r="C3754" s="76" t="s">
        <v>1069</v>
      </c>
      <c r="D3754" s="75"/>
    </row>
    <row hidden="true" r="3755">
      <c r="A3755" s="76" t="s">
        <v>1294</v>
      </c>
      <c r="B3755" s="76" t="s">
        <v>1071</v>
      </c>
      <c r="C3755" s="76" t="s">
        <v>1069</v>
      </c>
      <c r="D3755" s="75"/>
    </row>
    <row hidden="true" r="3756">
      <c r="A3756" s="76" t="s">
        <v>1294</v>
      </c>
      <c r="B3756" s="76" t="s">
        <v>1072</v>
      </c>
      <c r="C3756" s="76" t="s">
        <v>1073</v>
      </c>
      <c r="D3756" s="75"/>
    </row>
    <row hidden="true" r="3757">
      <c r="A3757" s="76" t="s">
        <v>1294</v>
      </c>
      <c r="B3757" s="76" t="s">
        <v>1074</v>
      </c>
      <c r="C3757" s="76" t="s">
        <v>1073</v>
      </c>
      <c r="D3757" s="75"/>
    </row>
    <row hidden="true" r="3758">
      <c r="A3758" s="76" t="s">
        <v>1294</v>
      </c>
      <c r="B3758" s="76" t="s">
        <v>1075</v>
      </c>
      <c r="C3758" s="76" t="s">
        <v>1073</v>
      </c>
      <c r="D3758" s="75"/>
    </row>
    <row hidden="true" r="3759">
      <c r="A3759" s="76" t="s">
        <v>1294</v>
      </c>
      <c r="B3759" s="76" t="s">
        <v>1076</v>
      </c>
      <c r="C3759" s="76" t="s">
        <v>1077</v>
      </c>
      <c r="D3759" s="75"/>
    </row>
    <row hidden="true" r="3760">
      <c r="A3760" s="76" t="s">
        <v>1294</v>
      </c>
      <c r="B3760" s="76" t="s">
        <v>1078</v>
      </c>
      <c r="C3760" s="76" t="s">
        <v>1079</v>
      </c>
      <c r="D3760" s="75"/>
    </row>
    <row hidden="true" r="3761">
      <c r="A3761" s="76" t="s">
        <v>1294</v>
      </c>
      <c r="B3761" s="76" t="s">
        <v>839</v>
      </c>
      <c r="C3761" s="76" t="s">
        <v>840</v>
      </c>
      <c r="D3761" s="75"/>
    </row>
    <row hidden="true" r="3762">
      <c r="A3762" s="76" t="s">
        <v>1294</v>
      </c>
      <c r="B3762" s="76" t="s">
        <v>1080</v>
      </c>
      <c r="C3762" s="76" t="s">
        <v>1081</v>
      </c>
      <c r="D3762" s="75"/>
    </row>
    <row hidden="true" r="3763">
      <c r="A3763" s="76" t="s">
        <v>1294</v>
      </c>
      <c r="B3763" s="76" t="s">
        <v>1082</v>
      </c>
      <c r="C3763" s="76" t="s">
        <v>1083</v>
      </c>
      <c r="D3763" s="75"/>
    </row>
    <row hidden="true" r="3764">
      <c r="A3764" s="76" t="s">
        <v>1294</v>
      </c>
      <c r="B3764" s="76" t="s">
        <v>1084</v>
      </c>
      <c r="C3764" s="76" t="s">
        <v>1085</v>
      </c>
      <c r="D3764" s="75"/>
    </row>
    <row hidden="true" r="3765">
      <c r="A3765" s="76" t="s">
        <v>1294</v>
      </c>
      <c r="B3765" s="76" t="s">
        <v>1086</v>
      </c>
      <c r="C3765" s="76" t="s">
        <v>1087</v>
      </c>
      <c r="D3765" s="75"/>
    </row>
    <row hidden="true" r="3766">
      <c r="A3766" s="76" t="s">
        <v>1294</v>
      </c>
      <c r="B3766" s="76" t="s">
        <v>1088</v>
      </c>
      <c r="C3766" s="76" t="s">
        <v>1089</v>
      </c>
      <c r="D3766" s="75"/>
    </row>
    <row hidden="true" r="3767">
      <c r="A3767" s="76" t="s">
        <v>1294</v>
      </c>
      <c r="B3767" s="76" t="s">
        <v>1090</v>
      </c>
      <c r="C3767" s="76" t="s">
        <v>1091</v>
      </c>
      <c r="D3767" s="75"/>
    </row>
    <row hidden="true" r="3768">
      <c r="A3768" s="76" t="s">
        <v>1294</v>
      </c>
      <c r="B3768" s="76" t="s">
        <v>1092</v>
      </c>
      <c r="C3768" s="76" t="s">
        <v>1091</v>
      </c>
      <c r="D3768" s="75"/>
    </row>
    <row hidden="true" r="3769">
      <c r="A3769" s="76" t="s">
        <v>1294</v>
      </c>
      <c r="B3769" s="76" t="s">
        <v>1093</v>
      </c>
      <c r="C3769" s="76" t="s">
        <v>1094</v>
      </c>
      <c r="D3769" s="75"/>
    </row>
    <row hidden="true" r="3770">
      <c r="A3770" s="76" t="s">
        <v>1294</v>
      </c>
      <c r="B3770" s="76" t="s">
        <v>1095</v>
      </c>
      <c r="C3770" s="76" t="s">
        <v>1096</v>
      </c>
      <c r="D3770" s="75"/>
    </row>
    <row hidden="true" r="3771">
      <c r="A3771" s="76" t="s">
        <v>1294</v>
      </c>
      <c r="B3771" s="76" t="s">
        <v>1097</v>
      </c>
      <c r="C3771" s="76" t="s">
        <v>1098</v>
      </c>
      <c r="D3771" s="75"/>
    </row>
    <row hidden="true" r="3772">
      <c r="A3772" s="76" t="s">
        <v>1294</v>
      </c>
      <c r="B3772" s="76" t="s">
        <v>1099</v>
      </c>
      <c r="C3772" s="76" t="s">
        <v>1100</v>
      </c>
      <c r="D3772" s="75"/>
    </row>
    <row hidden="true" r="3773">
      <c r="A3773" s="76" t="s">
        <v>1294</v>
      </c>
      <c r="B3773" s="76" t="s">
        <v>1101</v>
      </c>
      <c r="C3773" s="76" t="s">
        <v>1102</v>
      </c>
      <c r="D3773" s="75"/>
    </row>
    <row hidden="true" r="3774">
      <c r="A3774" s="76" t="s">
        <v>1294</v>
      </c>
      <c r="B3774" s="76" t="s">
        <v>1103</v>
      </c>
      <c r="C3774" s="76" t="s">
        <v>1104</v>
      </c>
      <c r="D3774" s="75"/>
    </row>
    <row hidden="true" r="3775">
      <c r="A3775" s="76" t="s">
        <v>1294</v>
      </c>
      <c r="B3775" s="76" t="s">
        <v>1105</v>
      </c>
      <c r="C3775" s="76" t="s">
        <v>1106</v>
      </c>
      <c r="D3775" s="75"/>
    </row>
    <row hidden="true" r="3776">
      <c r="A3776" s="76" t="s">
        <v>1294</v>
      </c>
      <c r="B3776" s="76" t="s">
        <v>1107</v>
      </c>
      <c r="C3776" s="76" t="s">
        <v>1108</v>
      </c>
      <c r="D3776" s="75"/>
    </row>
    <row hidden="true" r="3777">
      <c r="A3777" s="76" t="s">
        <v>1294</v>
      </c>
      <c r="B3777" s="76" t="s">
        <v>1109</v>
      </c>
      <c r="C3777" s="76" t="s">
        <v>1110</v>
      </c>
      <c r="D3777" s="75"/>
    </row>
    <row hidden="true" r="3778">
      <c r="A3778" s="76" t="s">
        <v>1294</v>
      </c>
      <c r="B3778" s="76" t="s">
        <v>1111</v>
      </c>
      <c r="C3778" s="76" t="s">
        <v>1112</v>
      </c>
      <c r="D3778" s="75"/>
    </row>
    <row hidden="true" r="3779">
      <c r="A3779" s="76" t="s">
        <v>1294</v>
      </c>
      <c r="B3779" s="76" t="s">
        <v>1113</v>
      </c>
      <c r="C3779" s="76" t="s">
        <v>1114</v>
      </c>
      <c r="D3779" s="75"/>
    </row>
    <row hidden="true" r="3780">
      <c r="A3780" s="76" t="s">
        <v>1294</v>
      </c>
      <c r="B3780" s="76" t="s">
        <v>1115</v>
      </c>
      <c r="C3780" s="76" t="s">
        <v>1116</v>
      </c>
      <c r="D3780" s="75"/>
    </row>
    <row hidden="true" r="3781">
      <c r="A3781" s="76" t="s">
        <v>1294</v>
      </c>
      <c r="B3781" s="76" t="s">
        <v>1117</v>
      </c>
      <c r="C3781" s="76" t="s">
        <v>1118</v>
      </c>
      <c r="D3781" s="75"/>
    </row>
    <row hidden="true" r="3782">
      <c r="A3782" s="76" t="s">
        <v>1294</v>
      </c>
      <c r="B3782" s="76" t="s">
        <v>1119</v>
      </c>
      <c r="C3782" s="76" t="s">
        <v>1120</v>
      </c>
      <c r="D3782" s="75"/>
    </row>
    <row hidden="true" r="3783">
      <c r="A3783" s="76" t="s">
        <v>1294</v>
      </c>
      <c r="B3783" s="76" t="s">
        <v>1121</v>
      </c>
      <c r="C3783" s="76" t="s">
        <v>1122</v>
      </c>
      <c r="D3783" s="75"/>
    </row>
    <row hidden="true" r="3784">
      <c r="A3784" s="76" t="s">
        <v>1294</v>
      </c>
      <c r="B3784" s="76" t="s">
        <v>1123</v>
      </c>
      <c r="C3784" s="76" t="s">
        <v>1124</v>
      </c>
      <c r="D3784" s="75"/>
    </row>
    <row hidden="true" r="3785">
      <c r="A3785" s="76" t="s">
        <v>1294</v>
      </c>
      <c r="B3785" s="76" t="s">
        <v>1125</v>
      </c>
      <c r="C3785" s="76" t="s">
        <v>1126</v>
      </c>
      <c r="D3785" s="75"/>
    </row>
    <row hidden="true" r="3786">
      <c r="A3786" s="76" t="s">
        <v>1294</v>
      </c>
      <c r="B3786" s="76" t="s">
        <v>1127</v>
      </c>
      <c r="C3786" s="76" t="s">
        <v>1128</v>
      </c>
      <c r="D3786" s="75"/>
    </row>
    <row hidden="true" r="3787">
      <c r="A3787" s="76" t="s">
        <v>1294</v>
      </c>
      <c r="B3787" s="76" t="s">
        <v>1129</v>
      </c>
      <c r="C3787" s="76" t="s">
        <v>1130</v>
      </c>
      <c r="D3787" s="75"/>
    </row>
    <row hidden="true" r="3788">
      <c r="A3788" s="76" t="s">
        <v>1294</v>
      </c>
      <c r="B3788" s="76" t="s">
        <v>1131</v>
      </c>
      <c r="C3788" s="76" t="s">
        <v>1132</v>
      </c>
      <c r="D3788" s="75"/>
    </row>
    <row hidden="true" r="3789">
      <c r="A3789" s="76" t="s">
        <v>1294</v>
      </c>
      <c r="B3789" s="76" t="s">
        <v>1133</v>
      </c>
      <c r="C3789" s="76" t="s">
        <v>1134</v>
      </c>
      <c r="D3789" s="75"/>
    </row>
    <row hidden="true" r="3790">
      <c r="A3790" s="76" t="s">
        <v>1294</v>
      </c>
      <c r="B3790" s="76" t="s">
        <v>1135</v>
      </c>
      <c r="C3790" s="76" t="s">
        <v>1136</v>
      </c>
      <c r="D3790" s="75"/>
    </row>
    <row hidden="true" r="3791">
      <c r="A3791" s="76" t="s">
        <v>1294</v>
      </c>
      <c r="B3791" s="76" t="s">
        <v>1137</v>
      </c>
      <c r="C3791" s="76" t="s">
        <v>1138</v>
      </c>
      <c r="D3791" s="75"/>
    </row>
    <row hidden="true" r="3792">
      <c r="A3792" s="76" t="s">
        <v>1294</v>
      </c>
      <c r="B3792" s="76" t="s">
        <v>1139</v>
      </c>
      <c r="C3792" s="76" t="s">
        <v>1140</v>
      </c>
      <c r="D3792" s="75"/>
    </row>
    <row hidden="true" r="3793">
      <c r="A3793" s="76" t="s">
        <v>1294</v>
      </c>
      <c r="B3793" s="76" t="s">
        <v>1141</v>
      </c>
      <c r="C3793" s="76" t="s">
        <v>1142</v>
      </c>
      <c r="D3793" s="75"/>
    </row>
    <row hidden="true" r="3794">
      <c r="A3794" s="76" t="s">
        <v>1294</v>
      </c>
      <c r="B3794" s="76" t="s">
        <v>1143</v>
      </c>
      <c r="C3794" s="76" t="s">
        <v>1144</v>
      </c>
      <c r="D3794" s="75"/>
    </row>
    <row hidden="true" r="3795">
      <c r="A3795" s="76" t="s">
        <v>1294</v>
      </c>
      <c r="B3795" s="76" t="s">
        <v>1145</v>
      </c>
      <c r="C3795" s="76" t="s">
        <v>1223</v>
      </c>
      <c r="D3795" s="75"/>
    </row>
    <row hidden="true" r="3796">
      <c r="A3796" s="76" t="s">
        <v>1294</v>
      </c>
      <c r="B3796" s="76" t="s">
        <v>1147</v>
      </c>
      <c r="C3796" s="76" t="s">
        <v>1148</v>
      </c>
      <c r="D3796" s="75"/>
    </row>
    <row hidden="true" r="3797">
      <c r="A3797" s="76" t="s">
        <v>1294</v>
      </c>
      <c r="B3797" s="76" t="s">
        <v>1149</v>
      </c>
      <c r="C3797" s="76" t="s">
        <v>1150</v>
      </c>
      <c r="D3797" s="75"/>
    </row>
    <row hidden="true" r="3798">
      <c r="A3798" s="76" t="s">
        <v>1294</v>
      </c>
      <c r="B3798" s="76" t="s">
        <v>1151</v>
      </c>
      <c r="C3798" s="76" t="s">
        <v>1152</v>
      </c>
      <c r="D3798" s="75"/>
    </row>
    <row hidden="true" r="3799">
      <c r="A3799" s="76" t="s">
        <v>1294</v>
      </c>
      <c r="B3799" s="76" t="s">
        <v>1153</v>
      </c>
      <c r="C3799" s="76" t="s">
        <v>1154</v>
      </c>
      <c r="D3799" s="75"/>
    </row>
    <row hidden="true" r="3800">
      <c r="A3800" s="76" t="s">
        <v>1294</v>
      </c>
      <c r="B3800" s="76" t="s">
        <v>1155</v>
      </c>
      <c r="C3800" s="76" t="s">
        <v>1156</v>
      </c>
      <c r="D3800" s="75"/>
    </row>
    <row hidden="true" r="3801">
      <c r="A3801" s="76" t="s">
        <v>1294</v>
      </c>
      <c r="B3801" s="76" t="s">
        <v>1157</v>
      </c>
      <c r="C3801" s="76" t="s">
        <v>1158</v>
      </c>
      <c r="D3801" s="75"/>
    </row>
    <row hidden="true" r="3802">
      <c r="A3802" s="76" t="s">
        <v>1294</v>
      </c>
      <c r="B3802" s="76" t="s">
        <v>1159</v>
      </c>
      <c r="C3802" s="76" t="s">
        <v>1160</v>
      </c>
      <c r="D3802" s="75"/>
    </row>
    <row hidden="true" r="3803">
      <c r="A3803" s="76" t="s">
        <v>1294</v>
      </c>
      <c r="B3803" s="76" t="s">
        <v>868</v>
      </c>
      <c r="C3803" s="76" t="s">
        <v>869</v>
      </c>
      <c r="D3803" s="75"/>
    </row>
    <row hidden="true" r="3804">
      <c r="A3804" s="76" t="s">
        <v>1294</v>
      </c>
      <c r="B3804" s="76" t="s">
        <v>1161</v>
      </c>
      <c r="C3804" s="76" t="s">
        <v>1162</v>
      </c>
      <c r="D3804" s="75"/>
    </row>
    <row hidden="true" r="3805">
      <c r="A3805" s="76" t="s">
        <v>1294</v>
      </c>
      <c r="B3805" s="76" t="s">
        <v>1163</v>
      </c>
      <c r="C3805" s="76" t="s">
        <v>1164</v>
      </c>
      <c r="D3805" s="75"/>
    </row>
    <row hidden="true" r="3806">
      <c r="A3806" s="76" t="s">
        <v>1294</v>
      </c>
      <c r="B3806" s="76" t="s">
        <v>1165</v>
      </c>
      <c r="C3806" s="76" t="s">
        <v>1166</v>
      </c>
      <c r="D3806" s="75"/>
    </row>
    <row hidden="true" r="3807">
      <c r="A3807" s="76" t="s">
        <v>1294</v>
      </c>
      <c r="B3807" s="76" t="s">
        <v>1167</v>
      </c>
      <c r="C3807" s="76" t="s">
        <v>1168</v>
      </c>
      <c r="D3807" s="75"/>
    </row>
    <row hidden="true" r="3808">
      <c r="A3808" s="76" t="s">
        <v>1294</v>
      </c>
      <c r="B3808" s="76" t="s">
        <v>1169</v>
      </c>
      <c r="C3808" s="76" t="s">
        <v>1170</v>
      </c>
      <c r="D3808" s="75"/>
    </row>
    <row hidden="true" r="3809">
      <c r="A3809" s="76" t="s">
        <v>1294</v>
      </c>
      <c r="B3809" s="76" t="s">
        <v>1171</v>
      </c>
      <c r="C3809" s="76" t="s">
        <v>1172</v>
      </c>
      <c r="D3809" s="75"/>
    </row>
    <row hidden="true" r="3810">
      <c r="A3810" s="76" t="s">
        <v>1294</v>
      </c>
      <c r="B3810" s="76" t="s">
        <v>1173</v>
      </c>
      <c r="C3810" s="76" t="s">
        <v>1174</v>
      </c>
      <c r="D3810" s="75"/>
    </row>
    <row hidden="true" r="3811">
      <c r="A3811" s="76" t="s">
        <v>1294</v>
      </c>
      <c r="B3811" s="76" t="s">
        <v>1175</v>
      </c>
      <c r="C3811" s="76" t="s">
        <v>1176</v>
      </c>
      <c r="D3811" s="75"/>
    </row>
    <row hidden="true" r="3812">
      <c r="A3812" s="76" t="s">
        <v>1294</v>
      </c>
      <c r="B3812" s="76" t="s">
        <v>1177</v>
      </c>
      <c r="C3812" s="76" t="s">
        <v>1178</v>
      </c>
      <c r="D3812" s="75"/>
    </row>
    <row hidden="true" r="3813">
      <c r="A3813" s="76" t="s">
        <v>1294</v>
      </c>
      <c r="B3813" s="76" t="s">
        <v>1179</v>
      </c>
      <c r="C3813" s="76" t="s">
        <v>1180</v>
      </c>
      <c r="D3813" s="75"/>
    </row>
    <row hidden="true" r="3814">
      <c r="A3814" s="76" t="s">
        <v>1294</v>
      </c>
      <c r="B3814" s="76" t="s">
        <v>1181</v>
      </c>
      <c r="C3814" s="76" t="s">
        <v>1182</v>
      </c>
      <c r="D3814" s="75"/>
    </row>
    <row hidden="true" r="3815">
      <c r="A3815" s="76" t="s">
        <v>1294</v>
      </c>
      <c r="B3815" s="76" t="s">
        <v>1183</v>
      </c>
      <c r="C3815" s="76" t="s">
        <v>1184</v>
      </c>
      <c r="D3815" s="75"/>
    </row>
    <row hidden="true" r="3816">
      <c r="A3816" s="76" t="s">
        <v>1294</v>
      </c>
      <c r="B3816" s="76" t="s">
        <v>1185</v>
      </c>
      <c r="C3816" s="76" t="s">
        <v>1186</v>
      </c>
      <c r="D3816" s="75"/>
    </row>
    <row hidden="true" r="3817">
      <c r="A3817" s="76" t="s">
        <v>1294</v>
      </c>
      <c r="B3817" s="76" t="s">
        <v>1187</v>
      </c>
      <c r="C3817" s="76" t="s">
        <v>1188</v>
      </c>
      <c r="D3817" s="75"/>
    </row>
    <row hidden="true" r="3818">
      <c r="A3818" s="76" t="s">
        <v>1294</v>
      </c>
      <c r="B3818" s="76" t="s">
        <v>1189</v>
      </c>
      <c r="C3818" s="76" t="s">
        <v>1190</v>
      </c>
      <c r="D3818" s="75"/>
    </row>
    <row hidden="true" r="3819">
      <c r="A3819" s="76" t="s">
        <v>1294</v>
      </c>
      <c r="B3819" s="76" t="s">
        <v>1191</v>
      </c>
      <c r="C3819" s="76" t="s">
        <v>1192</v>
      </c>
      <c r="D3819" s="75"/>
    </row>
    <row hidden="true" r="3820">
      <c r="A3820" s="76" t="s">
        <v>1294</v>
      </c>
      <c r="B3820" s="76" t="s">
        <v>1199</v>
      </c>
      <c r="C3820" s="76" t="s">
        <v>1200</v>
      </c>
      <c r="D3820" s="75"/>
    </row>
    <row hidden="true" r="3821">
      <c r="A3821" s="76" t="s">
        <v>1294</v>
      </c>
      <c r="B3821" s="76" t="s">
        <v>1201</v>
      </c>
      <c r="C3821" s="76" t="s">
        <v>1202</v>
      </c>
      <c r="D3821" s="75"/>
    </row>
    <row hidden="true" r="3822">
      <c r="A3822" s="76" t="s">
        <v>1294</v>
      </c>
      <c r="B3822" s="76" t="s">
        <v>1203</v>
      </c>
      <c r="C3822" s="76" t="s">
        <v>1204</v>
      </c>
      <c r="D3822" s="75"/>
    </row>
    <row hidden="true" r="3823">
      <c r="A3823" s="76" t="s">
        <v>1294</v>
      </c>
      <c r="B3823" s="76" t="s">
        <v>1205</v>
      </c>
      <c r="C3823" s="76" t="s">
        <v>1206</v>
      </c>
      <c r="D3823" s="75"/>
    </row>
    <row hidden="true" r="3824">
      <c r="A3824" s="76" t="s">
        <v>1294</v>
      </c>
      <c r="B3824" s="76" t="s">
        <v>1207</v>
      </c>
      <c r="C3824" s="76" t="s">
        <v>1208</v>
      </c>
      <c r="D3824" s="75"/>
    </row>
    <row hidden="true" r="3825">
      <c r="A3825" s="76" t="s">
        <v>1294</v>
      </c>
      <c r="B3825" s="76" t="s">
        <v>1209</v>
      </c>
      <c r="C3825" s="76" t="s">
        <v>1210</v>
      </c>
      <c r="D3825" s="75"/>
    </row>
    <row hidden="true" r="3826">
      <c r="A3826" s="76" t="s">
        <v>1294</v>
      </c>
      <c r="B3826" s="76" t="s">
        <v>1211</v>
      </c>
      <c r="C3826" s="76"/>
      <c r="D3826" s="75"/>
    </row>
    <row hidden="true" r="3827">
      <c r="A3827" s="76" t="s">
        <v>1294</v>
      </c>
      <c r="B3827" s="76" t="s">
        <v>735</v>
      </c>
      <c r="C3827" s="76"/>
      <c r="D3827" s="75"/>
    </row>
    <row hidden="true" r="3828">
      <c r="A3828" s="76" t="s">
        <v>1295</v>
      </c>
      <c r="B3828" s="76" t="s">
        <v>407</v>
      </c>
      <c r="C3828" s="76" t="s">
        <v>408</v>
      </c>
      <c r="D3828" s="75"/>
    </row>
    <row hidden="true" r="3829">
      <c r="A3829" s="76" t="s">
        <v>1295</v>
      </c>
      <c r="B3829" s="76" t="s">
        <v>744</v>
      </c>
      <c r="C3829" s="76" t="s">
        <v>745</v>
      </c>
      <c r="D3829" s="75"/>
    </row>
    <row hidden="true" r="3830">
      <c r="A3830" s="76" t="s">
        <v>1295</v>
      </c>
      <c r="B3830" s="76" t="s">
        <v>409</v>
      </c>
      <c r="C3830" s="76" t="s">
        <v>410</v>
      </c>
      <c r="D3830" s="75"/>
    </row>
    <row hidden="true" r="3831">
      <c r="A3831" s="76" t="s">
        <v>1295</v>
      </c>
      <c r="B3831" s="76" t="s">
        <v>884</v>
      </c>
      <c r="C3831" s="76" t="s">
        <v>885</v>
      </c>
      <c r="D3831" s="75"/>
    </row>
    <row hidden="true" r="3832">
      <c r="A3832" s="76" t="s">
        <v>1295</v>
      </c>
      <c r="B3832" s="76" t="s">
        <v>886</v>
      </c>
      <c r="C3832" s="76" t="s">
        <v>887</v>
      </c>
      <c r="D3832" s="75"/>
    </row>
    <row hidden="true" r="3833">
      <c r="A3833" s="76" t="s">
        <v>1295</v>
      </c>
      <c r="B3833" s="76" t="s">
        <v>888</v>
      </c>
      <c r="C3833" s="76" t="s">
        <v>889</v>
      </c>
      <c r="D3833" s="75"/>
    </row>
    <row hidden="true" r="3834">
      <c r="A3834" s="76" t="s">
        <v>1295</v>
      </c>
      <c r="B3834" s="76" t="s">
        <v>890</v>
      </c>
      <c r="C3834" s="76" t="s">
        <v>891</v>
      </c>
      <c r="D3834" s="75"/>
    </row>
    <row hidden="true" r="3835">
      <c r="A3835" s="76" t="s">
        <v>1295</v>
      </c>
      <c r="B3835" s="76" t="s">
        <v>892</v>
      </c>
      <c r="C3835" s="76" t="s">
        <v>893</v>
      </c>
      <c r="D3835" s="75"/>
    </row>
    <row hidden="true" r="3836">
      <c r="A3836" s="76" t="s">
        <v>1295</v>
      </c>
      <c r="B3836" s="76" t="s">
        <v>894</v>
      </c>
      <c r="C3836" s="76" t="s">
        <v>895</v>
      </c>
      <c r="D3836" s="75"/>
    </row>
    <row hidden="true" r="3837">
      <c r="A3837" s="76" t="s">
        <v>1295</v>
      </c>
      <c r="B3837" s="76" t="s">
        <v>896</v>
      </c>
      <c r="C3837" s="76" t="s">
        <v>897</v>
      </c>
      <c r="D3837" s="75"/>
    </row>
    <row hidden="true" r="3838">
      <c r="A3838" s="76" t="s">
        <v>1295</v>
      </c>
      <c r="B3838" s="76" t="s">
        <v>898</v>
      </c>
      <c r="C3838" s="76" t="s">
        <v>899</v>
      </c>
      <c r="D3838" s="75"/>
    </row>
    <row hidden="true" r="3839">
      <c r="A3839" s="76" t="s">
        <v>1295</v>
      </c>
      <c r="B3839" s="76" t="s">
        <v>900</v>
      </c>
      <c r="C3839" s="76" t="s">
        <v>901</v>
      </c>
      <c r="D3839" s="75"/>
    </row>
    <row hidden="true" r="3840">
      <c r="A3840" s="76" t="s">
        <v>1295</v>
      </c>
      <c r="B3840" s="76" t="s">
        <v>902</v>
      </c>
      <c r="C3840" s="76" t="s">
        <v>903</v>
      </c>
      <c r="D3840" s="75"/>
    </row>
    <row hidden="true" r="3841">
      <c r="A3841" s="76" t="s">
        <v>1295</v>
      </c>
      <c r="B3841" s="76" t="s">
        <v>904</v>
      </c>
      <c r="C3841" s="76" t="s">
        <v>905</v>
      </c>
      <c r="D3841" s="75"/>
    </row>
    <row hidden="true" r="3842">
      <c r="A3842" s="76" t="s">
        <v>1295</v>
      </c>
      <c r="B3842" s="76" t="s">
        <v>906</v>
      </c>
      <c r="C3842" s="76" t="s">
        <v>907</v>
      </c>
      <c r="D3842" s="75"/>
    </row>
    <row hidden="true" r="3843">
      <c r="A3843" s="76" t="s">
        <v>1295</v>
      </c>
      <c r="B3843" s="76" t="s">
        <v>908</v>
      </c>
      <c r="C3843" s="76" t="s">
        <v>909</v>
      </c>
      <c r="D3843" s="75"/>
    </row>
    <row hidden="true" r="3844">
      <c r="A3844" s="76" t="s">
        <v>1295</v>
      </c>
      <c r="B3844" s="76" t="s">
        <v>910</v>
      </c>
      <c r="C3844" s="76" t="s">
        <v>911</v>
      </c>
      <c r="D3844" s="75"/>
    </row>
    <row hidden="true" r="3845">
      <c r="A3845" s="76" t="s">
        <v>1295</v>
      </c>
      <c r="B3845" s="76" t="s">
        <v>912</v>
      </c>
      <c r="C3845" s="76" t="s">
        <v>913</v>
      </c>
      <c r="D3845" s="75"/>
    </row>
    <row hidden="true" r="3846">
      <c r="A3846" s="76" t="s">
        <v>1295</v>
      </c>
      <c r="B3846" s="76" t="s">
        <v>914</v>
      </c>
      <c r="C3846" s="76" t="s">
        <v>915</v>
      </c>
      <c r="D3846" s="75"/>
    </row>
    <row hidden="true" r="3847">
      <c r="A3847" s="76" t="s">
        <v>1295</v>
      </c>
      <c r="B3847" s="76" t="s">
        <v>916</v>
      </c>
      <c r="C3847" s="76" t="s">
        <v>917</v>
      </c>
      <c r="D3847" s="75"/>
    </row>
    <row hidden="true" r="3848">
      <c r="A3848" s="76" t="s">
        <v>1295</v>
      </c>
      <c r="B3848" s="76" t="s">
        <v>918</v>
      </c>
      <c r="C3848" s="76" t="s">
        <v>919</v>
      </c>
      <c r="D3848" s="75"/>
    </row>
    <row hidden="true" r="3849">
      <c r="A3849" s="76" t="s">
        <v>1295</v>
      </c>
      <c r="B3849" s="76" t="s">
        <v>920</v>
      </c>
      <c r="C3849" s="76" t="s">
        <v>921</v>
      </c>
      <c r="D3849" s="75"/>
    </row>
    <row hidden="true" r="3850">
      <c r="A3850" s="76" t="s">
        <v>1295</v>
      </c>
      <c r="B3850" s="76" t="s">
        <v>922</v>
      </c>
      <c r="C3850" s="76" t="s">
        <v>923</v>
      </c>
      <c r="D3850" s="75"/>
    </row>
    <row hidden="true" r="3851">
      <c r="A3851" s="76" t="s">
        <v>1295</v>
      </c>
      <c r="B3851" s="76" t="s">
        <v>924</v>
      </c>
      <c r="C3851" s="76" t="s">
        <v>925</v>
      </c>
      <c r="D3851" s="75"/>
    </row>
    <row hidden="true" r="3852">
      <c r="A3852" s="76" t="s">
        <v>1295</v>
      </c>
      <c r="B3852" s="76" t="s">
        <v>926</v>
      </c>
      <c r="C3852" s="76" t="s">
        <v>927</v>
      </c>
      <c r="D3852" s="75"/>
    </row>
    <row hidden="true" r="3853">
      <c r="A3853" s="76" t="s">
        <v>1295</v>
      </c>
      <c r="B3853" s="76" t="s">
        <v>928</v>
      </c>
      <c r="C3853" s="76" t="s">
        <v>929</v>
      </c>
      <c r="D3853" s="75"/>
    </row>
    <row hidden="true" r="3854">
      <c r="A3854" s="76" t="s">
        <v>1295</v>
      </c>
      <c r="B3854" s="76" t="s">
        <v>930</v>
      </c>
      <c r="C3854" s="76" t="s">
        <v>931</v>
      </c>
      <c r="D3854" s="75"/>
    </row>
    <row hidden="true" r="3855">
      <c r="A3855" s="76" t="s">
        <v>1295</v>
      </c>
      <c r="B3855" s="76" t="s">
        <v>932</v>
      </c>
      <c r="C3855" s="76" t="s">
        <v>933</v>
      </c>
      <c r="D3855" s="75"/>
    </row>
    <row hidden="true" r="3856">
      <c r="A3856" s="76" t="s">
        <v>1295</v>
      </c>
      <c r="B3856" s="76" t="s">
        <v>934</v>
      </c>
      <c r="C3856" s="76" t="s">
        <v>935</v>
      </c>
      <c r="D3856" s="75"/>
    </row>
    <row hidden="true" r="3857">
      <c r="A3857" s="76" t="s">
        <v>1295</v>
      </c>
      <c r="B3857" s="76" t="s">
        <v>936</v>
      </c>
      <c r="C3857" s="76" t="s">
        <v>937</v>
      </c>
      <c r="D3857" s="75"/>
    </row>
    <row hidden="true" r="3858">
      <c r="A3858" s="76" t="s">
        <v>1295</v>
      </c>
      <c r="B3858" s="76" t="s">
        <v>938</v>
      </c>
      <c r="C3858" s="76" t="s">
        <v>939</v>
      </c>
      <c r="D3858" s="75"/>
    </row>
    <row hidden="true" r="3859">
      <c r="A3859" s="76" t="s">
        <v>1295</v>
      </c>
      <c r="B3859" s="76" t="s">
        <v>940</v>
      </c>
      <c r="C3859" s="76" t="s">
        <v>941</v>
      </c>
      <c r="D3859" s="75"/>
    </row>
    <row hidden="true" r="3860">
      <c r="A3860" s="76" t="s">
        <v>1295</v>
      </c>
      <c r="B3860" s="76" t="s">
        <v>942</v>
      </c>
      <c r="C3860" s="76" t="s">
        <v>943</v>
      </c>
      <c r="D3860" s="75"/>
    </row>
    <row hidden="true" r="3861">
      <c r="A3861" s="76" t="s">
        <v>1295</v>
      </c>
      <c r="B3861" s="76" t="s">
        <v>944</v>
      </c>
      <c r="C3861" s="76" t="s">
        <v>945</v>
      </c>
      <c r="D3861" s="75"/>
    </row>
    <row hidden="true" r="3862">
      <c r="A3862" s="76" t="s">
        <v>1295</v>
      </c>
      <c r="B3862" s="76" t="s">
        <v>946</v>
      </c>
      <c r="C3862" s="76" t="s">
        <v>947</v>
      </c>
      <c r="D3862" s="75"/>
    </row>
    <row hidden="true" r="3863">
      <c r="A3863" s="76" t="s">
        <v>1295</v>
      </c>
      <c r="B3863" s="76" t="s">
        <v>948</v>
      </c>
      <c r="C3863" s="76" t="s">
        <v>949</v>
      </c>
      <c r="D3863" s="75"/>
    </row>
    <row hidden="true" r="3864">
      <c r="A3864" s="76" t="s">
        <v>1295</v>
      </c>
      <c r="B3864" s="76" t="s">
        <v>950</v>
      </c>
      <c r="C3864" s="76" t="s">
        <v>951</v>
      </c>
      <c r="D3864" s="75"/>
    </row>
    <row hidden="true" r="3865">
      <c r="A3865" s="76" t="s">
        <v>1295</v>
      </c>
      <c r="B3865" s="76" t="s">
        <v>952</v>
      </c>
      <c r="C3865" s="76" t="s">
        <v>953</v>
      </c>
      <c r="D3865" s="75"/>
    </row>
    <row hidden="true" r="3866">
      <c r="A3866" s="76" t="s">
        <v>1295</v>
      </c>
      <c r="B3866" s="76" t="s">
        <v>954</v>
      </c>
      <c r="C3866" s="76" t="s">
        <v>955</v>
      </c>
      <c r="D3866" s="75"/>
    </row>
    <row hidden="true" r="3867">
      <c r="A3867" s="76" t="s">
        <v>1295</v>
      </c>
      <c r="B3867" s="76" t="s">
        <v>775</v>
      </c>
      <c r="C3867" s="76" t="s">
        <v>776</v>
      </c>
      <c r="D3867" s="75"/>
    </row>
    <row hidden="true" r="3868">
      <c r="A3868" s="76" t="s">
        <v>1295</v>
      </c>
      <c r="B3868" s="76" t="s">
        <v>956</v>
      </c>
      <c r="C3868" s="76" t="s">
        <v>957</v>
      </c>
      <c r="D3868" s="75"/>
    </row>
    <row hidden="true" r="3869">
      <c r="A3869" s="76" t="s">
        <v>1295</v>
      </c>
      <c r="B3869" s="76" t="s">
        <v>958</v>
      </c>
      <c r="C3869" s="76" t="s">
        <v>959</v>
      </c>
      <c r="D3869" s="75"/>
    </row>
    <row hidden="true" r="3870">
      <c r="A3870" s="76" t="s">
        <v>1295</v>
      </c>
      <c r="B3870" s="76" t="s">
        <v>960</v>
      </c>
      <c r="C3870" s="76" t="s">
        <v>961</v>
      </c>
      <c r="D3870" s="75"/>
    </row>
    <row hidden="true" r="3871">
      <c r="A3871" s="76" t="s">
        <v>1295</v>
      </c>
      <c r="B3871" s="76" t="s">
        <v>962</v>
      </c>
      <c r="C3871" s="76" t="s">
        <v>963</v>
      </c>
      <c r="D3871" s="75"/>
    </row>
    <row hidden="true" r="3872">
      <c r="A3872" s="76" t="s">
        <v>1295</v>
      </c>
      <c r="B3872" s="76" t="s">
        <v>964</v>
      </c>
      <c r="C3872" s="76" t="s">
        <v>965</v>
      </c>
      <c r="D3872" s="75"/>
    </row>
    <row hidden="true" r="3873">
      <c r="A3873" s="76" t="s">
        <v>1295</v>
      </c>
      <c r="B3873" s="76" t="s">
        <v>966</v>
      </c>
      <c r="C3873" s="76" t="s">
        <v>967</v>
      </c>
      <c r="D3873" s="75"/>
    </row>
    <row hidden="true" r="3874">
      <c r="A3874" s="76" t="s">
        <v>1295</v>
      </c>
      <c r="B3874" s="76" t="s">
        <v>968</v>
      </c>
      <c r="C3874" s="76" t="s">
        <v>969</v>
      </c>
      <c r="D3874" s="75"/>
    </row>
    <row hidden="true" r="3875">
      <c r="A3875" s="76" t="s">
        <v>1295</v>
      </c>
      <c r="B3875" s="76" t="s">
        <v>970</v>
      </c>
      <c r="C3875" s="76" t="s">
        <v>971</v>
      </c>
      <c r="D3875" s="75"/>
    </row>
    <row hidden="true" r="3876">
      <c r="A3876" s="76" t="s">
        <v>1295</v>
      </c>
      <c r="B3876" s="76" t="s">
        <v>972</v>
      </c>
      <c r="C3876" s="76" t="s">
        <v>973</v>
      </c>
      <c r="D3876" s="75"/>
    </row>
    <row hidden="true" r="3877">
      <c r="A3877" s="76" t="s">
        <v>1295</v>
      </c>
      <c r="B3877" s="76" t="s">
        <v>974</v>
      </c>
      <c r="C3877" s="76" t="s">
        <v>975</v>
      </c>
      <c r="D3877" s="75"/>
    </row>
    <row hidden="true" r="3878">
      <c r="A3878" s="76" t="s">
        <v>1295</v>
      </c>
      <c r="B3878" s="76" t="s">
        <v>976</v>
      </c>
      <c r="C3878" s="76" t="s">
        <v>977</v>
      </c>
      <c r="D3878" s="75"/>
    </row>
    <row hidden="true" r="3879">
      <c r="A3879" s="76" t="s">
        <v>1295</v>
      </c>
      <c r="B3879" s="76" t="s">
        <v>823</v>
      </c>
      <c r="C3879" s="76" t="s">
        <v>824</v>
      </c>
      <c r="D3879" s="75"/>
    </row>
    <row hidden="true" r="3880">
      <c r="A3880" s="76" t="s">
        <v>1295</v>
      </c>
      <c r="B3880" s="76" t="s">
        <v>978</v>
      </c>
      <c r="C3880" s="76" t="s">
        <v>979</v>
      </c>
      <c r="D3880" s="75"/>
    </row>
    <row hidden="true" r="3881">
      <c r="A3881" s="76" t="s">
        <v>1295</v>
      </c>
      <c r="B3881" s="76" t="s">
        <v>980</v>
      </c>
      <c r="C3881" s="76" t="s">
        <v>981</v>
      </c>
      <c r="D3881" s="75"/>
    </row>
    <row hidden="true" r="3882">
      <c r="A3882" s="76" t="s">
        <v>1295</v>
      </c>
      <c r="B3882" s="76" t="s">
        <v>982</v>
      </c>
      <c r="C3882" s="76" t="s">
        <v>983</v>
      </c>
      <c r="D3882" s="75"/>
    </row>
    <row hidden="true" r="3883">
      <c r="A3883" s="76" t="s">
        <v>1295</v>
      </c>
      <c r="B3883" s="76" t="s">
        <v>984</v>
      </c>
      <c r="C3883" s="76" t="s">
        <v>985</v>
      </c>
      <c r="D3883" s="75"/>
    </row>
    <row hidden="true" r="3884">
      <c r="A3884" s="76" t="s">
        <v>1295</v>
      </c>
      <c r="B3884" s="76" t="s">
        <v>986</v>
      </c>
      <c r="C3884" s="76" t="s">
        <v>987</v>
      </c>
      <c r="D3884" s="75"/>
    </row>
    <row hidden="true" r="3885">
      <c r="A3885" s="76" t="s">
        <v>1295</v>
      </c>
      <c r="B3885" s="76" t="s">
        <v>988</v>
      </c>
      <c r="C3885" s="76" t="s">
        <v>989</v>
      </c>
      <c r="D3885" s="75"/>
    </row>
    <row hidden="true" r="3886">
      <c r="A3886" s="76" t="s">
        <v>1295</v>
      </c>
      <c r="B3886" s="76" t="s">
        <v>990</v>
      </c>
      <c r="C3886" s="76" t="s">
        <v>991</v>
      </c>
      <c r="D3886" s="75"/>
    </row>
    <row hidden="true" r="3887">
      <c r="A3887" s="76" t="s">
        <v>1295</v>
      </c>
      <c r="B3887" s="76" t="s">
        <v>992</v>
      </c>
      <c r="C3887" s="76" t="s">
        <v>993</v>
      </c>
      <c r="D3887" s="75"/>
    </row>
    <row hidden="true" r="3888">
      <c r="A3888" s="76" t="s">
        <v>1295</v>
      </c>
      <c r="B3888" s="76" t="s">
        <v>994</v>
      </c>
      <c r="C3888" s="76" t="s">
        <v>995</v>
      </c>
      <c r="D3888" s="75"/>
    </row>
    <row hidden="true" r="3889">
      <c r="A3889" s="76" t="s">
        <v>1295</v>
      </c>
      <c r="B3889" s="76" t="s">
        <v>996</v>
      </c>
      <c r="C3889" s="76" t="s">
        <v>997</v>
      </c>
      <c r="D3889" s="75"/>
    </row>
    <row hidden="true" r="3890">
      <c r="A3890" s="76" t="s">
        <v>1295</v>
      </c>
      <c r="B3890" s="76" t="s">
        <v>998</v>
      </c>
      <c r="C3890" s="76" t="s">
        <v>999</v>
      </c>
      <c r="D3890" s="75"/>
    </row>
    <row hidden="true" r="3891">
      <c r="A3891" s="76" t="s">
        <v>1295</v>
      </c>
      <c r="B3891" s="76" t="s">
        <v>1000</v>
      </c>
      <c r="C3891" s="76" t="s">
        <v>1001</v>
      </c>
      <c r="D3891" s="75"/>
    </row>
    <row hidden="true" r="3892">
      <c r="A3892" s="76" t="s">
        <v>1295</v>
      </c>
      <c r="B3892" s="76" t="s">
        <v>1002</v>
      </c>
      <c r="C3892" s="76" t="s">
        <v>1003</v>
      </c>
      <c r="D3892" s="75"/>
    </row>
    <row hidden="true" r="3893">
      <c r="A3893" s="76" t="s">
        <v>1295</v>
      </c>
      <c r="B3893" s="76" t="s">
        <v>1004</v>
      </c>
      <c r="C3893" s="76" t="s">
        <v>1005</v>
      </c>
      <c r="D3893" s="75"/>
    </row>
    <row hidden="true" r="3894">
      <c r="A3894" s="76" t="s">
        <v>1295</v>
      </c>
      <c r="B3894" s="76" t="s">
        <v>1006</v>
      </c>
      <c r="C3894" s="76" t="s">
        <v>1007</v>
      </c>
      <c r="D3894" s="75"/>
    </row>
    <row hidden="true" r="3895">
      <c r="A3895" s="76" t="s">
        <v>1295</v>
      </c>
      <c r="B3895" s="76" t="s">
        <v>1008</v>
      </c>
      <c r="C3895" s="76" t="s">
        <v>1009</v>
      </c>
      <c r="D3895" s="75"/>
    </row>
    <row hidden="true" r="3896">
      <c r="A3896" s="76" t="s">
        <v>1295</v>
      </c>
      <c r="B3896" s="76" t="s">
        <v>1010</v>
      </c>
      <c r="C3896" s="76" t="s">
        <v>1011</v>
      </c>
      <c r="D3896" s="75"/>
    </row>
    <row hidden="true" r="3897">
      <c r="A3897" s="76" t="s">
        <v>1295</v>
      </c>
      <c r="B3897" s="76" t="s">
        <v>1012</v>
      </c>
      <c r="C3897" s="76" t="s">
        <v>1013</v>
      </c>
      <c r="D3897" s="75"/>
    </row>
    <row hidden="true" r="3898">
      <c r="A3898" s="76" t="s">
        <v>1295</v>
      </c>
      <c r="B3898" s="76" t="s">
        <v>1014</v>
      </c>
      <c r="C3898" s="76" t="s">
        <v>1015</v>
      </c>
      <c r="D3898" s="75"/>
    </row>
    <row hidden="true" r="3899">
      <c r="A3899" s="76" t="s">
        <v>1295</v>
      </c>
      <c r="B3899" s="76" t="s">
        <v>1016</v>
      </c>
      <c r="C3899" s="76" t="s">
        <v>1017</v>
      </c>
      <c r="D3899" s="75"/>
    </row>
    <row hidden="true" r="3900">
      <c r="A3900" s="76" t="s">
        <v>1295</v>
      </c>
      <c r="B3900" s="76" t="s">
        <v>1018</v>
      </c>
      <c r="C3900" s="76" t="s">
        <v>1019</v>
      </c>
      <c r="D3900" s="75"/>
    </row>
    <row hidden="true" r="3901">
      <c r="A3901" s="76" t="s">
        <v>1295</v>
      </c>
      <c r="B3901" s="76" t="s">
        <v>1020</v>
      </c>
      <c r="C3901" s="76" t="s">
        <v>1021</v>
      </c>
      <c r="D3901" s="75"/>
    </row>
    <row hidden="true" r="3902">
      <c r="A3902" s="76" t="s">
        <v>1295</v>
      </c>
      <c r="B3902" s="76" t="s">
        <v>1022</v>
      </c>
      <c r="C3902" s="76" t="s">
        <v>1017</v>
      </c>
      <c r="D3902" s="75"/>
    </row>
    <row hidden="true" r="3903">
      <c r="A3903" s="76" t="s">
        <v>1295</v>
      </c>
      <c r="B3903" s="76" t="s">
        <v>1023</v>
      </c>
      <c r="C3903" s="76" t="s">
        <v>1019</v>
      </c>
      <c r="D3903" s="75"/>
    </row>
    <row hidden="true" r="3904">
      <c r="A3904" s="76" t="s">
        <v>1295</v>
      </c>
      <c r="B3904" s="76" t="s">
        <v>1024</v>
      </c>
      <c r="C3904" s="76" t="s">
        <v>1021</v>
      </c>
      <c r="D3904" s="75"/>
    </row>
    <row hidden="true" r="3905">
      <c r="A3905" s="76" t="s">
        <v>1295</v>
      </c>
      <c r="B3905" s="76" t="s">
        <v>1025</v>
      </c>
      <c r="C3905" s="76" t="s">
        <v>1017</v>
      </c>
      <c r="D3905" s="75"/>
    </row>
    <row hidden="true" r="3906">
      <c r="A3906" s="76" t="s">
        <v>1295</v>
      </c>
      <c r="B3906" s="76" t="s">
        <v>1026</v>
      </c>
      <c r="C3906" s="76" t="s">
        <v>1019</v>
      </c>
      <c r="D3906" s="75"/>
    </row>
    <row hidden="true" r="3907">
      <c r="A3907" s="76" t="s">
        <v>1295</v>
      </c>
      <c r="B3907" s="76" t="s">
        <v>1027</v>
      </c>
      <c r="C3907" s="76" t="s">
        <v>1021</v>
      </c>
      <c r="D3907" s="75"/>
    </row>
    <row hidden="true" r="3908">
      <c r="A3908" s="76" t="s">
        <v>1295</v>
      </c>
      <c r="B3908" s="76" t="s">
        <v>1028</v>
      </c>
      <c r="C3908" s="76" t="s">
        <v>1029</v>
      </c>
      <c r="D3908" s="75"/>
    </row>
    <row hidden="true" r="3909">
      <c r="A3909" s="76" t="s">
        <v>1295</v>
      </c>
      <c r="B3909" s="76" t="s">
        <v>530</v>
      </c>
      <c r="C3909" s="76" t="s">
        <v>531</v>
      </c>
      <c r="D3909" s="75"/>
    </row>
    <row hidden="true" r="3910">
      <c r="A3910" s="76" t="s">
        <v>1295</v>
      </c>
      <c r="B3910" s="76" t="s">
        <v>1030</v>
      </c>
      <c r="C3910" s="76" t="s">
        <v>1031</v>
      </c>
      <c r="D3910" s="75"/>
    </row>
    <row hidden="true" r="3911">
      <c r="A3911" s="76" t="s">
        <v>1295</v>
      </c>
      <c r="B3911" s="76" t="s">
        <v>1032</v>
      </c>
      <c r="C3911" s="76" t="s">
        <v>1033</v>
      </c>
      <c r="D3911" s="75"/>
    </row>
    <row hidden="true" r="3912">
      <c r="A3912" s="76" t="s">
        <v>1295</v>
      </c>
      <c r="B3912" s="76" t="s">
        <v>1034</v>
      </c>
      <c r="C3912" s="76" t="s">
        <v>1035</v>
      </c>
      <c r="D3912" s="75"/>
    </row>
    <row hidden="true" r="3913">
      <c r="A3913" s="76" t="s">
        <v>1295</v>
      </c>
      <c r="B3913" s="76" t="s">
        <v>532</v>
      </c>
      <c r="C3913" s="76" t="s">
        <v>533</v>
      </c>
      <c r="D3913" s="75"/>
    </row>
    <row hidden="true" r="3914">
      <c r="A3914" s="76" t="s">
        <v>1295</v>
      </c>
      <c r="B3914" s="76" t="s">
        <v>1036</v>
      </c>
      <c r="C3914" s="76" t="s">
        <v>1037</v>
      </c>
      <c r="D3914" s="75"/>
    </row>
    <row hidden="true" r="3915">
      <c r="A3915" s="76" t="s">
        <v>1295</v>
      </c>
      <c r="B3915" s="76" t="s">
        <v>1038</v>
      </c>
      <c r="C3915" s="76" t="s">
        <v>1039</v>
      </c>
      <c r="D3915" s="75"/>
    </row>
    <row hidden="true" r="3916">
      <c r="A3916" s="76" t="s">
        <v>1295</v>
      </c>
      <c r="B3916" s="76" t="s">
        <v>1040</v>
      </c>
      <c r="C3916" s="76" t="s">
        <v>1041</v>
      </c>
      <c r="D3916" s="75"/>
    </row>
    <row hidden="true" r="3917">
      <c r="A3917" s="76" t="s">
        <v>1295</v>
      </c>
      <c r="B3917" s="76" t="s">
        <v>1042</v>
      </c>
      <c r="C3917" s="76" t="s">
        <v>1043</v>
      </c>
      <c r="D3917" s="75"/>
    </row>
    <row hidden="true" r="3918">
      <c r="A3918" s="76" t="s">
        <v>1295</v>
      </c>
      <c r="B3918" s="76" t="s">
        <v>1044</v>
      </c>
      <c r="C3918" s="76" t="s">
        <v>1045</v>
      </c>
      <c r="D3918" s="75"/>
    </row>
    <row hidden="true" r="3919">
      <c r="A3919" s="76" t="s">
        <v>1295</v>
      </c>
      <c r="B3919" s="76" t="s">
        <v>1046</v>
      </c>
      <c r="C3919" s="76" t="s">
        <v>1047</v>
      </c>
      <c r="D3919" s="75"/>
    </row>
    <row hidden="true" r="3920">
      <c r="A3920" s="76" t="s">
        <v>1295</v>
      </c>
      <c r="B3920" s="76" t="s">
        <v>1048</v>
      </c>
      <c r="C3920" s="76" t="s">
        <v>1049</v>
      </c>
      <c r="D3920" s="75"/>
    </row>
    <row hidden="true" r="3921">
      <c r="A3921" s="76" t="s">
        <v>1295</v>
      </c>
      <c r="B3921" s="76" t="s">
        <v>1050</v>
      </c>
      <c r="C3921" s="76" t="s">
        <v>1051</v>
      </c>
      <c r="D3921" s="75"/>
    </row>
    <row hidden="true" r="3922">
      <c r="A3922" s="76" t="s">
        <v>1295</v>
      </c>
      <c r="B3922" s="76" t="s">
        <v>1052</v>
      </c>
      <c r="C3922" s="76" t="s">
        <v>1053</v>
      </c>
      <c r="D3922" s="75"/>
    </row>
    <row hidden="true" r="3923">
      <c r="A3923" s="76" t="s">
        <v>1295</v>
      </c>
      <c r="B3923" s="76" t="s">
        <v>1054</v>
      </c>
      <c r="C3923" s="76" t="s">
        <v>1055</v>
      </c>
      <c r="D3923" s="75"/>
    </row>
    <row hidden="true" r="3924">
      <c r="A3924" s="76" t="s">
        <v>1295</v>
      </c>
      <c r="B3924" s="76" t="s">
        <v>1056</v>
      </c>
      <c r="C3924" s="76" t="s">
        <v>1057</v>
      </c>
      <c r="D3924" s="75"/>
    </row>
    <row hidden="true" r="3925">
      <c r="A3925" s="76" t="s">
        <v>1295</v>
      </c>
      <c r="B3925" s="76" t="s">
        <v>1058</v>
      </c>
      <c r="C3925" s="76" t="s">
        <v>1059</v>
      </c>
      <c r="D3925" s="75"/>
    </row>
    <row hidden="true" r="3926">
      <c r="A3926" s="76" t="s">
        <v>1295</v>
      </c>
      <c r="B3926" s="76" t="s">
        <v>1060</v>
      </c>
      <c r="C3926" s="76" t="s">
        <v>1061</v>
      </c>
      <c r="D3926" s="75"/>
    </row>
    <row hidden="true" r="3927">
      <c r="A3927" s="76" t="s">
        <v>1295</v>
      </c>
      <c r="B3927" s="76" t="s">
        <v>1062</v>
      </c>
      <c r="C3927" s="76" t="s">
        <v>1063</v>
      </c>
      <c r="D3927" s="75"/>
    </row>
    <row hidden="true" r="3928">
      <c r="A3928" s="76" t="s">
        <v>1295</v>
      </c>
      <c r="B3928" s="76" t="s">
        <v>1064</v>
      </c>
      <c r="C3928" s="76" t="s">
        <v>1065</v>
      </c>
      <c r="D3928" s="75"/>
    </row>
    <row hidden="true" r="3929">
      <c r="A3929" s="76" t="s">
        <v>1295</v>
      </c>
      <c r="B3929" s="76" t="s">
        <v>1066</v>
      </c>
      <c r="C3929" s="76" t="s">
        <v>1067</v>
      </c>
      <c r="D3929" s="75"/>
    </row>
    <row hidden="true" r="3930">
      <c r="A3930" s="76" t="s">
        <v>1295</v>
      </c>
      <c r="B3930" s="76" t="s">
        <v>1068</v>
      </c>
      <c r="C3930" s="76" t="s">
        <v>1069</v>
      </c>
      <c r="D3930" s="75"/>
    </row>
    <row hidden="true" r="3931">
      <c r="A3931" s="76" t="s">
        <v>1295</v>
      </c>
      <c r="B3931" s="76" t="s">
        <v>1070</v>
      </c>
      <c r="C3931" s="76" t="s">
        <v>1069</v>
      </c>
      <c r="D3931" s="75"/>
    </row>
    <row hidden="true" r="3932">
      <c r="A3932" s="76" t="s">
        <v>1295</v>
      </c>
      <c r="B3932" s="76" t="s">
        <v>1071</v>
      </c>
      <c r="C3932" s="76" t="s">
        <v>1069</v>
      </c>
      <c r="D3932" s="75"/>
    </row>
    <row hidden="true" r="3933">
      <c r="A3933" s="76" t="s">
        <v>1295</v>
      </c>
      <c r="B3933" s="76" t="s">
        <v>1072</v>
      </c>
      <c r="C3933" s="76" t="s">
        <v>1073</v>
      </c>
      <c r="D3933" s="75"/>
    </row>
    <row hidden="true" r="3934">
      <c r="A3934" s="76" t="s">
        <v>1295</v>
      </c>
      <c r="B3934" s="76" t="s">
        <v>1074</v>
      </c>
      <c r="C3934" s="76" t="s">
        <v>1073</v>
      </c>
      <c r="D3934" s="75"/>
    </row>
    <row hidden="true" r="3935">
      <c r="A3935" s="76" t="s">
        <v>1295</v>
      </c>
      <c r="B3935" s="76" t="s">
        <v>1075</v>
      </c>
      <c r="C3935" s="76" t="s">
        <v>1073</v>
      </c>
      <c r="D3935" s="75"/>
    </row>
    <row hidden="true" r="3936">
      <c r="A3936" s="76" t="s">
        <v>1295</v>
      </c>
      <c r="B3936" s="76" t="s">
        <v>1076</v>
      </c>
      <c r="C3936" s="76" t="s">
        <v>1077</v>
      </c>
      <c r="D3936" s="75"/>
    </row>
    <row hidden="true" r="3937">
      <c r="A3937" s="76" t="s">
        <v>1295</v>
      </c>
      <c r="B3937" s="76" t="s">
        <v>1078</v>
      </c>
      <c r="C3937" s="76" t="s">
        <v>1079</v>
      </c>
      <c r="D3937" s="75"/>
    </row>
    <row hidden="true" r="3938">
      <c r="A3938" s="76" t="s">
        <v>1295</v>
      </c>
      <c r="B3938" s="76" t="s">
        <v>839</v>
      </c>
      <c r="C3938" s="76" t="s">
        <v>840</v>
      </c>
      <c r="D3938" s="75"/>
    </row>
    <row hidden="true" r="3939">
      <c r="A3939" s="76" t="s">
        <v>1295</v>
      </c>
      <c r="B3939" s="76" t="s">
        <v>1080</v>
      </c>
      <c r="C3939" s="76" t="s">
        <v>1081</v>
      </c>
      <c r="D3939" s="75"/>
    </row>
    <row hidden="true" r="3940">
      <c r="A3940" s="76" t="s">
        <v>1295</v>
      </c>
      <c r="B3940" s="76" t="s">
        <v>1082</v>
      </c>
      <c r="C3940" s="76" t="s">
        <v>1083</v>
      </c>
      <c r="D3940" s="75"/>
    </row>
    <row hidden="true" r="3941">
      <c r="A3941" s="76" t="s">
        <v>1295</v>
      </c>
      <c r="B3941" s="76" t="s">
        <v>1084</v>
      </c>
      <c r="C3941" s="76" t="s">
        <v>1085</v>
      </c>
      <c r="D3941" s="75"/>
    </row>
    <row hidden="true" r="3942">
      <c r="A3942" s="76" t="s">
        <v>1295</v>
      </c>
      <c r="B3942" s="76" t="s">
        <v>1086</v>
      </c>
      <c r="C3942" s="76" t="s">
        <v>1087</v>
      </c>
      <c r="D3942" s="75"/>
    </row>
    <row hidden="true" r="3943">
      <c r="A3943" s="76" t="s">
        <v>1295</v>
      </c>
      <c r="B3943" s="76" t="s">
        <v>1088</v>
      </c>
      <c r="C3943" s="76" t="s">
        <v>1089</v>
      </c>
      <c r="D3943" s="75"/>
    </row>
    <row hidden="true" r="3944">
      <c r="A3944" s="76" t="s">
        <v>1295</v>
      </c>
      <c r="B3944" s="76" t="s">
        <v>1090</v>
      </c>
      <c r="C3944" s="76" t="s">
        <v>1091</v>
      </c>
      <c r="D3944" s="75"/>
    </row>
    <row hidden="true" r="3945">
      <c r="A3945" s="76" t="s">
        <v>1295</v>
      </c>
      <c r="B3945" s="76" t="s">
        <v>1092</v>
      </c>
      <c r="C3945" s="76" t="s">
        <v>1091</v>
      </c>
      <c r="D3945" s="75"/>
    </row>
    <row hidden="true" r="3946">
      <c r="A3946" s="76" t="s">
        <v>1295</v>
      </c>
      <c r="B3946" s="76" t="s">
        <v>1093</v>
      </c>
      <c r="C3946" s="76" t="s">
        <v>1094</v>
      </c>
      <c r="D3946" s="75"/>
    </row>
    <row hidden="true" r="3947">
      <c r="A3947" s="76" t="s">
        <v>1295</v>
      </c>
      <c r="B3947" s="76" t="s">
        <v>1095</v>
      </c>
      <c r="C3947" s="76" t="s">
        <v>1096</v>
      </c>
      <c r="D3947" s="75"/>
    </row>
    <row hidden="true" r="3948">
      <c r="A3948" s="76" t="s">
        <v>1295</v>
      </c>
      <c r="B3948" s="76" t="s">
        <v>1097</v>
      </c>
      <c r="C3948" s="76" t="s">
        <v>1098</v>
      </c>
      <c r="D3948" s="75"/>
    </row>
    <row hidden="true" r="3949">
      <c r="A3949" s="76" t="s">
        <v>1295</v>
      </c>
      <c r="B3949" s="76" t="s">
        <v>1099</v>
      </c>
      <c r="C3949" s="76" t="s">
        <v>1100</v>
      </c>
      <c r="D3949" s="75"/>
    </row>
    <row hidden="true" r="3950">
      <c r="A3950" s="76" t="s">
        <v>1295</v>
      </c>
      <c r="B3950" s="76" t="s">
        <v>1101</v>
      </c>
      <c r="C3950" s="76" t="s">
        <v>1102</v>
      </c>
      <c r="D3950" s="75"/>
    </row>
    <row hidden="true" r="3951">
      <c r="A3951" s="76" t="s">
        <v>1295</v>
      </c>
      <c r="B3951" s="76" t="s">
        <v>1103</v>
      </c>
      <c r="C3951" s="76" t="s">
        <v>1104</v>
      </c>
      <c r="D3951" s="75"/>
    </row>
    <row hidden="true" r="3952">
      <c r="A3952" s="76" t="s">
        <v>1295</v>
      </c>
      <c r="B3952" s="76" t="s">
        <v>1105</v>
      </c>
      <c r="C3952" s="76" t="s">
        <v>1106</v>
      </c>
      <c r="D3952" s="75"/>
    </row>
    <row hidden="true" r="3953">
      <c r="A3953" s="76" t="s">
        <v>1295</v>
      </c>
      <c r="B3953" s="76" t="s">
        <v>1107</v>
      </c>
      <c r="C3953" s="76" t="s">
        <v>1108</v>
      </c>
      <c r="D3953" s="75"/>
    </row>
    <row hidden="true" r="3954">
      <c r="A3954" s="76" t="s">
        <v>1295</v>
      </c>
      <c r="B3954" s="76" t="s">
        <v>1109</v>
      </c>
      <c r="C3954" s="76" t="s">
        <v>1110</v>
      </c>
      <c r="D3954" s="75"/>
    </row>
    <row hidden="true" r="3955">
      <c r="A3955" s="76" t="s">
        <v>1295</v>
      </c>
      <c r="B3955" s="76" t="s">
        <v>1111</v>
      </c>
      <c r="C3955" s="76" t="s">
        <v>1112</v>
      </c>
      <c r="D3955" s="75"/>
    </row>
    <row hidden="true" r="3956">
      <c r="A3956" s="76" t="s">
        <v>1295</v>
      </c>
      <c r="B3956" s="76" t="s">
        <v>1113</v>
      </c>
      <c r="C3956" s="76" t="s">
        <v>1114</v>
      </c>
      <c r="D3956" s="75"/>
    </row>
    <row hidden="true" r="3957">
      <c r="A3957" s="76" t="s">
        <v>1295</v>
      </c>
      <c r="B3957" s="76" t="s">
        <v>1115</v>
      </c>
      <c r="C3957" s="76" t="s">
        <v>1116</v>
      </c>
      <c r="D3957" s="75"/>
    </row>
    <row hidden="true" r="3958">
      <c r="A3958" s="76" t="s">
        <v>1295</v>
      </c>
      <c r="B3958" s="76" t="s">
        <v>1117</v>
      </c>
      <c r="C3958" s="76" t="s">
        <v>1118</v>
      </c>
      <c r="D3958" s="75"/>
    </row>
    <row hidden="true" r="3959">
      <c r="A3959" s="76" t="s">
        <v>1295</v>
      </c>
      <c r="B3959" s="76" t="s">
        <v>1119</v>
      </c>
      <c r="C3959" s="76" t="s">
        <v>1120</v>
      </c>
      <c r="D3959" s="75"/>
    </row>
    <row hidden="true" r="3960">
      <c r="A3960" s="76" t="s">
        <v>1295</v>
      </c>
      <c r="B3960" s="76" t="s">
        <v>1121</v>
      </c>
      <c r="C3960" s="76" t="s">
        <v>1122</v>
      </c>
      <c r="D3960" s="75"/>
    </row>
    <row hidden="true" r="3961">
      <c r="A3961" s="76" t="s">
        <v>1295</v>
      </c>
      <c r="B3961" s="76" t="s">
        <v>1123</v>
      </c>
      <c r="C3961" s="76" t="s">
        <v>1124</v>
      </c>
      <c r="D3961" s="75"/>
    </row>
    <row hidden="true" r="3962">
      <c r="A3962" s="76" t="s">
        <v>1295</v>
      </c>
      <c r="B3962" s="76" t="s">
        <v>1125</v>
      </c>
      <c r="C3962" s="76" t="s">
        <v>1126</v>
      </c>
      <c r="D3962" s="75"/>
    </row>
    <row hidden="true" r="3963">
      <c r="A3963" s="76" t="s">
        <v>1295</v>
      </c>
      <c r="B3963" s="76" t="s">
        <v>1127</v>
      </c>
      <c r="C3963" s="76" t="s">
        <v>1128</v>
      </c>
      <c r="D3963" s="75"/>
    </row>
    <row hidden="true" r="3964">
      <c r="A3964" s="76" t="s">
        <v>1295</v>
      </c>
      <c r="B3964" s="76" t="s">
        <v>1129</v>
      </c>
      <c r="C3964" s="76" t="s">
        <v>1130</v>
      </c>
      <c r="D3964" s="75"/>
    </row>
    <row hidden="true" r="3965">
      <c r="A3965" s="76" t="s">
        <v>1295</v>
      </c>
      <c r="B3965" s="76" t="s">
        <v>1131</v>
      </c>
      <c r="C3965" s="76" t="s">
        <v>1132</v>
      </c>
      <c r="D3965" s="75"/>
    </row>
    <row hidden="true" r="3966">
      <c r="A3966" s="76" t="s">
        <v>1295</v>
      </c>
      <c r="B3966" s="76" t="s">
        <v>1133</v>
      </c>
      <c r="C3966" s="76" t="s">
        <v>1134</v>
      </c>
      <c r="D3966" s="75"/>
    </row>
    <row hidden="true" r="3967">
      <c r="A3967" s="76" t="s">
        <v>1295</v>
      </c>
      <c r="B3967" s="76" t="s">
        <v>1135</v>
      </c>
      <c r="C3967" s="76" t="s">
        <v>1136</v>
      </c>
      <c r="D3967" s="75"/>
    </row>
    <row hidden="true" r="3968">
      <c r="A3968" s="76" t="s">
        <v>1295</v>
      </c>
      <c r="B3968" s="76" t="s">
        <v>1137</v>
      </c>
      <c r="C3968" s="76" t="s">
        <v>1138</v>
      </c>
      <c r="D3968" s="75"/>
    </row>
    <row hidden="true" r="3969">
      <c r="A3969" s="76" t="s">
        <v>1295</v>
      </c>
      <c r="B3969" s="76" t="s">
        <v>1139</v>
      </c>
      <c r="C3969" s="76" t="s">
        <v>1140</v>
      </c>
      <c r="D3969" s="75"/>
    </row>
    <row hidden="true" r="3970">
      <c r="A3970" s="76" t="s">
        <v>1295</v>
      </c>
      <c r="B3970" s="76" t="s">
        <v>1141</v>
      </c>
      <c r="C3970" s="76" t="s">
        <v>1142</v>
      </c>
      <c r="D3970" s="75"/>
    </row>
    <row hidden="true" r="3971">
      <c r="A3971" s="76" t="s">
        <v>1295</v>
      </c>
      <c r="B3971" s="76" t="s">
        <v>1143</v>
      </c>
      <c r="C3971" s="76" t="s">
        <v>1144</v>
      </c>
      <c r="D3971" s="75"/>
    </row>
    <row hidden="true" r="3972">
      <c r="A3972" s="76" t="s">
        <v>1295</v>
      </c>
      <c r="B3972" s="76" t="s">
        <v>1145</v>
      </c>
      <c r="C3972" s="76" t="s">
        <v>1146</v>
      </c>
      <c r="D3972" s="75"/>
    </row>
    <row hidden="true" r="3973">
      <c r="A3973" s="76" t="s">
        <v>1295</v>
      </c>
      <c r="B3973" s="76" t="s">
        <v>1147</v>
      </c>
      <c r="C3973" s="76" t="s">
        <v>1148</v>
      </c>
      <c r="D3973" s="75"/>
    </row>
    <row hidden="true" r="3974">
      <c r="A3974" s="76" t="s">
        <v>1295</v>
      </c>
      <c r="B3974" s="76" t="s">
        <v>1149</v>
      </c>
      <c r="C3974" s="76" t="s">
        <v>1150</v>
      </c>
      <c r="D3974" s="75"/>
    </row>
    <row hidden="true" r="3975">
      <c r="A3975" s="76" t="s">
        <v>1295</v>
      </c>
      <c r="B3975" s="76" t="s">
        <v>1151</v>
      </c>
      <c r="C3975" s="76" t="s">
        <v>1152</v>
      </c>
      <c r="D3975" s="75"/>
    </row>
    <row hidden="true" r="3976">
      <c r="A3976" s="76" t="s">
        <v>1295</v>
      </c>
      <c r="B3976" s="76" t="s">
        <v>1153</v>
      </c>
      <c r="C3976" s="76" t="s">
        <v>1154</v>
      </c>
      <c r="D3976" s="75"/>
    </row>
    <row hidden="true" r="3977">
      <c r="A3977" s="76" t="s">
        <v>1295</v>
      </c>
      <c r="B3977" s="76" t="s">
        <v>1155</v>
      </c>
      <c r="C3977" s="76" t="s">
        <v>1156</v>
      </c>
      <c r="D3977" s="75"/>
    </row>
    <row hidden="true" r="3978">
      <c r="A3978" s="76" t="s">
        <v>1295</v>
      </c>
      <c r="B3978" s="76" t="s">
        <v>1157</v>
      </c>
      <c r="C3978" s="76" t="s">
        <v>1158</v>
      </c>
      <c r="D3978" s="75"/>
    </row>
    <row hidden="true" r="3979">
      <c r="A3979" s="76" t="s">
        <v>1295</v>
      </c>
      <c r="B3979" s="76" t="s">
        <v>1159</v>
      </c>
      <c r="C3979" s="76" t="s">
        <v>1160</v>
      </c>
      <c r="D3979" s="75"/>
    </row>
    <row hidden="true" r="3980">
      <c r="A3980" s="76" t="s">
        <v>1295</v>
      </c>
      <c r="B3980" s="76" t="s">
        <v>868</v>
      </c>
      <c r="C3980" s="76" t="s">
        <v>869</v>
      </c>
      <c r="D3980" s="75"/>
    </row>
    <row hidden="true" r="3981">
      <c r="A3981" s="76" t="s">
        <v>1295</v>
      </c>
      <c r="B3981" s="76" t="s">
        <v>1161</v>
      </c>
      <c r="C3981" s="76" t="s">
        <v>1162</v>
      </c>
      <c r="D3981" s="75"/>
    </row>
    <row hidden="true" r="3982">
      <c r="A3982" s="76" t="s">
        <v>1295</v>
      </c>
      <c r="B3982" s="76" t="s">
        <v>1163</v>
      </c>
      <c r="C3982" s="76" t="s">
        <v>1164</v>
      </c>
      <c r="D3982" s="75"/>
    </row>
    <row hidden="true" r="3983">
      <c r="A3983" s="76" t="s">
        <v>1295</v>
      </c>
      <c r="B3983" s="76" t="s">
        <v>1165</v>
      </c>
      <c r="C3983" s="76" t="s">
        <v>1166</v>
      </c>
      <c r="D3983" s="75"/>
    </row>
    <row hidden="true" r="3984">
      <c r="A3984" s="76" t="s">
        <v>1295</v>
      </c>
      <c r="B3984" s="76" t="s">
        <v>1167</v>
      </c>
      <c r="C3984" s="76" t="s">
        <v>1168</v>
      </c>
      <c r="D3984" s="75"/>
    </row>
    <row hidden="true" r="3985">
      <c r="A3985" s="76" t="s">
        <v>1295</v>
      </c>
      <c r="B3985" s="76" t="s">
        <v>1169</v>
      </c>
      <c r="C3985" s="76" t="s">
        <v>1170</v>
      </c>
      <c r="D3985" s="75"/>
    </row>
    <row hidden="true" r="3986">
      <c r="A3986" s="76" t="s">
        <v>1295</v>
      </c>
      <c r="B3986" s="76" t="s">
        <v>1171</v>
      </c>
      <c r="C3986" s="76" t="s">
        <v>1172</v>
      </c>
      <c r="D3986" s="75"/>
    </row>
    <row hidden="true" r="3987">
      <c r="A3987" s="76" t="s">
        <v>1295</v>
      </c>
      <c r="B3987" s="76" t="s">
        <v>1173</v>
      </c>
      <c r="C3987" s="76" t="s">
        <v>1174</v>
      </c>
      <c r="D3987" s="75"/>
    </row>
    <row hidden="true" r="3988">
      <c r="A3988" s="76" t="s">
        <v>1295</v>
      </c>
      <c r="B3988" s="76" t="s">
        <v>1175</v>
      </c>
      <c r="C3988" s="76" t="s">
        <v>1176</v>
      </c>
      <c r="D3988" s="75"/>
    </row>
    <row hidden="true" r="3989">
      <c r="A3989" s="76" t="s">
        <v>1295</v>
      </c>
      <c r="B3989" s="76" t="s">
        <v>1177</v>
      </c>
      <c r="C3989" s="76" t="s">
        <v>1178</v>
      </c>
      <c r="D3989" s="75"/>
    </row>
    <row hidden="true" r="3990">
      <c r="A3990" s="76" t="s">
        <v>1295</v>
      </c>
      <c r="B3990" s="76" t="s">
        <v>1179</v>
      </c>
      <c r="C3990" s="76" t="s">
        <v>1180</v>
      </c>
      <c r="D3990" s="75"/>
    </row>
    <row hidden="true" r="3991">
      <c r="A3991" s="76" t="s">
        <v>1295</v>
      </c>
      <c r="B3991" s="76" t="s">
        <v>1181</v>
      </c>
      <c r="C3991" s="76" t="s">
        <v>1182</v>
      </c>
      <c r="D3991" s="75"/>
    </row>
    <row hidden="true" r="3992">
      <c r="A3992" s="76" t="s">
        <v>1295</v>
      </c>
      <c r="B3992" s="76" t="s">
        <v>1183</v>
      </c>
      <c r="C3992" s="76" t="s">
        <v>1184</v>
      </c>
      <c r="D3992" s="75"/>
    </row>
    <row hidden="true" r="3993">
      <c r="A3993" s="76" t="s">
        <v>1295</v>
      </c>
      <c r="B3993" s="76" t="s">
        <v>1185</v>
      </c>
      <c r="C3993" s="76" t="s">
        <v>1186</v>
      </c>
      <c r="D3993" s="75"/>
    </row>
    <row hidden="true" r="3994">
      <c r="A3994" s="76" t="s">
        <v>1295</v>
      </c>
      <c r="B3994" s="76" t="s">
        <v>1187</v>
      </c>
      <c r="C3994" s="76" t="s">
        <v>1188</v>
      </c>
      <c r="D3994" s="75"/>
    </row>
    <row hidden="true" r="3995">
      <c r="A3995" s="76" t="s">
        <v>1295</v>
      </c>
      <c r="B3995" s="76" t="s">
        <v>1189</v>
      </c>
      <c r="C3995" s="76" t="s">
        <v>1190</v>
      </c>
      <c r="D3995" s="75"/>
    </row>
    <row hidden="true" r="3996">
      <c r="A3996" s="76" t="s">
        <v>1295</v>
      </c>
      <c r="B3996" s="76" t="s">
        <v>1199</v>
      </c>
      <c r="C3996" s="76" t="s">
        <v>1200</v>
      </c>
      <c r="D3996" s="75"/>
    </row>
    <row hidden="true" r="3997">
      <c r="A3997" s="76" t="s">
        <v>1295</v>
      </c>
      <c r="B3997" s="76" t="s">
        <v>1201</v>
      </c>
      <c r="C3997" s="76" t="s">
        <v>1202</v>
      </c>
      <c r="D3997" s="75"/>
    </row>
    <row hidden="true" r="3998">
      <c r="A3998" s="76" t="s">
        <v>1295</v>
      </c>
      <c r="B3998" s="76" t="s">
        <v>1203</v>
      </c>
      <c r="C3998" s="76" t="s">
        <v>1204</v>
      </c>
      <c r="D3998" s="75"/>
    </row>
    <row hidden="true" r="3999">
      <c r="A3999" s="76" t="s">
        <v>1295</v>
      </c>
      <c r="B3999" s="76" t="s">
        <v>1205</v>
      </c>
      <c r="C3999" s="76" t="s">
        <v>1206</v>
      </c>
      <c r="D3999" s="75"/>
    </row>
    <row hidden="true" r="4000">
      <c r="A4000" s="76" t="s">
        <v>1295</v>
      </c>
      <c r="B4000" s="76" t="s">
        <v>1207</v>
      </c>
      <c r="C4000" s="76" t="s">
        <v>1208</v>
      </c>
      <c r="D4000" s="75"/>
    </row>
    <row hidden="true" r="4001">
      <c r="A4001" s="76" t="s">
        <v>1295</v>
      </c>
      <c r="B4001" s="76" t="s">
        <v>1209</v>
      </c>
      <c r="C4001" s="76" t="s">
        <v>1210</v>
      </c>
      <c r="D4001" s="75"/>
    </row>
    <row hidden="true" r="4002">
      <c r="A4002" s="76" t="s">
        <v>1295</v>
      </c>
      <c r="B4002" s="76" t="s">
        <v>1211</v>
      </c>
      <c r="C4002" s="76" t="s">
        <v>1212</v>
      </c>
      <c r="D4002" s="75"/>
    </row>
    <row hidden="true" r="4003">
      <c r="A4003" s="76" t="s">
        <v>1295</v>
      </c>
      <c r="B4003" s="76" t="s">
        <v>735</v>
      </c>
      <c r="C4003" s="76"/>
      <c r="D4003" s="75"/>
    </row>
    <row hidden="true" r="4004">
      <c r="A4004" s="76" t="s">
        <v>1296</v>
      </c>
      <c r="B4004" s="76" t="s">
        <v>407</v>
      </c>
      <c r="C4004" s="76"/>
      <c r="D4004" s="75"/>
    </row>
    <row hidden="true" r="4005">
      <c r="A4005" s="76" t="s">
        <v>1296</v>
      </c>
      <c r="B4005" s="76" t="s">
        <v>744</v>
      </c>
      <c r="C4005" s="76"/>
      <c r="D4005" s="75"/>
    </row>
    <row hidden="true" r="4006">
      <c r="A4006" s="76" t="s">
        <v>1296</v>
      </c>
      <c r="B4006" s="76" t="s">
        <v>409</v>
      </c>
      <c r="C4006" s="76"/>
      <c r="D4006" s="75"/>
    </row>
    <row hidden="true" r="4007">
      <c r="A4007" s="76" t="s">
        <v>1296</v>
      </c>
      <c r="B4007" s="76" t="s">
        <v>884</v>
      </c>
      <c r="C4007" s="76"/>
      <c r="D4007" s="75"/>
    </row>
    <row hidden="true" r="4008">
      <c r="A4008" s="76" t="s">
        <v>1296</v>
      </c>
      <c r="B4008" s="76" t="s">
        <v>886</v>
      </c>
      <c r="C4008" s="76"/>
      <c r="D4008" s="75"/>
    </row>
    <row hidden="true" r="4009">
      <c r="A4009" s="76" t="s">
        <v>1296</v>
      </c>
      <c r="B4009" s="76" t="s">
        <v>888</v>
      </c>
      <c r="C4009" s="76"/>
      <c r="D4009" s="75"/>
    </row>
    <row hidden="true" r="4010">
      <c r="A4010" s="76" t="s">
        <v>1296</v>
      </c>
      <c r="B4010" s="76" t="s">
        <v>890</v>
      </c>
      <c r="C4010" s="76"/>
      <c r="D4010" s="75"/>
    </row>
    <row hidden="true" r="4011">
      <c r="A4011" s="76" t="s">
        <v>1296</v>
      </c>
      <c r="B4011" s="76" t="s">
        <v>892</v>
      </c>
      <c r="C4011" s="76"/>
      <c r="D4011" s="75"/>
    </row>
    <row hidden="true" r="4012">
      <c r="A4012" s="76" t="s">
        <v>1296</v>
      </c>
      <c r="B4012" s="76" t="s">
        <v>894</v>
      </c>
      <c r="C4012" s="76"/>
      <c r="D4012" s="75"/>
    </row>
    <row hidden="true" r="4013">
      <c r="A4013" s="76" t="s">
        <v>1296</v>
      </c>
      <c r="B4013" s="76" t="s">
        <v>896</v>
      </c>
      <c r="C4013" s="76"/>
      <c r="D4013" s="75"/>
    </row>
    <row hidden="true" r="4014">
      <c r="A4014" s="76" t="s">
        <v>1296</v>
      </c>
      <c r="B4014" s="76" t="s">
        <v>898</v>
      </c>
      <c r="C4014" s="76"/>
      <c r="D4014" s="75"/>
    </row>
    <row hidden="true" r="4015">
      <c r="A4015" s="76" t="s">
        <v>1296</v>
      </c>
      <c r="B4015" s="76" t="s">
        <v>900</v>
      </c>
      <c r="C4015" s="76"/>
      <c r="D4015" s="75"/>
    </row>
    <row hidden="true" r="4016">
      <c r="A4016" s="76" t="s">
        <v>1296</v>
      </c>
      <c r="B4016" s="76" t="s">
        <v>902</v>
      </c>
      <c r="C4016" s="76"/>
      <c r="D4016" s="75"/>
    </row>
    <row hidden="true" r="4017">
      <c r="A4017" s="76" t="s">
        <v>1296</v>
      </c>
      <c r="B4017" s="76" t="s">
        <v>904</v>
      </c>
      <c r="C4017" s="76"/>
      <c r="D4017" s="75"/>
    </row>
    <row hidden="true" r="4018">
      <c r="A4018" s="76" t="s">
        <v>1296</v>
      </c>
      <c r="B4018" s="76" t="s">
        <v>906</v>
      </c>
      <c r="C4018" s="76"/>
      <c r="D4018" s="75"/>
    </row>
    <row hidden="true" r="4019">
      <c r="A4019" s="76" t="s">
        <v>1296</v>
      </c>
      <c r="B4019" s="76" t="s">
        <v>908</v>
      </c>
      <c r="C4019" s="76"/>
      <c r="D4019" s="75"/>
    </row>
    <row hidden="true" r="4020">
      <c r="A4020" s="76" t="s">
        <v>1296</v>
      </c>
      <c r="B4020" s="76" t="s">
        <v>910</v>
      </c>
      <c r="C4020" s="76"/>
      <c r="D4020" s="75"/>
    </row>
    <row hidden="true" r="4021">
      <c r="A4021" s="76" t="s">
        <v>1296</v>
      </c>
      <c r="B4021" s="76" t="s">
        <v>912</v>
      </c>
      <c r="C4021" s="76"/>
      <c r="D4021" s="75"/>
    </row>
    <row hidden="true" r="4022">
      <c r="A4022" s="76" t="s">
        <v>1296</v>
      </c>
      <c r="B4022" s="76" t="s">
        <v>914</v>
      </c>
      <c r="C4022" s="76"/>
      <c r="D4022" s="75"/>
    </row>
    <row hidden="true" r="4023">
      <c r="A4023" s="76" t="s">
        <v>1296</v>
      </c>
      <c r="B4023" s="76" t="s">
        <v>916</v>
      </c>
      <c r="C4023" s="76"/>
      <c r="D4023" s="75"/>
    </row>
    <row hidden="true" r="4024">
      <c r="A4024" s="76" t="s">
        <v>1296</v>
      </c>
      <c r="B4024" s="76" t="s">
        <v>918</v>
      </c>
      <c r="C4024" s="76"/>
      <c r="D4024" s="75"/>
    </row>
    <row hidden="true" r="4025">
      <c r="A4025" s="76" t="s">
        <v>1296</v>
      </c>
      <c r="B4025" s="76" t="s">
        <v>920</v>
      </c>
      <c r="C4025" s="76"/>
      <c r="D4025" s="75"/>
    </row>
    <row hidden="true" r="4026">
      <c r="A4026" s="76" t="s">
        <v>1296</v>
      </c>
      <c r="B4026" s="76" t="s">
        <v>1251</v>
      </c>
      <c r="C4026" s="76"/>
      <c r="D4026" s="75"/>
    </row>
    <row hidden="true" r="4027">
      <c r="A4027" s="76" t="s">
        <v>1296</v>
      </c>
      <c r="B4027" s="76" t="s">
        <v>922</v>
      </c>
      <c r="C4027" s="76"/>
      <c r="D4027" s="75"/>
    </row>
    <row hidden="true" r="4028">
      <c r="A4028" s="76" t="s">
        <v>1296</v>
      </c>
      <c r="B4028" s="76" t="s">
        <v>1252</v>
      </c>
      <c r="C4028" s="76"/>
      <c r="D4028" s="75"/>
    </row>
    <row hidden="true" r="4029">
      <c r="A4029" s="76" t="s">
        <v>1296</v>
      </c>
      <c r="B4029" s="76" t="s">
        <v>924</v>
      </c>
      <c r="C4029" s="76"/>
      <c r="D4029" s="75"/>
    </row>
    <row hidden="true" r="4030">
      <c r="A4030" s="76" t="s">
        <v>1296</v>
      </c>
      <c r="B4030" s="76" t="s">
        <v>926</v>
      </c>
      <c r="C4030" s="76"/>
      <c r="D4030" s="75"/>
    </row>
    <row hidden="true" r="4031">
      <c r="A4031" s="76" t="s">
        <v>1296</v>
      </c>
      <c r="B4031" s="76" t="s">
        <v>1253</v>
      </c>
      <c r="C4031" s="76"/>
      <c r="D4031" s="75"/>
    </row>
    <row hidden="true" r="4032">
      <c r="A4032" s="76" t="s">
        <v>1296</v>
      </c>
      <c r="B4032" s="76" t="s">
        <v>1254</v>
      </c>
      <c r="C4032" s="76"/>
      <c r="D4032" s="75"/>
    </row>
    <row hidden="true" r="4033">
      <c r="A4033" s="76" t="s">
        <v>1296</v>
      </c>
      <c r="B4033" s="76" t="s">
        <v>928</v>
      </c>
      <c r="C4033" s="76"/>
      <c r="D4033" s="75"/>
    </row>
    <row hidden="true" r="4034">
      <c r="A4034" s="76" t="s">
        <v>1296</v>
      </c>
      <c r="B4034" s="76" t="s">
        <v>930</v>
      </c>
      <c r="C4034" s="76"/>
      <c r="D4034" s="75"/>
    </row>
    <row hidden="true" r="4035">
      <c r="A4035" s="76" t="s">
        <v>1296</v>
      </c>
      <c r="B4035" s="76" t="s">
        <v>1255</v>
      </c>
      <c r="C4035" s="76"/>
      <c r="D4035" s="75"/>
    </row>
    <row hidden="true" r="4036">
      <c r="A4036" s="76" t="s">
        <v>1296</v>
      </c>
      <c r="B4036" s="76" t="s">
        <v>932</v>
      </c>
      <c r="C4036" s="76"/>
      <c r="D4036" s="75"/>
    </row>
    <row hidden="true" r="4037">
      <c r="A4037" s="76" t="s">
        <v>1296</v>
      </c>
      <c r="B4037" s="76" t="s">
        <v>934</v>
      </c>
      <c r="C4037" s="76"/>
      <c r="D4037" s="75"/>
    </row>
    <row hidden="true" r="4038">
      <c r="A4038" s="76" t="s">
        <v>1296</v>
      </c>
      <c r="B4038" s="76" t="s">
        <v>936</v>
      </c>
      <c r="C4038" s="76"/>
      <c r="D4038" s="75"/>
    </row>
    <row hidden="true" r="4039">
      <c r="A4039" s="76" t="s">
        <v>1296</v>
      </c>
      <c r="B4039" s="76" t="s">
        <v>938</v>
      </c>
      <c r="C4039" s="76"/>
      <c r="D4039" s="75"/>
    </row>
    <row hidden="true" r="4040">
      <c r="A4040" s="76" t="s">
        <v>1296</v>
      </c>
      <c r="B4040" s="76" t="s">
        <v>940</v>
      </c>
      <c r="C4040" s="76"/>
      <c r="D4040" s="75"/>
    </row>
    <row hidden="true" r="4041">
      <c r="A4041" s="76" t="s">
        <v>1296</v>
      </c>
      <c r="B4041" s="76" t="s">
        <v>942</v>
      </c>
      <c r="C4041" s="76"/>
      <c r="D4041" s="75"/>
    </row>
    <row hidden="true" r="4042">
      <c r="A4042" s="76" t="s">
        <v>1296</v>
      </c>
      <c r="B4042" s="76" t="s">
        <v>944</v>
      </c>
      <c r="C4042" s="76"/>
      <c r="D4042" s="75"/>
    </row>
    <row hidden="true" r="4043">
      <c r="A4043" s="76" t="s">
        <v>1296</v>
      </c>
      <c r="B4043" s="76" t="s">
        <v>946</v>
      </c>
      <c r="C4043" s="76"/>
      <c r="D4043" s="75"/>
    </row>
    <row hidden="true" r="4044">
      <c r="A4044" s="76" t="s">
        <v>1296</v>
      </c>
      <c r="B4044" s="76" t="s">
        <v>948</v>
      </c>
      <c r="C4044" s="76"/>
      <c r="D4044" s="75"/>
    </row>
    <row hidden="true" r="4045">
      <c r="A4045" s="76" t="s">
        <v>1296</v>
      </c>
      <c r="B4045" s="76" t="s">
        <v>950</v>
      </c>
      <c r="C4045" s="76"/>
      <c r="D4045" s="75"/>
    </row>
    <row hidden="true" r="4046">
      <c r="A4046" s="76" t="s">
        <v>1296</v>
      </c>
      <c r="B4046" s="76" t="s">
        <v>952</v>
      </c>
      <c r="C4046" s="76"/>
      <c r="D4046" s="75"/>
    </row>
    <row hidden="true" r="4047">
      <c r="A4047" s="76" t="s">
        <v>1296</v>
      </c>
      <c r="B4047" s="76" t="s">
        <v>954</v>
      </c>
      <c r="C4047" s="76"/>
      <c r="D4047" s="75"/>
    </row>
    <row hidden="true" r="4048">
      <c r="A4048" s="76" t="s">
        <v>1296</v>
      </c>
      <c r="B4048" s="76" t="s">
        <v>775</v>
      </c>
      <c r="C4048" s="76"/>
      <c r="D4048" s="75"/>
    </row>
    <row hidden="true" r="4049">
      <c r="A4049" s="76" t="s">
        <v>1296</v>
      </c>
      <c r="B4049" s="76" t="s">
        <v>956</v>
      </c>
      <c r="C4049" s="76"/>
      <c r="D4049" s="75"/>
    </row>
    <row hidden="true" r="4050">
      <c r="A4050" s="76" t="s">
        <v>1296</v>
      </c>
      <c r="B4050" s="76" t="s">
        <v>958</v>
      </c>
      <c r="C4050" s="76"/>
      <c r="D4050" s="75"/>
    </row>
    <row hidden="true" r="4051">
      <c r="A4051" s="76" t="s">
        <v>1296</v>
      </c>
      <c r="B4051" s="76" t="s">
        <v>960</v>
      </c>
      <c r="C4051" s="76"/>
      <c r="D4051" s="75"/>
    </row>
    <row hidden="true" r="4052">
      <c r="A4052" s="76" t="s">
        <v>1296</v>
      </c>
      <c r="B4052" s="76" t="s">
        <v>962</v>
      </c>
      <c r="C4052" s="76"/>
      <c r="D4052" s="75"/>
    </row>
    <row hidden="true" r="4053">
      <c r="A4053" s="76" t="s">
        <v>1296</v>
      </c>
      <c r="B4053" s="76" t="s">
        <v>964</v>
      </c>
      <c r="C4053" s="76"/>
      <c r="D4053" s="75"/>
    </row>
    <row hidden="true" r="4054">
      <c r="A4054" s="76" t="s">
        <v>1296</v>
      </c>
      <c r="B4054" s="76" t="s">
        <v>966</v>
      </c>
      <c r="C4054" s="76"/>
      <c r="D4054" s="75"/>
    </row>
    <row hidden="true" r="4055">
      <c r="A4055" s="76" t="s">
        <v>1296</v>
      </c>
      <c r="B4055" s="76" t="s">
        <v>968</v>
      </c>
      <c r="C4055" s="76"/>
      <c r="D4055" s="75"/>
    </row>
    <row hidden="true" r="4056">
      <c r="A4056" s="76" t="s">
        <v>1296</v>
      </c>
      <c r="B4056" s="76" t="s">
        <v>970</v>
      </c>
      <c r="C4056" s="76"/>
      <c r="D4056" s="75"/>
    </row>
    <row hidden="true" r="4057">
      <c r="A4057" s="76" t="s">
        <v>1296</v>
      </c>
      <c r="B4057" s="76" t="s">
        <v>972</v>
      </c>
      <c r="C4057" s="76"/>
      <c r="D4057" s="75"/>
    </row>
    <row hidden="true" r="4058">
      <c r="A4058" s="76" t="s">
        <v>1296</v>
      </c>
      <c r="B4058" s="76" t="s">
        <v>974</v>
      </c>
      <c r="C4058" s="76"/>
      <c r="D4058" s="75"/>
    </row>
    <row hidden="true" r="4059">
      <c r="A4059" s="76" t="s">
        <v>1296</v>
      </c>
      <c r="B4059" s="76" t="s">
        <v>976</v>
      </c>
      <c r="C4059" s="76"/>
      <c r="D4059" s="75"/>
    </row>
    <row hidden="true" r="4060">
      <c r="A4060" s="76" t="s">
        <v>1296</v>
      </c>
      <c r="B4060" s="76" t="s">
        <v>823</v>
      </c>
      <c r="C4060" s="76"/>
      <c r="D4060" s="75"/>
    </row>
    <row hidden="true" r="4061">
      <c r="A4061" s="76" t="s">
        <v>1296</v>
      </c>
      <c r="B4061" s="76" t="s">
        <v>978</v>
      </c>
      <c r="C4061" s="76"/>
      <c r="D4061" s="75"/>
    </row>
    <row hidden="true" r="4062">
      <c r="A4062" s="76" t="s">
        <v>1296</v>
      </c>
      <c r="B4062" s="76" t="s">
        <v>980</v>
      </c>
      <c r="C4062" s="76"/>
      <c r="D4062" s="75"/>
    </row>
    <row hidden="true" r="4063">
      <c r="A4063" s="76" t="s">
        <v>1296</v>
      </c>
      <c r="B4063" s="76" t="s">
        <v>982</v>
      </c>
      <c r="C4063" s="76"/>
      <c r="D4063" s="75"/>
    </row>
    <row hidden="true" r="4064">
      <c r="A4064" s="76" t="s">
        <v>1296</v>
      </c>
      <c r="B4064" s="76" t="s">
        <v>984</v>
      </c>
      <c r="C4064" s="76"/>
      <c r="D4064" s="75"/>
    </row>
    <row hidden="true" r="4065">
      <c r="A4065" s="76" t="s">
        <v>1296</v>
      </c>
      <c r="B4065" s="76" t="s">
        <v>986</v>
      </c>
      <c r="C4065" s="76"/>
      <c r="D4065" s="75"/>
    </row>
    <row hidden="true" r="4066">
      <c r="A4066" s="76" t="s">
        <v>1296</v>
      </c>
      <c r="B4066" s="76" t="s">
        <v>988</v>
      </c>
      <c r="C4066" s="76"/>
      <c r="D4066" s="75"/>
    </row>
    <row hidden="true" r="4067">
      <c r="A4067" s="76" t="s">
        <v>1296</v>
      </c>
      <c r="B4067" s="76" t="s">
        <v>990</v>
      </c>
      <c r="C4067" s="76"/>
      <c r="D4067" s="75"/>
    </row>
    <row hidden="true" r="4068">
      <c r="A4068" s="76" t="s">
        <v>1296</v>
      </c>
      <c r="B4068" s="76" t="s">
        <v>992</v>
      </c>
      <c r="C4068" s="76"/>
      <c r="D4068" s="75"/>
    </row>
    <row hidden="true" r="4069">
      <c r="A4069" s="76" t="s">
        <v>1296</v>
      </c>
      <c r="B4069" s="76" t="s">
        <v>994</v>
      </c>
      <c r="C4069" s="76"/>
      <c r="D4069" s="75"/>
    </row>
    <row hidden="true" r="4070">
      <c r="A4070" s="76" t="s">
        <v>1296</v>
      </c>
      <c r="B4070" s="76" t="s">
        <v>996</v>
      </c>
      <c r="C4070" s="76"/>
      <c r="D4070" s="75"/>
    </row>
    <row hidden="true" r="4071">
      <c r="A4071" s="76" t="s">
        <v>1296</v>
      </c>
      <c r="B4071" s="76" t="s">
        <v>998</v>
      </c>
      <c r="C4071" s="76"/>
      <c r="D4071" s="75"/>
    </row>
    <row hidden="true" r="4072">
      <c r="A4072" s="76" t="s">
        <v>1296</v>
      </c>
      <c r="B4072" s="76" t="s">
        <v>1000</v>
      </c>
      <c r="C4072" s="76"/>
      <c r="D4072" s="75"/>
    </row>
    <row hidden="true" r="4073">
      <c r="A4073" s="76" t="s">
        <v>1296</v>
      </c>
      <c r="B4073" s="76" t="s">
        <v>1002</v>
      </c>
      <c r="C4073" s="76"/>
      <c r="D4073" s="75"/>
    </row>
    <row hidden="true" r="4074">
      <c r="A4074" s="76" t="s">
        <v>1296</v>
      </c>
      <c r="B4074" s="76" t="s">
        <v>1004</v>
      </c>
      <c r="C4074" s="76"/>
      <c r="D4074" s="75"/>
    </row>
    <row hidden="true" r="4075">
      <c r="A4075" s="76" t="s">
        <v>1296</v>
      </c>
      <c r="B4075" s="76" t="s">
        <v>1006</v>
      </c>
      <c r="C4075" s="76"/>
      <c r="D4075" s="75"/>
    </row>
    <row hidden="true" r="4076">
      <c r="A4076" s="76" t="s">
        <v>1296</v>
      </c>
      <c r="B4076" s="76" t="s">
        <v>1008</v>
      </c>
      <c r="C4076" s="76"/>
      <c r="D4076" s="75"/>
    </row>
    <row hidden="true" r="4077">
      <c r="A4077" s="76" t="s">
        <v>1296</v>
      </c>
      <c r="B4077" s="76" t="s">
        <v>1010</v>
      </c>
      <c r="C4077" s="76"/>
      <c r="D4077" s="75"/>
    </row>
    <row hidden="true" r="4078">
      <c r="A4078" s="76" t="s">
        <v>1296</v>
      </c>
      <c r="B4078" s="76" t="s">
        <v>1012</v>
      </c>
      <c r="C4078" s="76"/>
      <c r="D4078" s="75"/>
    </row>
    <row hidden="true" r="4079">
      <c r="A4079" s="76" t="s">
        <v>1296</v>
      </c>
      <c r="B4079" s="76" t="s">
        <v>1014</v>
      </c>
      <c r="C4079" s="76"/>
      <c r="D4079" s="75"/>
    </row>
    <row hidden="true" r="4080">
      <c r="A4080" s="76" t="s">
        <v>1296</v>
      </c>
      <c r="B4080" s="76" t="s">
        <v>1016</v>
      </c>
      <c r="C4080" s="76"/>
      <c r="D4080" s="75"/>
    </row>
    <row hidden="true" r="4081">
      <c r="A4081" s="76" t="s">
        <v>1296</v>
      </c>
      <c r="B4081" s="76" t="s">
        <v>1256</v>
      </c>
      <c r="C4081" s="76"/>
      <c r="D4081" s="75"/>
    </row>
    <row hidden="true" r="4082">
      <c r="A4082" s="76" t="s">
        <v>1296</v>
      </c>
      <c r="B4082" s="76" t="s">
        <v>1257</v>
      </c>
      <c r="C4082" s="76"/>
      <c r="D4082" s="75"/>
    </row>
    <row hidden="true" r="4083">
      <c r="A4083" s="76" t="s">
        <v>1296</v>
      </c>
      <c r="B4083" s="76" t="s">
        <v>1018</v>
      </c>
      <c r="C4083" s="76"/>
      <c r="D4083" s="75"/>
    </row>
    <row hidden="true" r="4084">
      <c r="A4084" s="76" t="s">
        <v>1296</v>
      </c>
      <c r="B4084" s="76" t="s">
        <v>1020</v>
      </c>
      <c r="C4084" s="76"/>
      <c r="D4084" s="75"/>
    </row>
    <row hidden="true" r="4085">
      <c r="A4085" s="76" t="s">
        <v>1296</v>
      </c>
      <c r="B4085" s="76" t="s">
        <v>1258</v>
      </c>
      <c r="C4085" s="76"/>
      <c r="D4085" s="75"/>
    </row>
    <row hidden="true" r="4086">
      <c r="A4086" s="76" t="s">
        <v>1296</v>
      </c>
      <c r="B4086" s="76" t="s">
        <v>1022</v>
      </c>
      <c r="C4086" s="76"/>
      <c r="D4086" s="75"/>
    </row>
    <row hidden="true" r="4087">
      <c r="A4087" s="76" t="s">
        <v>1296</v>
      </c>
      <c r="B4087" s="76" t="s">
        <v>1259</v>
      </c>
      <c r="C4087" s="76"/>
      <c r="D4087" s="75"/>
    </row>
    <row hidden="true" r="4088">
      <c r="A4088" s="76" t="s">
        <v>1296</v>
      </c>
      <c r="B4088" s="76" t="s">
        <v>1260</v>
      </c>
      <c r="C4088" s="76"/>
      <c r="D4088" s="75"/>
    </row>
    <row hidden="true" r="4089">
      <c r="A4089" s="76" t="s">
        <v>1296</v>
      </c>
      <c r="B4089" s="76" t="s">
        <v>1023</v>
      </c>
      <c r="C4089" s="76"/>
      <c r="D4089" s="75"/>
    </row>
    <row hidden="true" r="4090">
      <c r="A4090" s="76" t="s">
        <v>1296</v>
      </c>
      <c r="B4090" s="76" t="s">
        <v>1024</v>
      </c>
      <c r="C4090" s="76"/>
      <c r="D4090" s="75"/>
    </row>
    <row hidden="true" r="4091">
      <c r="A4091" s="76" t="s">
        <v>1296</v>
      </c>
      <c r="B4091" s="76" t="s">
        <v>1261</v>
      </c>
      <c r="C4091" s="76"/>
      <c r="D4091" s="75"/>
    </row>
    <row hidden="true" r="4092">
      <c r="A4092" s="76" t="s">
        <v>1296</v>
      </c>
      <c r="B4092" s="76" t="s">
        <v>1025</v>
      </c>
      <c r="C4092" s="76"/>
      <c r="D4092" s="75"/>
    </row>
    <row hidden="true" r="4093">
      <c r="A4093" s="76" t="s">
        <v>1296</v>
      </c>
      <c r="B4093" s="76" t="s">
        <v>1262</v>
      </c>
      <c r="C4093" s="76"/>
      <c r="D4093" s="75"/>
    </row>
    <row hidden="true" r="4094">
      <c r="A4094" s="76" t="s">
        <v>1296</v>
      </c>
      <c r="B4094" s="76" t="s">
        <v>1263</v>
      </c>
      <c r="C4094" s="76"/>
      <c r="D4094" s="75"/>
    </row>
    <row hidden="true" r="4095">
      <c r="A4095" s="76" t="s">
        <v>1296</v>
      </c>
      <c r="B4095" s="76" t="s">
        <v>1026</v>
      </c>
      <c r="C4095" s="76"/>
      <c r="D4095" s="75"/>
    </row>
    <row hidden="true" r="4096">
      <c r="A4096" s="76" t="s">
        <v>1296</v>
      </c>
      <c r="B4096" s="76" t="s">
        <v>1027</v>
      </c>
      <c r="C4096" s="76"/>
      <c r="D4096" s="75"/>
    </row>
    <row hidden="true" r="4097">
      <c r="A4097" s="76" t="s">
        <v>1296</v>
      </c>
      <c r="B4097" s="76" t="s">
        <v>1264</v>
      </c>
      <c r="C4097" s="76"/>
      <c r="D4097" s="75"/>
    </row>
    <row hidden="true" r="4098">
      <c r="A4098" s="76" t="s">
        <v>1296</v>
      </c>
      <c r="B4098" s="76" t="s">
        <v>1265</v>
      </c>
      <c r="C4098" s="76"/>
      <c r="D4098" s="75"/>
    </row>
    <row hidden="true" r="4099">
      <c r="A4099" s="76" t="s">
        <v>1296</v>
      </c>
      <c r="B4099" s="76" t="s">
        <v>1028</v>
      </c>
      <c r="C4099" s="76"/>
      <c r="D4099" s="75"/>
    </row>
    <row hidden="true" r="4100">
      <c r="A4100" s="76" t="s">
        <v>1296</v>
      </c>
      <c r="B4100" s="76" t="s">
        <v>530</v>
      </c>
      <c r="C4100" s="76"/>
      <c r="D4100" s="75"/>
    </row>
    <row hidden="true" r="4101">
      <c r="A4101" s="76" t="s">
        <v>1296</v>
      </c>
      <c r="B4101" s="76" t="s">
        <v>1030</v>
      </c>
      <c r="C4101" s="76"/>
      <c r="D4101" s="75"/>
    </row>
    <row hidden="true" r="4102">
      <c r="A4102" s="76" t="s">
        <v>1296</v>
      </c>
      <c r="B4102" s="76" t="s">
        <v>1032</v>
      </c>
      <c r="C4102" s="76"/>
      <c r="D4102" s="75"/>
    </row>
    <row hidden="true" r="4103">
      <c r="A4103" s="76" t="s">
        <v>1296</v>
      </c>
      <c r="B4103" s="76" t="s">
        <v>1034</v>
      </c>
      <c r="C4103" s="76"/>
      <c r="D4103" s="75"/>
    </row>
    <row hidden="true" r="4104">
      <c r="A4104" s="76" t="s">
        <v>1296</v>
      </c>
      <c r="B4104" s="76" t="s">
        <v>532</v>
      </c>
      <c r="C4104" s="76"/>
      <c r="D4104" s="75"/>
    </row>
    <row hidden="true" r="4105">
      <c r="A4105" s="76" t="s">
        <v>1296</v>
      </c>
      <c r="B4105" s="76" t="s">
        <v>1036</v>
      </c>
      <c r="C4105" s="76"/>
      <c r="D4105" s="75"/>
    </row>
    <row hidden="true" r="4106">
      <c r="A4106" s="76" t="s">
        <v>1296</v>
      </c>
      <c r="B4106" s="76" t="s">
        <v>1038</v>
      </c>
      <c r="C4106" s="76"/>
      <c r="D4106" s="75"/>
    </row>
    <row hidden="true" r="4107">
      <c r="A4107" s="76" t="s">
        <v>1296</v>
      </c>
      <c r="B4107" s="76" t="s">
        <v>1040</v>
      </c>
      <c r="C4107" s="76"/>
      <c r="D4107" s="75"/>
    </row>
    <row hidden="true" r="4108">
      <c r="A4108" s="76" t="s">
        <v>1296</v>
      </c>
      <c r="B4108" s="76" t="s">
        <v>1042</v>
      </c>
      <c r="C4108" s="76"/>
      <c r="D4108" s="75"/>
    </row>
    <row hidden="true" r="4109">
      <c r="A4109" s="76" t="s">
        <v>1296</v>
      </c>
      <c r="B4109" s="76" t="s">
        <v>1044</v>
      </c>
      <c r="C4109" s="76"/>
      <c r="D4109" s="75"/>
    </row>
    <row hidden="true" r="4110">
      <c r="A4110" s="76" t="s">
        <v>1296</v>
      </c>
      <c r="B4110" s="76" t="s">
        <v>1046</v>
      </c>
      <c r="C4110" s="76"/>
      <c r="D4110" s="75"/>
    </row>
    <row hidden="true" r="4111">
      <c r="A4111" s="76" t="s">
        <v>1296</v>
      </c>
      <c r="B4111" s="76" t="s">
        <v>1048</v>
      </c>
      <c r="C4111" s="76"/>
      <c r="D4111" s="75"/>
    </row>
    <row hidden="true" r="4112">
      <c r="A4112" s="76" t="s">
        <v>1296</v>
      </c>
      <c r="B4112" s="76" t="s">
        <v>1050</v>
      </c>
      <c r="C4112" s="76"/>
      <c r="D4112" s="75"/>
    </row>
    <row hidden="true" r="4113">
      <c r="A4113" s="76" t="s">
        <v>1296</v>
      </c>
      <c r="B4113" s="76" t="s">
        <v>1052</v>
      </c>
      <c r="C4113" s="76"/>
      <c r="D4113" s="75"/>
    </row>
    <row hidden="true" r="4114">
      <c r="A4114" s="76" t="s">
        <v>1296</v>
      </c>
      <c r="B4114" s="76" t="s">
        <v>1054</v>
      </c>
      <c r="C4114" s="76"/>
      <c r="D4114" s="75"/>
    </row>
    <row hidden="true" r="4115">
      <c r="A4115" s="76" t="s">
        <v>1296</v>
      </c>
      <c r="B4115" s="76" t="s">
        <v>1056</v>
      </c>
      <c r="C4115" s="76"/>
      <c r="D4115" s="75"/>
    </row>
    <row hidden="true" r="4116">
      <c r="A4116" s="76" t="s">
        <v>1296</v>
      </c>
      <c r="B4116" s="76" t="s">
        <v>1058</v>
      </c>
      <c r="C4116" s="76"/>
      <c r="D4116" s="75"/>
    </row>
    <row hidden="true" r="4117">
      <c r="A4117" s="76" t="s">
        <v>1296</v>
      </c>
      <c r="B4117" s="76" t="s">
        <v>1060</v>
      </c>
      <c r="C4117" s="76"/>
      <c r="D4117" s="75"/>
    </row>
    <row hidden="true" r="4118">
      <c r="A4118" s="76" t="s">
        <v>1296</v>
      </c>
      <c r="B4118" s="76" t="s">
        <v>1062</v>
      </c>
      <c r="C4118" s="76"/>
      <c r="D4118" s="75"/>
    </row>
    <row hidden="true" r="4119">
      <c r="A4119" s="76" t="s">
        <v>1296</v>
      </c>
      <c r="B4119" s="76" t="s">
        <v>1064</v>
      </c>
      <c r="C4119" s="76"/>
      <c r="D4119" s="75"/>
    </row>
    <row hidden="true" r="4120">
      <c r="A4120" s="76" t="s">
        <v>1296</v>
      </c>
      <c r="B4120" s="76" t="s">
        <v>1066</v>
      </c>
      <c r="C4120" s="76"/>
      <c r="D4120" s="75"/>
    </row>
    <row hidden="true" r="4121">
      <c r="A4121" s="76" t="s">
        <v>1296</v>
      </c>
      <c r="B4121" s="76" t="s">
        <v>1068</v>
      </c>
      <c r="C4121" s="76"/>
      <c r="D4121" s="75"/>
    </row>
    <row hidden="true" r="4122">
      <c r="A4122" s="76" t="s">
        <v>1296</v>
      </c>
      <c r="B4122" s="76" t="s">
        <v>1070</v>
      </c>
      <c r="C4122" s="76"/>
      <c r="D4122" s="75"/>
    </row>
    <row hidden="true" r="4123">
      <c r="A4123" s="76" t="s">
        <v>1296</v>
      </c>
      <c r="B4123" s="76" t="s">
        <v>1071</v>
      </c>
      <c r="C4123" s="76"/>
      <c r="D4123" s="75"/>
    </row>
    <row hidden="true" r="4124">
      <c r="A4124" s="76" t="s">
        <v>1296</v>
      </c>
      <c r="B4124" s="76" t="s">
        <v>1072</v>
      </c>
      <c r="C4124" s="76"/>
      <c r="D4124" s="75"/>
    </row>
    <row hidden="true" r="4125">
      <c r="A4125" s="76" t="s">
        <v>1296</v>
      </c>
      <c r="B4125" s="76" t="s">
        <v>1074</v>
      </c>
      <c r="C4125" s="76"/>
      <c r="D4125" s="75"/>
    </row>
    <row hidden="true" r="4126">
      <c r="A4126" s="76" t="s">
        <v>1296</v>
      </c>
      <c r="B4126" s="76" t="s">
        <v>1075</v>
      </c>
      <c r="C4126" s="76"/>
      <c r="D4126" s="75"/>
    </row>
    <row hidden="true" r="4127">
      <c r="A4127" s="76" t="s">
        <v>1296</v>
      </c>
      <c r="B4127" s="76" t="s">
        <v>1076</v>
      </c>
      <c r="C4127" s="76"/>
      <c r="D4127" s="75"/>
    </row>
    <row hidden="true" r="4128">
      <c r="A4128" s="76" t="s">
        <v>1296</v>
      </c>
      <c r="B4128" s="76" t="s">
        <v>1078</v>
      </c>
      <c r="C4128" s="76"/>
      <c r="D4128" s="75"/>
    </row>
    <row hidden="true" r="4129">
      <c r="A4129" s="76" t="s">
        <v>1296</v>
      </c>
      <c r="B4129" s="76" t="s">
        <v>839</v>
      </c>
      <c r="C4129" s="76"/>
      <c r="D4129" s="75"/>
    </row>
    <row hidden="true" r="4130">
      <c r="A4130" s="76" t="s">
        <v>1296</v>
      </c>
      <c r="B4130" s="76" t="s">
        <v>1080</v>
      </c>
      <c r="C4130" s="76"/>
      <c r="D4130" s="75"/>
    </row>
    <row hidden="true" r="4131">
      <c r="A4131" s="76" t="s">
        <v>1296</v>
      </c>
      <c r="B4131" s="76" t="s">
        <v>1082</v>
      </c>
      <c r="C4131" s="76"/>
      <c r="D4131" s="75"/>
    </row>
    <row hidden="true" r="4132">
      <c r="A4132" s="76" t="s">
        <v>1296</v>
      </c>
      <c r="B4132" s="76" t="s">
        <v>1084</v>
      </c>
      <c r="C4132" s="76"/>
      <c r="D4132" s="75"/>
    </row>
    <row hidden="true" r="4133">
      <c r="A4133" s="76" t="s">
        <v>1296</v>
      </c>
      <c r="B4133" s="76" t="s">
        <v>1086</v>
      </c>
      <c r="C4133" s="76"/>
      <c r="D4133" s="75"/>
    </row>
    <row hidden="true" r="4134">
      <c r="A4134" s="76" t="s">
        <v>1296</v>
      </c>
      <c r="B4134" s="76" t="s">
        <v>1088</v>
      </c>
      <c r="C4134" s="76"/>
      <c r="D4134" s="75"/>
    </row>
    <row hidden="true" r="4135">
      <c r="A4135" s="76" t="s">
        <v>1296</v>
      </c>
      <c r="B4135" s="76" t="s">
        <v>1090</v>
      </c>
      <c r="C4135" s="76"/>
      <c r="D4135" s="75"/>
    </row>
    <row hidden="true" r="4136">
      <c r="A4136" s="76" t="s">
        <v>1296</v>
      </c>
      <c r="B4136" s="76" t="s">
        <v>1092</v>
      </c>
      <c r="C4136" s="76"/>
      <c r="D4136" s="75"/>
    </row>
    <row hidden="true" r="4137">
      <c r="A4137" s="76" t="s">
        <v>1296</v>
      </c>
      <c r="B4137" s="76" t="s">
        <v>1093</v>
      </c>
      <c r="C4137" s="76"/>
      <c r="D4137" s="75"/>
    </row>
    <row hidden="true" r="4138">
      <c r="A4138" s="76" t="s">
        <v>1296</v>
      </c>
      <c r="B4138" s="76" t="s">
        <v>1095</v>
      </c>
      <c r="C4138" s="76"/>
      <c r="D4138" s="75"/>
    </row>
    <row hidden="true" r="4139">
      <c r="A4139" s="76" t="s">
        <v>1296</v>
      </c>
      <c r="B4139" s="76" t="s">
        <v>1097</v>
      </c>
      <c r="C4139" s="76"/>
      <c r="D4139" s="75"/>
    </row>
    <row hidden="true" r="4140">
      <c r="A4140" s="76" t="s">
        <v>1296</v>
      </c>
      <c r="B4140" s="76" t="s">
        <v>1099</v>
      </c>
      <c r="C4140" s="76"/>
      <c r="D4140" s="75"/>
    </row>
    <row hidden="true" r="4141">
      <c r="A4141" s="76" t="s">
        <v>1296</v>
      </c>
      <c r="B4141" s="76" t="s">
        <v>1101</v>
      </c>
      <c r="C4141" s="76"/>
      <c r="D4141" s="75"/>
    </row>
    <row hidden="true" r="4142">
      <c r="A4142" s="76" t="s">
        <v>1296</v>
      </c>
      <c r="B4142" s="76" t="s">
        <v>1103</v>
      </c>
      <c r="C4142" s="76"/>
      <c r="D4142" s="75"/>
    </row>
    <row hidden="true" r="4143">
      <c r="A4143" s="76" t="s">
        <v>1296</v>
      </c>
      <c r="B4143" s="76" t="s">
        <v>1105</v>
      </c>
      <c r="C4143" s="76"/>
      <c r="D4143" s="75"/>
    </row>
    <row hidden="true" r="4144">
      <c r="A4144" s="76" t="s">
        <v>1296</v>
      </c>
      <c r="B4144" s="76" t="s">
        <v>1107</v>
      </c>
      <c r="C4144" s="76"/>
      <c r="D4144" s="75"/>
    </row>
    <row hidden="true" r="4145">
      <c r="A4145" s="76" t="s">
        <v>1296</v>
      </c>
      <c r="B4145" s="76" t="s">
        <v>1109</v>
      </c>
      <c r="C4145" s="76"/>
      <c r="D4145" s="75"/>
    </row>
    <row hidden="true" r="4146">
      <c r="A4146" s="76" t="s">
        <v>1296</v>
      </c>
      <c r="B4146" s="76" t="s">
        <v>1111</v>
      </c>
      <c r="C4146" s="76"/>
      <c r="D4146" s="75"/>
    </row>
    <row hidden="true" r="4147">
      <c r="A4147" s="76" t="s">
        <v>1296</v>
      </c>
      <c r="B4147" s="76" t="s">
        <v>1113</v>
      </c>
      <c r="C4147" s="76"/>
      <c r="D4147" s="75"/>
    </row>
    <row hidden="true" r="4148">
      <c r="A4148" s="76" t="s">
        <v>1296</v>
      </c>
      <c r="B4148" s="76" t="s">
        <v>1115</v>
      </c>
      <c r="C4148" s="76"/>
      <c r="D4148" s="75"/>
    </row>
    <row hidden="true" r="4149">
      <c r="A4149" s="76" t="s">
        <v>1296</v>
      </c>
      <c r="B4149" s="76" t="s">
        <v>1117</v>
      </c>
      <c r="C4149" s="76"/>
      <c r="D4149" s="75"/>
    </row>
    <row hidden="true" r="4150">
      <c r="A4150" s="76" t="s">
        <v>1296</v>
      </c>
      <c r="B4150" s="76" t="s">
        <v>1119</v>
      </c>
      <c r="C4150" s="76"/>
      <c r="D4150" s="75"/>
    </row>
    <row hidden="true" r="4151">
      <c r="A4151" s="76" t="s">
        <v>1296</v>
      </c>
      <c r="B4151" s="76" t="s">
        <v>1121</v>
      </c>
      <c r="C4151" s="76"/>
      <c r="D4151" s="75"/>
    </row>
    <row hidden="true" r="4152">
      <c r="A4152" s="76" t="s">
        <v>1296</v>
      </c>
      <c r="B4152" s="76" t="s">
        <v>1123</v>
      </c>
      <c r="C4152" s="76"/>
      <c r="D4152" s="75"/>
    </row>
    <row hidden="true" r="4153">
      <c r="A4153" s="76" t="s">
        <v>1296</v>
      </c>
      <c r="B4153" s="76" t="s">
        <v>1125</v>
      </c>
      <c r="C4153" s="76"/>
      <c r="D4153" s="75"/>
    </row>
    <row hidden="true" r="4154">
      <c r="A4154" s="76" t="s">
        <v>1296</v>
      </c>
      <c r="B4154" s="76" t="s">
        <v>1127</v>
      </c>
      <c r="C4154" s="76"/>
      <c r="D4154" s="75"/>
    </row>
    <row hidden="true" r="4155">
      <c r="A4155" s="76" t="s">
        <v>1296</v>
      </c>
      <c r="B4155" s="76" t="s">
        <v>1129</v>
      </c>
      <c r="C4155" s="76"/>
      <c r="D4155" s="75"/>
    </row>
    <row hidden="true" r="4156">
      <c r="A4156" s="76" t="s">
        <v>1296</v>
      </c>
      <c r="B4156" s="76" t="s">
        <v>1131</v>
      </c>
      <c r="C4156" s="76"/>
      <c r="D4156" s="75"/>
    </row>
    <row hidden="true" r="4157">
      <c r="A4157" s="76" t="s">
        <v>1296</v>
      </c>
      <c r="B4157" s="76" t="s">
        <v>1133</v>
      </c>
      <c r="C4157" s="76"/>
      <c r="D4157" s="75"/>
    </row>
    <row hidden="true" r="4158">
      <c r="A4158" s="76" t="s">
        <v>1296</v>
      </c>
      <c r="B4158" s="76" t="s">
        <v>1135</v>
      </c>
      <c r="C4158" s="76"/>
      <c r="D4158" s="75"/>
    </row>
    <row hidden="true" r="4159">
      <c r="A4159" s="76" t="s">
        <v>1296</v>
      </c>
      <c r="B4159" s="76" t="s">
        <v>1137</v>
      </c>
      <c r="C4159" s="76"/>
      <c r="D4159" s="75"/>
    </row>
    <row hidden="true" r="4160">
      <c r="A4160" s="76" t="s">
        <v>1296</v>
      </c>
      <c r="B4160" s="76" t="s">
        <v>1139</v>
      </c>
      <c r="C4160" s="76"/>
      <c r="D4160" s="75"/>
    </row>
    <row hidden="true" r="4161">
      <c r="A4161" s="76" t="s">
        <v>1296</v>
      </c>
      <c r="B4161" s="76" t="s">
        <v>1141</v>
      </c>
      <c r="C4161" s="76"/>
      <c r="D4161" s="75"/>
    </row>
    <row hidden="true" r="4162">
      <c r="A4162" s="76" t="s">
        <v>1296</v>
      </c>
      <c r="B4162" s="76" t="s">
        <v>1143</v>
      </c>
      <c r="C4162" s="76"/>
      <c r="D4162" s="75"/>
    </row>
    <row hidden="true" r="4163">
      <c r="A4163" s="76" t="s">
        <v>1296</v>
      </c>
      <c r="B4163" s="76" t="s">
        <v>1145</v>
      </c>
      <c r="C4163" s="76"/>
      <c r="D4163" s="75"/>
    </row>
    <row hidden="true" r="4164">
      <c r="A4164" s="76" t="s">
        <v>1296</v>
      </c>
      <c r="B4164" s="76" t="s">
        <v>1147</v>
      </c>
      <c r="C4164" s="76"/>
      <c r="D4164" s="75"/>
    </row>
    <row hidden="true" r="4165">
      <c r="A4165" s="76" t="s">
        <v>1296</v>
      </c>
      <c r="B4165" s="76" t="s">
        <v>1149</v>
      </c>
      <c r="C4165" s="76"/>
      <c r="D4165" s="75"/>
    </row>
    <row hidden="true" r="4166">
      <c r="A4166" s="76" t="s">
        <v>1296</v>
      </c>
      <c r="B4166" s="76" t="s">
        <v>1151</v>
      </c>
      <c r="C4166" s="76"/>
      <c r="D4166" s="75"/>
    </row>
    <row hidden="true" r="4167">
      <c r="A4167" s="76" t="s">
        <v>1296</v>
      </c>
      <c r="B4167" s="76" t="s">
        <v>1153</v>
      </c>
      <c r="C4167" s="76"/>
      <c r="D4167" s="75"/>
    </row>
    <row hidden="true" r="4168">
      <c r="A4168" s="76" t="s">
        <v>1296</v>
      </c>
      <c r="B4168" s="76" t="s">
        <v>1155</v>
      </c>
      <c r="C4168" s="76"/>
      <c r="D4168" s="75"/>
    </row>
    <row hidden="true" r="4169">
      <c r="A4169" s="76" t="s">
        <v>1296</v>
      </c>
      <c r="B4169" s="76" t="s">
        <v>1157</v>
      </c>
      <c r="C4169" s="76"/>
      <c r="D4169" s="75"/>
    </row>
    <row hidden="true" r="4170">
      <c r="A4170" s="76" t="s">
        <v>1296</v>
      </c>
      <c r="B4170" s="76" t="s">
        <v>1159</v>
      </c>
      <c r="C4170" s="76"/>
      <c r="D4170" s="75"/>
    </row>
    <row hidden="true" r="4171">
      <c r="A4171" s="76" t="s">
        <v>1296</v>
      </c>
      <c r="B4171" s="76" t="s">
        <v>868</v>
      </c>
      <c r="C4171" s="76"/>
      <c r="D4171" s="75"/>
    </row>
    <row hidden="true" r="4172">
      <c r="A4172" s="76" t="s">
        <v>1296</v>
      </c>
      <c r="B4172" s="76" t="s">
        <v>1161</v>
      </c>
      <c r="C4172" s="76"/>
      <c r="D4172" s="75"/>
    </row>
    <row hidden="true" r="4173">
      <c r="A4173" s="76" t="s">
        <v>1296</v>
      </c>
      <c r="B4173" s="76" t="s">
        <v>1163</v>
      </c>
      <c r="C4173" s="76"/>
      <c r="D4173" s="75"/>
    </row>
    <row hidden="true" r="4174">
      <c r="A4174" s="76" t="s">
        <v>1296</v>
      </c>
      <c r="B4174" s="76" t="s">
        <v>1165</v>
      </c>
      <c r="C4174" s="76"/>
      <c r="D4174" s="75"/>
    </row>
    <row hidden="true" r="4175">
      <c r="A4175" s="76" t="s">
        <v>1296</v>
      </c>
      <c r="B4175" s="76" t="s">
        <v>1167</v>
      </c>
      <c r="C4175" s="76"/>
      <c r="D4175" s="75"/>
    </row>
    <row hidden="true" r="4176">
      <c r="A4176" s="76" t="s">
        <v>1296</v>
      </c>
      <c r="B4176" s="76" t="s">
        <v>1169</v>
      </c>
      <c r="C4176" s="76"/>
      <c r="D4176" s="75"/>
    </row>
    <row hidden="true" r="4177">
      <c r="A4177" s="76" t="s">
        <v>1296</v>
      </c>
      <c r="B4177" s="76" t="s">
        <v>1171</v>
      </c>
      <c r="C4177" s="76"/>
      <c r="D4177" s="75"/>
    </row>
    <row hidden="true" r="4178">
      <c r="A4178" s="76" t="s">
        <v>1296</v>
      </c>
      <c r="B4178" s="76" t="s">
        <v>1173</v>
      </c>
      <c r="C4178" s="76"/>
      <c r="D4178" s="75"/>
    </row>
    <row hidden="true" r="4179">
      <c r="A4179" s="76" t="s">
        <v>1296</v>
      </c>
      <c r="B4179" s="76" t="s">
        <v>1175</v>
      </c>
      <c r="C4179" s="76"/>
      <c r="D4179" s="75"/>
    </row>
    <row hidden="true" r="4180">
      <c r="A4180" s="76" t="s">
        <v>1296</v>
      </c>
      <c r="B4180" s="76" t="s">
        <v>1177</v>
      </c>
      <c r="C4180" s="76"/>
      <c r="D4180" s="75"/>
    </row>
    <row hidden="true" r="4181">
      <c r="A4181" s="76" t="s">
        <v>1296</v>
      </c>
      <c r="B4181" s="76" t="s">
        <v>1179</v>
      </c>
      <c r="C4181" s="76"/>
      <c r="D4181" s="75"/>
    </row>
    <row hidden="true" r="4182">
      <c r="A4182" s="76" t="s">
        <v>1296</v>
      </c>
      <c r="B4182" s="76" t="s">
        <v>1181</v>
      </c>
      <c r="C4182" s="76"/>
      <c r="D4182" s="75"/>
    </row>
    <row hidden="true" r="4183">
      <c r="A4183" s="76" t="s">
        <v>1296</v>
      </c>
      <c r="B4183" s="76" t="s">
        <v>1183</v>
      </c>
      <c r="C4183" s="76"/>
      <c r="D4183" s="75"/>
    </row>
    <row hidden="true" r="4184">
      <c r="A4184" s="76" t="s">
        <v>1296</v>
      </c>
      <c r="B4184" s="76" t="s">
        <v>1185</v>
      </c>
      <c r="C4184" s="76"/>
      <c r="D4184" s="75"/>
    </row>
    <row hidden="true" r="4185">
      <c r="A4185" s="76" t="s">
        <v>1296</v>
      </c>
      <c r="B4185" s="76" t="s">
        <v>1187</v>
      </c>
      <c r="C4185" s="76"/>
      <c r="D4185" s="75"/>
    </row>
    <row hidden="true" r="4186">
      <c r="A4186" s="76" t="s">
        <v>1296</v>
      </c>
      <c r="B4186" s="76" t="s">
        <v>1189</v>
      </c>
      <c r="C4186" s="76"/>
      <c r="D4186" s="75"/>
    </row>
    <row hidden="true" r="4187">
      <c r="A4187" s="76" t="s">
        <v>1296</v>
      </c>
      <c r="B4187" s="76" t="s">
        <v>1191</v>
      </c>
      <c r="C4187" s="76"/>
      <c r="D4187" s="75"/>
    </row>
    <row hidden="true" r="4188">
      <c r="A4188" s="76" t="s">
        <v>1296</v>
      </c>
      <c r="B4188" s="76" t="s">
        <v>1266</v>
      </c>
      <c r="C4188" s="76"/>
      <c r="D4188" s="75"/>
    </row>
    <row hidden="true" r="4189">
      <c r="A4189" s="76" t="s">
        <v>1296</v>
      </c>
      <c r="B4189" s="76" t="s">
        <v>1267</v>
      </c>
      <c r="C4189" s="76"/>
      <c r="D4189" s="75"/>
    </row>
    <row hidden="true" r="4190">
      <c r="A4190" s="76" t="s">
        <v>1296</v>
      </c>
      <c r="B4190" s="76" t="s">
        <v>1193</v>
      </c>
      <c r="C4190" s="76"/>
      <c r="D4190" s="75"/>
    </row>
    <row hidden="true" r="4191">
      <c r="A4191" s="76" t="s">
        <v>1296</v>
      </c>
      <c r="B4191" s="76" t="s">
        <v>1195</v>
      </c>
      <c r="C4191" s="76"/>
      <c r="D4191" s="75"/>
    </row>
    <row hidden="true" r="4192">
      <c r="A4192" s="76" t="s">
        <v>1296</v>
      </c>
      <c r="B4192" s="76" t="s">
        <v>1197</v>
      </c>
      <c r="C4192" s="76"/>
      <c r="D4192" s="75"/>
    </row>
    <row hidden="true" r="4193">
      <c r="A4193" s="76" t="s">
        <v>1296</v>
      </c>
      <c r="B4193" s="76" t="s">
        <v>1268</v>
      </c>
      <c r="C4193" s="76"/>
      <c r="D4193" s="75"/>
    </row>
    <row hidden="true" r="4194">
      <c r="A4194" s="76" t="s">
        <v>1296</v>
      </c>
      <c r="B4194" s="76" t="s">
        <v>1269</v>
      </c>
      <c r="C4194" s="76"/>
      <c r="D4194" s="75"/>
    </row>
    <row hidden="true" r="4195">
      <c r="A4195" s="76" t="s">
        <v>1296</v>
      </c>
      <c r="B4195" s="76" t="s">
        <v>1199</v>
      </c>
      <c r="C4195" s="76"/>
      <c r="D4195" s="75"/>
    </row>
    <row hidden="true" r="4196">
      <c r="A4196" s="76" t="s">
        <v>1296</v>
      </c>
      <c r="B4196" s="76" t="s">
        <v>1201</v>
      </c>
      <c r="C4196" s="76"/>
      <c r="D4196" s="75"/>
    </row>
    <row hidden="true" r="4197">
      <c r="A4197" s="76" t="s">
        <v>1296</v>
      </c>
      <c r="B4197" s="76" t="s">
        <v>1203</v>
      </c>
      <c r="C4197" s="76"/>
      <c r="D4197" s="75"/>
    </row>
    <row hidden="true" r="4198">
      <c r="A4198" s="76" t="s">
        <v>1296</v>
      </c>
      <c r="B4198" s="76" t="s">
        <v>1205</v>
      </c>
      <c r="C4198" s="76"/>
      <c r="D4198" s="75"/>
    </row>
    <row hidden="true" r="4199">
      <c r="A4199" s="76" t="s">
        <v>1296</v>
      </c>
      <c r="B4199" s="76" t="s">
        <v>1207</v>
      </c>
      <c r="C4199" s="76"/>
      <c r="D4199" s="75"/>
    </row>
    <row hidden="true" r="4200">
      <c r="A4200" s="76" t="s">
        <v>1296</v>
      </c>
      <c r="B4200" s="76" t="s">
        <v>1209</v>
      </c>
      <c r="C4200" s="76"/>
      <c r="D4200" s="75"/>
    </row>
    <row hidden="true" r="4201">
      <c r="A4201" s="76" t="s">
        <v>1296</v>
      </c>
      <c r="B4201" s="76" t="s">
        <v>1211</v>
      </c>
      <c r="C4201" s="76"/>
      <c r="D4201" s="75"/>
    </row>
    <row hidden="true" r="4202">
      <c r="A4202" s="76" t="s">
        <v>1296</v>
      </c>
      <c r="B4202" s="76" t="s">
        <v>1270</v>
      </c>
      <c r="C4202" s="76"/>
      <c r="D4202" s="75"/>
    </row>
    <row hidden="true" r="4203">
      <c r="A4203" s="76" t="s">
        <v>1296</v>
      </c>
      <c r="B4203" s="76" t="s">
        <v>1271</v>
      </c>
      <c r="C4203" s="76"/>
      <c r="D4203" s="75"/>
    </row>
    <row hidden="true" r="4204">
      <c r="A4204" s="76" t="s">
        <v>1296</v>
      </c>
      <c r="B4204" s="76" t="s">
        <v>1272</v>
      </c>
      <c r="C4204" s="76"/>
      <c r="D4204" s="75"/>
    </row>
    <row hidden="true" r="4205">
      <c r="A4205" s="76" t="s">
        <v>1296</v>
      </c>
      <c r="B4205" s="76" t="s">
        <v>1273</v>
      </c>
      <c r="C4205" s="76"/>
      <c r="D4205" s="75"/>
    </row>
    <row hidden="true" r="4206">
      <c r="A4206" s="76" t="s">
        <v>1296</v>
      </c>
      <c r="B4206" s="76" t="s">
        <v>1274</v>
      </c>
      <c r="C4206" s="76"/>
      <c r="D4206" s="75"/>
    </row>
    <row hidden="true" r="4207">
      <c r="A4207" s="76" t="s">
        <v>1296</v>
      </c>
      <c r="B4207" s="76" t="s">
        <v>1275</v>
      </c>
      <c r="C4207" s="76"/>
      <c r="D4207" s="75"/>
    </row>
    <row hidden="true" r="4208">
      <c r="A4208" s="76" t="s">
        <v>1296</v>
      </c>
      <c r="B4208" s="76" t="s">
        <v>1276</v>
      </c>
      <c r="C4208" s="76"/>
      <c r="D4208" s="75"/>
    </row>
    <row hidden="true" r="4209">
      <c r="A4209" s="76" t="s">
        <v>1296</v>
      </c>
      <c r="B4209" s="76" t="s">
        <v>1277</v>
      </c>
      <c r="C4209" s="76"/>
      <c r="D4209" s="75"/>
    </row>
    <row hidden="true" r="4210">
      <c r="A4210" s="76" t="s">
        <v>1296</v>
      </c>
      <c r="B4210" s="76" t="s">
        <v>1278</v>
      </c>
      <c r="C4210" s="76"/>
      <c r="D4210" s="75"/>
    </row>
    <row hidden="true" r="4211">
      <c r="A4211" s="76" t="s">
        <v>1296</v>
      </c>
      <c r="B4211" s="76" t="s">
        <v>735</v>
      </c>
      <c r="C4211" s="76"/>
      <c r="D4211" s="75"/>
    </row>
    <row hidden="true" r="4212">
      <c r="A4212" s="76" t="s">
        <v>1297</v>
      </c>
      <c r="B4212" s="76" t="s">
        <v>407</v>
      </c>
      <c r="C4212" s="76" t="s">
        <v>1226</v>
      </c>
      <c r="D4212" s="75"/>
    </row>
    <row hidden="true" r="4213">
      <c r="A4213" s="76" t="s">
        <v>1297</v>
      </c>
      <c r="B4213" s="76" t="s">
        <v>744</v>
      </c>
      <c r="C4213" s="76" t="s">
        <v>745</v>
      </c>
      <c r="D4213" s="75"/>
    </row>
    <row hidden="true" r="4214">
      <c r="A4214" s="76" t="s">
        <v>1297</v>
      </c>
      <c r="B4214" s="76" t="s">
        <v>409</v>
      </c>
      <c r="C4214" s="76" t="s">
        <v>1215</v>
      </c>
      <c r="D4214" s="75"/>
    </row>
    <row hidden="true" r="4215">
      <c r="A4215" s="76" t="s">
        <v>1297</v>
      </c>
      <c r="B4215" s="76" t="s">
        <v>884</v>
      </c>
      <c r="C4215" s="76" t="s">
        <v>1227</v>
      </c>
      <c r="D4215" s="75"/>
    </row>
    <row hidden="true" r="4216">
      <c r="A4216" s="76" t="s">
        <v>1297</v>
      </c>
      <c r="B4216" s="76" t="s">
        <v>886</v>
      </c>
      <c r="C4216" s="76" t="s">
        <v>1228</v>
      </c>
      <c r="D4216" s="75"/>
    </row>
    <row hidden="true" r="4217">
      <c r="A4217" s="76" t="s">
        <v>1297</v>
      </c>
      <c r="B4217" s="76" t="s">
        <v>888</v>
      </c>
      <c r="C4217" s="76" t="s">
        <v>889</v>
      </c>
      <c r="D4217" s="75"/>
    </row>
    <row hidden="true" r="4218">
      <c r="A4218" s="76" t="s">
        <v>1297</v>
      </c>
      <c r="B4218" s="76" t="s">
        <v>890</v>
      </c>
      <c r="C4218" s="76" t="s">
        <v>891</v>
      </c>
      <c r="D4218" s="75"/>
    </row>
    <row hidden="true" r="4219">
      <c r="A4219" s="76" t="s">
        <v>1297</v>
      </c>
      <c r="B4219" s="76" t="s">
        <v>892</v>
      </c>
      <c r="C4219" s="76" t="s">
        <v>893</v>
      </c>
      <c r="D4219" s="75"/>
    </row>
    <row hidden="true" r="4220">
      <c r="A4220" s="76" t="s">
        <v>1297</v>
      </c>
      <c r="B4220" s="76" t="s">
        <v>894</v>
      </c>
      <c r="C4220" s="76" t="s">
        <v>1217</v>
      </c>
      <c r="D4220" s="75"/>
    </row>
    <row hidden="true" r="4221">
      <c r="A4221" s="76" t="s">
        <v>1297</v>
      </c>
      <c r="B4221" s="76" t="s">
        <v>896</v>
      </c>
      <c r="C4221" s="76" t="s">
        <v>1229</v>
      </c>
      <c r="D4221" s="75"/>
    </row>
    <row hidden="true" r="4222">
      <c r="A4222" s="76" t="s">
        <v>1297</v>
      </c>
      <c r="B4222" s="76" t="s">
        <v>898</v>
      </c>
      <c r="C4222" s="76" t="s">
        <v>899</v>
      </c>
      <c r="D4222" s="75"/>
    </row>
    <row hidden="true" r="4223">
      <c r="A4223" s="76" t="s">
        <v>1297</v>
      </c>
      <c r="B4223" s="76" t="s">
        <v>900</v>
      </c>
      <c r="C4223" s="76" t="s">
        <v>1230</v>
      </c>
      <c r="D4223" s="75"/>
    </row>
    <row hidden="true" r="4224">
      <c r="A4224" s="76" t="s">
        <v>1297</v>
      </c>
      <c r="B4224" s="76" t="s">
        <v>902</v>
      </c>
      <c r="C4224" s="76" t="s">
        <v>903</v>
      </c>
      <c r="D4224" s="75"/>
    </row>
    <row hidden="true" r="4225">
      <c r="A4225" s="76" t="s">
        <v>1297</v>
      </c>
      <c r="B4225" s="76" t="s">
        <v>904</v>
      </c>
      <c r="C4225" s="76" t="s">
        <v>905</v>
      </c>
      <c r="D4225" s="75"/>
    </row>
    <row hidden="true" r="4226">
      <c r="A4226" s="76" t="s">
        <v>1297</v>
      </c>
      <c r="B4226" s="76" t="s">
        <v>906</v>
      </c>
      <c r="C4226" s="76" t="s">
        <v>1231</v>
      </c>
      <c r="D4226" s="75"/>
    </row>
    <row hidden="true" r="4227">
      <c r="A4227" s="76" t="s">
        <v>1297</v>
      </c>
      <c r="B4227" s="76" t="s">
        <v>908</v>
      </c>
      <c r="C4227" s="76" t="s">
        <v>909</v>
      </c>
      <c r="D4227" s="75"/>
    </row>
    <row hidden="true" r="4228">
      <c r="A4228" s="76" t="s">
        <v>1297</v>
      </c>
      <c r="B4228" s="76" t="s">
        <v>910</v>
      </c>
      <c r="C4228" s="76" t="s">
        <v>911</v>
      </c>
      <c r="D4228" s="75"/>
    </row>
    <row hidden="true" r="4229">
      <c r="A4229" s="76" t="s">
        <v>1297</v>
      </c>
      <c r="B4229" s="76" t="s">
        <v>912</v>
      </c>
      <c r="C4229" s="76" t="s">
        <v>913</v>
      </c>
      <c r="D4229" s="75"/>
    </row>
    <row hidden="true" r="4230">
      <c r="A4230" s="76" t="s">
        <v>1297</v>
      </c>
      <c r="B4230" s="76" t="s">
        <v>914</v>
      </c>
      <c r="C4230" s="76" t="s">
        <v>915</v>
      </c>
      <c r="D4230" s="75"/>
    </row>
    <row hidden="true" r="4231">
      <c r="A4231" s="76" t="s">
        <v>1297</v>
      </c>
      <c r="B4231" s="76" t="s">
        <v>916</v>
      </c>
      <c r="C4231" s="76" t="s">
        <v>917</v>
      </c>
      <c r="D4231" s="75"/>
    </row>
    <row hidden="true" r="4232">
      <c r="A4232" s="76" t="s">
        <v>1297</v>
      </c>
      <c r="B4232" s="76" t="s">
        <v>918</v>
      </c>
      <c r="C4232" s="76" t="s">
        <v>919</v>
      </c>
      <c r="D4232" s="75"/>
    </row>
    <row hidden="true" r="4233">
      <c r="A4233" s="76" t="s">
        <v>1297</v>
      </c>
      <c r="B4233" s="76" t="s">
        <v>920</v>
      </c>
      <c r="C4233" s="76" t="s">
        <v>921</v>
      </c>
      <c r="D4233" s="75"/>
    </row>
    <row hidden="true" r="4234">
      <c r="A4234" s="76" t="s">
        <v>1297</v>
      </c>
      <c r="B4234" s="76" t="s">
        <v>922</v>
      </c>
      <c r="C4234" s="76" t="s">
        <v>923</v>
      </c>
      <c r="D4234" s="75"/>
    </row>
    <row hidden="true" r="4235">
      <c r="A4235" s="76" t="s">
        <v>1297</v>
      </c>
      <c r="B4235" s="76" t="s">
        <v>924</v>
      </c>
      <c r="C4235" s="76" t="s">
        <v>925</v>
      </c>
      <c r="D4235" s="75"/>
    </row>
    <row hidden="true" r="4236">
      <c r="A4236" s="76" t="s">
        <v>1297</v>
      </c>
      <c r="B4236" s="76" t="s">
        <v>926</v>
      </c>
      <c r="C4236" s="76" t="s">
        <v>927</v>
      </c>
      <c r="D4236" s="75"/>
    </row>
    <row hidden="true" r="4237">
      <c r="A4237" s="76" t="s">
        <v>1297</v>
      </c>
      <c r="B4237" s="76" t="s">
        <v>928</v>
      </c>
      <c r="C4237" s="76" t="s">
        <v>929</v>
      </c>
      <c r="D4237" s="75"/>
    </row>
    <row hidden="true" r="4238">
      <c r="A4238" s="76" t="s">
        <v>1297</v>
      </c>
      <c r="B4238" s="76" t="s">
        <v>930</v>
      </c>
      <c r="C4238" s="76" t="s">
        <v>931</v>
      </c>
      <c r="D4238" s="75"/>
    </row>
    <row hidden="true" r="4239">
      <c r="A4239" s="76" t="s">
        <v>1297</v>
      </c>
      <c r="B4239" s="76" t="s">
        <v>932</v>
      </c>
      <c r="C4239" s="76" t="s">
        <v>933</v>
      </c>
      <c r="D4239" s="75"/>
    </row>
    <row hidden="true" r="4240">
      <c r="A4240" s="76" t="s">
        <v>1297</v>
      </c>
      <c r="B4240" s="76" t="s">
        <v>934</v>
      </c>
      <c r="C4240" s="76" t="s">
        <v>935</v>
      </c>
      <c r="D4240" s="75"/>
    </row>
    <row hidden="true" r="4241">
      <c r="A4241" s="76" t="s">
        <v>1297</v>
      </c>
      <c r="B4241" s="76" t="s">
        <v>936</v>
      </c>
      <c r="C4241" s="76" t="s">
        <v>937</v>
      </c>
      <c r="D4241" s="75"/>
    </row>
    <row hidden="true" r="4242">
      <c r="A4242" s="76" t="s">
        <v>1297</v>
      </c>
      <c r="B4242" s="76" t="s">
        <v>938</v>
      </c>
      <c r="C4242" s="76" t="s">
        <v>939</v>
      </c>
      <c r="D4242" s="75"/>
    </row>
    <row hidden="true" r="4243">
      <c r="A4243" s="76" t="s">
        <v>1297</v>
      </c>
      <c r="B4243" s="76" t="s">
        <v>940</v>
      </c>
      <c r="C4243" s="76" t="s">
        <v>1232</v>
      </c>
      <c r="D4243" s="75"/>
    </row>
    <row hidden="true" r="4244">
      <c r="A4244" s="76" t="s">
        <v>1297</v>
      </c>
      <c r="B4244" s="76" t="s">
        <v>942</v>
      </c>
      <c r="C4244" s="76" t="s">
        <v>943</v>
      </c>
      <c r="D4244" s="75"/>
    </row>
    <row hidden="true" r="4245">
      <c r="A4245" s="76" t="s">
        <v>1297</v>
      </c>
      <c r="B4245" s="76" t="s">
        <v>944</v>
      </c>
      <c r="C4245" s="76" t="s">
        <v>945</v>
      </c>
      <c r="D4245" s="75"/>
    </row>
    <row hidden="true" r="4246">
      <c r="A4246" s="76" t="s">
        <v>1297</v>
      </c>
      <c r="B4246" s="76" t="s">
        <v>946</v>
      </c>
      <c r="C4246" s="76" t="s">
        <v>1233</v>
      </c>
      <c r="D4246" s="75"/>
    </row>
    <row hidden="true" r="4247">
      <c r="A4247" s="76" t="s">
        <v>1297</v>
      </c>
      <c r="B4247" s="76" t="s">
        <v>948</v>
      </c>
      <c r="C4247" s="76" t="s">
        <v>1222</v>
      </c>
      <c r="D4247" s="75"/>
    </row>
    <row hidden="true" r="4248">
      <c r="A4248" s="76" t="s">
        <v>1297</v>
      </c>
      <c r="B4248" s="76" t="s">
        <v>950</v>
      </c>
      <c r="C4248" s="76" t="s">
        <v>951</v>
      </c>
      <c r="D4248" s="75"/>
    </row>
    <row hidden="true" r="4249">
      <c r="A4249" s="76" t="s">
        <v>1297</v>
      </c>
      <c r="B4249" s="76" t="s">
        <v>952</v>
      </c>
      <c r="C4249" s="76" t="s">
        <v>953</v>
      </c>
      <c r="D4249" s="75"/>
    </row>
    <row hidden="true" r="4250">
      <c r="A4250" s="76" t="s">
        <v>1297</v>
      </c>
      <c r="B4250" s="76" t="s">
        <v>954</v>
      </c>
      <c r="C4250" s="76" t="s">
        <v>955</v>
      </c>
      <c r="D4250" s="75"/>
    </row>
    <row hidden="true" r="4251">
      <c r="A4251" s="76" t="s">
        <v>1297</v>
      </c>
      <c r="B4251" s="76" t="s">
        <v>775</v>
      </c>
      <c r="C4251" s="76" t="s">
        <v>1234</v>
      </c>
      <c r="D4251" s="75"/>
    </row>
    <row hidden="true" r="4252">
      <c r="A4252" s="76" t="s">
        <v>1297</v>
      </c>
      <c r="B4252" s="76" t="s">
        <v>956</v>
      </c>
      <c r="C4252" s="76" t="s">
        <v>957</v>
      </c>
      <c r="D4252" s="75"/>
    </row>
    <row hidden="true" r="4253">
      <c r="A4253" s="76" t="s">
        <v>1297</v>
      </c>
      <c r="B4253" s="76" t="s">
        <v>958</v>
      </c>
      <c r="C4253" s="76" t="s">
        <v>959</v>
      </c>
      <c r="D4253" s="75"/>
    </row>
    <row hidden="true" r="4254">
      <c r="A4254" s="76" t="s">
        <v>1297</v>
      </c>
      <c r="B4254" s="76" t="s">
        <v>960</v>
      </c>
      <c r="C4254" s="76" t="s">
        <v>961</v>
      </c>
      <c r="D4254" s="75"/>
    </row>
    <row hidden="true" r="4255">
      <c r="A4255" s="76" t="s">
        <v>1297</v>
      </c>
      <c r="B4255" s="76" t="s">
        <v>962</v>
      </c>
      <c r="C4255" s="76" t="s">
        <v>1235</v>
      </c>
      <c r="D4255" s="75"/>
    </row>
    <row hidden="true" r="4256">
      <c r="A4256" s="76" t="s">
        <v>1297</v>
      </c>
      <c r="B4256" s="76" t="s">
        <v>964</v>
      </c>
      <c r="C4256" s="76" t="s">
        <v>1236</v>
      </c>
      <c r="D4256" s="75"/>
    </row>
    <row hidden="true" r="4257">
      <c r="A4257" s="76" t="s">
        <v>1297</v>
      </c>
      <c r="B4257" s="76" t="s">
        <v>966</v>
      </c>
      <c r="C4257" s="76" t="s">
        <v>967</v>
      </c>
      <c r="D4257" s="75"/>
    </row>
    <row hidden="true" r="4258">
      <c r="A4258" s="76" t="s">
        <v>1297</v>
      </c>
      <c r="B4258" s="76" t="s">
        <v>968</v>
      </c>
      <c r="C4258" s="76" t="s">
        <v>969</v>
      </c>
      <c r="D4258" s="75"/>
    </row>
    <row hidden="true" r="4259">
      <c r="A4259" s="76" t="s">
        <v>1297</v>
      </c>
      <c r="B4259" s="76" t="s">
        <v>970</v>
      </c>
      <c r="C4259" s="76" t="s">
        <v>971</v>
      </c>
      <c r="D4259" s="75"/>
    </row>
    <row hidden="true" r="4260">
      <c r="A4260" s="76" t="s">
        <v>1297</v>
      </c>
      <c r="B4260" s="76" t="s">
        <v>972</v>
      </c>
      <c r="C4260" s="76" t="s">
        <v>1237</v>
      </c>
      <c r="D4260" s="75"/>
    </row>
    <row hidden="true" r="4261">
      <c r="A4261" s="76" t="s">
        <v>1297</v>
      </c>
      <c r="B4261" s="76" t="s">
        <v>974</v>
      </c>
      <c r="C4261" s="76" t="s">
        <v>975</v>
      </c>
      <c r="D4261" s="75"/>
    </row>
    <row hidden="true" r="4262">
      <c r="A4262" s="76" t="s">
        <v>1297</v>
      </c>
      <c r="B4262" s="76" t="s">
        <v>976</v>
      </c>
      <c r="C4262" s="76" t="s">
        <v>977</v>
      </c>
      <c r="D4262" s="75"/>
    </row>
    <row hidden="true" r="4263">
      <c r="A4263" s="76" t="s">
        <v>1297</v>
      </c>
      <c r="B4263" s="76" t="s">
        <v>823</v>
      </c>
      <c r="C4263" s="76" t="s">
        <v>824</v>
      </c>
      <c r="D4263" s="75"/>
    </row>
    <row hidden="true" r="4264">
      <c r="A4264" s="76" t="s">
        <v>1297</v>
      </c>
      <c r="B4264" s="76" t="s">
        <v>978</v>
      </c>
      <c r="C4264" s="76" t="s">
        <v>1238</v>
      </c>
      <c r="D4264" s="75"/>
    </row>
    <row hidden="true" r="4265">
      <c r="A4265" s="76" t="s">
        <v>1297</v>
      </c>
      <c r="B4265" s="76" t="s">
        <v>980</v>
      </c>
      <c r="C4265" s="76" t="s">
        <v>981</v>
      </c>
      <c r="D4265" s="75"/>
    </row>
    <row hidden="true" r="4266">
      <c r="A4266" s="76" t="s">
        <v>1297</v>
      </c>
      <c r="B4266" s="76" t="s">
        <v>982</v>
      </c>
      <c r="C4266" s="76" t="s">
        <v>983</v>
      </c>
      <c r="D4266" s="75"/>
    </row>
    <row hidden="true" r="4267">
      <c r="A4267" s="76" t="s">
        <v>1297</v>
      </c>
      <c r="B4267" s="76" t="s">
        <v>984</v>
      </c>
      <c r="C4267" s="76" t="s">
        <v>985</v>
      </c>
      <c r="D4267" s="75"/>
    </row>
    <row hidden="true" r="4268">
      <c r="A4268" s="76" t="s">
        <v>1297</v>
      </c>
      <c r="B4268" s="76" t="s">
        <v>986</v>
      </c>
      <c r="C4268" s="76" t="s">
        <v>987</v>
      </c>
      <c r="D4268" s="75"/>
    </row>
    <row hidden="true" r="4269">
      <c r="A4269" s="76" t="s">
        <v>1297</v>
      </c>
      <c r="B4269" s="76" t="s">
        <v>988</v>
      </c>
      <c r="C4269" s="76" t="s">
        <v>989</v>
      </c>
      <c r="D4269" s="75"/>
    </row>
    <row hidden="true" r="4270">
      <c r="A4270" s="76" t="s">
        <v>1297</v>
      </c>
      <c r="B4270" s="76" t="s">
        <v>990</v>
      </c>
      <c r="C4270" s="76" t="s">
        <v>991</v>
      </c>
      <c r="D4270" s="75"/>
    </row>
    <row hidden="true" r="4271">
      <c r="A4271" s="76" t="s">
        <v>1297</v>
      </c>
      <c r="B4271" s="76" t="s">
        <v>992</v>
      </c>
      <c r="C4271" s="76" t="s">
        <v>993</v>
      </c>
      <c r="D4271" s="75"/>
    </row>
    <row hidden="true" r="4272">
      <c r="A4272" s="76" t="s">
        <v>1297</v>
      </c>
      <c r="B4272" s="76" t="s">
        <v>994</v>
      </c>
      <c r="C4272" s="76" t="s">
        <v>995</v>
      </c>
      <c r="D4272" s="75"/>
    </row>
    <row hidden="true" r="4273">
      <c r="A4273" s="76" t="s">
        <v>1297</v>
      </c>
      <c r="B4273" s="76" t="s">
        <v>996</v>
      </c>
      <c r="C4273" s="76" t="s">
        <v>997</v>
      </c>
      <c r="D4273" s="75"/>
    </row>
    <row hidden="true" r="4274">
      <c r="A4274" s="76" t="s">
        <v>1297</v>
      </c>
      <c r="B4274" s="76" t="s">
        <v>998</v>
      </c>
      <c r="C4274" s="76" t="s">
        <v>1239</v>
      </c>
      <c r="D4274" s="75"/>
    </row>
    <row hidden="true" r="4275">
      <c r="A4275" s="76" t="s">
        <v>1297</v>
      </c>
      <c r="B4275" s="76" t="s">
        <v>1000</v>
      </c>
      <c r="C4275" s="76" t="s">
        <v>1001</v>
      </c>
      <c r="D4275" s="75"/>
    </row>
    <row hidden="true" r="4276">
      <c r="A4276" s="76" t="s">
        <v>1297</v>
      </c>
      <c r="B4276" s="76" t="s">
        <v>1002</v>
      </c>
      <c r="C4276" s="76" t="s">
        <v>1003</v>
      </c>
      <c r="D4276" s="75"/>
    </row>
    <row hidden="true" r="4277">
      <c r="A4277" s="76" t="s">
        <v>1297</v>
      </c>
      <c r="B4277" s="76" t="s">
        <v>1004</v>
      </c>
      <c r="C4277" s="76" t="s">
        <v>1005</v>
      </c>
      <c r="D4277" s="75"/>
    </row>
    <row hidden="true" r="4278">
      <c r="A4278" s="76" t="s">
        <v>1297</v>
      </c>
      <c r="B4278" s="76" t="s">
        <v>1006</v>
      </c>
      <c r="C4278" s="76" t="s">
        <v>1007</v>
      </c>
      <c r="D4278" s="75"/>
    </row>
    <row hidden="true" r="4279">
      <c r="A4279" s="76" t="s">
        <v>1297</v>
      </c>
      <c r="B4279" s="76" t="s">
        <v>1008</v>
      </c>
      <c r="C4279" s="76" t="s">
        <v>1009</v>
      </c>
      <c r="D4279" s="75"/>
    </row>
    <row hidden="true" r="4280">
      <c r="A4280" s="76" t="s">
        <v>1297</v>
      </c>
      <c r="B4280" s="76" t="s">
        <v>1010</v>
      </c>
      <c r="C4280" s="76" t="s">
        <v>1011</v>
      </c>
      <c r="D4280" s="75"/>
    </row>
    <row hidden="true" r="4281">
      <c r="A4281" s="76" t="s">
        <v>1297</v>
      </c>
      <c r="B4281" s="76" t="s">
        <v>1012</v>
      </c>
      <c r="C4281" s="76" t="s">
        <v>1013</v>
      </c>
      <c r="D4281" s="75"/>
    </row>
    <row hidden="true" r="4282">
      <c r="A4282" s="76" t="s">
        <v>1297</v>
      </c>
      <c r="B4282" s="76" t="s">
        <v>1014</v>
      </c>
      <c r="C4282" s="76" t="s">
        <v>1015</v>
      </c>
      <c r="D4282" s="75"/>
    </row>
    <row hidden="true" r="4283">
      <c r="A4283" s="76" t="s">
        <v>1297</v>
      </c>
      <c r="B4283" s="76" t="s">
        <v>1016</v>
      </c>
      <c r="C4283" s="76" t="s">
        <v>1017</v>
      </c>
      <c r="D4283" s="75"/>
    </row>
    <row hidden="true" r="4284">
      <c r="A4284" s="76" t="s">
        <v>1297</v>
      </c>
      <c r="B4284" s="76" t="s">
        <v>1018</v>
      </c>
      <c r="C4284" s="76" t="s">
        <v>1019</v>
      </c>
      <c r="D4284" s="75"/>
    </row>
    <row hidden="true" r="4285">
      <c r="A4285" s="76" t="s">
        <v>1297</v>
      </c>
      <c r="B4285" s="76" t="s">
        <v>1020</v>
      </c>
      <c r="C4285" s="76" t="s">
        <v>1021</v>
      </c>
      <c r="D4285" s="75"/>
    </row>
    <row hidden="true" r="4286">
      <c r="A4286" s="76" t="s">
        <v>1297</v>
      </c>
      <c r="B4286" s="76" t="s">
        <v>1022</v>
      </c>
      <c r="C4286" s="76" t="s">
        <v>1017</v>
      </c>
      <c r="D4286" s="75"/>
    </row>
    <row hidden="true" r="4287">
      <c r="A4287" s="76" t="s">
        <v>1297</v>
      </c>
      <c r="B4287" s="76" t="s">
        <v>1023</v>
      </c>
      <c r="C4287" s="76" t="s">
        <v>1019</v>
      </c>
      <c r="D4287" s="75"/>
    </row>
    <row hidden="true" r="4288">
      <c r="A4288" s="76" t="s">
        <v>1297</v>
      </c>
      <c r="B4288" s="76" t="s">
        <v>1024</v>
      </c>
      <c r="C4288" s="76" t="s">
        <v>1021</v>
      </c>
      <c r="D4288" s="75"/>
    </row>
    <row hidden="true" r="4289">
      <c r="A4289" s="76" t="s">
        <v>1297</v>
      </c>
      <c r="B4289" s="76" t="s">
        <v>1025</v>
      </c>
      <c r="C4289" s="76" t="s">
        <v>1017</v>
      </c>
      <c r="D4289" s="75"/>
    </row>
    <row hidden="true" r="4290">
      <c r="A4290" s="76" t="s">
        <v>1297</v>
      </c>
      <c r="B4290" s="76" t="s">
        <v>1026</v>
      </c>
      <c r="C4290" s="76" t="s">
        <v>1019</v>
      </c>
      <c r="D4290" s="75"/>
    </row>
    <row hidden="true" r="4291">
      <c r="A4291" s="76" t="s">
        <v>1297</v>
      </c>
      <c r="B4291" s="76" t="s">
        <v>1027</v>
      </c>
      <c r="C4291" s="76" t="s">
        <v>1021</v>
      </c>
      <c r="D4291" s="75"/>
    </row>
    <row hidden="true" r="4292">
      <c r="A4292" s="76" t="s">
        <v>1297</v>
      </c>
      <c r="B4292" s="76" t="s">
        <v>1028</v>
      </c>
      <c r="C4292" s="76" t="s">
        <v>1029</v>
      </c>
      <c r="D4292" s="75"/>
    </row>
    <row hidden="true" r="4293">
      <c r="A4293" s="76" t="s">
        <v>1297</v>
      </c>
      <c r="B4293" s="76" t="s">
        <v>530</v>
      </c>
      <c r="C4293" s="76" t="s">
        <v>1240</v>
      </c>
      <c r="D4293" s="75"/>
    </row>
    <row hidden="true" r="4294">
      <c r="A4294" s="76" t="s">
        <v>1297</v>
      </c>
      <c r="B4294" s="76" t="s">
        <v>1030</v>
      </c>
      <c r="C4294" s="76" t="s">
        <v>1031</v>
      </c>
      <c r="D4294" s="75"/>
    </row>
    <row hidden="true" r="4295">
      <c r="A4295" s="76" t="s">
        <v>1297</v>
      </c>
      <c r="B4295" s="76" t="s">
        <v>1032</v>
      </c>
      <c r="C4295" s="76" t="s">
        <v>1033</v>
      </c>
      <c r="D4295" s="75"/>
    </row>
    <row hidden="true" r="4296">
      <c r="A4296" s="76" t="s">
        <v>1297</v>
      </c>
      <c r="B4296" s="76" t="s">
        <v>1034</v>
      </c>
      <c r="C4296" s="76" t="s">
        <v>1035</v>
      </c>
      <c r="D4296" s="75"/>
    </row>
    <row hidden="true" r="4297">
      <c r="A4297" s="76" t="s">
        <v>1297</v>
      </c>
      <c r="B4297" s="76" t="s">
        <v>532</v>
      </c>
      <c r="C4297" s="76" t="s">
        <v>533</v>
      </c>
      <c r="D4297" s="75"/>
    </row>
    <row hidden="true" r="4298">
      <c r="A4298" s="76" t="s">
        <v>1297</v>
      </c>
      <c r="B4298" s="76" t="s">
        <v>1036</v>
      </c>
      <c r="C4298" s="76" t="s">
        <v>1037</v>
      </c>
      <c r="D4298" s="75"/>
    </row>
    <row hidden="true" r="4299">
      <c r="A4299" s="76" t="s">
        <v>1297</v>
      </c>
      <c r="B4299" s="76" t="s">
        <v>1038</v>
      </c>
      <c r="C4299" s="76" t="s">
        <v>1039</v>
      </c>
      <c r="D4299" s="75"/>
    </row>
    <row hidden="true" r="4300">
      <c r="A4300" s="76" t="s">
        <v>1297</v>
      </c>
      <c r="B4300" s="76" t="s">
        <v>1040</v>
      </c>
      <c r="C4300" s="76" t="s">
        <v>1041</v>
      </c>
      <c r="D4300" s="75"/>
    </row>
    <row hidden="true" r="4301">
      <c r="A4301" s="76" t="s">
        <v>1297</v>
      </c>
      <c r="B4301" s="76" t="s">
        <v>1042</v>
      </c>
      <c r="C4301" s="76" t="s">
        <v>1043</v>
      </c>
      <c r="D4301" s="75"/>
    </row>
    <row hidden="true" r="4302">
      <c r="A4302" s="76" t="s">
        <v>1297</v>
      </c>
      <c r="B4302" s="76" t="s">
        <v>1044</v>
      </c>
      <c r="C4302" s="76" t="s">
        <v>1045</v>
      </c>
      <c r="D4302" s="75"/>
    </row>
    <row hidden="true" r="4303">
      <c r="A4303" s="76" t="s">
        <v>1297</v>
      </c>
      <c r="B4303" s="76" t="s">
        <v>1046</v>
      </c>
      <c r="C4303" s="76" t="s">
        <v>1047</v>
      </c>
      <c r="D4303" s="75"/>
    </row>
    <row hidden="true" r="4304">
      <c r="A4304" s="76" t="s">
        <v>1297</v>
      </c>
      <c r="B4304" s="76" t="s">
        <v>1048</v>
      </c>
      <c r="C4304" s="76" t="s">
        <v>1241</v>
      </c>
      <c r="D4304" s="75"/>
    </row>
    <row hidden="true" r="4305">
      <c r="A4305" s="76" t="s">
        <v>1297</v>
      </c>
      <c r="B4305" s="76" t="s">
        <v>1050</v>
      </c>
      <c r="C4305" s="76" t="s">
        <v>1051</v>
      </c>
      <c r="D4305" s="75"/>
    </row>
    <row hidden="true" r="4306">
      <c r="A4306" s="76" t="s">
        <v>1297</v>
      </c>
      <c r="B4306" s="76" t="s">
        <v>1052</v>
      </c>
      <c r="C4306" s="76" t="s">
        <v>1053</v>
      </c>
      <c r="D4306" s="75"/>
    </row>
    <row hidden="true" r="4307">
      <c r="A4307" s="76" t="s">
        <v>1297</v>
      </c>
      <c r="B4307" s="76" t="s">
        <v>1054</v>
      </c>
      <c r="C4307" s="76" t="s">
        <v>1055</v>
      </c>
      <c r="D4307" s="75"/>
    </row>
    <row hidden="true" r="4308">
      <c r="A4308" s="76" t="s">
        <v>1297</v>
      </c>
      <c r="B4308" s="76" t="s">
        <v>1056</v>
      </c>
      <c r="C4308" s="76" t="s">
        <v>1057</v>
      </c>
      <c r="D4308" s="75"/>
    </row>
    <row hidden="true" r="4309">
      <c r="A4309" s="76" t="s">
        <v>1297</v>
      </c>
      <c r="B4309" s="76" t="s">
        <v>1058</v>
      </c>
      <c r="C4309" s="76" t="s">
        <v>1059</v>
      </c>
      <c r="D4309" s="75"/>
    </row>
    <row hidden="true" r="4310">
      <c r="A4310" s="76" t="s">
        <v>1297</v>
      </c>
      <c r="B4310" s="76" t="s">
        <v>1060</v>
      </c>
      <c r="C4310" s="76" t="s">
        <v>1061</v>
      </c>
      <c r="D4310" s="75"/>
    </row>
    <row hidden="true" r="4311">
      <c r="A4311" s="76" t="s">
        <v>1297</v>
      </c>
      <c r="B4311" s="76" t="s">
        <v>1062</v>
      </c>
      <c r="C4311" s="76" t="s">
        <v>1063</v>
      </c>
      <c r="D4311" s="75"/>
    </row>
    <row hidden="true" r="4312">
      <c r="A4312" s="76" t="s">
        <v>1297</v>
      </c>
      <c r="B4312" s="76" t="s">
        <v>1064</v>
      </c>
      <c r="C4312" s="76" t="s">
        <v>1065</v>
      </c>
      <c r="D4312" s="75"/>
    </row>
    <row hidden="true" r="4313">
      <c r="A4313" s="76" t="s">
        <v>1297</v>
      </c>
      <c r="B4313" s="76" t="s">
        <v>1066</v>
      </c>
      <c r="C4313" s="76" t="s">
        <v>1067</v>
      </c>
      <c r="D4313" s="75"/>
    </row>
    <row hidden="true" r="4314">
      <c r="A4314" s="76" t="s">
        <v>1297</v>
      </c>
      <c r="B4314" s="76" t="s">
        <v>1068</v>
      </c>
      <c r="C4314" s="76" t="s">
        <v>1069</v>
      </c>
      <c r="D4314" s="75"/>
    </row>
    <row hidden="true" r="4315">
      <c r="A4315" s="76" t="s">
        <v>1297</v>
      </c>
      <c r="B4315" s="76" t="s">
        <v>1070</v>
      </c>
      <c r="C4315" s="76" t="s">
        <v>1069</v>
      </c>
      <c r="D4315" s="75"/>
    </row>
    <row hidden="true" r="4316">
      <c r="A4316" s="76" t="s">
        <v>1297</v>
      </c>
      <c r="B4316" s="76" t="s">
        <v>1071</v>
      </c>
      <c r="C4316" s="76" t="s">
        <v>1069</v>
      </c>
      <c r="D4316" s="75"/>
    </row>
    <row hidden="true" r="4317">
      <c r="A4317" s="76" t="s">
        <v>1297</v>
      </c>
      <c r="B4317" s="76" t="s">
        <v>1072</v>
      </c>
      <c r="C4317" s="76" t="s">
        <v>1073</v>
      </c>
      <c r="D4317" s="75"/>
    </row>
    <row hidden="true" r="4318">
      <c r="A4318" s="76" t="s">
        <v>1297</v>
      </c>
      <c r="B4318" s="76" t="s">
        <v>1074</v>
      </c>
      <c r="C4318" s="76" t="s">
        <v>1073</v>
      </c>
      <c r="D4318" s="75"/>
    </row>
    <row hidden="true" r="4319">
      <c r="A4319" s="76" t="s">
        <v>1297</v>
      </c>
      <c r="B4319" s="76" t="s">
        <v>1075</v>
      </c>
      <c r="C4319" s="76" t="s">
        <v>1073</v>
      </c>
      <c r="D4319" s="75"/>
    </row>
    <row hidden="true" r="4320">
      <c r="A4320" s="76" t="s">
        <v>1297</v>
      </c>
      <c r="B4320" s="76" t="s">
        <v>1076</v>
      </c>
      <c r="C4320" s="76" t="s">
        <v>1077</v>
      </c>
      <c r="D4320" s="75"/>
    </row>
    <row hidden="true" r="4321">
      <c r="A4321" s="76" t="s">
        <v>1297</v>
      </c>
      <c r="B4321" s="76" t="s">
        <v>1078</v>
      </c>
      <c r="C4321" s="76" t="s">
        <v>1079</v>
      </c>
      <c r="D4321" s="75"/>
    </row>
    <row hidden="true" r="4322">
      <c r="A4322" s="76" t="s">
        <v>1297</v>
      </c>
      <c r="B4322" s="76" t="s">
        <v>839</v>
      </c>
      <c r="C4322" s="76" t="s">
        <v>840</v>
      </c>
      <c r="D4322" s="75"/>
    </row>
    <row hidden="true" r="4323">
      <c r="A4323" s="76" t="s">
        <v>1297</v>
      </c>
      <c r="B4323" s="76" t="s">
        <v>1080</v>
      </c>
      <c r="C4323" s="76" t="s">
        <v>1081</v>
      </c>
      <c r="D4323" s="75"/>
    </row>
    <row hidden="true" r="4324">
      <c r="A4324" s="76" t="s">
        <v>1297</v>
      </c>
      <c r="B4324" s="76" t="s">
        <v>1082</v>
      </c>
      <c r="C4324" s="76" t="s">
        <v>1083</v>
      </c>
      <c r="D4324" s="75"/>
    </row>
    <row hidden="true" r="4325">
      <c r="A4325" s="76" t="s">
        <v>1297</v>
      </c>
      <c r="B4325" s="76" t="s">
        <v>1084</v>
      </c>
      <c r="C4325" s="76" t="s">
        <v>1085</v>
      </c>
      <c r="D4325" s="75"/>
    </row>
    <row hidden="true" r="4326">
      <c r="A4326" s="76" t="s">
        <v>1297</v>
      </c>
      <c r="B4326" s="76" t="s">
        <v>1086</v>
      </c>
      <c r="C4326" s="76" t="s">
        <v>1087</v>
      </c>
      <c r="D4326" s="75"/>
    </row>
    <row hidden="true" r="4327">
      <c r="A4327" s="76" t="s">
        <v>1297</v>
      </c>
      <c r="B4327" s="76" t="s">
        <v>1088</v>
      </c>
      <c r="C4327" s="76" t="s">
        <v>1089</v>
      </c>
      <c r="D4327" s="75"/>
    </row>
    <row hidden="true" r="4328">
      <c r="A4328" s="76" t="s">
        <v>1297</v>
      </c>
      <c r="B4328" s="76" t="s">
        <v>1090</v>
      </c>
      <c r="C4328" s="76" t="s">
        <v>1091</v>
      </c>
      <c r="D4328" s="75"/>
    </row>
    <row hidden="true" r="4329">
      <c r="A4329" s="76" t="s">
        <v>1297</v>
      </c>
      <c r="B4329" s="76" t="s">
        <v>1092</v>
      </c>
      <c r="C4329" s="76" t="s">
        <v>1091</v>
      </c>
      <c r="D4329" s="75"/>
    </row>
    <row hidden="true" r="4330">
      <c r="A4330" s="76" t="s">
        <v>1297</v>
      </c>
      <c r="B4330" s="76" t="s">
        <v>1093</v>
      </c>
      <c r="C4330" s="76" t="s">
        <v>1094</v>
      </c>
      <c r="D4330" s="75"/>
    </row>
    <row hidden="true" r="4331">
      <c r="A4331" s="76" t="s">
        <v>1297</v>
      </c>
      <c r="B4331" s="76" t="s">
        <v>1095</v>
      </c>
      <c r="C4331" s="76" t="s">
        <v>1096</v>
      </c>
      <c r="D4331" s="75"/>
    </row>
    <row hidden="true" r="4332">
      <c r="A4332" s="76" t="s">
        <v>1297</v>
      </c>
      <c r="B4332" s="76" t="s">
        <v>1097</v>
      </c>
      <c r="C4332" s="76" t="s">
        <v>1098</v>
      </c>
      <c r="D4332" s="75"/>
    </row>
    <row hidden="true" r="4333">
      <c r="A4333" s="76" t="s">
        <v>1297</v>
      </c>
      <c r="B4333" s="76" t="s">
        <v>1099</v>
      </c>
      <c r="C4333" s="76" t="s">
        <v>1242</v>
      </c>
      <c r="D4333" s="75"/>
    </row>
    <row hidden="true" r="4334">
      <c r="A4334" s="76" t="s">
        <v>1297</v>
      </c>
      <c r="B4334" s="76" t="s">
        <v>1101</v>
      </c>
      <c r="C4334" s="76" t="s">
        <v>1102</v>
      </c>
      <c r="D4334" s="75"/>
    </row>
    <row hidden="true" r="4335">
      <c r="A4335" s="76" t="s">
        <v>1297</v>
      </c>
      <c r="B4335" s="76" t="s">
        <v>1103</v>
      </c>
      <c r="C4335" s="76" t="s">
        <v>1104</v>
      </c>
      <c r="D4335" s="75"/>
    </row>
    <row hidden="true" r="4336">
      <c r="A4336" s="76" t="s">
        <v>1297</v>
      </c>
      <c r="B4336" s="76" t="s">
        <v>1105</v>
      </c>
      <c r="C4336" s="76" t="s">
        <v>1106</v>
      </c>
      <c r="D4336" s="75"/>
    </row>
    <row hidden="true" r="4337">
      <c r="A4337" s="76" t="s">
        <v>1297</v>
      </c>
      <c r="B4337" s="76" t="s">
        <v>1107</v>
      </c>
      <c r="C4337" s="76" t="s">
        <v>1108</v>
      </c>
      <c r="D4337" s="75"/>
    </row>
    <row hidden="true" r="4338">
      <c r="A4338" s="76" t="s">
        <v>1297</v>
      </c>
      <c r="B4338" s="76" t="s">
        <v>1109</v>
      </c>
      <c r="C4338" s="76" t="s">
        <v>1110</v>
      </c>
      <c r="D4338" s="75"/>
    </row>
    <row hidden="true" r="4339">
      <c r="A4339" s="76" t="s">
        <v>1297</v>
      </c>
      <c r="B4339" s="76" t="s">
        <v>1111</v>
      </c>
      <c r="C4339" s="76" t="s">
        <v>1243</v>
      </c>
      <c r="D4339" s="75"/>
    </row>
    <row hidden="true" r="4340">
      <c r="A4340" s="76" t="s">
        <v>1297</v>
      </c>
      <c r="B4340" s="76" t="s">
        <v>1113</v>
      </c>
      <c r="C4340" s="76" t="s">
        <v>1114</v>
      </c>
      <c r="D4340" s="75"/>
    </row>
    <row hidden="true" r="4341">
      <c r="A4341" s="76" t="s">
        <v>1297</v>
      </c>
      <c r="B4341" s="76" t="s">
        <v>1115</v>
      </c>
      <c r="C4341" s="76" t="s">
        <v>1116</v>
      </c>
      <c r="D4341" s="75"/>
    </row>
    <row hidden="true" r="4342">
      <c r="A4342" s="76" t="s">
        <v>1297</v>
      </c>
      <c r="B4342" s="76" t="s">
        <v>1117</v>
      </c>
      <c r="C4342" s="76" t="s">
        <v>1244</v>
      </c>
      <c r="D4342" s="75"/>
    </row>
    <row hidden="true" r="4343">
      <c r="A4343" s="76" t="s">
        <v>1297</v>
      </c>
      <c r="B4343" s="76" t="s">
        <v>1119</v>
      </c>
      <c r="C4343" s="76" t="s">
        <v>1120</v>
      </c>
      <c r="D4343" s="75"/>
    </row>
    <row hidden="true" r="4344">
      <c r="A4344" s="76" t="s">
        <v>1297</v>
      </c>
      <c r="B4344" s="76" t="s">
        <v>1121</v>
      </c>
      <c r="C4344" s="76" t="s">
        <v>1122</v>
      </c>
      <c r="D4344" s="75"/>
    </row>
    <row hidden="true" r="4345">
      <c r="A4345" s="76" t="s">
        <v>1297</v>
      </c>
      <c r="B4345" s="76" t="s">
        <v>1123</v>
      </c>
      <c r="C4345" s="76" t="s">
        <v>1124</v>
      </c>
      <c r="D4345" s="75"/>
    </row>
    <row hidden="true" r="4346">
      <c r="A4346" s="76" t="s">
        <v>1297</v>
      </c>
      <c r="B4346" s="76" t="s">
        <v>1125</v>
      </c>
      <c r="C4346" s="76" t="s">
        <v>1245</v>
      </c>
      <c r="D4346" s="75"/>
    </row>
    <row hidden="true" r="4347">
      <c r="A4347" s="76" t="s">
        <v>1297</v>
      </c>
      <c r="B4347" s="76" t="s">
        <v>1127</v>
      </c>
      <c r="C4347" s="76" t="s">
        <v>1128</v>
      </c>
      <c r="D4347" s="75"/>
    </row>
    <row hidden="true" r="4348">
      <c r="A4348" s="76" t="s">
        <v>1297</v>
      </c>
      <c r="B4348" s="76" t="s">
        <v>1129</v>
      </c>
      <c r="C4348" s="76" t="s">
        <v>1130</v>
      </c>
      <c r="D4348" s="75"/>
    </row>
    <row hidden="true" r="4349">
      <c r="A4349" s="76" t="s">
        <v>1297</v>
      </c>
      <c r="B4349" s="76" t="s">
        <v>1131</v>
      </c>
      <c r="C4349" s="76" t="s">
        <v>1132</v>
      </c>
      <c r="D4349" s="75"/>
    </row>
    <row hidden="true" r="4350">
      <c r="A4350" s="76" t="s">
        <v>1297</v>
      </c>
      <c r="B4350" s="76" t="s">
        <v>1133</v>
      </c>
      <c r="C4350" s="76" t="s">
        <v>1134</v>
      </c>
      <c r="D4350" s="75"/>
    </row>
    <row hidden="true" r="4351">
      <c r="A4351" s="76" t="s">
        <v>1297</v>
      </c>
      <c r="B4351" s="76" t="s">
        <v>1135</v>
      </c>
      <c r="C4351" s="76" t="s">
        <v>1136</v>
      </c>
      <c r="D4351" s="75"/>
    </row>
    <row hidden="true" r="4352">
      <c r="A4352" s="76" t="s">
        <v>1297</v>
      </c>
      <c r="B4352" s="76" t="s">
        <v>1137</v>
      </c>
      <c r="C4352" s="76" t="s">
        <v>1138</v>
      </c>
      <c r="D4352" s="75"/>
    </row>
    <row hidden="true" r="4353">
      <c r="A4353" s="76" t="s">
        <v>1297</v>
      </c>
      <c r="B4353" s="76" t="s">
        <v>1139</v>
      </c>
      <c r="C4353" s="76" t="s">
        <v>1140</v>
      </c>
      <c r="D4353" s="75"/>
    </row>
    <row hidden="true" r="4354">
      <c r="A4354" s="76" t="s">
        <v>1297</v>
      </c>
      <c r="B4354" s="76" t="s">
        <v>1141</v>
      </c>
      <c r="C4354" s="76" t="s">
        <v>1142</v>
      </c>
      <c r="D4354" s="75"/>
    </row>
    <row hidden="true" r="4355">
      <c r="A4355" s="76" t="s">
        <v>1297</v>
      </c>
      <c r="B4355" s="76" t="s">
        <v>1143</v>
      </c>
      <c r="C4355" s="76" t="s">
        <v>1144</v>
      </c>
      <c r="D4355" s="75"/>
    </row>
    <row hidden="true" r="4356">
      <c r="A4356" s="76" t="s">
        <v>1297</v>
      </c>
      <c r="B4356" s="76" t="s">
        <v>1145</v>
      </c>
      <c r="C4356" s="76" t="s">
        <v>1223</v>
      </c>
      <c r="D4356" s="75"/>
    </row>
    <row hidden="true" r="4357">
      <c r="A4357" s="76" t="s">
        <v>1297</v>
      </c>
      <c r="B4357" s="76" t="s">
        <v>1147</v>
      </c>
      <c r="C4357" s="76" t="s">
        <v>1148</v>
      </c>
      <c r="D4357" s="75"/>
    </row>
    <row hidden="true" r="4358">
      <c r="A4358" s="76" t="s">
        <v>1297</v>
      </c>
      <c r="B4358" s="76" t="s">
        <v>1149</v>
      </c>
      <c r="C4358" s="76" t="s">
        <v>1150</v>
      </c>
      <c r="D4358" s="75"/>
    </row>
    <row hidden="true" r="4359">
      <c r="A4359" s="76" t="s">
        <v>1297</v>
      </c>
      <c r="B4359" s="76" t="s">
        <v>1151</v>
      </c>
      <c r="C4359" s="76" t="s">
        <v>1152</v>
      </c>
      <c r="D4359" s="75"/>
    </row>
    <row hidden="true" r="4360">
      <c r="A4360" s="76" t="s">
        <v>1297</v>
      </c>
      <c r="B4360" s="76" t="s">
        <v>1153</v>
      </c>
      <c r="C4360" s="76" t="s">
        <v>1154</v>
      </c>
      <c r="D4360" s="75"/>
    </row>
    <row hidden="true" r="4361">
      <c r="A4361" s="76" t="s">
        <v>1297</v>
      </c>
      <c r="B4361" s="76" t="s">
        <v>1155</v>
      </c>
      <c r="C4361" s="76" t="s">
        <v>1156</v>
      </c>
      <c r="D4361" s="75"/>
    </row>
    <row hidden="true" r="4362">
      <c r="A4362" s="76" t="s">
        <v>1297</v>
      </c>
      <c r="B4362" s="76" t="s">
        <v>1157</v>
      </c>
      <c r="C4362" s="76" t="s">
        <v>1158</v>
      </c>
      <c r="D4362" s="75"/>
    </row>
    <row hidden="true" r="4363">
      <c r="A4363" s="76" t="s">
        <v>1297</v>
      </c>
      <c r="B4363" s="76" t="s">
        <v>1159</v>
      </c>
      <c r="C4363" s="76" t="s">
        <v>1160</v>
      </c>
      <c r="D4363" s="75"/>
    </row>
    <row hidden="true" r="4364">
      <c r="A4364" s="76" t="s">
        <v>1297</v>
      </c>
      <c r="B4364" s="76" t="s">
        <v>868</v>
      </c>
      <c r="C4364" s="76" t="s">
        <v>869</v>
      </c>
      <c r="D4364" s="75"/>
    </row>
    <row hidden="true" r="4365">
      <c r="A4365" s="76" t="s">
        <v>1297</v>
      </c>
      <c r="B4365" s="76" t="s">
        <v>1161</v>
      </c>
      <c r="C4365" s="76" t="s">
        <v>1162</v>
      </c>
      <c r="D4365" s="75"/>
    </row>
    <row hidden="true" r="4366">
      <c r="A4366" s="76" t="s">
        <v>1297</v>
      </c>
      <c r="B4366" s="76" t="s">
        <v>1163</v>
      </c>
      <c r="C4366" s="76" t="s">
        <v>1164</v>
      </c>
      <c r="D4366" s="75"/>
    </row>
    <row hidden="true" r="4367">
      <c r="A4367" s="76" t="s">
        <v>1297</v>
      </c>
      <c r="B4367" s="76" t="s">
        <v>1165</v>
      </c>
      <c r="C4367" s="76" t="s">
        <v>1166</v>
      </c>
      <c r="D4367" s="75"/>
    </row>
    <row hidden="true" r="4368">
      <c r="A4368" s="76" t="s">
        <v>1297</v>
      </c>
      <c r="B4368" s="76" t="s">
        <v>1167</v>
      </c>
      <c r="C4368" s="76" t="s">
        <v>1246</v>
      </c>
      <c r="D4368" s="75"/>
    </row>
    <row hidden="true" r="4369">
      <c r="A4369" s="76" t="s">
        <v>1297</v>
      </c>
      <c r="B4369" s="76" t="s">
        <v>1169</v>
      </c>
      <c r="C4369" s="76" t="s">
        <v>1170</v>
      </c>
      <c r="D4369" s="75"/>
    </row>
    <row hidden="true" r="4370">
      <c r="A4370" s="76" t="s">
        <v>1297</v>
      </c>
      <c r="B4370" s="76" t="s">
        <v>1171</v>
      </c>
      <c r="C4370" s="76" t="s">
        <v>1172</v>
      </c>
      <c r="D4370" s="75"/>
    </row>
    <row hidden="true" r="4371">
      <c r="A4371" s="76" t="s">
        <v>1297</v>
      </c>
      <c r="B4371" s="76" t="s">
        <v>1173</v>
      </c>
      <c r="C4371" s="76" t="s">
        <v>1247</v>
      </c>
      <c r="D4371" s="75"/>
    </row>
    <row hidden="true" r="4372">
      <c r="A4372" s="76" t="s">
        <v>1297</v>
      </c>
      <c r="B4372" s="76" t="s">
        <v>1175</v>
      </c>
      <c r="C4372" s="76" t="s">
        <v>1176</v>
      </c>
      <c r="D4372" s="75"/>
    </row>
    <row hidden="true" r="4373">
      <c r="A4373" s="76" t="s">
        <v>1297</v>
      </c>
      <c r="B4373" s="76" t="s">
        <v>1177</v>
      </c>
      <c r="C4373" s="76" t="s">
        <v>1178</v>
      </c>
      <c r="D4373" s="75"/>
    </row>
    <row hidden="true" r="4374">
      <c r="A4374" s="76" t="s">
        <v>1297</v>
      </c>
      <c r="B4374" s="76" t="s">
        <v>1179</v>
      </c>
      <c r="C4374" s="76" t="s">
        <v>1180</v>
      </c>
      <c r="D4374" s="75"/>
    </row>
    <row hidden="true" r="4375">
      <c r="A4375" s="76" t="s">
        <v>1297</v>
      </c>
      <c r="B4375" s="76" t="s">
        <v>1181</v>
      </c>
      <c r="C4375" s="76" t="s">
        <v>1182</v>
      </c>
      <c r="D4375" s="75"/>
    </row>
    <row hidden="true" r="4376">
      <c r="A4376" s="76" t="s">
        <v>1297</v>
      </c>
      <c r="B4376" s="76" t="s">
        <v>1183</v>
      </c>
      <c r="C4376" s="76" t="s">
        <v>1184</v>
      </c>
      <c r="D4376" s="75"/>
    </row>
    <row hidden="true" r="4377">
      <c r="A4377" s="76" t="s">
        <v>1297</v>
      </c>
      <c r="B4377" s="76" t="s">
        <v>1185</v>
      </c>
      <c r="C4377" s="76" t="s">
        <v>1186</v>
      </c>
      <c r="D4377" s="75"/>
    </row>
    <row hidden="true" r="4378">
      <c r="A4378" s="76" t="s">
        <v>1297</v>
      </c>
      <c r="B4378" s="76" t="s">
        <v>1187</v>
      </c>
      <c r="C4378" s="76" t="s">
        <v>1188</v>
      </c>
      <c r="D4378" s="75"/>
    </row>
    <row hidden="true" r="4379">
      <c r="A4379" s="76" t="s">
        <v>1297</v>
      </c>
      <c r="B4379" s="76" t="s">
        <v>1199</v>
      </c>
      <c r="C4379" s="76" t="s">
        <v>1200</v>
      </c>
      <c r="D4379" s="75"/>
    </row>
    <row hidden="true" r="4380">
      <c r="A4380" s="76" t="s">
        <v>1297</v>
      </c>
      <c r="B4380" s="76" t="s">
        <v>1201</v>
      </c>
      <c r="C4380" s="76" t="s">
        <v>1202</v>
      </c>
      <c r="D4380" s="75"/>
    </row>
    <row hidden="true" r="4381">
      <c r="A4381" s="76" t="s">
        <v>1297</v>
      </c>
      <c r="B4381" s="76" t="s">
        <v>1203</v>
      </c>
      <c r="C4381" s="76" t="s">
        <v>1204</v>
      </c>
      <c r="D4381" s="75"/>
    </row>
    <row hidden="true" r="4382">
      <c r="A4382" s="76" t="s">
        <v>1297</v>
      </c>
      <c r="B4382" s="76" t="s">
        <v>1205</v>
      </c>
      <c r="C4382" s="76" t="s">
        <v>1206</v>
      </c>
      <c r="D4382" s="75"/>
    </row>
    <row hidden="true" r="4383">
      <c r="A4383" s="76" t="s">
        <v>1297</v>
      </c>
      <c r="B4383" s="76" t="s">
        <v>1207</v>
      </c>
      <c r="C4383" s="76" t="s">
        <v>1208</v>
      </c>
      <c r="D4383" s="75"/>
    </row>
    <row hidden="true" r="4384">
      <c r="A4384" s="76" t="s">
        <v>1297</v>
      </c>
      <c r="B4384" s="76" t="s">
        <v>1209</v>
      </c>
      <c r="C4384" s="76" t="s">
        <v>1210</v>
      </c>
      <c r="D4384" s="75"/>
    </row>
    <row hidden="true" r="4385">
      <c r="A4385" s="76" t="s">
        <v>1297</v>
      </c>
      <c r="B4385" s="76" t="s">
        <v>735</v>
      </c>
      <c r="C4385" s="76"/>
      <c r="D4385" s="75"/>
    </row>
    <row hidden="true" r="4386">
      <c r="A4386" s="76" t="s">
        <v>1298</v>
      </c>
      <c r="B4386" s="76" t="s">
        <v>407</v>
      </c>
      <c r="C4386" s="76" t="s">
        <v>1281</v>
      </c>
      <c r="D4386" s="75"/>
    </row>
    <row hidden="true" r="4387">
      <c r="A4387" s="76" t="s">
        <v>1298</v>
      </c>
      <c r="B4387" s="76" t="s">
        <v>744</v>
      </c>
      <c r="C4387" s="76" t="s">
        <v>1281</v>
      </c>
      <c r="D4387" s="75"/>
    </row>
    <row hidden="true" r="4388">
      <c r="A4388" s="76" t="s">
        <v>1298</v>
      </c>
      <c r="B4388" s="76" t="s">
        <v>409</v>
      </c>
      <c r="C4388" s="76" t="s">
        <v>1281</v>
      </c>
      <c r="D4388" s="75"/>
    </row>
    <row hidden="true" r="4389">
      <c r="A4389" s="76" t="s">
        <v>1298</v>
      </c>
      <c r="B4389" s="76" t="s">
        <v>884</v>
      </c>
      <c r="C4389" s="76" t="s">
        <v>1281</v>
      </c>
      <c r="D4389" s="75"/>
    </row>
    <row hidden="true" r="4390">
      <c r="A4390" s="76" t="s">
        <v>1298</v>
      </c>
      <c r="B4390" s="76" t="s">
        <v>886</v>
      </c>
      <c r="C4390" s="76" t="s">
        <v>1281</v>
      </c>
      <c r="D4390" s="75"/>
    </row>
    <row hidden="true" r="4391">
      <c r="A4391" s="76" t="s">
        <v>1298</v>
      </c>
      <c r="B4391" s="76" t="s">
        <v>888</v>
      </c>
      <c r="C4391" s="76" t="s">
        <v>1281</v>
      </c>
      <c r="D4391" s="75"/>
    </row>
    <row hidden="true" r="4392">
      <c r="A4392" s="76" t="s">
        <v>1298</v>
      </c>
      <c r="B4392" s="76" t="s">
        <v>890</v>
      </c>
      <c r="C4392" s="76" t="s">
        <v>1281</v>
      </c>
      <c r="D4392" s="75"/>
    </row>
    <row hidden="true" r="4393">
      <c r="A4393" s="76" t="s">
        <v>1298</v>
      </c>
      <c r="B4393" s="76" t="s">
        <v>892</v>
      </c>
      <c r="C4393" s="76" t="s">
        <v>1281</v>
      </c>
      <c r="D4393" s="75"/>
    </row>
    <row hidden="true" r="4394">
      <c r="A4394" s="76" t="s">
        <v>1298</v>
      </c>
      <c r="B4394" s="76" t="s">
        <v>894</v>
      </c>
      <c r="C4394" s="76" t="s">
        <v>1281</v>
      </c>
      <c r="D4394" s="75"/>
    </row>
    <row hidden="true" r="4395">
      <c r="A4395" s="76" t="s">
        <v>1298</v>
      </c>
      <c r="B4395" s="76" t="s">
        <v>896</v>
      </c>
      <c r="C4395" s="76" t="s">
        <v>1281</v>
      </c>
      <c r="D4395" s="75"/>
    </row>
    <row hidden="true" r="4396">
      <c r="A4396" s="76" t="s">
        <v>1298</v>
      </c>
      <c r="B4396" s="76" t="s">
        <v>898</v>
      </c>
      <c r="C4396" s="76" t="s">
        <v>1281</v>
      </c>
      <c r="D4396" s="75"/>
    </row>
    <row hidden="true" r="4397">
      <c r="A4397" s="76" t="s">
        <v>1298</v>
      </c>
      <c r="B4397" s="76" t="s">
        <v>900</v>
      </c>
      <c r="C4397" s="76" t="s">
        <v>1281</v>
      </c>
      <c r="D4397" s="75"/>
    </row>
    <row hidden="true" r="4398">
      <c r="A4398" s="76" t="s">
        <v>1298</v>
      </c>
      <c r="B4398" s="76" t="s">
        <v>902</v>
      </c>
      <c r="C4398" s="76" t="s">
        <v>1281</v>
      </c>
      <c r="D4398" s="75"/>
    </row>
    <row hidden="true" r="4399">
      <c r="A4399" s="76" t="s">
        <v>1298</v>
      </c>
      <c r="B4399" s="76" t="s">
        <v>904</v>
      </c>
      <c r="C4399" s="76" t="s">
        <v>1281</v>
      </c>
      <c r="D4399" s="75"/>
    </row>
    <row hidden="true" r="4400">
      <c r="A4400" s="76" t="s">
        <v>1298</v>
      </c>
      <c r="B4400" s="76" t="s">
        <v>906</v>
      </c>
      <c r="C4400" s="76" t="s">
        <v>1281</v>
      </c>
      <c r="D4400" s="75"/>
    </row>
    <row hidden="true" r="4401">
      <c r="A4401" s="76" t="s">
        <v>1298</v>
      </c>
      <c r="B4401" s="76" t="s">
        <v>908</v>
      </c>
      <c r="C4401" s="76" t="s">
        <v>1281</v>
      </c>
      <c r="D4401" s="75"/>
    </row>
    <row hidden="true" r="4402">
      <c r="A4402" s="76" t="s">
        <v>1298</v>
      </c>
      <c r="B4402" s="76" t="s">
        <v>910</v>
      </c>
      <c r="C4402" s="76" t="s">
        <v>1281</v>
      </c>
      <c r="D4402" s="75"/>
    </row>
    <row hidden="true" r="4403">
      <c r="A4403" s="76" t="s">
        <v>1298</v>
      </c>
      <c r="B4403" s="76" t="s">
        <v>912</v>
      </c>
      <c r="C4403" s="76" t="s">
        <v>1281</v>
      </c>
      <c r="D4403" s="75"/>
    </row>
    <row hidden="true" r="4404">
      <c r="A4404" s="76" t="s">
        <v>1298</v>
      </c>
      <c r="B4404" s="76" t="s">
        <v>914</v>
      </c>
      <c r="C4404" s="76" t="s">
        <v>1281</v>
      </c>
      <c r="D4404" s="75"/>
    </row>
    <row hidden="true" r="4405">
      <c r="A4405" s="76" t="s">
        <v>1298</v>
      </c>
      <c r="B4405" s="76" t="s">
        <v>916</v>
      </c>
      <c r="C4405" s="76" t="s">
        <v>1281</v>
      </c>
      <c r="D4405" s="75"/>
    </row>
    <row hidden="true" r="4406">
      <c r="A4406" s="76" t="s">
        <v>1298</v>
      </c>
      <c r="B4406" s="76" t="s">
        <v>918</v>
      </c>
      <c r="C4406" s="76" t="s">
        <v>1281</v>
      </c>
      <c r="D4406" s="75"/>
    </row>
    <row hidden="true" r="4407">
      <c r="A4407" s="76" t="s">
        <v>1298</v>
      </c>
      <c r="B4407" s="76" t="s">
        <v>920</v>
      </c>
      <c r="C4407" s="76" t="s">
        <v>1281</v>
      </c>
      <c r="D4407" s="75"/>
    </row>
    <row hidden="true" r="4408">
      <c r="A4408" s="76" t="s">
        <v>1298</v>
      </c>
      <c r="B4408" s="76" t="s">
        <v>922</v>
      </c>
      <c r="C4408" s="76" t="s">
        <v>1281</v>
      </c>
      <c r="D4408" s="75"/>
    </row>
    <row hidden="true" r="4409">
      <c r="A4409" s="76" t="s">
        <v>1298</v>
      </c>
      <c r="B4409" s="76" t="s">
        <v>924</v>
      </c>
      <c r="C4409" s="76" t="s">
        <v>1281</v>
      </c>
      <c r="D4409" s="75"/>
    </row>
    <row hidden="true" r="4410">
      <c r="A4410" s="76" t="s">
        <v>1298</v>
      </c>
      <c r="B4410" s="76" t="s">
        <v>926</v>
      </c>
      <c r="C4410" s="76" t="s">
        <v>1281</v>
      </c>
      <c r="D4410" s="75"/>
    </row>
    <row hidden="true" r="4411">
      <c r="A4411" s="76" t="s">
        <v>1298</v>
      </c>
      <c r="B4411" s="76" t="s">
        <v>928</v>
      </c>
      <c r="C4411" s="76" t="s">
        <v>1281</v>
      </c>
      <c r="D4411" s="75"/>
    </row>
    <row hidden="true" r="4412">
      <c r="A4412" s="76" t="s">
        <v>1298</v>
      </c>
      <c r="B4412" s="76" t="s">
        <v>930</v>
      </c>
      <c r="C4412" s="76" t="s">
        <v>1281</v>
      </c>
      <c r="D4412" s="75"/>
    </row>
    <row hidden="true" r="4413">
      <c r="A4413" s="76" t="s">
        <v>1298</v>
      </c>
      <c r="B4413" s="76" t="s">
        <v>932</v>
      </c>
      <c r="C4413" s="76" t="s">
        <v>1281</v>
      </c>
      <c r="D4413" s="75"/>
    </row>
    <row hidden="true" r="4414">
      <c r="A4414" s="76" t="s">
        <v>1298</v>
      </c>
      <c r="B4414" s="76" t="s">
        <v>934</v>
      </c>
      <c r="C4414" s="76" t="s">
        <v>1281</v>
      </c>
      <c r="D4414" s="75"/>
    </row>
    <row hidden="true" r="4415">
      <c r="A4415" s="76" t="s">
        <v>1298</v>
      </c>
      <c r="B4415" s="76" t="s">
        <v>936</v>
      </c>
      <c r="C4415" s="76" t="s">
        <v>1281</v>
      </c>
      <c r="D4415" s="75"/>
    </row>
    <row hidden="true" r="4416">
      <c r="A4416" s="76" t="s">
        <v>1298</v>
      </c>
      <c r="B4416" s="76" t="s">
        <v>938</v>
      </c>
      <c r="C4416" s="76" t="s">
        <v>1281</v>
      </c>
      <c r="D4416" s="75"/>
    </row>
    <row hidden="true" r="4417">
      <c r="A4417" s="76" t="s">
        <v>1298</v>
      </c>
      <c r="B4417" s="76" t="s">
        <v>940</v>
      </c>
      <c r="C4417" s="76" t="s">
        <v>1281</v>
      </c>
      <c r="D4417" s="75"/>
    </row>
    <row hidden="true" r="4418">
      <c r="A4418" s="76" t="s">
        <v>1298</v>
      </c>
      <c r="B4418" s="76" t="s">
        <v>942</v>
      </c>
      <c r="C4418" s="76" t="s">
        <v>1281</v>
      </c>
      <c r="D4418" s="75"/>
    </row>
    <row hidden="true" r="4419">
      <c r="A4419" s="76" t="s">
        <v>1298</v>
      </c>
      <c r="B4419" s="76" t="s">
        <v>944</v>
      </c>
      <c r="C4419" s="76" t="s">
        <v>1281</v>
      </c>
      <c r="D4419" s="75"/>
    </row>
    <row hidden="true" r="4420">
      <c r="A4420" s="76" t="s">
        <v>1298</v>
      </c>
      <c r="B4420" s="76" t="s">
        <v>946</v>
      </c>
      <c r="C4420" s="76" t="s">
        <v>1281</v>
      </c>
      <c r="D4420" s="75"/>
    </row>
    <row hidden="true" r="4421">
      <c r="A4421" s="76" t="s">
        <v>1298</v>
      </c>
      <c r="B4421" s="76" t="s">
        <v>948</v>
      </c>
      <c r="C4421" s="76" t="s">
        <v>1281</v>
      </c>
      <c r="D4421" s="75"/>
    </row>
    <row hidden="true" r="4422">
      <c r="A4422" s="76" t="s">
        <v>1298</v>
      </c>
      <c r="B4422" s="76" t="s">
        <v>950</v>
      </c>
      <c r="C4422" s="76" t="s">
        <v>1281</v>
      </c>
      <c r="D4422" s="75"/>
    </row>
    <row hidden="true" r="4423">
      <c r="A4423" s="76" t="s">
        <v>1298</v>
      </c>
      <c r="B4423" s="76" t="s">
        <v>952</v>
      </c>
      <c r="C4423" s="76" t="s">
        <v>1281</v>
      </c>
      <c r="D4423" s="75"/>
    </row>
    <row hidden="true" r="4424">
      <c r="A4424" s="76" t="s">
        <v>1298</v>
      </c>
      <c r="B4424" s="76" t="s">
        <v>954</v>
      </c>
      <c r="C4424" s="76" t="s">
        <v>1281</v>
      </c>
      <c r="D4424" s="75"/>
    </row>
    <row hidden="true" r="4425">
      <c r="A4425" s="76" t="s">
        <v>1298</v>
      </c>
      <c r="B4425" s="76" t="s">
        <v>775</v>
      </c>
      <c r="C4425" s="76" t="s">
        <v>1281</v>
      </c>
      <c r="D4425" s="75"/>
    </row>
    <row hidden="true" r="4426">
      <c r="A4426" s="76" t="s">
        <v>1298</v>
      </c>
      <c r="B4426" s="76" t="s">
        <v>956</v>
      </c>
      <c r="C4426" s="76" t="s">
        <v>1281</v>
      </c>
      <c r="D4426" s="75"/>
    </row>
    <row hidden="true" r="4427">
      <c r="A4427" s="76" t="s">
        <v>1298</v>
      </c>
      <c r="B4427" s="76" t="s">
        <v>958</v>
      </c>
      <c r="C4427" s="76" t="s">
        <v>1281</v>
      </c>
      <c r="D4427" s="75"/>
    </row>
    <row hidden="true" r="4428">
      <c r="A4428" s="76" t="s">
        <v>1298</v>
      </c>
      <c r="B4428" s="76" t="s">
        <v>960</v>
      </c>
      <c r="C4428" s="76" t="s">
        <v>1281</v>
      </c>
      <c r="D4428" s="75"/>
    </row>
    <row hidden="true" r="4429">
      <c r="A4429" s="76" t="s">
        <v>1298</v>
      </c>
      <c r="B4429" s="76" t="s">
        <v>962</v>
      </c>
      <c r="C4429" s="76" t="s">
        <v>1281</v>
      </c>
      <c r="D4429" s="75"/>
    </row>
    <row hidden="true" r="4430">
      <c r="A4430" s="76" t="s">
        <v>1298</v>
      </c>
      <c r="B4430" s="76" t="s">
        <v>964</v>
      </c>
      <c r="C4430" s="76" t="s">
        <v>1281</v>
      </c>
      <c r="D4430" s="75"/>
    </row>
    <row hidden="true" r="4431">
      <c r="A4431" s="76" t="s">
        <v>1298</v>
      </c>
      <c r="B4431" s="76" t="s">
        <v>966</v>
      </c>
      <c r="C4431" s="76" t="s">
        <v>1281</v>
      </c>
      <c r="D4431" s="75"/>
    </row>
    <row hidden="true" r="4432">
      <c r="A4432" s="76" t="s">
        <v>1298</v>
      </c>
      <c r="B4432" s="76" t="s">
        <v>968</v>
      </c>
      <c r="C4432" s="76" t="s">
        <v>1281</v>
      </c>
      <c r="D4432" s="75"/>
    </row>
    <row hidden="true" r="4433">
      <c r="A4433" s="76" t="s">
        <v>1298</v>
      </c>
      <c r="B4433" s="76" t="s">
        <v>970</v>
      </c>
      <c r="C4433" s="76" t="s">
        <v>1281</v>
      </c>
      <c r="D4433" s="75"/>
    </row>
    <row hidden="true" r="4434">
      <c r="A4434" s="76" t="s">
        <v>1298</v>
      </c>
      <c r="B4434" s="76" t="s">
        <v>972</v>
      </c>
      <c r="C4434" s="76" t="s">
        <v>1281</v>
      </c>
      <c r="D4434" s="75"/>
    </row>
    <row hidden="true" r="4435">
      <c r="A4435" s="76" t="s">
        <v>1298</v>
      </c>
      <c r="B4435" s="76" t="s">
        <v>974</v>
      </c>
      <c r="C4435" s="76" t="s">
        <v>1281</v>
      </c>
      <c r="D4435" s="75"/>
    </row>
    <row hidden="true" r="4436">
      <c r="A4436" s="76" t="s">
        <v>1298</v>
      </c>
      <c r="B4436" s="76" t="s">
        <v>976</v>
      </c>
      <c r="C4436" s="76" t="s">
        <v>1281</v>
      </c>
      <c r="D4436" s="75"/>
    </row>
    <row hidden="true" r="4437">
      <c r="A4437" s="76" t="s">
        <v>1298</v>
      </c>
      <c r="B4437" s="76" t="s">
        <v>823</v>
      </c>
      <c r="C4437" s="76" t="s">
        <v>1281</v>
      </c>
      <c r="D4437" s="75"/>
    </row>
    <row hidden="true" r="4438">
      <c r="A4438" s="76" t="s">
        <v>1298</v>
      </c>
      <c r="B4438" s="76" t="s">
        <v>978</v>
      </c>
      <c r="C4438" s="76" t="s">
        <v>1281</v>
      </c>
      <c r="D4438" s="75"/>
    </row>
    <row hidden="true" r="4439">
      <c r="A4439" s="76" t="s">
        <v>1298</v>
      </c>
      <c r="B4439" s="76" t="s">
        <v>980</v>
      </c>
      <c r="C4439" s="76" t="s">
        <v>1281</v>
      </c>
      <c r="D4439" s="75"/>
    </row>
    <row hidden="true" r="4440">
      <c r="A4440" s="76" t="s">
        <v>1298</v>
      </c>
      <c r="B4440" s="76" t="s">
        <v>982</v>
      </c>
      <c r="C4440" s="76" t="s">
        <v>1281</v>
      </c>
      <c r="D4440" s="75"/>
    </row>
    <row hidden="true" r="4441">
      <c r="A4441" s="76" t="s">
        <v>1298</v>
      </c>
      <c r="B4441" s="76" t="s">
        <v>984</v>
      </c>
      <c r="C4441" s="76" t="s">
        <v>1281</v>
      </c>
      <c r="D4441" s="75"/>
    </row>
    <row hidden="true" r="4442">
      <c r="A4442" s="76" t="s">
        <v>1298</v>
      </c>
      <c r="B4442" s="76" t="s">
        <v>986</v>
      </c>
      <c r="C4442" s="76" t="s">
        <v>1281</v>
      </c>
      <c r="D4442" s="75"/>
    </row>
    <row hidden="true" r="4443">
      <c r="A4443" s="76" t="s">
        <v>1298</v>
      </c>
      <c r="B4443" s="76" t="s">
        <v>988</v>
      </c>
      <c r="C4443" s="76" t="s">
        <v>1281</v>
      </c>
      <c r="D4443" s="75"/>
    </row>
    <row hidden="true" r="4444">
      <c r="A4444" s="76" t="s">
        <v>1298</v>
      </c>
      <c r="B4444" s="76" t="s">
        <v>990</v>
      </c>
      <c r="C4444" s="76" t="s">
        <v>1281</v>
      </c>
      <c r="D4444" s="75"/>
    </row>
    <row hidden="true" r="4445">
      <c r="A4445" s="76" t="s">
        <v>1298</v>
      </c>
      <c r="B4445" s="76" t="s">
        <v>992</v>
      </c>
      <c r="C4445" s="76" t="s">
        <v>1281</v>
      </c>
      <c r="D4445" s="75"/>
    </row>
    <row hidden="true" r="4446">
      <c r="A4446" s="76" t="s">
        <v>1298</v>
      </c>
      <c r="B4446" s="76" t="s">
        <v>994</v>
      </c>
      <c r="C4446" s="76" t="s">
        <v>1281</v>
      </c>
      <c r="D4446" s="75"/>
    </row>
    <row hidden="true" r="4447">
      <c r="A4447" s="76" t="s">
        <v>1298</v>
      </c>
      <c r="B4447" s="76" t="s">
        <v>996</v>
      </c>
      <c r="C4447" s="76" t="s">
        <v>1281</v>
      </c>
      <c r="D4447" s="75"/>
    </row>
    <row hidden="true" r="4448">
      <c r="A4448" s="76" t="s">
        <v>1298</v>
      </c>
      <c r="B4448" s="76" t="s">
        <v>998</v>
      </c>
      <c r="C4448" s="76" t="s">
        <v>1281</v>
      </c>
      <c r="D4448" s="75"/>
    </row>
    <row hidden="true" r="4449">
      <c r="A4449" s="76" t="s">
        <v>1298</v>
      </c>
      <c r="B4449" s="76" t="s">
        <v>1000</v>
      </c>
      <c r="C4449" s="76" t="s">
        <v>1281</v>
      </c>
      <c r="D4449" s="75"/>
    </row>
    <row hidden="true" r="4450">
      <c r="A4450" s="76" t="s">
        <v>1298</v>
      </c>
      <c r="B4450" s="76" t="s">
        <v>1002</v>
      </c>
      <c r="C4450" s="76" t="s">
        <v>1281</v>
      </c>
      <c r="D4450" s="75"/>
    </row>
    <row hidden="true" r="4451">
      <c r="A4451" s="76" t="s">
        <v>1298</v>
      </c>
      <c r="B4451" s="76" t="s">
        <v>1004</v>
      </c>
      <c r="C4451" s="76" t="s">
        <v>1281</v>
      </c>
      <c r="D4451" s="75"/>
    </row>
    <row hidden="true" r="4452">
      <c r="A4452" s="76" t="s">
        <v>1298</v>
      </c>
      <c r="B4452" s="76" t="s">
        <v>1006</v>
      </c>
      <c r="C4452" s="76" t="s">
        <v>1281</v>
      </c>
      <c r="D4452" s="75"/>
    </row>
    <row hidden="true" r="4453">
      <c r="A4453" s="76" t="s">
        <v>1298</v>
      </c>
      <c r="B4453" s="76" t="s">
        <v>1008</v>
      </c>
      <c r="C4453" s="76" t="s">
        <v>1281</v>
      </c>
      <c r="D4453" s="75"/>
    </row>
    <row hidden="true" r="4454">
      <c r="A4454" s="76" t="s">
        <v>1298</v>
      </c>
      <c r="B4454" s="76" t="s">
        <v>1010</v>
      </c>
      <c r="C4454" s="76" t="s">
        <v>1281</v>
      </c>
      <c r="D4454" s="75"/>
    </row>
    <row hidden="true" r="4455">
      <c r="A4455" s="76" t="s">
        <v>1298</v>
      </c>
      <c r="B4455" s="76" t="s">
        <v>1012</v>
      </c>
      <c r="C4455" s="76" t="s">
        <v>1281</v>
      </c>
      <c r="D4455" s="75"/>
    </row>
    <row hidden="true" r="4456">
      <c r="A4456" s="76" t="s">
        <v>1298</v>
      </c>
      <c r="B4456" s="76" t="s">
        <v>1014</v>
      </c>
      <c r="C4456" s="76" t="s">
        <v>1281</v>
      </c>
      <c r="D4456" s="75"/>
    </row>
    <row hidden="true" r="4457">
      <c r="A4457" s="76" t="s">
        <v>1298</v>
      </c>
      <c r="B4457" s="76" t="s">
        <v>1016</v>
      </c>
      <c r="C4457" s="76" t="s">
        <v>1281</v>
      </c>
      <c r="D4457" s="75"/>
    </row>
    <row hidden="true" r="4458">
      <c r="A4458" s="76" t="s">
        <v>1298</v>
      </c>
      <c r="B4458" s="76" t="s">
        <v>1018</v>
      </c>
      <c r="C4458" s="76" t="s">
        <v>1281</v>
      </c>
      <c r="D4458" s="75"/>
    </row>
    <row hidden="true" r="4459">
      <c r="A4459" s="76" t="s">
        <v>1298</v>
      </c>
      <c r="B4459" s="76" t="s">
        <v>1020</v>
      </c>
      <c r="C4459" s="76" t="s">
        <v>1281</v>
      </c>
      <c r="D4459" s="75"/>
    </row>
    <row hidden="true" r="4460">
      <c r="A4460" s="76" t="s">
        <v>1298</v>
      </c>
      <c r="B4460" s="76" t="s">
        <v>1022</v>
      </c>
      <c r="C4460" s="76" t="s">
        <v>1281</v>
      </c>
      <c r="D4460" s="75"/>
    </row>
    <row hidden="true" r="4461">
      <c r="A4461" s="76" t="s">
        <v>1298</v>
      </c>
      <c r="B4461" s="76" t="s">
        <v>1023</v>
      </c>
      <c r="C4461" s="76" t="s">
        <v>1281</v>
      </c>
      <c r="D4461" s="75"/>
    </row>
    <row hidden="true" r="4462">
      <c r="A4462" s="76" t="s">
        <v>1298</v>
      </c>
      <c r="B4462" s="76" t="s">
        <v>1024</v>
      </c>
      <c r="C4462" s="76" t="s">
        <v>1281</v>
      </c>
      <c r="D4462" s="75"/>
    </row>
    <row hidden="true" r="4463">
      <c r="A4463" s="76" t="s">
        <v>1298</v>
      </c>
      <c r="B4463" s="76" t="s">
        <v>1025</v>
      </c>
      <c r="C4463" s="76" t="s">
        <v>1281</v>
      </c>
      <c r="D4463" s="75"/>
    </row>
    <row hidden="true" r="4464">
      <c r="A4464" s="76" t="s">
        <v>1298</v>
      </c>
      <c r="B4464" s="76" t="s">
        <v>1026</v>
      </c>
      <c r="C4464" s="76" t="s">
        <v>1281</v>
      </c>
      <c r="D4464" s="75"/>
    </row>
    <row hidden="true" r="4465">
      <c r="A4465" s="76" t="s">
        <v>1298</v>
      </c>
      <c r="B4465" s="76" t="s">
        <v>1027</v>
      </c>
      <c r="C4465" s="76" t="s">
        <v>1281</v>
      </c>
      <c r="D4465" s="75"/>
    </row>
    <row hidden="true" r="4466">
      <c r="A4466" s="76" t="s">
        <v>1298</v>
      </c>
      <c r="B4466" s="76" t="s">
        <v>1028</v>
      </c>
      <c r="C4466" s="76" t="s">
        <v>1281</v>
      </c>
      <c r="D4466" s="75"/>
    </row>
    <row hidden="true" r="4467">
      <c r="A4467" s="76" t="s">
        <v>1298</v>
      </c>
      <c r="B4467" s="76" t="s">
        <v>530</v>
      </c>
      <c r="C4467" s="76" t="s">
        <v>1281</v>
      </c>
      <c r="D4467" s="75"/>
    </row>
    <row hidden="true" r="4468">
      <c r="A4468" s="76" t="s">
        <v>1298</v>
      </c>
      <c r="B4468" s="76" t="s">
        <v>1030</v>
      </c>
      <c r="C4468" s="76" t="s">
        <v>1281</v>
      </c>
      <c r="D4468" s="75"/>
    </row>
    <row hidden="true" r="4469">
      <c r="A4469" s="76" t="s">
        <v>1298</v>
      </c>
      <c r="B4469" s="76" t="s">
        <v>1032</v>
      </c>
      <c r="C4469" s="76" t="s">
        <v>1281</v>
      </c>
      <c r="D4469" s="75"/>
    </row>
    <row hidden="true" r="4470">
      <c r="A4470" s="76" t="s">
        <v>1298</v>
      </c>
      <c r="B4470" s="76" t="s">
        <v>1034</v>
      </c>
      <c r="C4470" s="76" t="s">
        <v>1281</v>
      </c>
      <c r="D4470" s="75"/>
    </row>
    <row hidden="true" r="4471">
      <c r="A4471" s="76" t="s">
        <v>1298</v>
      </c>
      <c r="B4471" s="76" t="s">
        <v>532</v>
      </c>
      <c r="C4471" s="76" t="s">
        <v>1281</v>
      </c>
      <c r="D4471" s="75"/>
    </row>
    <row hidden="true" r="4472">
      <c r="A4472" s="76" t="s">
        <v>1298</v>
      </c>
      <c r="B4472" s="76" t="s">
        <v>1036</v>
      </c>
      <c r="C4472" s="76" t="s">
        <v>1281</v>
      </c>
      <c r="D4472" s="75"/>
    </row>
    <row hidden="true" r="4473">
      <c r="A4473" s="76" t="s">
        <v>1298</v>
      </c>
      <c r="B4473" s="76" t="s">
        <v>1038</v>
      </c>
      <c r="C4473" s="76" t="s">
        <v>1281</v>
      </c>
      <c r="D4473" s="75"/>
    </row>
    <row hidden="true" r="4474">
      <c r="A4474" s="76" t="s">
        <v>1298</v>
      </c>
      <c r="B4474" s="76" t="s">
        <v>1040</v>
      </c>
      <c r="C4474" s="76" t="s">
        <v>1281</v>
      </c>
      <c r="D4474" s="75"/>
    </row>
    <row hidden="true" r="4475">
      <c r="A4475" s="76" t="s">
        <v>1298</v>
      </c>
      <c r="B4475" s="76" t="s">
        <v>1042</v>
      </c>
      <c r="C4475" s="76" t="s">
        <v>1281</v>
      </c>
      <c r="D4475" s="75"/>
    </row>
    <row hidden="true" r="4476">
      <c r="A4476" s="76" t="s">
        <v>1298</v>
      </c>
      <c r="B4476" s="76" t="s">
        <v>1044</v>
      </c>
      <c r="C4476" s="76" t="s">
        <v>1281</v>
      </c>
      <c r="D4476" s="75"/>
    </row>
    <row hidden="true" r="4477">
      <c r="A4477" s="76" t="s">
        <v>1298</v>
      </c>
      <c r="B4477" s="76" t="s">
        <v>1046</v>
      </c>
      <c r="C4477" s="76" t="s">
        <v>1281</v>
      </c>
      <c r="D4477" s="75"/>
    </row>
    <row hidden="true" r="4478">
      <c r="A4478" s="76" t="s">
        <v>1298</v>
      </c>
      <c r="B4478" s="76" t="s">
        <v>1048</v>
      </c>
      <c r="C4478" s="76" t="s">
        <v>1281</v>
      </c>
      <c r="D4478" s="75"/>
    </row>
    <row hidden="true" r="4479">
      <c r="A4479" s="76" t="s">
        <v>1298</v>
      </c>
      <c r="B4479" s="76" t="s">
        <v>1050</v>
      </c>
      <c r="C4479" s="76" t="s">
        <v>1281</v>
      </c>
      <c r="D4479" s="75"/>
    </row>
    <row hidden="true" r="4480">
      <c r="A4480" s="76" t="s">
        <v>1298</v>
      </c>
      <c r="B4480" s="76" t="s">
        <v>1052</v>
      </c>
      <c r="C4480" s="76" t="s">
        <v>1281</v>
      </c>
      <c r="D4480" s="75"/>
    </row>
    <row hidden="true" r="4481">
      <c r="A4481" s="76" t="s">
        <v>1298</v>
      </c>
      <c r="B4481" s="76" t="s">
        <v>1054</v>
      </c>
      <c r="C4481" s="76" t="s">
        <v>1281</v>
      </c>
      <c r="D4481" s="75"/>
    </row>
    <row hidden="true" r="4482">
      <c r="A4482" s="76" t="s">
        <v>1298</v>
      </c>
      <c r="B4482" s="76" t="s">
        <v>1056</v>
      </c>
      <c r="C4482" s="76" t="s">
        <v>1281</v>
      </c>
      <c r="D4482" s="75"/>
    </row>
    <row hidden="true" r="4483">
      <c r="A4483" s="76" t="s">
        <v>1298</v>
      </c>
      <c r="B4483" s="76" t="s">
        <v>1058</v>
      </c>
      <c r="C4483" s="76" t="s">
        <v>1281</v>
      </c>
      <c r="D4483" s="75"/>
    </row>
    <row hidden="true" r="4484">
      <c r="A4484" s="76" t="s">
        <v>1298</v>
      </c>
      <c r="B4484" s="76" t="s">
        <v>1060</v>
      </c>
      <c r="C4484" s="76" t="s">
        <v>1281</v>
      </c>
      <c r="D4484" s="75"/>
    </row>
    <row hidden="true" r="4485">
      <c r="A4485" s="76" t="s">
        <v>1298</v>
      </c>
      <c r="B4485" s="76" t="s">
        <v>1062</v>
      </c>
      <c r="C4485" s="76" t="s">
        <v>1281</v>
      </c>
      <c r="D4485" s="75"/>
    </row>
    <row hidden="true" r="4486">
      <c r="A4486" s="76" t="s">
        <v>1298</v>
      </c>
      <c r="B4486" s="76" t="s">
        <v>1064</v>
      </c>
      <c r="C4486" s="76" t="s">
        <v>1281</v>
      </c>
      <c r="D4486" s="75"/>
    </row>
    <row hidden="true" r="4487">
      <c r="A4487" s="76" t="s">
        <v>1298</v>
      </c>
      <c r="B4487" s="76" t="s">
        <v>1066</v>
      </c>
      <c r="C4487" s="76" t="s">
        <v>1281</v>
      </c>
      <c r="D4487" s="75"/>
    </row>
    <row hidden="true" r="4488">
      <c r="A4488" s="76" t="s">
        <v>1298</v>
      </c>
      <c r="B4488" s="76" t="s">
        <v>1068</v>
      </c>
      <c r="C4488" s="76" t="s">
        <v>1281</v>
      </c>
      <c r="D4488" s="75"/>
    </row>
    <row hidden="true" r="4489">
      <c r="A4489" s="76" t="s">
        <v>1298</v>
      </c>
      <c r="B4489" s="76" t="s">
        <v>1070</v>
      </c>
      <c r="C4489" s="76" t="s">
        <v>1281</v>
      </c>
      <c r="D4489" s="75"/>
    </row>
    <row hidden="true" r="4490">
      <c r="A4490" s="76" t="s">
        <v>1298</v>
      </c>
      <c r="B4490" s="76" t="s">
        <v>1071</v>
      </c>
      <c r="C4490" s="76" t="s">
        <v>1281</v>
      </c>
      <c r="D4490" s="75"/>
    </row>
    <row hidden="true" r="4491">
      <c r="A4491" s="76" t="s">
        <v>1298</v>
      </c>
      <c r="B4491" s="76" t="s">
        <v>1072</v>
      </c>
      <c r="C4491" s="76" t="s">
        <v>1281</v>
      </c>
      <c r="D4491" s="75"/>
    </row>
    <row hidden="true" r="4492">
      <c r="A4492" s="76" t="s">
        <v>1298</v>
      </c>
      <c r="B4492" s="76" t="s">
        <v>1074</v>
      </c>
      <c r="C4492" s="76" t="s">
        <v>1281</v>
      </c>
      <c r="D4492" s="75"/>
    </row>
    <row hidden="true" r="4493">
      <c r="A4493" s="76" t="s">
        <v>1298</v>
      </c>
      <c r="B4493" s="76" t="s">
        <v>1075</v>
      </c>
      <c r="C4493" s="76" t="s">
        <v>1281</v>
      </c>
      <c r="D4493" s="75"/>
    </row>
    <row hidden="true" r="4494">
      <c r="A4494" s="76" t="s">
        <v>1298</v>
      </c>
      <c r="B4494" s="76" t="s">
        <v>1076</v>
      </c>
      <c r="C4494" s="76" t="s">
        <v>1281</v>
      </c>
      <c r="D4494" s="75"/>
    </row>
    <row hidden="true" r="4495">
      <c r="A4495" s="76" t="s">
        <v>1298</v>
      </c>
      <c r="B4495" s="76" t="s">
        <v>1078</v>
      </c>
      <c r="C4495" s="76" t="s">
        <v>1281</v>
      </c>
      <c r="D4495" s="75"/>
    </row>
    <row hidden="true" r="4496">
      <c r="A4496" s="76" t="s">
        <v>1298</v>
      </c>
      <c r="B4496" s="76" t="s">
        <v>839</v>
      </c>
      <c r="C4496" s="76" t="s">
        <v>1281</v>
      </c>
      <c r="D4496" s="75"/>
    </row>
    <row hidden="true" r="4497">
      <c r="A4497" s="76" t="s">
        <v>1298</v>
      </c>
      <c r="B4497" s="76" t="s">
        <v>1080</v>
      </c>
      <c r="C4497" s="76" t="s">
        <v>1281</v>
      </c>
      <c r="D4497" s="75"/>
    </row>
    <row hidden="true" r="4498">
      <c r="A4498" s="76" t="s">
        <v>1298</v>
      </c>
      <c r="B4498" s="76" t="s">
        <v>1082</v>
      </c>
      <c r="C4498" s="76" t="s">
        <v>1281</v>
      </c>
      <c r="D4498" s="75"/>
    </row>
    <row hidden="true" r="4499">
      <c r="A4499" s="76" t="s">
        <v>1298</v>
      </c>
      <c r="B4499" s="76" t="s">
        <v>1084</v>
      </c>
      <c r="C4499" s="76" t="s">
        <v>1281</v>
      </c>
      <c r="D4499" s="75"/>
    </row>
    <row hidden="true" r="4500">
      <c r="A4500" s="76" t="s">
        <v>1298</v>
      </c>
      <c r="B4500" s="76" t="s">
        <v>1086</v>
      </c>
      <c r="C4500" s="76" t="s">
        <v>1281</v>
      </c>
      <c r="D4500" s="75"/>
    </row>
    <row hidden="true" r="4501">
      <c r="A4501" s="76" t="s">
        <v>1298</v>
      </c>
      <c r="B4501" s="76" t="s">
        <v>1088</v>
      </c>
      <c r="C4501" s="76" t="s">
        <v>1281</v>
      </c>
      <c r="D4501" s="75"/>
    </row>
    <row hidden="true" r="4502">
      <c r="A4502" s="76" t="s">
        <v>1298</v>
      </c>
      <c r="B4502" s="76" t="s">
        <v>1090</v>
      </c>
      <c r="C4502" s="76" t="s">
        <v>1281</v>
      </c>
      <c r="D4502" s="75"/>
    </row>
    <row hidden="true" r="4503">
      <c r="A4503" s="76" t="s">
        <v>1298</v>
      </c>
      <c r="B4503" s="76" t="s">
        <v>1092</v>
      </c>
      <c r="C4503" s="76" t="s">
        <v>1281</v>
      </c>
      <c r="D4503" s="75"/>
    </row>
    <row hidden="true" r="4504">
      <c r="A4504" s="76" t="s">
        <v>1298</v>
      </c>
      <c r="B4504" s="76" t="s">
        <v>1093</v>
      </c>
      <c r="C4504" s="76" t="s">
        <v>1281</v>
      </c>
      <c r="D4504" s="75"/>
    </row>
    <row hidden="true" r="4505">
      <c r="A4505" s="76" t="s">
        <v>1298</v>
      </c>
      <c r="B4505" s="76" t="s">
        <v>1095</v>
      </c>
      <c r="C4505" s="76" t="s">
        <v>1281</v>
      </c>
      <c r="D4505" s="75"/>
    </row>
    <row hidden="true" r="4506">
      <c r="A4506" s="76" t="s">
        <v>1298</v>
      </c>
      <c r="B4506" s="76" t="s">
        <v>1097</v>
      </c>
      <c r="C4506" s="76" t="s">
        <v>1281</v>
      </c>
      <c r="D4506" s="75"/>
    </row>
    <row hidden="true" r="4507">
      <c r="A4507" s="76" t="s">
        <v>1298</v>
      </c>
      <c r="B4507" s="76" t="s">
        <v>1099</v>
      </c>
      <c r="C4507" s="76" t="s">
        <v>1281</v>
      </c>
      <c r="D4507" s="75"/>
    </row>
    <row hidden="true" r="4508">
      <c r="A4508" s="76" t="s">
        <v>1298</v>
      </c>
      <c r="B4508" s="76" t="s">
        <v>1101</v>
      </c>
      <c r="C4508" s="76" t="s">
        <v>1281</v>
      </c>
      <c r="D4508" s="75"/>
    </row>
    <row hidden="true" r="4509">
      <c r="A4509" s="76" t="s">
        <v>1298</v>
      </c>
      <c r="B4509" s="76" t="s">
        <v>1103</v>
      </c>
      <c r="C4509" s="76" t="s">
        <v>1281</v>
      </c>
      <c r="D4509" s="75"/>
    </row>
    <row hidden="true" r="4510">
      <c r="A4510" s="76" t="s">
        <v>1298</v>
      </c>
      <c r="B4510" s="76" t="s">
        <v>1105</v>
      </c>
      <c r="C4510" s="76" t="s">
        <v>1281</v>
      </c>
      <c r="D4510" s="75"/>
    </row>
    <row hidden="true" r="4511">
      <c r="A4511" s="76" t="s">
        <v>1298</v>
      </c>
      <c r="B4511" s="76" t="s">
        <v>1107</v>
      </c>
      <c r="C4511" s="76" t="s">
        <v>1281</v>
      </c>
      <c r="D4511" s="75"/>
    </row>
    <row hidden="true" r="4512">
      <c r="A4512" s="76" t="s">
        <v>1298</v>
      </c>
      <c r="B4512" s="76" t="s">
        <v>1109</v>
      </c>
      <c r="C4512" s="76" t="s">
        <v>1281</v>
      </c>
      <c r="D4512" s="75"/>
    </row>
    <row hidden="true" r="4513">
      <c r="A4513" s="76" t="s">
        <v>1298</v>
      </c>
      <c r="B4513" s="76" t="s">
        <v>1111</v>
      </c>
      <c r="C4513" s="76" t="s">
        <v>1281</v>
      </c>
      <c r="D4513" s="75"/>
    </row>
    <row hidden="true" r="4514">
      <c r="A4514" s="76" t="s">
        <v>1298</v>
      </c>
      <c r="B4514" s="76" t="s">
        <v>1113</v>
      </c>
      <c r="C4514" s="76" t="s">
        <v>1281</v>
      </c>
      <c r="D4514" s="75"/>
    </row>
    <row hidden="true" r="4515">
      <c r="A4515" s="76" t="s">
        <v>1298</v>
      </c>
      <c r="B4515" s="76" t="s">
        <v>1115</v>
      </c>
      <c r="C4515" s="76" t="s">
        <v>1281</v>
      </c>
      <c r="D4515" s="75"/>
    </row>
    <row hidden="true" r="4516">
      <c r="A4516" s="76" t="s">
        <v>1298</v>
      </c>
      <c r="B4516" s="76" t="s">
        <v>1117</v>
      </c>
      <c r="C4516" s="76" t="s">
        <v>1281</v>
      </c>
      <c r="D4516" s="75"/>
    </row>
    <row hidden="true" r="4517">
      <c r="A4517" s="76" t="s">
        <v>1298</v>
      </c>
      <c r="B4517" s="76" t="s">
        <v>1119</v>
      </c>
      <c r="C4517" s="76" t="s">
        <v>1281</v>
      </c>
      <c r="D4517" s="75"/>
    </row>
    <row hidden="true" r="4518">
      <c r="A4518" s="76" t="s">
        <v>1298</v>
      </c>
      <c r="B4518" s="76" t="s">
        <v>1121</v>
      </c>
      <c r="C4518" s="76" t="s">
        <v>1281</v>
      </c>
      <c r="D4518" s="75"/>
    </row>
    <row hidden="true" r="4519">
      <c r="A4519" s="76" t="s">
        <v>1298</v>
      </c>
      <c r="B4519" s="76" t="s">
        <v>1123</v>
      </c>
      <c r="C4519" s="76" t="s">
        <v>1281</v>
      </c>
      <c r="D4519" s="75"/>
    </row>
    <row hidden="true" r="4520">
      <c r="A4520" s="76" t="s">
        <v>1298</v>
      </c>
      <c r="B4520" s="76" t="s">
        <v>1125</v>
      </c>
      <c r="C4520" s="76" t="s">
        <v>1281</v>
      </c>
      <c r="D4520" s="75"/>
    </row>
    <row hidden="true" r="4521">
      <c r="A4521" s="76" t="s">
        <v>1298</v>
      </c>
      <c r="B4521" s="76" t="s">
        <v>1127</v>
      </c>
      <c r="C4521" s="76" t="s">
        <v>1281</v>
      </c>
      <c r="D4521" s="75"/>
    </row>
    <row hidden="true" r="4522">
      <c r="A4522" s="76" t="s">
        <v>1298</v>
      </c>
      <c r="B4522" s="76" t="s">
        <v>1129</v>
      </c>
      <c r="C4522" s="76" t="s">
        <v>1281</v>
      </c>
      <c r="D4522" s="75"/>
    </row>
    <row hidden="true" r="4523">
      <c r="A4523" s="76" t="s">
        <v>1298</v>
      </c>
      <c r="B4523" s="76" t="s">
        <v>1131</v>
      </c>
      <c r="C4523" s="76" t="s">
        <v>1281</v>
      </c>
      <c r="D4523" s="75"/>
    </row>
    <row hidden="true" r="4524">
      <c r="A4524" s="76" t="s">
        <v>1298</v>
      </c>
      <c r="B4524" s="76" t="s">
        <v>1133</v>
      </c>
      <c r="C4524" s="76" t="s">
        <v>1281</v>
      </c>
      <c r="D4524" s="75"/>
    </row>
    <row hidden="true" r="4525">
      <c r="A4525" s="76" t="s">
        <v>1298</v>
      </c>
      <c r="B4525" s="76" t="s">
        <v>1135</v>
      </c>
      <c r="C4525" s="76" t="s">
        <v>1281</v>
      </c>
      <c r="D4525" s="75"/>
    </row>
    <row hidden="true" r="4526">
      <c r="A4526" s="76" t="s">
        <v>1298</v>
      </c>
      <c r="B4526" s="76" t="s">
        <v>1137</v>
      </c>
      <c r="C4526" s="76" t="s">
        <v>1281</v>
      </c>
      <c r="D4526" s="75"/>
    </row>
    <row hidden="true" r="4527">
      <c r="A4527" s="76" t="s">
        <v>1298</v>
      </c>
      <c r="B4527" s="76" t="s">
        <v>1139</v>
      </c>
      <c r="C4527" s="76" t="s">
        <v>1281</v>
      </c>
      <c r="D4527" s="75"/>
    </row>
    <row hidden="true" r="4528">
      <c r="A4528" s="76" t="s">
        <v>1298</v>
      </c>
      <c r="B4528" s="76" t="s">
        <v>1141</v>
      </c>
      <c r="C4528" s="76" t="s">
        <v>1281</v>
      </c>
      <c r="D4528" s="75"/>
    </row>
    <row hidden="true" r="4529">
      <c r="A4529" s="76" t="s">
        <v>1298</v>
      </c>
      <c r="B4529" s="76" t="s">
        <v>1143</v>
      </c>
      <c r="C4529" s="76" t="s">
        <v>1281</v>
      </c>
      <c r="D4529" s="75"/>
    </row>
    <row hidden="true" r="4530">
      <c r="A4530" s="76" t="s">
        <v>1298</v>
      </c>
      <c r="B4530" s="76" t="s">
        <v>1145</v>
      </c>
      <c r="C4530" s="76" t="s">
        <v>1281</v>
      </c>
      <c r="D4530" s="75"/>
    </row>
    <row hidden="true" r="4531">
      <c r="A4531" s="76" t="s">
        <v>1298</v>
      </c>
      <c r="B4531" s="76" t="s">
        <v>1147</v>
      </c>
      <c r="C4531" s="76" t="s">
        <v>1281</v>
      </c>
      <c r="D4531" s="75"/>
    </row>
    <row hidden="true" r="4532">
      <c r="A4532" s="76" t="s">
        <v>1298</v>
      </c>
      <c r="B4532" s="76" t="s">
        <v>1149</v>
      </c>
      <c r="C4532" s="76" t="s">
        <v>1281</v>
      </c>
      <c r="D4532" s="75"/>
    </row>
    <row hidden="true" r="4533">
      <c r="A4533" s="76" t="s">
        <v>1298</v>
      </c>
      <c r="B4533" s="76" t="s">
        <v>1151</v>
      </c>
      <c r="C4533" s="76" t="s">
        <v>1281</v>
      </c>
      <c r="D4533" s="75"/>
    </row>
    <row hidden="true" r="4534">
      <c r="A4534" s="76" t="s">
        <v>1298</v>
      </c>
      <c r="B4534" s="76" t="s">
        <v>1153</v>
      </c>
      <c r="C4534" s="76" t="s">
        <v>1281</v>
      </c>
      <c r="D4534" s="75"/>
    </row>
    <row hidden="true" r="4535">
      <c r="A4535" s="76" t="s">
        <v>1298</v>
      </c>
      <c r="B4535" s="76" t="s">
        <v>1155</v>
      </c>
      <c r="C4535" s="76" t="s">
        <v>1281</v>
      </c>
      <c r="D4535" s="75"/>
    </row>
    <row hidden="true" r="4536">
      <c r="A4536" s="76" t="s">
        <v>1298</v>
      </c>
      <c r="B4536" s="76" t="s">
        <v>1157</v>
      </c>
      <c r="C4536" s="76" t="s">
        <v>1281</v>
      </c>
      <c r="D4536" s="75"/>
    </row>
    <row hidden="true" r="4537">
      <c r="A4537" s="76" t="s">
        <v>1298</v>
      </c>
      <c r="B4537" s="76" t="s">
        <v>1159</v>
      </c>
      <c r="C4537" s="76" t="s">
        <v>1281</v>
      </c>
      <c r="D4537" s="75"/>
    </row>
    <row hidden="true" r="4538">
      <c r="A4538" s="76" t="s">
        <v>1298</v>
      </c>
      <c r="B4538" s="76" t="s">
        <v>868</v>
      </c>
      <c r="C4538" s="76" t="s">
        <v>1281</v>
      </c>
      <c r="D4538" s="75"/>
    </row>
    <row hidden="true" r="4539">
      <c r="A4539" s="76" t="s">
        <v>1298</v>
      </c>
      <c r="B4539" s="76" t="s">
        <v>1161</v>
      </c>
      <c r="C4539" s="76" t="s">
        <v>1281</v>
      </c>
      <c r="D4539" s="75"/>
    </row>
    <row hidden="true" r="4540">
      <c r="A4540" s="76" t="s">
        <v>1298</v>
      </c>
      <c r="B4540" s="76" t="s">
        <v>1163</v>
      </c>
      <c r="C4540" s="76" t="s">
        <v>1281</v>
      </c>
      <c r="D4540" s="75"/>
    </row>
    <row hidden="true" r="4541">
      <c r="A4541" s="76" t="s">
        <v>1298</v>
      </c>
      <c r="B4541" s="76" t="s">
        <v>1165</v>
      </c>
      <c r="C4541" s="76" t="s">
        <v>1281</v>
      </c>
      <c r="D4541" s="75"/>
    </row>
    <row hidden="true" r="4542">
      <c r="A4542" s="76" t="s">
        <v>1298</v>
      </c>
      <c r="B4542" s="76" t="s">
        <v>1167</v>
      </c>
      <c r="C4542" s="76" t="s">
        <v>1281</v>
      </c>
      <c r="D4542" s="75"/>
    </row>
    <row hidden="true" r="4543">
      <c r="A4543" s="76" t="s">
        <v>1298</v>
      </c>
      <c r="B4543" s="76" t="s">
        <v>1169</v>
      </c>
      <c r="C4543" s="76" t="s">
        <v>1281</v>
      </c>
      <c r="D4543" s="75"/>
    </row>
    <row hidden="true" r="4544">
      <c r="A4544" s="76" t="s">
        <v>1298</v>
      </c>
      <c r="B4544" s="76" t="s">
        <v>1171</v>
      </c>
      <c r="C4544" s="76" t="s">
        <v>1281</v>
      </c>
      <c r="D4544" s="75"/>
    </row>
    <row hidden="true" r="4545">
      <c r="A4545" s="76" t="s">
        <v>1298</v>
      </c>
      <c r="B4545" s="76" t="s">
        <v>1173</v>
      </c>
      <c r="C4545" s="76" t="s">
        <v>1281</v>
      </c>
      <c r="D4545" s="75"/>
    </row>
    <row hidden="true" r="4546">
      <c r="A4546" s="76" t="s">
        <v>1298</v>
      </c>
      <c r="B4546" s="76" t="s">
        <v>1175</v>
      </c>
      <c r="C4546" s="76" t="s">
        <v>1281</v>
      </c>
      <c r="D4546" s="75"/>
    </row>
    <row hidden="true" r="4547">
      <c r="A4547" s="76" t="s">
        <v>1298</v>
      </c>
      <c r="B4547" s="76" t="s">
        <v>1177</v>
      </c>
      <c r="C4547" s="76" t="s">
        <v>1281</v>
      </c>
      <c r="D4547" s="75"/>
    </row>
    <row hidden="true" r="4548">
      <c r="A4548" s="76" t="s">
        <v>1298</v>
      </c>
      <c r="B4548" s="76" t="s">
        <v>1179</v>
      </c>
      <c r="C4548" s="76" t="s">
        <v>1281</v>
      </c>
      <c r="D4548" s="75"/>
    </row>
    <row hidden="true" r="4549">
      <c r="A4549" s="76" t="s">
        <v>1298</v>
      </c>
      <c r="B4549" s="76" t="s">
        <v>1181</v>
      </c>
      <c r="C4549" s="76" t="s">
        <v>1281</v>
      </c>
      <c r="D4549" s="75"/>
    </row>
    <row hidden="true" r="4550">
      <c r="A4550" s="76" t="s">
        <v>1298</v>
      </c>
      <c r="B4550" s="76" t="s">
        <v>1183</v>
      </c>
      <c r="C4550" s="76" t="s">
        <v>1281</v>
      </c>
      <c r="D4550" s="75"/>
    </row>
    <row hidden="true" r="4551">
      <c r="A4551" s="76" t="s">
        <v>1298</v>
      </c>
      <c r="B4551" s="76" t="s">
        <v>1185</v>
      </c>
      <c r="C4551" s="76" t="s">
        <v>1281</v>
      </c>
      <c r="D4551" s="75"/>
    </row>
    <row hidden="true" r="4552">
      <c r="A4552" s="76" t="s">
        <v>1298</v>
      </c>
      <c r="B4552" s="76" t="s">
        <v>1187</v>
      </c>
      <c r="C4552" s="76" t="s">
        <v>1281</v>
      </c>
      <c r="D4552" s="75"/>
    </row>
    <row hidden="true" r="4553">
      <c r="A4553" s="76" t="s">
        <v>1298</v>
      </c>
      <c r="B4553" s="76" t="s">
        <v>1189</v>
      </c>
      <c r="C4553" s="76" t="s">
        <v>1281</v>
      </c>
      <c r="D4553" s="75"/>
    </row>
    <row hidden="true" r="4554">
      <c r="A4554" s="76" t="s">
        <v>1298</v>
      </c>
      <c r="B4554" s="76" t="s">
        <v>1191</v>
      </c>
      <c r="C4554" s="76" t="s">
        <v>1281</v>
      </c>
      <c r="D4554" s="75"/>
    </row>
    <row hidden="true" r="4555">
      <c r="A4555" s="76" t="s">
        <v>1298</v>
      </c>
      <c r="B4555" s="76" t="s">
        <v>1193</v>
      </c>
      <c r="C4555" s="76" t="s">
        <v>1281</v>
      </c>
      <c r="D4555" s="75"/>
    </row>
    <row hidden="true" r="4556">
      <c r="A4556" s="76" t="s">
        <v>1298</v>
      </c>
      <c r="B4556" s="76" t="s">
        <v>1195</v>
      </c>
      <c r="C4556" s="76" t="s">
        <v>1281</v>
      </c>
      <c r="D4556" s="75"/>
    </row>
    <row hidden="true" r="4557">
      <c r="A4557" s="76" t="s">
        <v>1298</v>
      </c>
      <c r="B4557" s="76" t="s">
        <v>1197</v>
      </c>
      <c r="C4557" s="76" t="s">
        <v>1281</v>
      </c>
      <c r="D4557" s="75"/>
    </row>
    <row hidden="true" r="4558">
      <c r="A4558" s="76" t="s">
        <v>1298</v>
      </c>
      <c r="B4558" s="76" t="s">
        <v>1199</v>
      </c>
      <c r="C4558" s="76" t="s">
        <v>1281</v>
      </c>
      <c r="D4558" s="75"/>
    </row>
    <row hidden="true" r="4559">
      <c r="A4559" s="76" t="s">
        <v>1298</v>
      </c>
      <c r="B4559" s="76" t="s">
        <v>1201</v>
      </c>
      <c r="C4559" s="76" t="s">
        <v>1281</v>
      </c>
      <c r="D4559" s="75"/>
    </row>
    <row hidden="true" r="4560">
      <c r="A4560" s="76" t="s">
        <v>1298</v>
      </c>
      <c r="B4560" s="76" t="s">
        <v>1203</v>
      </c>
      <c r="C4560" s="76" t="s">
        <v>1281</v>
      </c>
      <c r="D4560" s="75"/>
    </row>
    <row hidden="true" r="4561">
      <c r="A4561" s="76" t="s">
        <v>1298</v>
      </c>
      <c r="B4561" s="76" t="s">
        <v>1205</v>
      </c>
      <c r="C4561" s="76" t="s">
        <v>1281</v>
      </c>
      <c r="D4561" s="75"/>
    </row>
    <row hidden="true" r="4562">
      <c r="A4562" s="76" t="s">
        <v>1298</v>
      </c>
      <c r="B4562" s="76" t="s">
        <v>1207</v>
      </c>
      <c r="C4562" s="76" t="s">
        <v>1281</v>
      </c>
      <c r="D4562" s="75"/>
    </row>
    <row hidden="true" r="4563">
      <c r="A4563" s="76" t="s">
        <v>1298</v>
      </c>
      <c r="B4563" s="76" t="s">
        <v>1209</v>
      </c>
      <c r="C4563" s="76" t="s">
        <v>1281</v>
      </c>
      <c r="D4563" s="75"/>
    </row>
    <row hidden="true" r="4564">
      <c r="A4564" s="76" t="s">
        <v>1298</v>
      </c>
      <c r="B4564" s="76" t="s">
        <v>1211</v>
      </c>
      <c r="C4564" s="76" t="s">
        <v>1281</v>
      </c>
      <c r="D4564" s="75"/>
    </row>
    <row hidden="true" r="4565">
      <c r="A4565" s="76" t="s">
        <v>1298</v>
      </c>
      <c r="B4565" s="76" t="s">
        <v>1282</v>
      </c>
      <c r="C4565" s="76" t="s">
        <v>1281</v>
      </c>
      <c r="D4565" s="75"/>
    </row>
    <row hidden="true" r="4566">
      <c r="A4566" s="76" t="s">
        <v>1298</v>
      </c>
      <c r="B4566" s="76" t="s">
        <v>735</v>
      </c>
      <c r="C4566" s="76" t="s">
        <v>1283</v>
      </c>
      <c r="D4566" s="75"/>
    </row>
    <row hidden="true" r="4567">
      <c r="A4567" s="76" t="s">
        <v>1299</v>
      </c>
      <c r="B4567" s="76" t="s">
        <v>407</v>
      </c>
      <c r="C4567" s="76" t="s">
        <v>1281</v>
      </c>
      <c r="D4567" s="75"/>
    </row>
    <row hidden="true" r="4568">
      <c r="A4568" s="76" t="s">
        <v>1299</v>
      </c>
      <c r="B4568" s="76" t="s">
        <v>744</v>
      </c>
      <c r="C4568" s="76" t="s">
        <v>1281</v>
      </c>
      <c r="D4568" s="75"/>
    </row>
    <row hidden="true" r="4569">
      <c r="A4569" s="76" t="s">
        <v>1299</v>
      </c>
      <c r="B4569" s="76" t="s">
        <v>409</v>
      </c>
      <c r="C4569" s="76" t="s">
        <v>1281</v>
      </c>
      <c r="D4569" s="75"/>
    </row>
    <row hidden="true" r="4570">
      <c r="A4570" s="76" t="s">
        <v>1299</v>
      </c>
      <c r="B4570" s="76" t="s">
        <v>884</v>
      </c>
      <c r="C4570" s="76" t="s">
        <v>1281</v>
      </c>
      <c r="D4570" s="75"/>
    </row>
    <row hidden="true" r="4571">
      <c r="A4571" s="76" t="s">
        <v>1299</v>
      </c>
      <c r="B4571" s="76" t="s">
        <v>886</v>
      </c>
      <c r="C4571" s="76" t="s">
        <v>1281</v>
      </c>
      <c r="D4571" s="75"/>
    </row>
    <row hidden="true" r="4572">
      <c r="A4572" s="76" t="s">
        <v>1299</v>
      </c>
      <c r="B4572" s="76" t="s">
        <v>888</v>
      </c>
      <c r="C4572" s="76" t="s">
        <v>1281</v>
      </c>
      <c r="D4572" s="75"/>
    </row>
    <row hidden="true" r="4573">
      <c r="A4573" s="76" t="s">
        <v>1299</v>
      </c>
      <c r="B4573" s="76" t="s">
        <v>890</v>
      </c>
      <c r="C4573" s="76" t="s">
        <v>1281</v>
      </c>
      <c r="D4573" s="75"/>
    </row>
    <row hidden="true" r="4574">
      <c r="A4574" s="76" t="s">
        <v>1299</v>
      </c>
      <c r="B4574" s="76" t="s">
        <v>892</v>
      </c>
      <c r="C4574" s="76" t="s">
        <v>1281</v>
      </c>
      <c r="D4574" s="75"/>
    </row>
    <row hidden="true" r="4575">
      <c r="A4575" s="76" t="s">
        <v>1299</v>
      </c>
      <c r="B4575" s="76" t="s">
        <v>894</v>
      </c>
      <c r="C4575" s="76" t="s">
        <v>1281</v>
      </c>
      <c r="D4575" s="75"/>
    </row>
    <row hidden="true" r="4576">
      <c r="A4576" s="76" t="s">
        <v>1299</v>
      </c>
      <c r="B4576" s="76" t="s">
        <v>896</v>
      </c>
      <c r="C4576" s="76" t="s">
        <v>1281</v>
      </c>
      <c r="D4576" s="75"/>
    </row>
    <row hidden="true" r="4577">
      <c r="A4577" s="76" t="s">
        <v>1299</v>
      </c>
      <c r="B4577" s="76" t="s">
        <v>898</v>
      </c>
      <c r="C4577" s="76" t="s">
        <v>1281</v>
      </c>
      <c r="D4577" s="75"/>
    </row>
    <row hidden="true" r="4578">
      <c r="A4578" s="76" t="s">
        <v>1299</v>
      </c>
      <c r="B4578" s="76" t="s">
        <v>900</v>
      </c>
      <c r="C4578" s="76" t="s">
        <v>1281</v>
      </c>
      <c r="D4578" s="75"/>
    </row>
    <row hidden="true" r="4579">
      <c r="A4579" s="76" t="s">
        <v>1299</v>
      </c>
      <c r="B4579" s="76" t="s">
        <v>902</v>
      </c>
      <c r="C4579" s="76" t="s">
        <v>1281</v>
      </c>
      <c r="D4579" s="75"/>
    </row>
    <row hidden="true" r="4580">
      <c r="A4580" s="76" t="s">
        <v>1299</v>
      </c>
      <c r="B4580" s="76" t="s">
        <v>904</v>
      </c>
      <c r="C4580" s="76" t="s">
        <v>1281</v>
      </c>
      <c r="D4580" s="75"/>
    </row>
    <row hidden="true" r="4581">
      <c r="A4581" s="76" t="s">
        <v>1299</v>
      </c>
      <c r="B4581" s="76" t="s">
        <v>906</v>
      </c>
      <c r="C4581" s="76" t="s">
        <v>1281</v>
      </c>
      <c r="D4581" s="75"/>
    </row>
    <row hidden="true" r="4582">
      <c r="A4582" s="76" t="s">
        <v>1299</v>
      </c>
      <c r="B4582" s="76" t="s">
        <v>908</v>
      </c>
      <c r="C4582" s="76" t="s">
        <v>1281</v>
      </c>
      <c r="D4582" s="75"/>
    </row>
    <row hidden="true" r="4583">
      <c r="A4583" s="76" t="s">
        <v>1299</v>
      </c>
      <c r="B4583" s="76" t="s">
        <v>910</v>
      </c>
      <c r="C4583" s="76" t="s">
        <v>1281</v>
      </c>
      <c r="D4583" s="75"/>
    </row>
    <row hidden="true" r="4584">
      <c r="A4584" s="76" t="s">
        <v>1299</v>
      </c>
      <c r="B4584" s="76" t="s">
        <v>912</v>
      </c>
      <c r="C4584" s="76" t="s">
        <v>1281</v>
      </c>
      <c r="D4584" s="75"/>
    </row>
    <row hidden="true" r="4585">
      <c r="A4585" s="76" t="s">
        <v>1299</v>
      </c>
      <c r="B4585" s="76" t="s">
        <v>914</v>
      </c>
      <c r="C4585" s="76" t="s">
        <v>1281</v>
      </c>
      <c r="D4585" s="75"/>
    </row>
    <row hidden="true" r="4586">
      <c r="A4586" s="76" t="s">
        <v>1299</v>
      </c>
      <c r="B4586" s="76" t="s">
        <v>916</v>
      </c>
      <c r="C4586" s="76" t="s">
        <v>1281</v>
      </c>
      <c r="D4586" s="75"/>
    </row>
    <row hidden="true" r="4587">
      <c r="A4587" s="76" t="s">
        <v>1299</v>
      </c>
      <c r="B4587" s="76" t="s">
        <v>918</v>
      </c>
      <c r="C4587" s="76" t="s">
        <v>1281</v>
      </c>
      <c r="D4587" s="75"/>
    </row>
    <row hidden="true" r="4588">
      <c r="A4588" s="76" t="s">
        <v>1299</v>
      </c>
      <c r="B4588" s="76" t="s">
        <v>920</v>
      </c>
      <c r="C4588" s="76" t="s">
        <v>1281</v>
      </c>
      <c r="D4588" s="75"/>
    </row>
    <row hidden="true" r="4589">
      <c r="A4589" s="76" t="s">
        <v>1299</v>
      </c>
      <c r="B4589" s="76" t="s">
        <v>922</v>
      </c>
      <c r="C4589" s="76" t="s">
        <v>1281</v>
      </c>
      <c r="D4589" s="75"/>
    </row>
    <row hidden="true" r="4590">
      <c r="A4590" s="76" t="s">
        <v>1299</v>
      </c>
      <c r="B4590" s="76" t="s">
        <v>924</v>
      </c>
      <c r="C4590" s="76" t="s">
        <v>1281</v>
      </c>
      <c r="D4590" s="75"/>
    </row>
    <row hidden="true" r="4591">
      <c r="A4591" s="76" t="s">
        <v>1299</v>
      </c>
      <c r="B4591" s="76" t="s">
        <v>926</v>
      </c>
      <c r="C4591" s="76" t="s">
        <v>1281</v>
      </c>
      <c r="D4591" s="75"/>
    </row>
    <row hidden="true" r="4592">
      <c r="A4592" s="76" t="s">
        <v>1299</v>
      </c>
      <c r="B4592" s="76" t="s">
        <v>928</v>
      </c>
      <c r="C4592" s="76" t="s">
        <v>1281</v>
      </c>
      <c r="D4592" s="75"/>
    </row>
    <row hidden="true" r="4593">
      <c r="A4593" s="76" t="s">
        <v>1299</v>
      </c>
      <c r="B4593" s="76" t="s">
        <v>930</v>
      </c>
      <c r="C4593" s="76" t="s">
        <v>1281</v>
      </c>
      <c r="D4593" s="75"/>
    </row>
    <row hidden="true" r="4594">
      <c r="A4594" s="76" t="s">
        <v>1299</v>
      </c>
      <c r="B4594" s="76" t="s">
        <v>932</v>
      </c>
      <c r="C4594" s="76" t="s">
        <v>1281</v>
      </c>
      <c r="D4594" s="75"/>
    </row>
    <row hidden="true" r="4595">
      <c r="A4595" s="76" t="s">
        <v>1299</v>
      </c>
      <c r="B4595" s="76" t="s">
        <v>934</v>
      </c>
      <c r="C4595" s="76" t="s">
        <v>1281</v>
      </c>
      <c r="D4595" s="75"/>
    </row>
    <row hidden="true" r="4596">
      <c r="A4596" s="76" t="s">
        <v>1299</v>
      </c>
      <c r="B4596" s="76" t="s">
        <v>936</v>
      </c>
      <c r="C4596" s="76" t="s">
        <v>1281</v>
      </c>
      <c r="D4596" s="75"/>
    </row>
    <row hidden="true" r="4597">
      <c r="A4597" s="76" t="s">
        <v>1299</v>
      </c>
      <c r="B4597" s="76" t="s">
        <v>938</v>
      </c>
      <c r="C4597" s="76" t="s">
        <v>1281</v>
      </c>
      <c r="D4597" s="75"/>
    </row>
    <row hidden="true" r="4598">
      <c r="A4598" s="76" t="s">
        <v>1299</v>
      </c>
      <c r="B4598" s="76" t="s">
        <v>940</v>
      </c>
      <c r="C4598" s="76" t="s">
        <v>1281</v>
      </c>
      <c r="D4598" s="75"/>
    </row>
    <row hidden="true" r="4599">
      <c r="A4599" s="76" t="s">
        <v>1299</v>
      </c>
      <c r="B4599" s="76" t="s">
        <v>942</v>
      </c>
      <c r="C4599" s="76" t="s">
        <v>1281</v>
      </c>
      <c r="D4599" s="75"/>
    </row>
    <row hidden="true" r="4600">
      <c r="A4600" s="76" t="s">
        <v>1299</v>
      </c>
      <c r="B4600" s="76" t="s">
        <v>944</v>
      </c>
      <c r="C4600" s="76" t="s">
        <v>1281</v>
      </c>
      <c r="D4600" s="75"/>
    </row>
    <row hidden="true" r="4601">
      <c r="A4601" s="76" t="s">
        <v>1299</v>
      </c>
      <c r="B4601" s="76" t="s">
        <v>946</v>
      </c>
      <c r="C4601" s="76" t="s">
        <v>1281</v>
      </c>
      <c r="D4601" s="75"/>
    </row>
    <row hidden="true" r="4602">
      <c r="A4602" s="76" t="s">
        <v>1299</v>
      </c>
      <c r="B4602" s="76" t="s">
        <v>948</v>
      </c>
      <c r="C4602" s="76" t="s">
        <v>1281</v>
      </c>
      <c r="D4602" s="75"/>
    </row>
    <row hidden="true" r="4603">
      <c r="A4603" s="76" t="s">
        <v>1299</v>
      </c>
      <c r="B4603" s="76" t="s">
        <v>950</v>
      </c>
      <c r="C4603" s="76" t="s">
        <v>1281</v>
      </c>
      <c r="D4603" s="75"/>
    </row>
    <row hidden="true" r="4604">
      <c r="A4604" s="76" t="s">
        <v>1299</v>
      </c>
      <c r="B4604" s="76" t="s">
        <v>952</v>
      </c>
      <c r="C4604" s="76" t="s">
        <v>1281</v>
      </c>
      <c r="D4604" s="75"/>
    </row>
    <row hidden="true" r="4605">
      <c r="A4605" s="76" t="s">
        <v>1299</v>
      </c>
      <c r="B4605" s="76" t="s">
        <v>954</v>
      </c>
      <c r="C4605" s="76" t="s">
        <v>1281</v>
      </c>
      <c r="D4605" s="75"/>
    </row>
    <row hidden="true" r="4606">
      <c r="A4606" s="76" t="s">
        <v>1299</v>
      </c>
      <c r="B4606" s="76" t="s">
        <v>775</v>
      </c>
      <c r="C4606" s="76" t="s">
        <v>1281</v>
      </c>
      <c r="D4606" s="75"/>
    </row>
    <row hidden="true" r="4607">
      <c r="A4607" s="76" t="s">
        <v>1299</v>
      </c>
      <c r="B4607" s="76" t="s">
        <v>956</v>
      </c>
      <c r="C4607" s="76" t="s">
        <v>1281</v>
      </c>
      <c r="D4607" s="75"/>
    </row>
    <row hidden="true" r="4608">
      <c r="A4608" s="76" t="s">
        <v>1299</v>
      </c>
      <c r="B4608" s="76" t="s">
        <v>958</v>
      </c>
      <c r="C4608" s="76" t="s">
        <v>1281</v>
      </c>
      <c r="D4608" s="75"/>
    </row>
    <row hidden="true" r="4609">
      <c r="A4609" s="76" t="s">
        <v>1299</v>
      </c>
      <c r="B4609" s="76" t="s">
        <v>960</v>
      </c>
      <c r="C4609" s="76" t="s">
        <v>1281</v>
      </c>
      <c r="D4609" s="75"/>
    </row>
    <row hidden="true" r="4610">
      <c r="A4610" s="76" t="s">
        <v>1299</v>
      </c>
      <c r="B4610" s="76" t="s">
        <v>962</v>
      </c>
      <c r="C4610" s="76" t="s">
        <v>1281</v>
      </c>
      <c r="D4610" s="75"/>
    </row>
    <row hidden="true" r="4611">
      <c r="A4611" s="76" t="s">
        <v>1299</v>
      </c>
      <c r="B4611" s="76" t="s">
        <v>964</v>
      </c>
      <c r="C4611" s="76" t="s">
        <v>1281</v>
      </c>
      <c r="D4611" s="75"/>
    </row>
    <row hidden="true" r="4612">
      <c r="A4612" s="76" t="s">
        <v>1299</v>
      </c>
      <c r="B4612" s="76" t="s">
        <v>966</v>
      </c>
      <c r="C4612" s="76" t="s">
        <v>1281</v>
      </c>
      <c r="D4612" s="75"/>
    </row>
    <row hidden="true" r="4613">
      <c r="A4613" s="76" t="s">
        <v>1299</v>
      </c>
      <c r="B4613" s="76" t="s">
        <v>968</v>
      </c>
      <c r="C4613" s="76" t="s">
        <v>1281</v>
      </c>
      <c r="D4613" s="75"/>
    </row>
    <row hidden="true" r="4614">
      <c r="A4614" s="76" t="s">
        <v>1299</v>
      </c>
      <c r="B4614" s="76" t="s">
        <v>970</v>
      </c>
      <c r="C4614" s="76" t="s">
        <v>1281</v>
      </c>
      <c r="D4614" s="75"/>
    </row>
    <row hidden="true" r="4615">
      <c r="A4615" s="76" t="s">
        <v>1299</v>
      </c>
      <c r="B4615" s="76" t="s">
        <v>972</v>
      </c>
      <c r="C4615" s="76" t="s">
        <v>1281</v>
      </c>
      <c r="D4615" s="75"/>
    </row>
    <row hidden="true" r="4616">
      <c r="A4616" s="76" t="s">
        <v>1299</v>
      </c>
      <c r="B4616" s="76" t="s">
        <v>974</v>
      </c>
      <c r="C4616" s="76" t="s">
        <v>1281</v>
      </c>
      <c r="D4616" s="75"/>
    </row>
    <row hidden="true" r="4617">
      <c r="A4617" s="76" t="s">
        <v>1299</v>
      </c>
      <c r="B4617" s="76" t="s">
        <v>976</v>
      </c>
      <c r="C4617" s="76" t="s">
        <v>1281</v>
      </c>
      <c r="D4617" s="75"/>
    </row>
    <row hidden="true" r="4618">
      <c r="A4618" s="76" t="s">
        <v>1299</v>
      </c>
      <c r="B4618" s="76" t="s">
        <v>823</v>
      </c>
      <c r="C4618" s="76" t="s">
        <v>1281</v>
      </c>
      <c r="D4618" s="75"/>
    </row>
    <row hidden="true" r="4619">
      <c r="A4619" s="76" t="s">
        <v>1299</v>
      </c>
      <c r="B4619" s="76" t="s">
        <v>978</v>
      </c>
      <c r="C4619" s="76" t="s">
        <v>1281</v>
      </c>
      <c r="D4619" s="75"/>
    </row>
    <row hidden="true" r="4620">
      <c r="A4620" s="76" t="s">
        <v>1299</v>
      </c>
      <c r="B4620" s="76" t="s">
        <v>980</v>
      </c>
      <c r="C4620" s="76" t="s">
        <v>1281</v>
      </c>
      <c r="D4620" s="75"/>
    </row>
    <row hidden="true" r="4621">
      <c r="A4621" s="76" t="s">
        <v>1299</v>
      </c>
      <c r="B4621" s="76" t="s">
        <v>982</v>
      </c>
      <c r="C4621" s="76" t="s">
        <v>1281</v>
      </c>
      <c r="D4621" s="75"/>
    </row>
    <row hidden="true" r="4622">
      <c r="A4622" s="76" t="s">
        <v>1299</v>
      </c>
      <c r="B4622" s="76" t="s">
        <v>984</v>
      </c>
      <c r="C4622" s="76" t="s">
        <v>1281</v>
      </c>
      <c r="D4622" s="75"/>
    </row>
    <row hidden="true" r="4623">
      <c r="A4623" s="76" t="s">
        <v>1299</v>
      </c>
      <c r="B4623" s="76" t="s">
        <v>986</v>
      </c>
      <c r="C4623" s="76" t="s">
        <v>1281</v>
      </c>
      <c r="D4623" s="75"/>
    </row>
    <row hidden="true" r="4624">
      <c r="A4624" s="76" t="s">
        <v>1299</v>
      </c>
      <c r="B4624" s="76" t="s">
        <v>988</v>
      </c>
      <c r="C4624" s="76" t="s">
        <v>1281</v>
      </c>
      <c r="D4624" s="75"/>
    </row>
    <row hidden="true" r="4625">
      <c r="A4625" s="76" t="s">
        <v>1299</v>
      </c>
      <c r="B4625" s="76" t="s">
        <v>990</v>
      </c>
      <c r="C4625" s="76" t="s">
        <v>1281</v>
      </c>
      <c r="D4625" s="75"/>
    </row>
    <row hidden="true" r="4626">
      <c r="A4626" s="76" t="s">
        <v>1299</v>
      </c>
      <c r="B4626" s="76" t="s">
        <v>992</v>
      </c>
      <c r="C4626" s="76" t="s">
        <v>1281</v>
      </c>
      <c r="D4626" s="75"/>
    </row>
    <row hidden="true" r="4627">
      <c r="A4627" s="76" t="s">
        <v>1299</v>
      </c>
      <c r="B4627" s="76" t="s">
        <v>994</v>
      </c>
      <c r="C4627" s="76" t="s">
        <v>1281</v>
      </c>
      <c r="D4627" s="75"/>
    </row>
    <row hidden="true" r="4628">
      <c r="A4628" s="76" t="s">
        <v>1299</v>
      </c>
      <c r="B4628" s="76" t="s">
        <v>996</v>
      </c>
      <c r="C4628" s="76" t="s">
        <v>1281</v>
      </c>
      <c r="D4628" s="75"/>
    </row>
    <row hidden="true" r="4629">
      <c r="A4629" s="76" t="s">
        <v>1299</v>
      </c>
      <c r="B4629" s="76" t="s">
        <v>998</v>
      </c>
      <c r="C4629" s="76" t="s">
        <v>1281</v>
      </c>
      <c r="D4629" s="75"/>
    </row>
    <row hidden="true" r="4630">
      <c r="A4630" s="76" t="s">
        <v>1299</v>
      </c>
      <c r="B4630" s="76" t="s">
        <v>1000</v>
      </c>
      <c r="C4630" s="76" t="s">
        <v>1281</v>
      </c>
      <c r="D4630" s="75"/>
    </row>
    <row hidden="true" r="4631">
      <c r="A4631" s="76" t="s">
        <v>1299</v>
      </c>
      <c r="B4631" s="76" t="s">
        <v>1002</v>
      </c>
      <c r="C4631" s="76" t="s">
        <v>1281</v>
      </c>
      <c r="D4631" s="75"/>
    </row>
    <row hidden="true" r="4632">
      <c r="A4632" s="76" t="s">
        <v>1299</v>
      </c>
      <c r="B4632" s="76" t="s">
        <v>1004</v>
      </c>
      <c r="C4632" s="76" t="s">
        <v>1281</v>
      </c>
      <c r="D4632" s="75"/>
    </row>
    <row hidden="true" r="4633">
      <c r="A4633" s="76" t="s">
        <v>1299</v>
      </c>
      <c r="B4633" s="76" t="s">
        <v>1006</v>
      </c>
      <c r="C4633" s="76" t="s">
        <v>1281</v>
      </c>
      <c r="D4633" s="75"/>
    </row>
    <row hidden="true" r="4634">
      <c r="A4634" s="76" t="s">
        <v>1299</v>
      </c>
      <c r="B4634" s="76" t="s">
        <v>1008</v>
      </c>
      <c r="C4634" s="76" t="s">
        <v>1281</v>
      </c>
      <c r="D4634" s="75"/>
    </row>
    <row hidden="true" r="4635">
      <c r="A4635" s="76" t="s">
        <v>1299</v>
      </c>
      <c r="B4635" s="76" t="s">
        <v>1010</v>
      </c>
      <c r="C4635" s="76" t="s">
        <v>1281</v>
      </c>
      <c r="D4635" s="75"/>
    </row>
    <row hidden="true" r="4636">
      <c r="A4636" s="76" t="s">
        <v>1299</v>
      </c>
      <c r="B4636" s="76" t="s">
        <v>1012</v>
      </c>
      <c r="C4636" s="76" t="s">
        <v>1281</v>
      </c>
      <c r="D4636" s="75"/>
    </row>
    <row hidden="true" r="4637">
      <c r="A4637" s="76" t="s">
        <v>1299</v>
      </c>
      <c r="B4637" s="76" t="s">
        <v>1014</v>
      </c>
      <c r="C4637" s="76" t="s">
        <v>1281</v>
      </c>
      <c r="D4637" s="75"/>
    </row>
    <row hidden="true" r="4638">
      <c r="A4638" s="76" t="s">
        <v>1299</v>
      </c>
      <c r="B4638" s="76" t="s">
        <v>1016</v>
      </c>
      <c r="C4638" s="76" t="s">
        <v>1281</v>
      </c>
      <c r="D4638" s="75"/>
    </row>
    <row hidden="true" r="4639">
      <c r="A4639" s="76" t="s">
        <v>1299</v>
      </c>
      <c r="B4639" s="76" t="s">
        <v>1018</v>
      </c>
      <c r="C4639" s="76" t="s">
        <v>1281</v>
      </c>
      <c r="D4639" s="75"/>
    </row>
    <row hidden="true" r="4640">
      <c r="A4640" s="76" t="s">
        <v>1299</v>
      </c>
      <c r="B4640" s="76" t="s">
        <v>1020</v>
      </c>
      <c r="C4640" s="76" t="s">
        <v>1281</v>
      </c>
      <c r="D4640" s="75"/>
    </row>
    <row hidden="true" r="4641">
      <c r="A4641" s="76" t="s">
        <v>1299</v>
      </c>
      <c r="B4641" s="76" t="s">
        <v>1022</v>
      </c>
      <c r="C4641" s="76" t="s">
        <v>1281</v>
      </c>
      <c r="D4641" s="75"/>
    </row>
    <row hidden="true" r="4642">
      <c r="A4642" s="76" t="s">
        <v>1299</v>
      </c>
      <c r="B4642" s="76" t="s">
        <v>1023</v>
      </c>
      <c r="C4642" s="76" t="s">
        <v>1281</v>
      </c>
      <c r="D4642" s="75"/>
    </row>
    <row hidden="true" r="4643">
      <c r="A4643" s="76" t="s">
        <v>1299</v>
      </c>
      <c r="B4643" s="76" t="s">
        <v>1024</v>
      </c>
      <c r="C4643" s="76" t="s">
        <v>1281</v>
      </c>
      <c r="D4643" s="75"/>
    </row>
    <row hidden="true" r="4644">
      <c r="A4644" s="76" t="s">
        <v>1299</v>
      </c>
      <c r="B4644" s="76" t="s">
        <v>1025</v>
      </c>
      <c r="C4644" s="76" t="s">
        <v>1281</v>
      </c>
      <c r="D4644" s="75"/>
    </row>
    <row hidden="true" r="4645">
      <c r="A4645" s="76" t="s">
        <v>1299</v>
      </c>
      <c r="B4645" s="76" t="s">
        <v>1026</v>
      </c>
      <c r="C4645" s="76" t="s">
        <v>1281</v>
      </c>
      <c r="D4645" s="75"/>
    </row>
    <row hidden="true" r="4646">
      <c r="A4646" s="76" t="s">
        <v>1299</v>
      </c>
      <c r="B4646" s="76" t="s">
        <v>1027</v>
      </c>
      <c r="C4646" s="76" t="s">
        <v>1281</v>
      </c>
      <c r="D4646" s="75"/>
    </row>
    <row hidden="true" r="4647">
      <c r="A4647" s="76" t="s">
        <v>1299</v>
      </c>
      <c r="B4647" s="76" t="s">
        <v>1028</v>
      </c>
      <c r="C4647" s="76" t="s">
        <v>1281</v>
      </c>
      <c r="D4647" s="75"/>
    </row>
    <row hidden="true" r="4648">
      <c r="A4648" s="76" t="s">
        <v>1299</v>
      </c>
      <c r="B4648" s="76" t="s">
        <v>530</v>
      </c>
      <c r="C4648" s="76" t="s">
        <v>1281</v>
      </c>
      <c r="D4648" s="75"/>
    </row>
    <row hidden="true" r="4649">
      <c r="A4649" s="76" t="s">
        <v>1299</v>
      </c>
      <c r="B4649" s="76" t="s">
        <v>1030</v>
      </c>
      <c r="C4649" s="76" t="s">
        <v>1281</v>
      </c>
      <c r="D4649" s="75"/>
    </row>
    <row hidden="true" r="4650">
      <c r="A4650" s="76" t="s">
        <v>1299</v>
      </c>
      <c r="B4650" s="76" t="s">
        <v>1032</v>
      </c>
      <c r="C4650" s="76" t="s">
        <v>1281</v>
      </c>
      <c r="D4650" s="75"/>
    </row>
    <row hidden="true" r="4651">
      <c r="A4651" s="76" t="s">
        <v>1299</v>
      </c>
      <c r="B4651" s="76" t="s">
        <v>1034</v>
      </c>
      <c r="C4651" s="76" t="s">
        <v>1281</v>
      </c>
      <c r="D4651" s="75"/>
    </row>
    <row hidden="true" r="4652">
      <c r="A4652" s="76" t="s">
        <v>1299</v>
      </c>
      <c r="B4652" s="76" t="s">
        <v>532</v>
      </c>
      <c r="C4652" s="76" t="s">
        <v>1281</v>
      </c>
      <c r="D4652" s="75"/>
    </row>
    <row hidden="true" r="4653">
      <c r="A4653" s="76" t="s">
        <v>1299</v>
      </c>
      <c r="B4653" s="76" t="s">
        <v>1036</v>
      </c>
      <c r="C4653" s="76" t="s">
        <v>1281</v>
      </c>
      <c r="D4653" s="75"/>
    </row>
    <row hidden="true" r="4654">
      <c r="A4654" s="76" t="s">
        <v>1299</v>
      </c>
      <c r="B4654" s="76" t="s">
        <v>1038</v>
      </c>
      <c r="C4654" s="76" t="s">
        <v>1281</v>
      </c>
      <c r="D4654" s="75"/>
    </row>
    <row hidden="true" r="4655">
      <c r="A4655" s="76" t="s">
        <v>1299</v>
      </c>
      <c r="B4655" s="76" t="s">
        <v>1040</v>
      </c>
      <c r="C4655" s="76" t="s">
        <v>1281</v>
      </c>
      <c r="D4655" s="75"/>
    </row>
    <row hidden="true" r="4656">
      <c r="A4656" s="76" t="s">
        <v>1299</v>
      </c>
      <c r="B4656" s="76" t="s">
        <v>1042</v>
      </c>
      <c r="C4656" s="76" t="s">
        <v>1281</v>
      </c>
      <c r="D4656" s="75"/>
    </row>
    <row hidden="true" r="4657">
      <c r="A4657" s="76" t="s">
        <v>1299</v>
      </c>
      <c r="B4657" s="76" t="s">
        <v>1044</v>
      </c>
      <c r="C4657" s="76" t="s">
        <v>1281</v>
      </c>
      <c r="D4657" s="75"/>
    </row>
    <row hidden="true" r="4658">
      <c r="A4658" s="76" t="s">
        <v>1299</v>
      </c>
      <c r="B4658" s="76" t="s">
        <v>1046</v>
      </c>
      <c r="C4658" s="76" t="s">
        <v>1281</v>
      </c>
      <c r="D4658" s="75"/>
    </row>
    <row hidden="true" r="4659">
      <c r="A4659" s="76" t="s">
        <v>1299</v>
      </c>
      <c r="B4659" s="76" t="s">
        <v>1048</v>
      </c>
      <c r="C4659" s="76" t="s">
        <v>1281</v>
      </c>
      <c r="D4659" s="75"/>
    </row>
    <row hidden="true" r="4660">
      <c r="A4660" s="76" t="s">
        <v>1299</v>
      </c>
      <c r="B4660" s="76" t="s">
        <v>1050</v>
      </c>
      <c r="C4660" s="76" t="s">
        <v>1281</v>
      </c>
      <c r="D4660" s="75"/>
    </row>
    <row hidden="true" r="4661">
      <c r="A4661" s="76" t="s">
        <v>1299</v>
      </c>
      <c r="B4661" s="76" t="s">
        <v>1052</v>
      </c>
      <c r="C4661" s="76" t="s">
        <v>1281</v>
      </c>
      <c r="D4661" s="75"/>
    </row>
    <row hidden="true" r="4662">
      <c r="A4662" s="76" t="s">
        <v>1299</v>
      </c>
      <c r="B4662" s="76" t="s">
        <v>1054</v>
      </c>
      <c r="C4662" s="76" t="s">
        <v>1281</v>
      </c>
      <c r="D4662" s="75"/>
    </row>
    <row hidden="true" r="4663">
      <c r="A4663" s="76" t="s">
        <v>1299</v>
      </c>
      <c r="B4663" s="76" t="s">
        <v>1056</v>
      </c>
      <c r="C4663" s="76" t="s">
        <v>1281</v>
      </c>
      <c r="D4663" s="75"/>
    </row>
    <row hidden="true" r="4664">
      <c r="A4664" s="76" t="s">
        <v>1299</v>
      </c>
      <c r="B4664" s="76" t="s">
        <v>1058</v>
      </c>
      <c r="C4664" s="76" t="s">
        <v>1281</v>
      </c>
      <c r="D4664" s="75"/>
    </row>
    <row hidden="true" r="4665">
      <c r="A4665" s="76" t="s">
        <v>1299</v>
      </c>
      <c r="B4665" s="76" t="s">
        <v>1060</v>
      </c>
      <c r="C4665" s="76" t="s">
        <v>1281</v>
      </c>
      <c r="D4665" s="75"/>
    </row>
    <row hidden="true" r="4666">
      <c r="A4666" s="76" t="s">
        <v>1299</v>
      </c>
      <c r="B4666" s="76" t="s">
        <v>1062</v>
      </c>
      <c r="C4666" s="76" t="s">
        <v>1281</v>
      </c>
      <c r="D4666" s="75"/>
    </row>
    <row hidden="true" r="4667">
      <c r="A4667" s="76" t="s">
        <v>1299</v>
      </c>
      <c r="B4667" s="76" t="s">
        <v>1064</v>
      </c>
      <c r="C4667" s="76" t="s">
        <v>1281</v>
      </c>
      <c r="D4667" s="75"/>
    </row>
    <row hidden="true" r="4668">
      <c r="A4668" s="76" t="s">
        <v>1299</v>
      </c>
      <c r="B4668" s="76" t="s">
        <v>1066</v>
      </c>
      <c r="C4668" s="76" t="s">
        <v>1281</v>
      </c>
      <c r="D4668" s="75"/>
    </row>
    <row hidden="true" r="4669">
      <c r="A4669" s="76" t="s">
        <v>1299</v>
      </c>
      <c r="B4669" s="76" t="s">
        <v>1068</v>
      </c>
      <c r="C4669" s="76" t="s">
        <v>1281</v>
      </c>
      <c r="D4669" s="75"/>
    </row>
    <row hidden="true" r="4670">
      <c r="A4670" s="76" t="s">
        <v>1299</v>
      </c>
      <c r="B4670" s="76" t="s">
        <v>1070</v>
      </c>
      <c r="C4670" s="76" t="s">
        <v>1281</v>
      </c>
      <c r="D4670" s="75"/>
    </row>
    <row hidden="true" r="4671">
      <c r="A4671" s="76" t="s">
        <v>1299</v>
      </c>
      <c r="B4671" s="76" t="s">
        <v>1071</v>
      </c>
      <c r="C4671" s="76" t="s">
        <v>1281</v>
      </c>
      <c r="D4671" s="75"/>
    </row>
    <row hidden="true" r="4672">
      <c r="A4672" s="76" t="s">
        <v>1299</v>
      </c>
      <c r="B4672" s="76" t="s">
        <v>1072</v>
      </c>
      <c r="C4672" s="76" t="s">
        <v>1281</v>
      </c>
      <c r="D4672" s="75"/>
    </row>
    <row hidden="true" r="4673">
      <c r="A4673" s="76" t="s">
        <v>1299</v>
      </c>
      <c r="B4673" s="76" t="s">
        <v>1074</v>
      </c>
      <c r="C4673" s="76" t="s">
        <v>1281</v>
      </c>
      <c r="D4673" s="75"/>
    </row>
    <row hidden="true" r="4674">
      <c r="A4674" s="76" t="s">
        <v>1299</v>
      </c>
      <c r="B4674" s="76" t="s">
        <v>1075</v>
      </c>
      <c r="C4674" s="76" t="s">
        <v>1281</v>
      </c>
      <c r="D4674" s="75"/>
    </row>
    <row hidden="true" r="4675">
      <c r="A4675" s="76" t="s">
        <v>1299</v>
      </c>
      <c r="B4675" s="76" t="s">
        <v>1076</v>
      </c>
      <c r="C4675" s="76" t="s">
        <v>1281</v>
      </c>
      <c r="D4675" s="75"/>
    </row>
    <row hidden="true" r="4676">
      <c r="A4676" s="76" t="s">
        <v>1299</v>
      </c>
      <c r="B4676" s="76" t="s">
        <v>1078</v>
      </c>
      <c r="C4676" s="76" t="s">
        <v>1281</v>
      </c>
      <c r="D4676" s="75"/>
    </row>
    <row hidden="true" r="4677">
      <c r="A4677" s="76" t="s">
        <v>1299</v>
      </c>
      <c r="B4677" s="76" t="s">
        <v>839</v>
      </c>
      <c r="C4677" s="76" t="s">
        <v>1281</v>
      </c>
      <c r="D4677" s="75"/>
    </row>
    <row hidden="true" r="4678">
      <c r="A4678" s="76" t="s">
        <v>1299</v>
      </c>
      <c r="B4678" s="76" t="s">
        <v>1080</v>
      </c>
      <c r="C4678" s="76" t="s">
        <v>1281</v>
      </c>
      <c r="D4678" s="75"/>
    </row>
    <row hidden="true" r="4679">
      <c r="A4679" s="76" t="s">
        <v>1299</v>
      </c>
      <c r="B4679" s="76" t="s">
        <v>1082</v>
      </c>
      <c r="C4679" s="76" t="s">
        <v>1281</v>
      </c>
      <c r="D4679" s="75"/>
    </row>
    <row hidden="true" r="4680">
      <c r="A4680" s="76" t="s">
        <v>1299</v>
      </c>
      <c r="B4680" s="76" t="s">
        <v>1084</v>
      </c>
      <c r="C4680" s="76" t="s">
        <v>1281</v>
      </c>
      <c r="D4680" s="75"/>
    </row>
    <row hidden="true" r="4681">
      <c r="A4681" s="76" t="s">
        <v>1299</v>
      </c>
      <c r="B4681" s="76" t="s">
        <v>1086</v>
      </c>
      <c r="C4681" s="76" t="s">
        <v>1281</v>
      </c>
      <c r="D4681" s="75"/>
    </row>
    <row hidden="true" r="4682">
      <c r="A4682" s="76" t="s">
        <v>1299</v>
      </c>
      <c r="B4682" s="76" t="s">
        <v>1088</v>
      </c>
      <c r="C4682" s="76" t="s">
        <v>1281</v>
      </c>
      <c r="D4682" s="75"/>
    </row>
    <row hidden="true" r="4683">
      <c r="A4683" s="76" t="s">
        <v>1299</v>
      </c>
      <c r="B4683" s="76" t="s">
        <v>1090</v>
      </c>
      <c r="C4683" s="76" t="s">
        <v>1281</v>
      </c>
      <c r="D4683" s="75"/>
    </row>
    <row hidden="true" r="4684">
      <c r="A4684" s="76" t="s">
        <v>1299</v>
      </c>
      <c r="B4684" s="76" t="s">
        <v>1092</v>
      </c>
      <c r="C4684" s="76" t="s">
        <v>1281</v>
      </c>
      <c r="D4684" s="75"/>
    </row>
    <row hidden="true" r="4685">
      <c r="A4685" s="76" t="s">
        <v>1299</v>
      </c>
      <c r="B4685" s="76" t="s">
        <v>1093</v>
      </c>
      <c r="C4685" s="76" t="s">
        <v>1281</v>
      </c>
      <c r="D4685" s="75"/>
    </row>
    <row hidden="true" r="4686">
      <c r="A4686" s="76" t="s">
        <v>1299</v>
      </c>
      <c r="B4686" s="76" t="s">
        <v>1095</v>
      </c>
      <c r="C4686" s="76" t="s">
        <v>1281</v>
      </c>
      <c r="D4686" s="75"/>
    </row>
    <row hidden="true" r="4687">
      <c r="A4687" s="76" t="s">
        <v>1299</v>
      </c>
      <c r="B4687" s="76" t="s">
        <v>1097</v>
      </c>
      <c r="C4687" s="76" t="s">
        <v>1281</v>
      </c>
      <c r="D4687" s="75"/>
    </row>
    <row hidden="true" r="4688">
      <c r="A4688" s="76" t="s">
        <v>1299</v>
      </c>
      <c r="B4688" s="76" t="s">
        <v>1099</v>
      </c>
      <c r="C4688" s="76" t="s">
        <v>1281</v>
      </c>
      <c r="D4688" s="75"/>
    </row>
    <row hidden="true" r="4689">
      <c r="A4689" s="76" t="s">
        <v>1299</v>
      </c>
      <c r="B4689" s="76" t="s">
        <v>1101</v>
      </c>
      <c r="C4689" s="76" t="s">
        <v>1281</v>
      </c>
      <c r="D4689" s="75"/>
    </row>
    <row hidden="true" r="4690">
      <c r="A4690" s="76" t="s">
        <v>1299</v>
      </c>
      <c r="B4690" s="76" t="s">
        <v>1103</v>
      </c>
      <c r="C4690" s="76" t="s">
        <v>1281</v>
      </c>
      <c r="D4690" s="75"/>
    </row>
    <row hidden="true" r="4691">
      <c r="A4691" s="76" t="s">
        <v>1299</v>
      </c>
      <c r="B4691" s="76" t="s">
        <v>1105</v>
      </c>
      <c r="C4691" s="76" t="s">
        <v>1281</v>
      </c>
      <c r="D4691" s="75"/>
    </row>
    <row hidden="true" r="4692">
      <c r="A4692" s="76" t="s">
        <v>1299</v>
      </c>
      <c r="B4692" s="76" t="s">
        <v>1107</v>
      </c>
      <c r="C4692" s="76" t="s">
        <v>1281</v>
      </c>
      <c r="D4692" s="75"/>
    </row>
    <row hidden="true" r="4693">
      <c r="A4693" s="76" t="s">
        <v>1299</v>
      </c>
      <c r="B4693" s="76" t="s">
        <v>1109</v>
      </c>
      <c r="C4693" s="76" t="s">
        <v>1281</v>
      </c>
      <c r="D4693" s="75"/>
    </row>
    <row hidden="true" r="4694">
      <c r="A4694" s="76" t="s">
        <v>1299</v>
      </c>
      <c r="B4694" s="76" t="s">
        <v>1111</v>
      </c>
      <c r="C4694" s="76" t="s">
        <v>1281</v>
      </c>
      <c r="D4694" s="75"/>
    </row>
    <row hidden="true" r="4695">
      <c r="A4695" s="76" t="s">
        <v>1299</v>
      </c>
      <c r="B4695" s="76" t="s">
        <v>1113</v>
      </c>
      <c r="C4695" s="76" t="s">
        <v>1281</v>
      </c>
      <c r="D4695" s="75"/>
    </row>
    <row hidden="true" r="4696">
      <c r="A4696" s="76" t="s">
        <v>1299</v>
      </c>
      <c r="B4696" s="76" t="s">
        <v>1115</v>
      </c>
      <c r="C4696" s="76" t="s">
        <v>1281</v>
      </c>
      <c r="D4696" s="75"/>
    </row>
    <row hidden="true" r="4697">
      <c r="A4697" s="76" t="s">
        <v>1299</v>
      </c>
      <c r="B4697" s="76" t="s">
        <v>1117</v>
      </c>
      <c r="C4697" s="76" t="s">
        <v>1281</v>
      </c>
      <c r="D4697" s="75"/>
    </row>
    <row hidden="true" r="4698">
      <c r="A4698" s="76" t="s">
        <v>1299</v>
      </c>
      <c r="B4698" s="76" t="s">
        <v>1119</v>
      </c>
      <c r="C4698" s="76" t="s">
        <v>1281</v>
      </c>
      <c r="D4698" s="75"/>
    </row>
    <row hidden="true" r="4699">
      <c r="A4699" s="76" t="s">
        <v>1299</v>
      </c>
      <c r="B4699" s="76" t="s">
        <v>1121</v>
      </c>
      <c r="C4699" s="76" t="s">
        <v>1281</v>
      </c>
      <c r="D4699" s="75"/>
    </row>
    <row hidden="true" r="4700">
      <c r="A4700" s="76" t="s">
        <v>1299</v>
      </c>
      <c r="B4700" s="76" t="s">
        <v>1123</v>
      </c>
      <c r="C4700" s="76" t="s">
        <v>1281</v>
      </c>
      <c r="D4700" s="75"/>
    </row>
    <row hidden="true" r="4701">
      <c r="A4701" s="76" t="s">
        <v>1299</v>
      </c>
      <c r="B4701" s="76" t="s">
        <v>1125</v>
      </c>
      <c r="C4701" s="76" t="s">
        <v>1281</v>
      </c>
      <c r="D4701" s="75"/>
    </row>
    <row hidden="true" r="4702">
      <c r="A4702" s="76" t="s">
        <v>1299</v>
      </c>
      <c r="B4702" s="76" t="s">
        <v>1127</v>
      </c>
      <c r="C4702" s="76" t="s">
        <v>1281</v>
      </c>
      <c r="D4702" s="75"/>
    </row>
    <row hidden="true" r="4703">
      <c r="A4703" s="76" t="s">
        <v>1299</v>
      </c>
      <c r="B4703" s="76" t="s">
        <v>1129</v>
      </c>
      <c r="C4703" s="76" t="s">
        <v>1281</v>
      </c>
      <c r="D4703" s="75"/>
    </row>
    <row hidden="true" r="4704">
      <c r="A4704" s="76" t="s">
        <v>1299</v>
      </c>
      <c r="B4704" s="76" t="s">
        <v>1131</v>
      </c>
      <c r="C4704" s="76" t="s">
        <v>1281</v>
      </c>
      <c r="D4704" s="75"/>
    </row>
    <row hidden="true" r="4705">
      <c r="A4705" s="76" t="s">
        <v>1299</v>
      </c>
      <c r="B4705" s="76" t="s">
        <v>1133</v>
      </c>
      <c r="C4705" s="76" t="s">
        <v>1281</v>
      </c>
      <c r="D4705" s="75"/>
    </row>
    <row hidden="true" r="4706">
      <c r="A4706" s="76" t="s">
        <v>1299</v>
      </c>
      <c r="B4706" s="76" t="s">
        <v>1135</v>
      </c>
      <c r="C4706" s="76" t="s">
        <v>1281</v>
      </c>
      <c r="D4706" s="75"/>
    </row>
    <row hidden="true" r="4707">
      <c r="A4707" s="76" t="s">
        <v>1299</v>
      </c>
      <c r="B4707" s="76" t="s">
        <v>1137</v>
      </c>
      <c r="C4707" s="76" t="s">
        <v>1281</v>
      </c>
      <c r="D4707" s="75"/>
    </row>
    <row hidden="true" r="4708">
      <c r="A4708" s="76" t="s">
        <v>1299</v>
      </c>
      <c r="B4708" s="76" t="s">
        <v>1139</v>
      </c>
      <c r="C4708" s="76" t="s">
        <v>1281</v>
      </c>
      <c r="D4708" s="75"/>
    </row>
    <row hidden="true" r="4709">
      <c r="A4709" s="76" t="s">
        <v>1299</v>
      </c>
      <c r="B4709" s="76" t="s">
        <v>1141</v>
      </c>
      <c r="C4709" s="76" t="s">
        <v>1281</v>
      </c>
      <c r="D4709" s="75"/>
    </row>
    <row hidden="true" r="4710">
      <c r="A4710" s="76" t="s">
        <v>1299</v>
      </c>
      <c r="B4710" s="76" t="s">
        <v>1143</v>
      </c>
      <c r="C4710" s="76" t="s">
        <v>1281</v>
      </c>
      <c r="D4710" s="75"/>
    </row>
    <row hidden="true" r="4711">
      <c r="A4711" s="76" t="s">
        <v>1299</v>
      </c>
      <c r="B4711" s="76" t="s">
        <v>1145</v>
      </c>
      <c r="C4711" s="76" t="s">
        <v>1281</v>
      </c>
      <c r="D4711" s="75"/>
    </row>
    <row hidden="true" r="4712">
      <c r="A4712" s="76" t="s">
        <v>1299</v>
      </c>
      <c r="B4712" s="76" t="s">
        <v>1147</v>
      </c>
      <c r="C4712" s="76" t="s">
        <v>1281</v>
      </c>
      <c r="D4712" s="75"/>
    </row>
    <row hidden="true" r="4713">
      <c r="A4713" s="76" t="s">
        <v>1299</v>
      </c>
      <c r="B4713" s="76" t="s">
        <v>1149</v>
      </c>
      <c r="C4713" s="76" t="s">
        <v>1281</v>
      </c>
      <c r="D4713" s="75"/>
    </row>
    <row hidden="true" r="4714">
      <c r="A4714" s="76" t="s">
        <v>1299</v>
      </c>
      <c r="B4714" s="76" t="s">
        <v>1151</v>
      </c>
      <c r="C4714" s="76" t="s">
        <v>1281</v>
      </c>
      <c r="D4714" s="75"/>
    </row>
    <row hidden="true" r="4715">
      <c r="A4715" s="76" t="s">
        <v>1299</v>
      </c>
      <c r="B4715" s="76" t="s">
        <v>1153</v>
      </c>
      <c r="C4715" s="76" t="s">
        <v>1281</v>
      </c>
      <c r="D4715" s="75"/>
    </row>
    <row hidden="true" r="4716">
      <c r="A4716" s="76" t="s">
        <v>1299</v>
      </c>
      <c r="B4716" s="76" t="s">
        <v>1155</v>
      </c>
      <c r="C4716" s="76" t="s">
        <v>1281</v>
      </c>
      <c r="D4716" s="75"/>
    </row>
    <row hidden="true" r="4717">
      <c r="A4717" s="76" t="s">
        <v>1299</v>
      </c>
      <c r="B4717" s="76" t="s">
        <v>1157</v>
      </c>
      <c r="C4717" s="76" t="s">
        <v>1281</v>
      </c>
      <c r="D4717" s="75"/>
    </row>
    <row hidden="true" r="4718">
      <c r="A4718" s="76" t="s">
        <v>1299</v>
      </c>
      <c r="B4718" s="76" t="s">
        <v>1159</v>
      </c>
      <c r="C4718" s="76" t="s">
        <v>1281</v>
      </c>
      <c r="D4718" s="75"/>
    </row>
    <row hidden="true" r="4719">
      <c r="A4719" s="76" t="s">
        <v>1299</v>
      </c>
      <c r="B4719" s="76" t="s">
        <v>868</v>
      </c>
      <c r="C4719" s="76" t="s">
        <v>1281</v>
      </c>
      <c r="D4719" s="75"/>
    </row>
    <row hidden="true" r="4720">
      <c r="A4720" s="76" t="s">
        <v>1299</v>
      </c>
      <c r="B4720" s="76" t="s">
        <v>1161</v>
      </c>
      <c r="C4720" s="76" t="s">
        <v>1281</v>
      </c>
      <c r="D4720" s="75"/>
    </row>
    <row hidden="true" r="4721">
      <c r="A4721" s="76" t="s">
        <v>1299</v>
      </c>
      <c r="B4721" s="76" t="s">
        <v>1163</v>
      </c>
      <c r="C4721" s="76" t="s">
        <v>1281</v>
      </c>
      <c r="D4721" s="75"/>
    </row>
    <row hidden="true" r="4722">
      <c r="A4722" s="76" t="s">
        <v>1299</v>
      </c>
      <c r="B4722" s="76" t="s">
        <v>1165</v>
      </c>
      <c r="C4722" s="76" t="s">
        <v>1281</v>
      </c>
      <c r="D4722" s="75"/>
    </row>
    <row hidden="true" r="4723">
      <c r="A4723" s="76" t="s">
        <v>1299</v>
      </c>
      <c r="B4723" s="76" t="s">
        <v>1167</v>
      </c>
      <c r="C4723" s="76" t="s">
        <v>1281</v>
      </c>
      <c r="D4723" s="75"/>
    </row>
    <row hidden="true" r="4724">
      <c r="A4724" s="76" t="s">
        <v>1299</v>
      </c>
      <c r="B4724" s="76" t="s">
        <v>1169</v>
      </c>
      <c r="C4724" s="76" t="s">
        <v>1281</v>
      </c>
      <c r="D4724" s="75"/>
    </row>
    <row hidden="true" r="4725">
      <c r="A4725" s="76" t="s">
        <v>1299</v>
      </c>
      <c r="B4725" s="76" t="s">
        <v>1171</v>
      </c>
      <c r="C4725" s="76" t="s">
        <v>1281</v>
      </c>
      <c r="D4725" s="75"/>
    </row>
    <row hidden="true" r="4726">
      <c r="A4726" s="76" t="s">
        <v>1299</v>
      </c>
      <c r="B4726" s="76" t="s">
        <v>1173</v>
      </c>
      <c r="C4726" s="76" t="s">
        <v>1281</v>
      </c>
      <c r="D4726" s="75"/>
    </row>
    <row hidden="true" r="4727">
      <c r="A4727" s="76" t="s">
        <v>1299</v>
      </c>
      <c r="B4727" s="76" t="s">
        <v>1175</v>
      </c>
      <c r="C4727" s="76" t="s">
        <v>1281</v>
      </c>
      <c r="D4727" s="75"/>
    </row>
    <row hidden="true" r="4728">
      <c r="A4728" s="76" t="s">
        <v>1299</v>
      </c>
      <c r="B4728" s="76" t="s">
        <v>1177</v>
      </c>
      <c r="C4728" s="76" t="s">
        <v>1281</v>
      </c>
      <c r="D4728" s="75"/>
    </row>
    <row hidden="true" r="4729">
      <c r="A4729" s="76" t="s">
        <v>1299</v>
      </c>
      <c r="B4729" s="76" t="s">
        <v>1179</v>
      </c>
      <c r="C4729" s="76" t="s">
        <v>1281</v>
      </c>
      <c r="D4729" s="75"/>
    </row>
    <row hidden="true" r="4730">
      <c r="A4730" s="76" t="s">
        <v>1299</v>
      </c>
      <c r="B4730" s="76" t="s">
        <v>1181</v>
      </c>
      <c r="C4730" s="76" t="s">
        <v>1281</v>
      </c>
      <c r="D4730" s="75"/>
    </row>
    <row hidden="true" r="4731">
      <c r="A4731" s="76" t="s">
        <v>1299</v>
      </c>
      <c r="B4731" s="76" t="s">
        <v>1183</v>
      </c>
      <c r="C4731" s="76" t="s">
        <v>1281</v>
      </c>
      <c r="D4731" s="75"/>
    </row>
    <row hidden="true" r="4732">
      <c r="A4732" s="76" t="s">
        <v>1299</v>
      </c>
      <c r="B4732" s="76" t="s">
        <v>1185</v>
      </c>
      <c r="C4732" s="76" t="s">
        <v>1281</v>
      </c>
      <c r="D4732" s="75"/>
    </row>
    <row hidden="true" r="4733">
      <c r="A4733" s="76" t="s">
        <v>1299</v>
      </c>
      <c r="B4733" s="76" t="s">
        <v>1187</v>
      </c>
      <c r="C4733" s="76" t="s">
        <v>1281</v>
      </c>
      <c r="D4733" s="75"/>
    </row>
    <row hidden="true" r="4734">
      <c r="A4734" s="76" t="s">
        <v>1299</v>
      </c>
      <c r="B4734" s="76" t="s">
        <v>1189</v>
      </c>
      <c r="C4734" s="76" t="s">
        <v>1281</v>
      </c>
      <c r="D4734" s="75"/>
    </row>
    <row hidden="true" r="4735">
      <c r="A4735" s="76" t="s">
        <v>1299</v>
      </c>
      <c r="B4735" s="76" t="s">
        <v>1199</v>
      </c>
      <c r="C4735" s="76" t="s">
        <v>1281</v>
      </c>
      <c r="D4735" s="75"/>
    </row>
    <row hidden="true" r="4736">
      <c r="A4736" s="76" t="s">
        <v>1299</v>
      </c>
      <c r="B4736" s="76" t="s">
        <v>1201</v>
      </c>
      <c r="C4736" s="76" t="s">
        <v>1281</v>
      </c>
      <c r="D4736" s="75"/>
    </row>
    <row hidden="true" r="4737">
      <c r="A4737" s="76" t="s">
        <v>1299</v>
      </c>
      <c r="B4737" s="76" t="s">
        <v>1203</v>
      </c>
      <c r="C4737" s="76" t="s">
        <v>1281</v>
      </c>
      <c r="D4737" s="75"/>
    </row>
    <row hidden="true" r="4738">
      <c r="A4738" s="76" t="s">
        <v>1299</v>
      </c>
      <c r="B4738" s="76" t="s">
        <v>1205</v>
      </c>
      <c r="C4738" s="76" t="s">
        <v>1281</v>
      </c>
      <c r="D4738" s="75"/>
    </row>
    <row hidden="true" r="4739">
      <c r="A4739" s="76" t="s">
        <v>1299</v>
      </c>
      <c r="B4739" s="76" t="s">
        <v>1207</v>
      </c>
      <c r="C4739" s="76" t="s">
        <v>1281</v>
      </c>
      <c r="D4739" s="75"/>
    </row>
    <row hidden="true" r="4740">
      <c r="A4740" s="76" t="s">
        <v>1299</v>
      </c>
      <c r="B4740" s="76" t="s">
        <v>1209</v>
      </c>
      <c r="C4740" s="76" t="s">
        <v>1281</v>
      </c>
      <c r="D4740" s="75"/>
    </row>
    <row hidden="true" r="4741">
      <c r="A4741" s="76" t="s">
        <v>1299</v>
      </c>
      <c r="B4741" s="76" t="s">
        <v>1211</v>
      </c>
      <c r="C4741" s="76" t="s">
        <v>1281</v>
      </c>
      <c r="D4741" s="75"/>
    </row>
    <row hidden="true" r="4742">
      <c r="A4742" s="76" t="s">
        <v>1299</v>
      </c>
      <c r="B4742" s="76" t="s">
        <v>1282</v>
      </c>
      <c r="C4742" s="76" t="s">
        <v>1281</v>
      </c>
      <c r="D4742" s="75"/>
    </row>
    <row hidden="true" r="4743">
      <c r="A4743" s="76" t="s">
        <v>1299</v>
      </c>
      <c r="B4743" s="76" t="s">
        <v>735</v>
      </c>
      <c r="C4743" s="76" t="s">
        <v>1283</v>
      </c>
      <c r="D4743" s="75"/>
    </row>
    <row hidden="true" r="4744">
      <c r="A4744" s="76" t="s">
        <v>1300</v>
      </c>
      <c r="B4744" s="76" t="s">
        <v>407</v>
      </c>
      <c r="C4744" s="76" t="s">
        <v>1281</v>
      </c>
      <c r="D4744" s="75"/>
    </row>
    <row hidden="true" r="4745">
      <c r="A4745" s="76" t="s">
        <v>1300</v>
      </c>
      <c r="B4745" s="76" t="s">
        <v>744</v>
      </c>
      <c r="C4745" s="76" t="s">
        <v>1281</v>
      </c>
      <c r="D4745" s="75"/>
    </row>
    <row hidden="true" r="4746">
      <c r="A4746" s="76" t="s">
        <v>1300</v>
      </c>
      <c r="B4746" s="76" t="s">
        <v>409</v>
      </c>
      <c r="C4746" s="76" t="s">
        <v>1281</v>
      </c>
      <c r="D4746" s="75"/>
    </row>
    <row hidden="true" r="4747">
      <c r="A4747" s="76" t="s">
        <v>1300</v>
      </c>
      <c r="B4747" s="76" t="s">
        <v>884</v>
      </c>
      <c r="C4747" s="76" t="s">
        <v>1281</v>
      </c>
      <c r="D4747" s="75"/>
    </row>
    <row hidden="true" r="4748">
      <c r="A4748" s="76" t="s">
        <v>1300</v>
      </c>
      <c r="B4748" s="76" t="s">
        <v>886</v>
      </c>
      <c r="C4748" s="76" t="s">
        <v>1281</v>
      </c>
      <c r="D4748" s="75"/>
    </row>
    <row hidden="true" r="4749">
      <c r="A4749" s="76" t="s">
        <v>1300</v>
      </c>
      <c r="B4749" s="76" t="s">
        <v>888</v>
      </c>
      <c r="C4749" s="76" t="s">
        <v>1281</v>
      </c>
      <c r="D4749" s="75"/>
    </row>
    <row hidden="true" r="4750">
      <c r="A4750" s="76" t="s">
        <v>1300</v>
      </c>
      <c r="B4750" s="76" t="s">
        <v>890</v>
      </c>
      <c r="C4750" s="76" t="s">
        <v>1281</v>
      </c>
      <c r="D4750" s="75"/>
    </row>
    <row hidden="true" r="4751">
      <c r="A4751" s="76" t="s">
        <v>1300</v>
      </c>
      <c r="B4751" s="76" t="s">
        <v>892</v>
      </c>
      <c r="C4751" s="76" t="s">
        <v>1281</v>
      </c>
      <c r="D4751" s="75"/>
    </row>
    <row hidden="true" r="4752">
      <c r="A4752" s="76" t="s">
        <v>1300</v>
      </c>
      <c r="B4752" s="76" t="s">
        <v>894</v>
      </c>
      <c r="C4752" s="76" t="s">
        <v>1281</v>
      </c>
      <c r="D4752" s="75"/>
    </row>
    <row hidden="true" r="4753">
      <c r="A4753" s="76" t="s">
        <v>1300</v>
      </c>
      <c r="B4753" s="76" t="s">
        <v>896</v>
      </c>
      <c r="C4753" s="76" t="s">
        <v>1281</v>
      </c>
      <c r="D4753" s="75"/>
    </row>
    <row hidden="true" r="4754">
      <c r="A4754" s="76" t="s">
        <v>1300</v>
      </c>
      <c r="B4754" s="76" t="s">
        <v>898</v>
      </c>
      <c r="C4754" s="76" t="s">
        <v>1281</v>
      </c>
      <c r="D4754" s="75"/>
    </row>
    <row hidden="true" r="4755">
      <c r="A4755" s="76" t="s">
        <v>1300</v>
      </c>
      <c r="B4755" s="76" t="s">
        <v>900</v>
      </c>
      <c r="C4755" s="76" t="s">
        <v>1281</v>
      </c>
      <c r="D4755" s="75"/>
    </row>
    <row hidden="true" r="4756">
      <c r="A4756" s="76" t="s">
        <v>1300</v>
      </c>
      <c r="B4756" s="76" t="s">
        <v>902</v>
      </c>
      <c r="C4756" s="76" t="s">
        <v>1281</v>
      </c>
      <c r="D4756" s="75"/>
    </row>
    <row hidden="true" r="4757">
      <c r="A4757" s="76" t="s">
        <v>1300</v>
      </c>
      <c r="B4757" s="76" t="s">
        <v>904</v>
      </c>
      <c r="C4757" s="76" t="s">
        <v>1281</v>
      </c>
      <c r="D4757" s="75"/>
    </row>
    <row hidden="true" r="4758">
      <c r="A4758" s="76" t="s">
        <v>1300</v>
      </c>
      <c r="B4758" s="76" t="s">
        <v>906</v>
      </c>
      <c r="C4758" s="76" t="s">
        <v>1281</v>
      </c>
      <c r="D4758" s="75"/>
    </row>
    <row hidden="true" r="4759">
      <c r="A4759" s="76" t="s">
        <v>1300</v>
      </c>
      <c r="B4759" s="76" t="s">
        <v>908</v>
      </c>
      <c r="C4759" s="76" t="s">
        <v>1281</v>
      </c>
      <c r="D4759" s="75"/>
    </row>
    <row hidden="true" r="4760">
      <c r="A4760" s="76" t="s">
        <v>1300</v>
      </c>
      <c r="B4760" s="76" t="s">
        <v>910</v>
      </c>
      <c r="C4760" s="76" t="s">
        <v>1281</v>
      </c>
      <c r="D4760" s="75"/>
    </row>
    <row hidden="true" r="4761">
      <c r="A4761" s="76" t="s">
        <v>1300</v>
      </c>
      <c r="B4761" s="76" t="s">
        <v>912</v>
      </c>
      <c r="C4761" s="76" t="s">
        <v>1281</v>
      </c>
      <c r="D4761" s="75"/>
    </row>
    <row hidden="true" r="4762">
      <c r="A4762" s="76" t="s">
        <v>1300</v>
      </c>
      <c r="B4762" s="76" t="s">
        <v>914</v>
      </c>
      <c r="C4762" s="76" t="s">
        <v>1281</v>
      </c>
      <c r="D4762" s="75"/>
    </row>
    <row hidden="true" r="4763">
      <c r="A4763" s="76" t="s">
        <v>1300</v>
      </c>
      <c r="B4763" s="76" t="s">
        <v>916</v>
      </c>
      <c r="C4763" s="76" t="s">
        <v>1281</v>
      </c>
      <c r="D4763" s="75"/>
    </row>
    <row hidden="true" r="4764">
      <c r="A4764" s="76" t="s">
        <v>1300</v>
      </c>
      <c r="B4764" s="76" t="s">
        <v>918</v>
      </c>
      <c r="C4764" s="76" t="s">
        <v>1281</v>
      </c>
      <c r="D4764" s="75"/>
    </row>
    <row hidden="true" r="4765">
      <c r="A4765" s="76" t="s">
        <v>1300</v>
      </c>
      <c r="B4765" s="76" t="s">
        <v>920</v>
      </c>
      <c r="C4765" s="76" t="s">
        <v>1281</v>
      </c>
      <c r="D4765" s="75"/>
    </row>
    <row hidden="true" r="4766">
      <c r="A4766" s="76" t="s">
        <v>1300</v>
      </c>
      <c r="B4766" s="76" t="s">
        <v>922</v>
      </c>
      <c r="C4766" s="76" t="s">
        <v>1281</v>
      </c>
      <c r="D4766" s="75"/>
    </row>
    <row hidden="true" r="4767">
      <c r="A4767" s="76" t="s">
        <v>1300</v>
      </c>
      <c r="B4767" s="76" t="s">
        <v>924</v>
      </c>
      <c r="C4767" s="76" t="s">
        <v>1281</v>
      </c>
      <c r="D4767" s="75"/>
    </row>
    <row hidden="true" r="4768">
      <c r="A4768" s="76" t="s">
        <v>1300</v>
      </c>
      <c r="B4768" s="76" t="s">
        <v>926</v>
      </c>
      <c r="C4768" s="76" t="s">
        <v>1281</v>
      </c>
      <c r="D4768" s="75"/>
    </row>
    <row hidden="true" r="4769">
      <c r="A4769" s="76" t="s">
        <v>1300</v>
      </c>
      <c r="B4769" s="76" t="s">
        <v>928</v>
      </c>
      <c r="C4769" s="76" t="s">
        <v>1281</v>
      </c>
      <c r="D4769" s="75"/>
    </row>
    <row hidden="true" r="4770">
      <c r="A4770" s="76" t="s">
        <v>1300</v>
      </c>
      <c r="B4770" s="76" t="s">
        <v>930</v>
      </c>
      <c r="C4770" s="76" t="s">
        <v>1281</v>
      </c>
      <c r="D4770" s="75"/>
    </row>
    <row hidden="true" r="4771">
      <c r="A4771" s="76" t="s">
        <v>1300</v>
      </c>
      <c r="B4771" s="76" t="s">
        <v>932</v>
      </c>
      <c r="C4771" s="76" t="s">
        <v>1281</v>
      </c>
      <c r="D4771" s="75"/>
    </row>
    <row hidden="true" r="4772">
      <c r="A4772" s="76" t="s">
        <v>1300</v>
      </c>
      <c r="B4772" s="76" t="s">
        <v>934</v>
      </c>
      <c r="C4772" s="76" t="s">
        <v>1281</v>
      </c>
      <c r="D4772" s="75"/>
    </row>
    <row hidden="true" r="4773">
      <c r="A4773" s="76" t="s">
        <v>1300</v>
      </c>
      <c r="B4773" s="76" t="s">
        <v>936</v>
      </c>
      <c r="C4773" s="76" t="s">
        <v>1281</v>
      </c>
      <c r="D4773" s="75"/>
    </row>
    <row hidden="true" r="4774">
      <c r="A4774" s="76" t="s">
        <v>1300</v>
      </c>
      <c r="B4774" s="76" t="s">
        <v>938</v>
      </c>
      <c r="C4774" s="76" t="s">
        <v>1281</v>
      </c>
      <c r="D4774" s="75"/>
    </row>
    <row hidden="true" r="4775">
      <c r="A4775" s="76" t="s">
        <v>1300</v>
      </c>
      <c r="B4775" s="76" t="s">
        <v>940</v>
      </c>
      <c r="C4775" s="76" t="s">
        <v>1281</v>
      </c>
      <c r="D4775" s="75"/>
    </row>
    <row hidden="true" r="4776">
      <c r="A4776" s="76" t="s">
        <v>1300</v>
      </c>
      <c r="B4776" s="76" t="s">
        <v>942</v>
      </c>
      <c r="C4776" s="76" t="s">
        <v>1281</v>
      </c>
      <c r="D4776" s="75"/>
    </row>
    <row hidden="true" r="4777">
      <c r="A4777" s="76" t="s">
        <v>1300</v>
      </c>
      <c r="B4777" s="76" t="s">
        <v>944</v>
      </c>
      <c r="C4777" s="76" t="s">
        <v>1281</v>
      </c>
      <c r="D4777" s="75"/>
    </row>
    <row hidden="true" r="4778">
      <c r="A4778" s="76" t="s">
        <v>1300</v>
      </c>
      <c r="B4778" s="76" t="s">
        <v>946</v>
      </c>
      <c r="C4778" s="76" t="s">
        <v>1281</v>
      </c>
      <c r="D4778" s="75"/>
    </row>
    <row hidden="true" r="4779">
      <c r="A4779" s="76" t="s">
        <v>1300</v>
      </c>
      <c r="B4779" s="76" t="s">
        <v>948</v>
      </c>
      <c r="C4779" s="76" t="s">
        <v>1281</v>
      </c>
      <c r="D4779" s="75"/>
    </row>
    <row hidden="true" r="4780">
      <c r="A4780" s="76" t="s">
        <v>1300</v>
      </c>
      <c r="B4780" s="76" t="s">
        <v>950</v>
      </c>
      <c r="C4780" s="76" t="s">
        <v>1281</v>
      </c>
      <c r="D4780" s="75"/>
    </row>
    <row hidden="true" r="4781">
      <c r="A4781" s="76" t="s">
        <v>1300</v>
      </c>
      <c r="B4781" s="76" t="s">
        <v>952</v>
      </c>
      <c r="C4781" s="76" t="s">
        <v>1281</v>
      </c>
      <c r="D4781" s="75"/>
    </row>
    <row hidden="true" r="4782">
      <c r="A4782" s="76" t="s">
        <v>1300</v>
      </c>
      <c r="B4782" s="76" t="s">
        <v>954</v>
      </c>
      <c r="C4782" s="76" t="s">
        <v>1281</v>
      </c>
      <c r="D4782" s="75"/>
    </row>
    <row hidden="true" r="4783">
      <c r="A4783" s="76" t="s">
        <v>1300</v>
      </c>
      <c r="B4783" s="76" t="s">
        <v>775</v>
      </c>
      <c r="C4783" s="76" t="s">
        <v>1281</v>
      </c>
      <c r="D4783" s="75"/>
    </row>
    <row hidden="true" r="4784">
      <c r="A4784" s="76" t="s">
        <v>1300</v>
      </c>
      <c r="B4784" s="76" t="s">
        <v>956</v>
      </c>
      <c r="C4784" s="76" t="s">
        <v>1281</v>
      </c>
      <c r="D4784" s="75"/>
    </row>
    <row hidden="true" r="4785">
      <c r="A4785" s="76" t="s">
        <v>1300</v>
      </c>
      <c r="B4785" s="76" t="s">
        <v>958</v>
      </c>
      <c r="C4785" s="76" t="s">
        <v>1281</v>
      </c>
      <c r="D4785" s="75"/>
    </row>
    <row hidden="true" r="4786">
      <c r="A4786" s="76" t="s">
        <v>1300</v>
      </c>
      <c r="B4786" s="76" t="s">
        <v>960</v>
      </c>
      <c r="C4786" s="76" t="s">
        <v>1281</v>
      </c>
      <c r="D4786" s="75"/>
    </row>
    <row hidden="true" r="4787">
      <c r="A4787" s="76" t="s">
        <v>1300</v>
      </c>
      <c r="B4787" s="76" t="s">
        <v>962</v>
      </c>
      <c r="C4787" s="76" t="s">
        <v>1281</v>
      </c>
      <c r="D4787" s="75"/>
    </row>
    <row hidden="true" r="4788">
      <c r="A4788" s="76" t="s">
        <v>1300</v>
      </c>
      <c r="B4788" s="76" t="s">
        <v>964</v>
      </c>
      <c r="C4788" s="76" t="s">
        <v>1281</v>
      </c>
      <c r="D4788" s="75"/>
    </row>
    <row hidden="true" r="4789">
      <c r="A4789" s="76" t="s">
        <v>1300</v>
      </c>
      <c r="B4789" s="76" t="s">
        <v>966</v>
      </c>
      <c r="C4789" s="76" t="s">
        <v>1281</v>
      </c>
      <c r="D4789" s="75"/>
    </row>
    <row hidden="true" r="4790">
      <c r="A4790" s="76" t="s">
        <v>1300</v>
      </c>
      <c r="B4790" s="76" t="s">
        <v>968</v>
      </c>
      <c r="C4790" s="76" t="s">
        <v>1281</v>
      </c>
      <c r="D4790" s="75"/>
    </row>
    <row hidden="true" r="4791">
      <c r="A4791" s="76" t="s">
        <v>1300</v>
      </c>
      <c r="B4791" s="76" t="s">
        <v>970</v>
      </c>
      <c r="C4791" s="76" t="s">
        <v>1281</v>
      </c>
      <c r="D4791" s="75"/>
    </row>
    <row hidden="true" r="4792">
      <c r="A4792" s="76" t="s">
        <v>1300</v>
      </c>
      <c r="B4792" s="76" t="s">
        <v>972</v>
      </c>
      <c r="C4792" s="76" t="s">
        <v>1281</v>
      </c>
      <c r="D4792" s="75"/>
    </row>
    <row hidden="true" r="4793">
      <c r="A4793" s="76" t="s">
        <v>1300</v>
      </c>
      <c r="B4793" s="76" t="s">
        <v>974</v>
      </c>
      <c r="C4793" s="76" t="s">
        <v>1281</v>
      </c>
      <c r="D4793" s="75"/>
    </row>
    <row hidden="true" r="4794">
      <c r="A4794" s="76" t="s">
        <v>1300</v>
      </c>
      <c r="B4794" s="76" t="s">
        <v>976</v>
      </c>
      <c r="C4794" s="76" t="s">
        <v>1281</v>
      </c>
      <c r="D4794" s="75"/>
    </row>
    <row hidden="true" r="4795">
      <c r="A4795" s="76" t="s">
        <v>1300</v>
      </c>
      <c r="B4795" s="76" t="s">
        <v>823</v>
      </c>
      <c r="C4795" s="76" t="s">
        <v>1281</v>
      </c>
      <c r="D4795" s="75"/>
    </row>
    <row hidden="true" r="4796">
      <c r="A4796" s="76" t="s">
        <v>1300</v>
      </c>
      <c r="B4796" s="76" t="s">
        <v>978</v>
      </c>
      <c r="C4796" s="76" t="s">
        <v>1281</v>
      </c>
      <c r="D4796" s="75"/>
    </row>
    <row hidden="true" r="4797">
      <c r="A4797" s="76" t="s">
        <v>1300</v>
      </c>
      <c r="B4797" s="76" t="s">
        <v>980</v>
      </c>
      <c r="C4797" s="76" t="s">
        <v>1281</v>
      </c>
      <c r="D4797" s="75"/>
    </row>
    <row hidden="true" r="4798">
      <c r="A4798" s="76" t="s">
        <v>1300</v>
      </c>
      <c r="B4798" s="76" t="s">
        <v>982</v>
      </c>
      <c r="C4798" s="76" t="s">
        <v>1281</v>
      </c>
      <c r="D4798" s="75"/>
    </row>
    <row hidden="true" r="4799">
      <c r="A4799" s="76" t="s">
        <v>1300</v>
      </c>
      <c r="B4799" s="76" t="s">
        <v>984</v>
      </c>
      <c r="C4799" s="76" t="s">
        <v>1281</v>
      </c>
      <c r="D4799" s="75"/>
    </row>
    <row hidden="true" r="4800">
      <c r="A4800" s="76" t="s">
        <v>1300</v>
      </c>
      <c r="B4800" s="76" t="s">
        <v>986</v>
      </c>
      <c r="C4800" s="76" t="s">
        <v>1281</v>
      </c>
      <c r="D4800" s="75"/>
    </row>
    <row hidden="true" r="4801">
      <c r="A4801" s="76" t="s">
        <v>1300</v>
      </c>
      <c r="B4801" s="76" t="s">
        <v>988</v>
      </c>
      <c r="C4801" s="76" t="s">
        <v>1281</v>
      </c>
      <c r="D4801" s="75"/>
    </row>
    <row hidden="true" r="4802">
      <c r="A4802" s="76" t="s">
        <v>1300</v>
      </c>
      <c r="B4802" s="76" t="s">
        <v>990</v>
      </c>
      <c r="C4802" s="76" t="s">
        <v>1281</v>
      </c>
      <c r="D4802" s="75"/>
    </row>
    <row hidden="true" r="4803">
      <c r="A4803" s="76" t="s">
        <v>1300</v>
      </c>
      <c r="B4803" s="76" t="s">
        <v>992</v>
      </c>
      <c r="C4803" s="76" t="s">
        <v>1281</v>
      </c>
      <c r="D4803" s="75"/>
    </row>
    <row hidden="true" r="4804">
      <c r="A4804" s="76" t="s">
        <v>1300</v>
      </c>
      <c r="B4804" s="76" t="s">
        <v>994</v>
      </c>
      <c r="C4804" s="76" t="s">
        <v>1281</v>
      </c>
      <c r="D4804" s="75"/>
    </row>
    <row hidden="true" r="4805">
      <c r="A4805" s="76" t="s">
        <v>1300</v>
      </c>
      <c r="B4805" s="76" t="s">
        <v>996</v>
      </c>
      <c r="C4805" s="76" t="s">
        <v>1281</v>
      </c>
      <c r="D4805" s="75"/>
    </row>
    <row hidden="true" r="4806">
      <c r="A4806" s="76" t="s">
        <v>1300</v>
      </c>
      <c r="B4806" s="76" t="s">
        <v>998</v>
      </c>
      <c r="C4806" s="76" t="s">
        <v>1281</v>
      </c>
      <c r="D4806" s="75"/>
    </row>
    <row hidden="true" r="4807">
      <c r="A4807" s="76" t="s">
        <v>1300</v>
      </c>
      <c r="B4807" s="76" t="s">
        <v>1000</v>
      </c>
      <c r="C4807" s="76" t="s">
        <v>1281</v>
      </c>
      <c r="D4807" s="75"/>
    </row>
    <row hidden="true" r="4808">
      <c r="A4808" s="76" t="s">
        <v>1300</v>
      </c>
      <c r="B4808" s="76" t="s">
        <v>1002</v>
      </c>
      <c r="C4808" s="76" t="s">
        <v>1281</v>
      </c>
      <c r="D4808" s="75"/>
    </row>
    <row hidden="true" r="4809">
      <c r="A4809" s="76" t="s">
        <v>1300</v>
      </c>
      <c r="B4809" s="76" t="s">
        <v>1004</v>
      </c>
      <c r="C4809" s="76" t="s">
        <v>1281</v>
      </c>
      <c r="D4809" s="75"/>
    </row>
    <row hidden="true" r="4810">
      <c r="A4810" s="76" t="s">
        <v>1300</v>
      </c>
      <c r="B4810" s="76" t="s">
        <v>1006</v>
      </c>
      <c r="C4810" s="76" t="s">
        <v>1281</v>
      </c>
      <c r="D4810" s="75"/>
    </row>
    <row hidden="true" r="4811">
      <c r="A4811" s="76" t="s">
        <v>1300</v>
      </c>
      <c r="B4811" s="76" t="s">
        <v>1008</v>
      </c>
      <c r="C4811" s="76" t="s">
        <v>1281</v>
      </c>
      <c r="D4811" s="75"/>
    </row>
    <row hidden="true" r="4812">
      <c r="A4812" s="76" t="s">
        <v>1300</v>
      </c>
      <c r="B4812" s="76" t="s">
        <v>1010</v>
      </c>
      <c r="C4812" s="76" t="s">
        <v>1281</v>
      </c>
      <c r="D4812" s="75"/>
    </row>
    <row hidden="true" r="4813">
      <c r="A4813" s="76" t="s">
        <v>1300</v>
      </c>
      <c r="B4813" s="76" t="s">
        <v>1012</v>
      </c>
      <c r="C4813" s="76" t="s">
        <v>1281</v>
      </c>
      <c r="D4813" s="75"/>
    </row>
    <row hidden="true" r="4814">
      <c r="A4814" s="76" t="s">
        <v>1300</v>
      </c>
      <c r="B4814" s="76" t="s">
        <v>1014</v>
      </c>
      <c r="C4814" s="76" t="s">
        <v>1281</v>
      </c>
      <c r="D4814" s="75"/>
    </row>
    <row hidden="true" r="4815">
      <c r="A4815" s="76" t="s">
        <v>1300</v>
      </c>
      <c r="B4815" s="76" t="s">
        <v>1016</v>
      </c>
      <c r="C4815" s="76" t="s">
        <v>1281</v>
      </c>
      <c r="D4815" s="75"/>
    </row>
    <row hidden="true" r="4816">
      <c r="A4816" s="76" t="s">
        <v>1300</v>
      </c>
      <c r="B4816" s="76" t="s">
        <v>1018</v>
      </c>
      <c r="C4816" s="76" t="s">
        <v>1281</v>
      </c>
      <c r="D4816" s="75"/>
    </row>
    <row hidden="true" r="4817">
      <c r="A4817" s="76" t="s">
        <v>1300</v>
      </c>
      <c r="B4817" s="76" t="s">
        <v>1020</v>
      </c>
      <c r="C4817" s="76" t="s">
        <v>1281</v>
      </c>
      <c r="D4817" s="75"/>
    </row>
    <row hidden="true" r="4818">
      <c r="A4818" s="76" t="s">
        <v>1300</v>
      </c>
      <c r="B4818" s="76" t="s">
        <v>1022</v>
      </c>
      <c r="C4818" s="76" t="s">
        <v>1281</v>
      </c>
      <c r="D4818" s="75"/>
    </row>
    <row hidden="true" r="4819">
      <c r="A4819" s="76" t="s">
        <v>1300</v>
      </c>
      <c r="B4819" s="76" t="s">
        <v>1023</v>
      </c>
      <c r="C4819" s="76" t="s">
        <v>1281</v>
      </c>
      <c r="D4819" s="75"/>
    </row>
    <row hidden="true" r="4820">
      <c r="A4820" s="76" t="s">
        <v>1300</v>
      </c>
      <c r="B4820" s="76" t="s">
        <v>1024</v>
      </c>
      <c r="C4820" s="76" t="s">
        <v>1281</v>
      </c>
      <c r="D4820" s="75"/>
    </row>
    <row hidden="true" r="4821">
      <c r="A4821" s="76" t="s">
        <v>1300</v>
      </c>
      <c r="B4821" s="76" t="s">
        <v>1025</v>
      </c>
      <c r="C4821" s="76" t="s">
        <v>1281</v>
      </c>
      <c r="D4821" s="75"/>
    </row>
    <row hidden="true" r="4822">
      <c r="A4822" s="76" t="s">
        <v>1300</v>
      </c>
      <c r="B4822" s="76" t="s">
        <v>1026</v>
      </c>
      <c r="C4822" s="76" t="s">
        <v>1281</v>
      </c>
      <c r="D4822" s="75"/>
    </row>
    <row hidden="true" r="4823">
      <c r="A4823" s="76" t="s">
        <v>1300</v>
      </c>
      <c r="B4823" s="76" t="s">
        <v>1027</v>
      </c>
      <c r="C4823" s="76" t="s">
        <v>1281</v>
      </c>
      <c r="D4823" s="75"/>
    </row>
    <row hidden="true" r="4824">
      <c r="A4824" s="76" t="s">
        <v>1300</v>
      </c>
      <c r="B4824" s="76" t="s">
        <v>1028</v>
      </c>
      <c r="C4824" s="76" t="s">
        <v>1281</v>
      </c>
      <c r="D4824" s="75"/>
    </row>
    <row hidden="true" r="4825">
      <c r="A4825" s="76" t="s">
        <v>1300</v>
      </c>
      <c r="B4825" s="76" t="s">
        <v>530</v>
      </c>
      <c r="C4825" s="76" t="s">
        <v>1281</v>
      </c>
      <c r="D4825" s="75"/>
    </row>
    <row hidden="true" r="4826">
      <c r="A4826" s="76" t="s">
        <v>1300</v>
      </c>
      <c r="B4826" s="76" t="s">
        <v>1030</v>
      </c>
      <c r="C4826" s="76" t="s">
        <v>1281</v>
      </c>
      <c r="D4826" s="75"/>
    </row>
    <row hidden="true" r="4827">
      <c r="A4827" s="76" t="s">
        <v>1300</v>
      </c>
      <c r="B4827" s="76" t="s">
        <v>1032</v>
      </c>
      <c r="C4827" s="76" t="s">
        <v>1281</v>
      </c>
      <c r="D4827" s="75"/>
    </row>
    <row hidden="true" r="4828">
      <c r="A4828" s="76" t="s">
        <v>1300</v>
      </c>
      <c r="B4828" s="76" t="s">
        <v>1034</v>
      </c>
      <c r="C4828" s="76" t="s">
        <v>1281</v>
      </c>
      <c r="D4828" s="75"/>
    </row>
    <row hidden="true" r="4829">
      <c r="A4829" s="76" t="s">
        <v>1300</v>
      </c>
      <c r="B4829" s="76" t="s">
        <v>532</v>
      </c>
      <c r="C4829" s="76" t="s">
        <v>1281</v>
      </c>
      <c r="D4829" s="75"/>
    </row>
    <row hidden="true" r="4830">
      <c r="A4830" s="76" t="s">
        <v>1300</v>
      </c>
      <c r="B4830" s="76" t="s">
        <v>1036</v>
      </c>
      <c r="C4830" s="76" t="s">
        <v>1281</v>
      </c>
      <c r="D4830" s="75"/>
    </row>
    <row hidden="true" r="4831">
      <c r="A4831" s="76" t="s">
        <v>1300</v>
      </c>
      <c r="B4831" s="76" t="s">
        <v>1038</v>
      </c>
      <c r="C4831" s="76" t="s">
        <v>1281</v>
      </c>
      <c r="D4831" s="75"/>
    </row>
    <row hidden="true" r="4832">
      <c r="A4832" s="76" t="s">
        <v>1300</v>
      </c>
      <c r="B4832" s="76" t="s">
        <v>1040</v>
      </c>
      <c r="C4832" s="76" t="s">
        <v>1281</v>
      </c>
      <c r="D4832" s="75"/>
    </row>
    <row hidden="true" r="4833">
      <c r="A4833" s="76" t="s">
        <v>1300</v>
      </c>
      <c r="B4833" s="76" t="s">
        <v>1042</v>
      </c>
      <c r="C4833" s="76" t="s">
        <v>1281</v>
      </c>
      <c r="D4833" s="75"/>
    </row>
    <row hidden="true" r="4834">
      <c r="A4834" s="76" t="s">
        <v>1300</v>
      </c>
      <c r="B4834" s="76" t="s">
        <v>1044</v>
      </c>
      <c r="C4834" s="76" t="s">
        <v>1281</v>
      </c>
      <c r="D4834" s="75"/>
    </row>
    <row hidden="true" r="4835">
      <c r="A4835" s="76" t="s">
        <v>1300</v>
      </c>
      <c r="B4835" s="76" t="s">
        <v>1046</v>
      </c>
      <c r="C4835" s="76" t="s">
        <v>1281</v>
      </c>
      <c r="D4835" s="75"/>
    </row>
    <row hidden="true" r="4836">
      <c r="A4836" s="76" t="s">
        <v>1300</v>
      </c>
      <c r="B4836" s="76" t="s">
        <v>1048</v>
      </c>
      <c r="C4836" s="76" t="s">
        <v>1281</v>
      </c>
      <c r="D4836" s="75"/>
    </row>
    <row hidden="true" r="4837">
      <c r="A4837" s="76" t="s">
        <v>1300</v>
      </c>
      <c r="B4837" s="76" t="s">
        <v>1050</v>
      </c>
      <c r="C4837" s="76" t="s">
        <v>1281</v>
      </c>
      <c r="D4837" s="75"/>
    </row>
    <row hidden="true" r="4838">
      <c r="A4838" s="76" t="s">
        <v>1300</v>
      </c>
      <c r="B4838" s="76" t="s">
        <v>1052</v>
      </c>
      <c r="C4838" s="76" t="s">
        <v>1281</v>
      </c>
      <c r="D4838" s="75"/>
    </row>
    <row hidden="true" r="4839">
      <c r="A4839" s="76" t="s">
        <v>1300</v>
      </c>
      <c r="B4839" s="76" t="s">
        <v>1054</v>
      </c>
      <c r="C4839" s="76" t="s">
        <v>1281</v>
      </c>
      <c r="D4839" s="75"/>
    </row>
    <row hidden="true" r="4840">
      <c r="A4840" s="76" t="s">
        <v>1300</v>
      </c>
      <c r="B4840" s="76" t="s">
        <v>1056</v>
      </c>
      <c r="C4840" s="76" t="s">
        <v>1281</v>
      </c>
      <c r="D4840" s="75"/>
    </row>
    <row hidden="true" r="4841">
      <c r="A4841" s="76" t="s">
        <v>1300</v>
      </c>
      <c r="B4841" s="76" t="s">
        <v>1058</v>
      </c>
      <c r="C4841" s="76" t="s">
        <v>1281</v>
      </c>
      <c r="D4841" s="75"/>
    </row>
    <row hidden="true" r="4842">
      <c r="A4842" s="76" t="s">
        <v>1300</v>
      </c>
      <c r="B4842" s="76" t="s">
        <v>1060</v>
      </c>
      <c r="C4842" s="76" t="s">
        <v>1281</v>
      </c>
      <c r="D4842" s="75"/>
    </row>
    <row hidden="true" r="4843">
      <c r="A4843" s="76" t="s">
        <v>1300</v>
      </c>
      <c r="B4843" s="76" t="s">
        <v>1062</v>
      </c>
      <c r="C4843" s="76" t="s">
        <v>1281</v>
      </c>
      <c r="D4843" s="75"/>
    </row>
    <row hidden="true" r="4844">
      <c r="A4844" s="76" t="s">
        <v>1300</v>
      </c>
      <c r="B4844" s="76" t="s">
        <v>1064</v>
      </c>
      <c r="C4844" s="76" t="s">
        <v>1281</v>
      </c>
      <c r="D4844" s="75"/>
    </row>
    <row hidden="true" r="4845">
      <c r="A4845" s="76" t="s">
        <v>1300</v>
      </c>
      <c r="B4845" s="76" t="s">
        <v>1066</v>
      </c>
      <c r="C4845" s="76" t="s">
        <v>1281</v>
      </c>
      <c r="D4845" s="75"/>
    </row>
    <row hidden="true" r="4846">
      <c r="A4846" s="76" t="s">
        <v>1300</v>
      </c>
      <c r="B4846" s="76" t="s">
        <v>1068</v>
      </c>
      <c r="C4846" s="76" t="s">
        <v>1281</v>
      </c>
      <c r="D4846" s="75"/>
    </row>
    <row hidden="true" r="4847">
      <c r="A4847" s="76" t="s">
        <v>1300</v>
      </c>
      <c r="B4847" s="76" t="s">
        <v>1070</v>
      </c>
      <c r="C4847" s="76" t="s">
        <v>1281</v>
      </c>
      <c r="D4847" s="75"/>
    </row>
    <row hidden="true" r="4848">
      <c r="A4848" s="76" t="s">
        <v>1300</v>
      </c>
      <c r="B4848" s="76" t="s">
        <v>1071</v>
      </c>
      <c r="C4848" s="76" t="s">
        <v>1281</v>
      </c>
      <c r="D4848" s="75"/>
    </row>
    <row hidden="true" r="4849">
      <c r="A4849" s="76" t="s">
        <v>1300</v>
      </c>
      <c r="B4849" s="76" t="s">
        <v>1072</v>
      </c>
      <c r="C4849" s="76" t="s">
        <v>1281</v>
      </c>
      <c r="D4849" s="75"/>
    </row>
    <row hidden="true" r="4850">
      <c r="A4850" s="76" t="s">
        <v>1300</v>
      </c>
      <c r="B4850" s="76" t="s">
        <v>1074</v>
      </c>
      <c r="C4850" s="76" t="s">
        <v>1281</v>
      </c>
      <c r="D4850" s="75"/>
    </row>
    <row hidden="true" r="4851">
      <c r="A4851" s="76" t="s">
        <v>1300</v>
      </c>
      <c r="B4851" s="76" t="s">
        <v>1075</v>
      </c>
      <c r="C4851" s="76" t="s">
        <v>1281</v>
      </c>
      <c r="D4851" s="75"/>
    </row>
    <row hidden="true" r="4852">
      <c r="A4852" s="76" t="s">
        <v>1300</v>
      </c>
      <c r="B4852" s="76" t="s">
        <v>1076</v>
      </c>
      <c r="C4852" s="76" t="s">
        <v>1281</v>
      </c>
      <c r="D4852" s="75"/>
    </row>
    <row hidden="true" r="4853">
      <c r="A4853" s="76" t="s">
        <v>1300</v>
      </c>
      <c r="B4853" s="76" t="s">
        <v>1078</v>
      </c>
      <c r="C4853" s="76" t="s">
        <v>1281</v>
      </c>
      <c r="D4853" s="75"/>
    </row>
    <row hidden="true" r="4854">
      <c r="A4854" s="76" t="s">
        <v>1300</v>
      </c>
      <c r="B4854" s="76" t="s">
        <v>839</v>
      </c>
      <c r="C4854" s="76" t="s">
        <v>1281</v>
      </c>
      <c r="D4854" s="75"/>
    </row>
    <row hidden="true" r="4855">
      <c r="A4855" s="76" t="s">
        <v>1300</v>
      </c>
      <c r="B4855" s="76" t="s">
        <v>1080</v>
      </c>
      <c r="C4855" s="76" t="s">
        <v>1281</v>
      </c>
      <c r="D4855" s="75"/>
    </row>
    <row hidden="true" r="4856">
      <c r="A4856" s="76" t="s">
        <v>1300</v>
      </c>
      <c r="B4856" s="76" t="s">
        <v>1082</v>
      </c>
      <c r="C4856" s="76" t="s">
        <v>1281</v>
      </c>
      <c r="D4856" s="75"/>
    </row>
    <row hidden="true" r="4857">
      <c r="A4857" s="76" t="s">
        <v>1300</v>
      </c>
      <c r="B4857" s="76" t="s">
        <v>1084</v>
      </c>
      <c r="C4857" s="76" t="s">
        <v>1281</v>
      </c>
      <c r="D4857" s="75"/>
    </row>
    <row hidden="true" r="4858">
      <c r="A4858" s="76" t="s">
        <v>1300</v>
      </c>
      <c r="B4858" s="76" t="s">
        <v>1086</v>
      </c>
      <c r="C4858" s="76" t="s">
        <v>1281</v>
      </c>
      <c r="D4858" s="75"/>
    </row>
    <row hidden="true" r="4859">
      <c r="A4859" s="76" t="s">
        <v>1300</v>
      </c>
      <c r="B4859" s="76" t="s">
        <v>1088</v>
      </c>
      <c r="C4859" s="76" t="s">
        <v>1281</v>
      </c>
      <c r="D4859" s="75"/>
    </row>
    <row hidden="true" r="4860">
      <c r="A4860" s="76" t="s">
        <v>1300</v>
      </c>
      <c r="B4860" s="76" t="s">
        <v>1090</v>
      </c>
      <c r="C4860" s="76" t="s">
        <v>1281</v>
      </c>
      <c r="D4860" s="75"/>
    </row>
    <row hidden="true" r="4861">
      <c r="A4861" s="76" t="s">
        <v>1300</v>
      </c>
      <c r="B4861" s="76" t="s">
        <v>1092</v>
      </c>
      <c r="C4861" s="76" t="s">
        <v>1281</v>
      </c>
      <c r="D4861" s="75"/>
    </row>
    <row hidden="true" r="4862">
      <c r="A4862" s="76" t="s">
        <v>1300</v>
      </c>
      <c r="B4862" s="76" t="s">
        <v>1093</v>
      </c>
      <c r="C4862" s="76" t="s">
        <v>1281</v>
      </c>
      <c r="D4862" s="75"/>
    </row>
    <row hidden="true" r="4863">
      <c r="A4863" s="76" t="s">
        <v>1300</v>
      </c>
      <c r="B4863" s="76" t="s">
        <v>1095</v>
      </c>
      <c r="C4863" s="76" t="s">
        <v>1281</v>
      </c>
      <c r="D4863" s="75"/>
    </row>
    <row hidden="true" r="4864">
      <c r="A4864" s="76" t="s">
        <v>1300</v>
      </c>
      <c r="B4864" s="76" t="s">
        <v>1097</v>
      </c>
      <c r="C4864" s="76" t="s">
        <v>1281</v>
      </c>
      <c r="D4864" s="75"/>
    </row>
    <row hidden="true" r="4865">
      <c r="A4865" s="76" t="s">
        <v>1300</v>
      </c>
      <c r="B4865" s="76" t="s">
        <v>1099</v>
      </c>
      <c r="C4865" s="76" t="s">
        <v>1281</v>
      </c>
      <c r="D4865" s="75"/>
    </row>
    <row hidden="true" r="4866">
      <c r="A4866" s="76" t="s">
        <v>1300</v>
      </c>
      <c r="B4866" s="76" t="s">
        <v>1101</v>
      </c>
      <c r="C4866" s="76" t="s">
        <v>1281</v>
      </c>
      <c r="D4866" s="75"/>
    </row>
    <row hidden="true" r="4867">
      <c r="A4867" s="76" t="s">
        <v>1300</v>
      </c>
      <c r="B4867" s="76" t="s">
        <v>1103</v>
      </c>
      <c r="C4867" s="76" t="s">
        <v>1281</v>
      </c>
      <c r="D4867" s="75"/>
    </row>
    <row hidden="true" r="4868">
      <c r="A4868" s="76" t="s">
        <v>1300</v>
      </c>
      <c r="B4868" s="76" t="s">
        <v>1105</v>
      </c>
      <c r="C4868" s="76" t="s">
        <v>1281</v>
      </c>
      <c r="D4868" s="75"/>
    </row>
    <row hidden="true" r="4869">
      <c r="A4869" s="76" t="s">
        <v>1300</v>
      </c>
      <c r="B4869" s="76" t="s">
        <v>1107</v>
      </c>
      <c r="C4869" s="76" t="s">
        <v>1281</v>
      </c>
      <c r="D4869" s="75"/>
    </row>
    <row hidden="true" r="4870">
      <c r="A4870" s="76" t="s">
        <v>1300</v>
      </c>
      <c r="B4870" s="76" t="s">
        <v>1109</v>
      </c>
      <c r="C4870" s="76" t="s">
        <v>1281</v>
      </c>
      <c r="D4870" s="75"/>
    </row>
    <row hidden="true" r="4871">
      <c r="A4871" s="76" t="s">
        <v>1300</v>
      </c>
      <c r="B4871" s="76" t="s">
        <v>1111</v>
      </c>
      <c r="C4871" s="76" t="s">
        <v>1281</v>
      </c>
      <c r="D4871" s="75"/>
    </row>
    <row hidden="true" r="4872">
      <c r="A4872" s="76" t="s">
        <v>1300</v>
      </c>
      <c r="B4872" s="76" t="s">
        <v>1113</v>
      </c>
      <c r="C4872" s="76" t="s">
        <v>1281</v>
      </c>
      <c r="D4872" s="75"/>
    </row>
    <row hidden="true" r="4873">
      <c r="A4873" s="76" t="s">
        <v>1300</v>
      </c>
      <c r="B4873" s="76" t="s">
        <v>1115</v>
      </c>
      <c r="C4873" s="76" t="s">
        <v>1281</v>
      </c>
      <c r="D4873" s="75"/>
    </row>
    <row hidden="true" r="4874">
      <c r="A4874" s="76" t="s">
        <v>1300</v>
      </c>
      <c r="B4874" s="76" t="s">
        <v>1117</v>
      </c>
      <c r="C4874" s="76" t="s">
        <v>1281</v>
      </c>
      <c r="D4874" s="75"/>
    </row>
    <row hidden="true" r="4875">
      <c r="A4875" s="76" t="s">
        <v>1300</v>
      </c>
      <c r="B4875" s="76" t="s">
        <v>1119</v>
      </c>
      <c r="C4875" s="76" t="s">
        <v>1281</v>
      </c>
      <c r="D4875" s="75"/>
    </row>
    <row hidden="true" r="4876">
      <c r="A4876" s="76" t="s">
        <v>1300</v>
      </c>
      <c r="B4876" s="76" t="s">
        <v>1121</v>
      </c>
      <c r="C4876" s="76" t="s">
        <v>1281</v>
      </c>
      <c r="D4876" s="75"/>
    </row>
    <row hidden="true" r="4877">
      <c r="A4877" s="76" t="s">
        <v>1300</v>
      </c>
      <c r="B4877" s="76" t="s">
        <v>1123</v>
      </c>
      <c r="C4877" s="76" t="s">
        <v>1281</v>
      </c>
      <c r="D4877" s="75"/>
    </row>
    <row hidden="true" r="4878">
      <c r="A4878" s="76" t="s">
        <v>1300</v>
      </c>
      <c r="B4878" s="76" t="s">
        <v>1125</v>
      </c>
      <c r="C4878" s="76" t="s">
        <v>1281</v>
      </c>
      <c r="D4878" s="75"/>
    </row>
    <row hidden="true" r="4879">
      <c r="A4879" s="76" t="s">
        <v>1300</v>
      </c>
      <c r="B4879" s="76" t="s">
        <v>1127</v>
      </c>
      <c r="C4879" s="76" t="s">
        <v>1281</v>
      </c>
      <c r="D4879" s="75"/>
    </row>
    <row hidden="true" r="4880">
      <c r="A4880" s="76" t="s">
        <v>1300</v>
      </c>
      <c r="B4880" s="76" t="s">
        <v>1129</v>
      </c>
      <c r="C4880" s="76" t="s">
        <v>1281</v>
      </c>
      <c r="D4880" s="75"/>
    </row>
    <row hidden="true" r="4881">
      <c r="A4881" s="76" t="s">
        <v>1300</v>
      </c>
      <c r="B4881" s="76" t="s">
        <v>1131</v>
      </c>
      <c r="C4881" s="76" t="s">
        <v>1281</v>
      </c>
      <c r="D4881" s="75"/>
    </row>
    <row hidden="true" r="4882">
      <c r="A4882" s="76" t="s">
        <v>1300</v>
      </c>
      <c r="B4882" s="76" t="s">
        <v>1133</v>
      </c>
      <c r="C4882" s="76" t="s">
        <v>1281</v>
      </c>
      <c r="D4882" s="75"/>
    </row>
    <row hidden="true" r="4883">
      <c r="A4883" s="76" t="s">
        <v>1300</v>
      </c>
      <c r="B4883" s="76" t="s">
        <v>1135</v>
      </c>
      <c r="C4883" s="76" t="s">
        <v>1281</v>
      </c>
      <c r="D4883" s="75"/>
    </row>
    <row hidden="true" r="4884">
      <c r="A4884" s="76" t="s">
        <v>1300</v>
      </c>
      <c r="B4884" s="76" t="s">
        <v>1137</v>
      </c>
      <c r="C4884" s="76" t="s">
        <v>1281</v>
      </c>
      <c r="D4884" s="75"/>
    </row>
    <row hidden="true" r="4885">
      <c r="A4885" s="76" t="s">
        <v>1300</v>
      </c>
      <c r="B4885" s="76" t="s">
        <v>1139</v>
      </c>
      <c r="C4885" s="76" t="s">
        <v>1281</v>
      </c>
      <c r="D4885" s="75"/>
    </row>
    <row hidden="true" r="4886">
      <c r="A4886" s="76" t="s">
        <v>1300</v>
      </c>
      <c r="B4886" s="76" t="s">
        <v>1141</v>
      </c>
      <c r="C4886" s="76" t="s">
        <v>1281</v>
      </c>
      <c r="D4886" s="75"/>
    </row>
    <row hidden="true" r="4887">
      <c r="A4887" s="76" t="s">
        <v>1300</v>
      </c>
      <c r="B4887" s="76" t="s">
        <v>1143</v>
      </c>
      <c r="C4887" s="76" t="s">
        <v>1281</v>
      </c>
      <c r="D4887" s="75"/>
    </row>
    <row hidden="true" r="4888">
      <c r="A4888" s="76" t="s">
        <v>1300</v>
      </c>
      <c r="B4888" s="76" t="s">
        <v>1145</v>
      </c>
      <c r="C4888" s="76" t="s">
        <v>1281</v>
      </c>
      <c r="D4888" s="75"/>
    </row>
    <row hidden="true" r="4889">
      <c r="A4889" s="76" t="s">
        <v>1300</v>
      </c>
      <c r="B4889" s="76" t="s">
        <v>1147</v>
      </c>
      <c r="C4889" s="76" t="s">
        <v>1281</v>
      </c>
      <c r="D4889" s="75"/>
    </row>
    <row hidden="true" r="4890">
      <c r="A4890" s="76" t="s">
        <v>1300</v>
      </c>
      <c r="B4890" s="76" t="s">
        <v>1149</v>
      </c>
      <c r="C4890" s="76" t="s">
        <v>1281</v>
      </c>
      <c r="D4890" s="75"/>
    </row>
    <row hidden="true" r="4891">
      <c r="A4891" s="76" t="s">
        <v>1300</v>
      </c>
      <c r="B4891" s="76" t="s">
        <v>1151</v>
      </c>
      <c r="C4891" s="76" t="s">
        <v>1281</v>
      </c>
      <c r="D4891" s="75"/>
    </row>
    <row hidden="true" r="4892">
      <c r="A4892" s="76" t="s">
        <v>1300</v>
      </c>
      <c r="B4892" s="76" t="s">
        <v>1153</v>
      </c>
      <c r="C4892" s="76" t="s">
        <v>1281</v>
      </c>
      <c r="D4892" s="75"/>
    </row>
    <row hidden="true" r="4893">
      <c r="A4893" s="76" t="s">
        <v>1300</v>
      </c>
      <c r="B4893" s="76" t="s">
        <v>1155</v>
      </c>
      <c r="C4893" s="76" t="s">
        <v>1281</v>
      </c>
      <c r="D4893" s="75"/>
    </row>
    <row hidden="true" r="4894">
      <c r="A4894" s="76" t="s">
        <v>1300</v>
      </c>
      <c r="B4894" s="76" t="s">
        <v>1157</v>
      </c>
      <c r="C4894" s="76" t="s">
        <v>1281</v>
      </c>
      <c r="D4894" s="75"/>
    </row>
    <row hidden="true" r="4895">
      <c r="A4895" s="76" t="s">
        <v>1300</v>
      </c>
      <c r="B4895" s="76" t="s">
        <v>1159</v>
      </c>
      <c r="C4895" s="76" t="s">
        <v>1281</v>
      </c>
      <c r="D4895" s="75"/>
    </row>
    <row hidden="true" r="4896">
      <c r="A4896" s="76" t="s">
        <v>1300</v>
      </c>
      <c r="B4896" s="76" t="s">
        <v>868</v>
      </c>
      <c r="C4896" s="76" t="s">
        <v>1281</v>
      </c>
      <c r="D4896" s="75"/>
    </row>
    <row hidden="true" r="4897">
      <c r="A4897" s="76" t="s">
        <v>1300</v>
      </c>
      <c r="B4897" s="76" t="s">
        <v>1161</v>
      </c>
      <c r="C4897" s="76" t="s">
        <v>1281</v>
      </c>
      <c r="D4897" s="75"/>
    </row>
    <row hidden="true" r="4898">
      <c r="A4898" s="76" t="s">
        <v>1300</v>
      </c>
      <c r="B4898" s="76" t="s">
        <v>1163</v>
      </c>
      <c r="C4898" s="76" t="s">
        <v>1281</v>
      </c>
      <c r="D4898" s="75"/>
    </row>
    <row hidden="true" r="4899">
      <c r="A4899" s="76" t="s">
        <v>1300</v>
      </c>
      <c r="B4899" s="76" t="s">
        <v>1165</v>
      </c>
      <c r="C4899" s="76" t="s">
        <v>1281</v>
      </c>
      <c r="D4899" s="75"/>
    </row>
    <row hidden="true" r="4900">
      <c r="A4900" s="76" t="s">
        <v>1300</v>
      </c>
      <c r="B4900" s="76" t="s">
        <v>1167</v>
      </c>
      <c r="C4900" s="76" t="s">
        <v>1281</v>
      </c>
      <c r="D4900" s="75"/>
    </row>
    <row hidden="true" r="4901">
      <c r="A4901" s="76" t="s">
        <v>1300</v>
      </c>
      <c r="B4901" s="76" t="s">
        <v>1169</v>
      </c>
      <c r="C4901" s="76" t="s">
        <v>1281</v>
      </c>
      <c r="D4901" s="75"/>
    </row>
    <row hidden="true" r="4902">
      <c r="A4902" s="76" t="s">
        <v>1300</v>
      </c>
      <c r="B4902" s="76" t="s">
        <v>1171</v>
      </c>
      <c r="C4902" s="76" t="s">
        <v>1281</v>
      </c>
      <c r="D4902" s="75"/>
    </row>
    <row hidden="true" r="4903">
      <c r="A4903" s="76" t="s">
        <v>1300</v>
      </c>
      <c r="B4903" s="76" t="s">
        <v>1173</v>
      </c>
      <c r="C4903" s="76" t="s">
        <v>1281</v>
      </c>
      <c r="D4903" s="75"/>
    </row>
    <row hidden="true" r="4904">
      <c r="A4904" s="76" t="s">
        <v>1300</v>
      </c>
      <c r="B4904" s="76" t="s">
        <v>1175</v>
      </c>
      <c r="C4904" s="76" t="s">
        <v>1281</v>
      </c>
      <c r="D4904" s="75"/>
    </row>
    <row hidden="true" r="4905">
      <c r="A4905" s="76" t="s">
        <v>1300</v>
      </c>
      <c r="B4905" s="76" t="s">
        <v>1177</v>
      </c>
      <c r="C4905" s="76" t="s">
        <v>1281</v>
      </c>
      <c r="D4905" s="75"/>
    </row>
    <row hidden="true" r="4906">
      <c r="A4906" s="76" t="s">
        <v>1300</v>
      </c>
      <c r="B4906" s="76" t="s">
        <v>1179</v>
      </c>
      <c r="C4906" s="76" t="s">
        <v>1281</v>
      </c>
      <c r="D4906" s="75"/>
    </row>
    <row hidden="true" r="4907">
      <c r="A4907" s="76" t="s">
        <v>1300</v>
      </c>
      <c r="B4907" s="76" t="s">
        <v>1181</v>
      </c>
      <c r="C4907" s="76" t="s">
        <v>1281</v>
      </c>
      <c r="D4907" s="75"/>
    </row>
    <row hidden="true" r="4908">
      <c r="A4908" s="76" t="s">
        <v>1300</v>
      </c>
      <c r="B4908" s="76" t="s">
        <v>1183</v>
      </c>
      <c r="C4908" s="76" t="s">
        <v>1281</v>
      </c>
      <c r="D4908" s="75"/>
    </row>
    <row hidden="true" r="4909">
      <c r="A4909" s="76" t="s">
        <v>1300</v>
      </c>
      <c r="B4909" s="76" t="s">
        <v>1185</v>
      </c>
      <c r="C4909" s="76" t="s">
        <v>1281</v>
      </c>
      <c r="D4909" s="75"/>
    </row>
    <row hidden="true" r="4910">
      <c r="A4910" s="76" t="s">
        <v>1300</v>
      </c>
      <c r="B4910" s="76" t="s">
        <v>1187</v>
      </c>
      <c r="C4910" s="76" t="s">
        <v>1281</v>
      </c>
      <c r="D4910" s="75"/>
    </row>
    <row hidden="true" r="4911">
      <c r="A4911" s="76" t="s">
        <v>1300</v>
      </c>
      <c r="B4911" s="76" t="s">
        <v>1199</v>
      </c>
      <c r="C4911" s="76" t="s">
        <v>1281</v>
      </c>
      <c r="D4911" s="75"/>
    </row>
    <row hidden="true" r="4912">
      <c r="A4912" s="76" t="s">
        <v>1300</v>
      </c>
      <c r="B4912" s="76" t="s">
        <v>1201</v>
      </c>
      <c r="C4912" s="76" t="s">
        <v>1281</v>
      </c>
      <c r="D4912" s="75"/>
    </row>
    <row hidden="true" r="4913">
      <c r="A4913" s="76" t="s">
        <v>1300</v>
      </c>
      <c r="B4913" s="76" t="s">
        <v>1203</v>
      </c>
      <c r="C4913" s="76" t="s">
        <v>1281</v>
      </c>
      <c r="D4913" s="75"/>
    </row>
    <row hidden="true" r="4914">
      <c r="A4914" s="76" t="s">
        <v>1300</v>
      </c>
      <c r="B4914" s="76" t="s">
        <v>1205</v>
      </c>
      <c r="C4914" s="76" t="s">
        <v>1281</v>
      </c>
      <c r="D4914" s="75"/>
    </row>
    <row hidden="true" r="4915">
      <c r="A4915" s="76" t="s">
        <v>1300</v>
      </c>
      <c r="B4915" s="76" t="s">
        <v>1207</v>
      </c>
      <c r="C4915" s="76" t="s">
        <v>1281</v>
      </c>
      <c r="D4915" s="75"/>
    </row>
    <row hidden="true" r="4916">
      <c r="A4916" s="76" t="s">
        <v>1300</v>
      </c>
      <c r="B4916" s="76" t="s">
        <v>1209</v>
      </c>
      <c r="C4916" s="76" t="s">
        <v>1281</v>
      </c>
      <c r="D4916" s="75"/>
    </row>
    <row hidden="true" r="4917">
      <c r="A4917" s="76" t="s">
        <v>1300</v>
      </c>
      <c r="B4917" s="76" t="s">
        <v>1282</v>
      </c>
      <c r="C4917" s="76" t="s">
        <v>1281</v>
      </c>
      <c r="D4917" s="75"/>
    </row>
    <row hidden="true" r="4918">
      <c r="A4918" s="76" t="s">
        <v>1300</v>
      </c>
      <c r="B4918" s="76" t="s">
        <v>735</v>
      </c>
      <c r="C4918" s="76" t="s">
        <v>1283</v>
      </c>
      <c r="D4918" s="75"/>
    </row>
    <row hidden="true" r="4919">
      <c r="A4919" s="76" t="s">
        <v>1301</v>
      </c>
      <c r="B4919" s="76" t="s">
        <v>407</v>
      </c>
      <c r="C4919" s="76" t="s">
        <v>1281</v>
      </c>
      <c r="D4919" s="75"/>
    </row>
    <row hidden="true" r="4920">
      <c r="A4920" s="76" t="s">
        <v>1301</v>
      </c>
      <c r="B4920" s="76" t="s">
        <v>744</v>
      </c>
      <c r="C4920" s="76" t="s">
        <v>1281</v>
      </c>
      <c r="D4920" s="75"/>
    </row>
    <row hidden="true" r="4921">
      <c r="A4921" s="76" t="s">
        <v>1301</v>
      </c>
      <c r="B4921" s="76" t="s">
        <v>409</v>
      </c>
      <c r="C4921" s="76" t="s">
        <v>1281</v>
      </c>
      <c r="D4921" s="75"/>
    </row>
    <row hidden="true" r="4922">
      <c r="A4922" s="76" t="s">
        <v>1301</v>
      </c>
      <c r="B4922" s="76" t="s">
        <v>884</v>
      </c>
      <c r="C4922" s="76" t="s">
        <v>1281</v>
      </c>
      <c r="D4922" s="75"/>
    </row>
    <row hidden="true" r="4923">
      <c r="A4923" s="76" t="s">
        <v>1301</v>
      </c>
      <c r="B4923" s="76" t="s">
        <v>886</v>
      </c>
      <c r="C4923" s="76" t="s">
        <v>1281</v>
      </c>
      <c r="D4923" s="75"/>
    </row>
    <row hidden="true" r="4924">
      <c r="A4924" s="76" t="s">
        <v>1301</v>
      </c>
      <c r="B4924" s="76" t="s">
        <v>888</v>
      </c>
      <c r="C4924" s="76" t="s">
        <v>1281</v>
      </c>
      <c r="D4924" s="75"/>
    </row>
    <row hidden="true" r="4925">
      <c r="A4925" s="76" t="s">
        <v>1301</v>
      </c>
      <c r="B4925" s="76" t="s">
        <v>890</v>
      </c>
      <c r="C4925" s="76" t="s">
        <v>1281</v>
      </c>
      <c r="D4925" s="75"/>
    </row>
    <row hidden="true" r="4926">
      <c r="A4926" s="76" t="s">
        <v>1301</v>
      </c>
      <c r="B4926" s="76" t="s">
        <v>892</v>
      </c>
      <c r="C4926" s="76" t="s">
        <v>1281</v>
      </c>
      <c r="D4926" s="75"/>
    </row>
    <row hidden="true" r="4927">
      <c r="A4927" s="76" t="s">
        <v>1301</v>
      </c>
      <c r="B4927" s="76" t="s">
        <v>894</v>
      </c>
      <c r="C4927" s="76" t="s">
        <v>1281</v>
      </c>
      <c r="D4927" s="75"/>
    </row>
    <row hidden="true" r="4928">
      <c r="A4928" s="76" t="s">
        <v>1301</v>
      </c>
      <c r="B4928" s="76" t="s">
        <v>896</v>
      </c>
      <c r="C4928" s="76" t="s">
        <v>1281</v>
      </c>
      <c r="D4928" s="75"/>
    </row>
    <row hidden="true" r="4929">
      <c r="A4929" s="76" t="s">
        <v>1301</v>
      </c>
      <c r="B4929" s="76" t="s">
        <v>898</v>
      </c>
      <c r="C4929" s="76" t="s">
        <v>1281</v>
      </c>
      <c r="D4929" s="75"/>
    </row>
    <row hidden="true" r="4930">
      <c r="A4930" s="76" t="s">
        <v>1301</v>
      </c>
      <c r="B4930" s="76" t="s">
        <v>900</v>
      </c>
      <c r="C4930" s="76" t="s">
        <v>1281</v>
      </c>
      <c r="D4930" s="75"/>
    </row>
    <row hidden="true" r="4931">
      <c r="A4931" s="76" t="s">
        <v>1301</v>
      </c>
      <c r="B4931" s="76" t="s">
        <v>902</v>
      </c>
      <c r="C4931" s="76" t="s">
        <v>1281</v>
      </c>
      <c r="D4931" s="75"/>
    </row>
    <row hidden="true" r="4932">
      <c r="A4932" s="76" t="s">
        <v>1301</v>
      </c>
      <c r="B4932" s="76" t="s">
        <v>904</v>
      </c>
      <c r="C4932" s="76" t="s">
        <v>1281</v>
      </c>
      <c r="D4932" s="75"/>
    </row>
    <row hidden="true" r="4933">
      <c r="A4933" s="76" t="s">
        <v>1301</v>
      </c>
      <c r="B4933" s="76" t="s">
        <v>906</v>
      </c>
      <c r="C4933" s="76" t="s">
        <v>1281</v>
      </c>
      <c r="D4933" s="75"/>
    </row>
    <row hidden="true" r="4934">
      <c r="A4934" s="76" t="s">
        <v>1301</v>
      </c>
      <c r="B4934" s="76" t="s">
        <v>908</v>
      </c>
      <c r="C4934" s="76" t="s">
        <v>1281</v>
      </c>
      <c r="D4934" s="75"/>
    </row>
    <row hidden="true" r="4935">
      <c r="A4935" s="76" t="s">
        <v>1301</v>
      </c>
      <c r="B4935" s="76" t="s">
        <v>910</v>
      </c>
      <c r="C4935" s="76" t="s">
        <v>1281</v>
      </c>
      <c r="D4935" s="75"/>
    </row>
    <row hidden="true" r="4936">
      <c r="A4936" s="76" t="s">
        <v>1301</v>
      </c>
      <c r="B4936" s="76" t="s">
        <v>912</v>
      </c>
      <c r="C4936" s="76" t="s">
        <v>1281</v>
      </c>
      <c r="D4936" s="75"/>
    </row>
    <row hidden="true" r="4937">
      <c r="A4937" s="76" t="s">
        <v>1301</v>
      </c>
      <c r="B4937" s="76" t="s">
        <v>914</v>
      </c>
      <c r="C4937" s="76" t="s">
        <v>1281</v>
      </c>
      <c r="D4937" s="75"/>
    </row>
    <row hidden="true" r="4938">
      <c r="A4938" s="76" t="s">
        <v>1301</v>
      </c>
      <c r="B4938" s="76" t="s">
        <v>916</v>
      </c>
      <c r="C4938" s="76" t="s">
        <v>1281</v>
      </c>
      <c r="D4938" s="75"/>
    </row>
    <row hidden="true" r="4939">
      <c r="A4939" s="76" t="s">
        <v>1301</v>
      </c>
      <c r="B4939" s="76" t="s">
        <v>918</v>
      </c>
      <c r="C4939" s="76" t="s">
        <v>1281</v>
      </c>
      <c r="D4939" s="75"/>
    </row>
    <row hidden="true" r="4940">
      <c r="A4940" s="76" t="s">
        <v>1301</v>
      </c>
      <c r="B4940" s="76" t="s">
        <v>920</v>
      </c>
      <c r="C4940" s="76" t="s">
        <v>1281</v>
      </c>
      <c r="D4940" s="75"/>
    </row>
    <row hidden="true" r="4941">
      <c r="A4941" s="76" t="s">
        <v>1301</v>
      </c>
      <c r="B4941" s="76" t="s">
        <v>922</v>
      </c>
      <c r="C4941" s="76" t="s">
        <v>1281</v>
      </c>
      <c r="D4941" s="75"/>
    </row>
    <row hidden="true" r="4942">
      <c r="A4942" s="76" t="s">
        <v>1301</v>
      </c>
      <c r="B4942" s="76" t="s">
        <v>924</v>
      </c>
      <c r="C4942" s="76" t="s">
        <v>1281</v>
      </c>
      <c r="D4942" s="75"/>
    </row>
    <row hidden="true" r="4943">
      <c r="A4943" s="76" t="s">
        <v>1301</v>
      </c>
      <c r="B4943" s="76" t="s">
        <v>926</v>
      </c>
      <c r="C4943" s="76" t="s">
        <v>1281</v>
      </c>
      <c r="D4943" s="75"/>
    </row>
    <row hidden="true" r="4944">
      <c r="A4944" s="76" t="s">
        <v>1301</v>
      </c>
      <c r="B4944" s="76" t="s">
        <v>928</v>
      </c>
      <c r="C4944" s="76" t="s">
        <v>1281</v>
      </c>
      <c r="D4944" s="75"/>
    </row>
    <row hidden="true" r="4945">
      <c r="A4945" s="76" t="s">
        <v>1301</v>
      </c>
      <c r="B4945" s="76" t="s">
        <v>930</v>
      </c>
      <c r="C4945" s="76" t="s">
        <v>1281</v>
      </c>
      <c r="D4945" s="75"/>
    </row>
    <row hidden="true" r="4946">
      <c r="A4946" s="76" t="s">
        <v>1301</v>
      </c>
      <c r="B4946" s="76" t="s">
        <v>932</v>
      </c>
      <c r="C4946" s="76" t="s">
        <v>1281</v>
      </c>
      <c r="D4946" s="75"/>
    </row>
    <row hidden="true" r="4947">
      <c r="A4947" s="76" t="s">
        <v>1301</v>
      </c>
      <c r="B4947" s="76" t="s">
        <v>934</v>
      </c>
      <c r="C4947" s="76" t="s">
        <v>1281</v>
      </c>
      <c r="D4947" s="75"/>
    </row>
    <row hidden="true" r="4948">
      <c r="A4948" s="76" t="s">
        <v>1301</v>
      </c>
      <c r="B4948" s="76" t="s">
        <v>936</v>
      </c>
      <c r="C4948" s="76" t="s">
        <v>1281</v>
      </c>
      <c r="D4948" s="75"/>
    </row>
    <row hidden="true" r="4949">
      <c r="A4949" s="76" t="s">
        <v>1301</v>
      </c>
      <c r="B4949" s="76" t="s">
        <v>938</v>
      </c>
      <c r="C4949" s="76" t="s">
        <v>1281</v>
      </c>
      <c r="D4949" s="75"/>
    </row>
    <row hidden="true" r="4950">
      <c r="A4950" s="76" t="s">
        <v>1301</v>
      </c>
      <c r="B4950" s="76" t="s">
        <v>940</v>
      </c>
      <c r="C4950" s="76" t="s">
        <v>1281</v>
      </c>
      <c r="D4950" s="75"/>
    </row>
    <row hidden="true" r="4951">
      <c r="A4951" s="76" t="s">
        <v>1301</v>
      </c>
      <c r="B4951" s="76" t="s">
        <v>942</v>
      </c>
      <c r="C4951" s="76" t="s">
        <v>1281</v>
      </c>
      <c r="D4951" s="75"/>
    </row>
    <row hidden="true" r="4952">
      <c r="A4952" s="76" t="s">
        <v>1301</v>
      </c>
      <c r="B4952" s="76" t="s">
        <v>944</v>
      </c>
      <c r="C4952" s="76" t="s">
        <v>1281</v>
      </c>
      <c r="D4952" s="75"/>
    </row>
    <row hidden="true" r="4953">
      <c r="A4953" s="76" t="s">
        <v>1301</v>
      </c>
      <c r="B4953" s="76" t="s">
        <v>946</v>
      </c>
      <c r="C4953" s="76" t="s">
        <v>1281</v>
      </c>
      <c r="D4953" s="75"/>
    </row>
    <row hidden="true" r="4954">
      <c r="A4954" s="76" t="s">
        <v>1301</v>
      </c>
      <c r="B4954" s="76" t="s">
        <v>948</v>
      </c>
      <c r="C4954" s="76" t="s">
        <v>1281</v>
      </c>
      <c r="D4954" s="75"/>
    </row>
    <row hidden="true" r="4955">
      <c r="A4955" s="76" t="s">
        <v>1301</v>
      </c>
      <c r="B4955" s="76" t="s">
        <v>950</v>
      </c>
      <c r="C4955" s="76" t="s">
        <v>1281</v>
      </c>
      <c r="D4955" s="75"/>
    </row>
    <row hidden="true" r="4956">
      <c r="A4956" s="76" t="s">
        <v>1301</v>
      </c>
      <c r="B4956" s="76" t="s">
        <v>952</v>
      </c>
      <c r="C4956" s="76" t="s">
        <v>1281</v>
      </c>
      <c r="D4956" s="75"/>
    </row>
    <row hidden="true" r="4957">
      <c r="A4957" s="76" t="s">
        <v>1301</v>
      </c>
      <c r="B4957" s="76" t="s">
        <v>954</v>
      </c>
      <c r="C4957" s="76" t="s">
        <v>1281</v>
      </c>
      <c r="D4957" s="75"/>
    </row>
    <row hidden="true" r="4958">
      <c r="A4958" s="76" t="s">
        <v>1301</v>
      </c>
      <c r="B4958" s="76" t="s">
        <v>775</v>
      </c>
      <c r="C4958" s="76" t="s">
        <v>1281</v>
      </c>
      <c r="D4958" s="75"/>
    </row>
    <row hidden="true" r="4959">
      <c r="A4959" s="76" t="s">
        <v>1301</v>
      </c>
      <c r="B4959" s="76" t="s">
        <v>956</v>
      </c>
      <c r="C4959" s="76" t="s">
        <v>1281</v>
      </c>
      <c r="D4959" s="75"/>
    </row>
    <row hidden="true" r="4960">
      <c r="A4960" s="76" t="s">
        <v>1301</v>
      </c>
      <c r="B4960" s="76" t="s">
        <v>958</v>
      </c>
      <c r="C4960" s="76" t="s">
        <v>1281</v>
      </c>
      <c r="D4960" s="75"/>
    </row>
    <row hidden="true" r="4961">
      <c r="A4961" s="76" t="s">
        <v>1301</v>
      </c>
      <c r="B4961" s="76" t="s">
        <v>960</v>
      </c>
      <c r="C4961" s="76" t="s">
        <v>1281</v>
      </c>
      <c r="D4961" s="75"/>
    </row>
    <row hidden="true" r="4962">
      <c r="A4962" s="76" t="s">
        <v>1301</v>
      </c>
      <c r="B4962" s="76" t="s">
        <v>962</v>
      </c>
      <c r="C4962" s="76" t="s">
        <v>1281</v>
      </c>
      <c r="D4962" s="75"/>
    </row>
    <row hidden="true" r="4963">
      <c r="A4963" s="76" t="s">
        <v>1301</v>
      </c>
      <c r="B4963" s="76" t="s">
        <v>964</v>
      </c>
      <c r="C4963" s="76" t="s">
        <v>1281</v>
      </c>
      <c r="D4963" s="75"/>
    </row>
    <row hidden="true" r="4964">
      <c r="A4964" s="76" t="s">
        <v>1301</v>
      </c>
      <c r="B4964" s="76" t="s">
        <v>966</v>
      </c>
      <c r="C4964" s="76" t="s">
        <v>1281</v>
      </c>
      <c r="D4964" s="75"/>
    </row>
    <row hidden="true" r="4965">
      <c r="A4965" s="76" t="s">
        <v>1301</v>
      </c>
      <c r="B4965" s="76" t="s">
        <v>968</v>
      </c>
      <c r="C4965" s="76" t="s">
        <v>1281</v>
      </c>
      <c r="D4965" s="75"/>
    </row>
    <row hidden="true" r="4966">
      <c r="A4966" s="76" t="s">
        <v>1301</v>
      </c>
      <c r="B4966" s="76" t="s">
        <v>970</v>
      </c>
      <c r="C4966" s="76" t="s">
        <v>1281</v>
      </c>
      <c r="D4966" s="75"/>
    </row>
    <row hidden="true" r="4967">
      <c r="A4967" s="76" t="s">
        <v>1301</v>
      </c>
      <c r="B4967" s="76" t="s">
        <v>972</v>
      </c>
      <c r="C4967" s="76" t="s">
        <v>1281</v>
      </c>
      <c r="D4967" s="75"/>
    </row>
    <row hidden="true" r="4968">
      <c r="A4968" s="76" t="s">
        <v>1301</v>
      </c>
      <c r="B4968" s="76" t="s">
        <v>974</v>
      </c>
      <c r="C4968" s="76" t="s">
        <v>1281</v>
      </c>
      <c r="D4968" s="75"/>
    </row>
    <row hidden="true" r="4969">
      <c r="A4969" s="76" t="s">
        <v>1301</v>
      </c>
      <c r="B4969" s="76" t="s">
        <v>976</v>
      </c>
      <c r="C4969" s="76" t="s">
        <v>1281</v>
      </c>
      <c r="D4969" s="75"/>
    </row>
    <row hidden="true" r="4970">
      <c r="A4970" s="76" t="s">
        <v>1301</v>
      </c>
      <c r="B4970" s="76" t="s">
        <v>823</v>
      </c>
      <c r="C4970" s="76" t="s">
        <v>1281</v>
      </c>
      <c r="D4970" s="75"/>
    </row>
    <row hidden="true" r="4971">
      <c r="A4971" s="76" t="s">
        <v>1301</v>
      </c>
      <c r="B4971" s="76" t="s">
        <v>978</v>
      </c>
      <c r="C4971" s="76" t="s">
        <v>1281</v>
      </c>
      <c r="D4971" s="75"/>
    </row>
    <row hidden="true" r="4972">
      <c r="A4972" s="76" t="s">
        <v>1301</v>
      </c>
      <c r="B4972" s="76" t="s">
        <v>980</v>
      </c>
      <c r="C4972" s="76" t="s">
        <v>1281</v>
      </c>
      <c r="D4972" s="75"/>
    </row>
    <row hidden="true" r="4973">
      <c r="A4973" s="76" t="s">
        <v>1301</v>
      </c>
      <c r="B4973" s="76" t="s">
        <v>982</v>
      </c>
      <c r="C4973" s="76" t="s">
        <v>1281</v>
      </c>
      <c r="D4973" s="75"/>
    </row>
    <row hidden="true" r="4974">
      <c r="A4974" s="76" t="s">
        <v>1301</v>
      </c>
      <c r="B4974" s="76" t="s">
        <v>984</v>
      </c>
      <c r="C4974" s="76" t="s">
        <v>1281</v>
      </c>
      <c r="D4974" s="75"/>
    </row>
    <row hidden="true" r="4975">
      <c r="A4975" s="76" t="s">
        <v>1301</v>
      </c>
      <c r="B4975" s="76" t="s">
        <v>986</v>
      </c>
      <c r="C4975" s="76" t="s">
        <v>1281</v>
      </c>
      <c r="D4975" s="75"/>
    </row>
    <row hidden="true" r="4976">
      <c r="A4976" s="76" t="s">
        <v>1301</v>
      </c>
      <c r="B4976" s="76" t="s">
        <v>988</v>
      </c>
      <c r="C4976" s="76" t="s">
        <v>1281</v>
      </c>
      <c r="D4976" s="75"/>
    </row>
    <row hidden="true" r="4977">
      <c r="A4977" s="76" t="s">
        <v>1301</v>
      </c>
      <c r="B4977" s="76" t="s">
        <v>990</v>
      </c>
      <c r="C4977" s="76" t="s">
        <v>1281</v>
      </c>
      <c r="D4977" s="75"/>
    </row>
    <row hidden="true" r="4978">
      <c r="A4978" s="76" t="s">
        <v>1301</v>
      </c>
      <c r="B4978" s="76" t="s">
        <v>992</v>
      </c>
      <c r="C4978" s="76" t="s">
        <v>1281</v>
      </c>
      <c r="D4978" s="75"/>
    </row>
    <row hidden="true" r="4979">
      <c r="A4979" s="76" t="s">
        <v>1301</v>
      </c>
      <c r="B4979" s="76" t="s">
        <v>994</v>
      </c>
      <c r="C4979" s="76" t="s">
        <v>1281</v>
      </c>
      <c r="D4979" s="75"/>
    </row>
    <row hidden="true" r="4980">
      <c r="A4980" s="76" t="s">
        <v>1301</v>
      </c>
      <c r="B4980" s="76" t="s">
        <v>996</v>
      </c>
      <c r="C4980" s="76" t="s">
        <v>1281</v>
      </c>
      <c r="D4980" s="75"/>
    </row>
    <row hidden="true" r="4981">
      <c r="A4981" s="76" t="s">
        <v>1301</v>
      </c>
      <c r="B4981" s="76" t="s">
        <v>998</v>
      </c>
      <c r="C4981" s="76" t="s">
        <v>1281</v>
      </c>
      <c r="D4981" s="75"/>
    </row>
    <row hidden="true" r="4982">
      <c r="A4982" s="76" t="s">
        <v>1301</v>
      </c>
      <c r="B4982" s="76" t="s">
        <v>1000</v>
      </c>
      <c r="C4982" s="76" t="s">
        <v>1281</v>
      </c>
      <c r="D4982" s="75"/>
    </row>
    <row hidden="true" r="4983">
      <c r="A4983" s="76" t="s">
        <v>1301</v>
      </c>
      <c r="B4983" s="76" t="s">
        <v>1002</v>
      </c>
      <c r="C4983" s="76" t="s">
        <v>1281</v>
      </c>
      <c r="D4983" s="75"/>
    </row>
    <row hidden="true" r="4984">
      <c r="A4984" s="76" t="s">
        <v>1301</v>
      </c>
      <c r="B4984" s="76" t="s">
        <v>1004</v>
      </c>
      <c r="C4984" s="76" t="s">
        <v>1281</v>
      </c>
      <c r="D4984" s="75"/>
    </row>
    <row hidden="true" r="4985">
      <c r="A4985" s="76" t="s">
        <v>1301</v>
      </c>
      <c r="B4985" s="76" t="s">
        <v>1006</v>
      </c>
      <c r="C4985" s="76" t="s">
        <v>1281</v>
      </c>
      <c r="D4985" s="75"/>
    </row>
    <row hidden="true" r="4986">
      <c r="A4986" s="76" t="s">
        <v>1301</v>
      </c>
      <c r="B4986" s="76" t="s">
        <v>1008</v>
      </c>
      <c r="C4986" s="76" t="s">
        <v>1281</v>
      </c>
      <c r="D4986" s="75"/>
    </row>
    <row hidden="true" r="4987">
      <c r="A4987" s="76" t="s">
        <v>1301</v>
      </c>
      <c r="B4987" s="76" t="s">
        <v>1010</v>
      </c>
      <c r="C4987" s="76" t="s">
        <v>1281</v>
      </c>
      <c r="D4987" s="75"/>
    </row>
    <row hidden="true" r="4988">
      <c r="A4988" s="76" t="s">
        <v>1301</v>
      </c>
      <c r="B4988" s="76" t="s">
        <v>1012</v>
      </c>
      <c r="C4988" s="76" t="s">
        <v>1281</v>
      </c>
      <c r="D4988" s="75"/>
    </row>
    <row hidden="true" r="4989">
      <c r="A4989" s="76" t="s">
        <v>1301</v>
      </c>
      <c r="B4989" s="76" t="s">
        <v>1014</v>
      </c>
      <c r="C4989" s="76" t="s">
        <v>1281</v>
      </c>
      <c r="D4989" s="75"/>
    </row>
    <row hidden="true" r="4990">
      <c r="A4990" s="76" t="s">
        <v>1301</v>
      </c>
      <c r="B4990" s="76" t="s">
        <v>1016</v>
      </c>
      <c r="C4990" s="76" t="s">
        <v>1281</v>
      </c>
      <c r="D4990" s="75"/>
    </row>
    <row hidden="true" r="4991">
      <c r="A4991" s="76" t="s">
        <v>1301</v>
      </c>
      <c r="B4991" s="76" t="s">
        <v>1018</v>
      </c>
      <c r="C4991" s="76" t="s">
        <v>1281</v>
      </c>
      <c r="D4991" s="75"/>
    </row>
    <row hidden="true" r="4992">
      <c r="A4992" s="76" t="s">
        <v>1301</v>
      </c>
      <c r="B4992" s="76" t="s">
        <v>1020</v>
      </c>
      <c r="C4992" s="76" t="s">
        <v>1281</v>
      </c>
      <c r="D4992" s="75"/>
    </row>
    <row hidden="true" r="4993">
      <c r="A4993" s="76" t="s">
        <v>1301</v>
      </c>
      <c r="B4993" s="76" t="s">
        <v>1022</v>
      </c>
      <c r="C4993" s="76" t="s">
        <v>1281</v>
      </c>
      <c r="D4993" s="75"/>
    </row>
    <row hidden="true" r="4994">
      <c r="A4994" s="76" t="s">
        <v>1301</v>
      </c>
      <c r="B4994" s="76" t="s">
        <v>1023</v>
      </c>
      <c r="C4994" s="76" t="s">
        <v>1281</v>
      </c>
      <c r="D4994" s="75"/>
    </row>
    <row hidden="true" r="4995">
      <c r="A4995" s="76" t="s">
        <v>1301</v>
      </c>
      <c r="B4995" s="76" t="s">
        <v>1024</v>
      </c>
      <c r="C4995" s="76" t="s">
        <v>1281</v>
      </c>
      <c r="D4995" s="75"/>
    </row>
    <row hidden="true" r="4996">
      <c r="A4996" s="76" t="s">
        <v>1301</v>
      </c>
      <c r="B4996" s="76" t="s">
        <v>1025</v>
      </c>
      <c r="C4996" s="76" t="s">
        <v>1281</v>
      </c>
      <c r="D4996" s="75"/>
    </row>
    <row hidden="true" r="4997">
      <c r="A4997" s="76" t="s">
        <v>1301</v>
      </c>
      <c r="B4997" s="76" t="s">
        <v>1026</v>
      </c>
      <c r="C4997" s="76" t="s">
        <v>1281</v>
      </c>
      <c r="D4997" s="75"/>
    </row>
    <row hidden="true" r="4998">
      <c r="A4998" s="76" t="s">
        <v>1301</v>
      </c>
      <c r="B4998" s="76" t="s">
        <v>1027</v>
      </c>
      <c r="C4998" s="76" t="s">
        <v>1281</v>
      </c>
      <c r="D4998" s="75"/>
    </row>
    <row hidden="true" r="4999">
      <c r="A4999" s="76" t="s">
        <v>1301</v>
      </c>
      <c r="B4999" s="76" t="s">
        <v>1028</v>
      </c>
      <c r="C4999" s="76" t="s">
        <v>1281</v>
      </c>
      <c r="D4999" s="75"/>
    </row>
    <row hidden="true" r="5000">
      <c r="A5000" s="76" t="s">
        <v>1301</v>
      </c>
      <c r="B5000" s="76" t="s">
        <v>530</v>
      </c>
      <c r="C5000" s="76" t="s">
        <v>1281</v>
      </c>
      <c r="D5000" s="75"/>
    </row>
    <row hidden="true" r="5001">
      <c r="A5001" s="76" t="s">
        <v>1301</v>
      </c>
      <c r="B5001" s="76" t="s">
        <v>1030</v>
      </c>
      <c r="C5001" s="76" t="s">
        <v>1281</v>
      </c>
      <c r="D5001" s="75"/>
    </row>
    <row hidden="true" r="5002">
      <c r="A5002" s="76" t="s">
        <v>1301</v>
      </c>
      <c r="B5002" s="76" t="s">
        <v>1032</v>
      </c>
      <c r="C5002" s="76" t="s">
        <v>1281</v>
      </c>
      <c r="D5002" s="75"/>
    </row>
    <row hidden="true" r="5003">
      <c r="A5003" s="76" t="s">
        <v>1301</v>
      </c>
      <c r="B5003" s="76" t="s">
        <v>1034</v>
      </c>
      <c r="C5003" s="76" t="s">
        <v>1281</v>
      </c>
      <c r="D5003" s="75"/>
    </row>
    <row hidden="true" r="5004">
      <c r="A5004" s="76" t="s">
        <v>1301</v>
      </c>
      <c r="B5004" s="76" t="s">
        <v>532</v>
      </c>
      <c r="C5004" s="76" t="s">
        <v>1281</v>
      </c>
      <c r="D5004" s="75"/>
    </row>
    <row hidden="true" r="5005">
      <c r="A5005" s="76" t="s">
        <v>1301</v>
      </c>
      <c r="B5005" s="76" t="s">
        <v>1036</v>
      </c>
      <c r="C5005" s="76" t="s">
        <v>1281</v>
      </c>
      <c r="D5005" s="75"/>
    </row>
    <row hidden="true" r="5006">
      <c r="A5006" s="76" t="s">
        <v>1301</v>
      </c>
      <c r="B5006" s="76" t="s">
        <v>1038</v>
      </c>
      <c r="C5006" s="76" t="s">
        <v>1281</v>
      </c>
      <c r="D5006" s="75"/>
    </row>
    <row hidden="true" r="5007">
      <c r="A5007" s="76" t="s">
        <v>1301</v>
      </c>
      <c r="B5007" s="76" t="s">
        <v>1040</v>
      </c>
      <c r="C5007" s="76" t="s">
        <v>1281</v>
      </c>
      <c r="D5007" s="75"/>
    </row>
    <row hidden="true" r="5008">
      <c r="A5008" s="76" t="s">
        <v>1301</v>
      </c>
      <c r="B5008" s="76" t="s">
        <v>1042</v>
      </c>
      <c r="C5008" s="76" t="s">
        <v>1281</v>
      </c>
      <c r="D5008" s="75"/>
    </row>
    <row hidden="true" r="5009">
      <c r="A5009" s="76" t="s">
        <v>1301</v>
      </c>
      <c r="B5009" s="76" t="s">
        <v>1044</v>
      </c>
      <c r="C5009" s="76" t="s">
        <v>1281</v>
      </c>
      <c r="D5009" s="75"/>
    </row>
    <row hidden="true" r="5010">
      <c r="A5010" s="76" t="s">
        <v>1301</v>
      </c>
      <c r="B5010" s="76" t="s">
        <v>1046</v>
      </c>
      <c r="C5010" s="76" t="s">
        <v>1281</v>
      </c>
      <c r="D5010" s="75"/>
    </row>
    <row hidden="true" r="5011">
      <c r="A5011" s="76" t="s">
        <v>1301</v>
      </c>
      <c r="B5011" s="76" t="s">
        <v>1048</v>
      </c>
      <c r="C5011" s="76" t="s">
        <v>1281</v>
      </c>
      <c r="D5011" s="75"/>
    </row>
    <row hidden="true" r="5012">
      <c r="A5012" s="76" t="s">
        <v>1301</v>
      </c>
      <c r="B5012" s="76" t="s">
        <v>1050</v>
      </c>
      <c r="C5012" s="76" t="s">
        <v>1281</v>
      </c>
      <c r="D5012" s="75"/>
    </row>
    <row hidden="true" r="5013">
      <c r="A5013" s="76" t="s">
        <v>1301</v>
      </c>
      <c r="B5013" s="76" t="s">
        <v>1052</v>
      </c>
      <c r="C5013" s="76" t="s">
        <v>1281</v>
      </c>
      <c r="D5013" s="75"/>
    </row>
    <row hidden="true" r="5014">
      <c r="A5014" s="76" t="s">
        <v>1301</v>
      </c>
      <c r="B5014" s="76" t="s">
        <v>1054</v>
      </c>
      <c r="C5014" s="76" t="s">
        <v>1281</v>
      </c>
      <c r="D5014" s="75"/>
    </row>
    <row hidden="true" r="5015">
      <c r="A5015" s="76" t="s">
        <v>1301</v>
      </c>
      <c r="B5015" s="76" t="s">
        <v>1056</v>
      </c>
      <c r="C5015" s="76" t="s">
        <v>1281</v>
      </c>
      <c r="D5015" s="75"/>
    </row>
    <row hidden="true" r="5016">
      <c r="A5016" s="76" t="s">
        <v>1301</v>
      </c>
      <c r="B5016" s="76" t="s">
        <v>1058</v>
      </c>
      <c r="C5016" s="76" t="s">
        <v>1281</v>
      </c>
      <c r="D5016" s="75"/>
    </row>
    <row hidden="true" r="5017">
      <c r="A5017" s="76" t="s">
        <v>1301</v>
      </c>
      <c r="B5017" s="76" t="s">
        <v>1060</v>
      </c>
      <c r="C5017" s="76" t="s">
        <v>1281</v>
      </c>
      <c r="D5017" s="75"/>
    </row>
    <row hidden="true" r="5018">
      <c r="A5018" s="76" t="s">
        <v>1301</v>
      </c>
      <c r="B5018" s="76" t="s">
        <v>1062</v>
      </c>
      <c r="C5018" s="76" t="s">
        <v>1281</v>
      </c>
      <c r="D5018" s="75"/>
    </row>
    <row hidden="true" r="5019">
      <c r="A5019" s="76" t="s">
        <v>1301</v>
      </c>
      <c r="B5019" s="76" t="s">
        <v>1064</v>
      </c>
      <c r="C5019" s="76" t="s">
        <v>1281</v>
      </c>
      <c r="D5019" s="75"/>
    </row>
    <row hidden="true" r="5020">
      <c r="A5020" s="76" t="s">
        <v>1301</v>
      </c>
      <c r="B5020" s="76" t="s">
        <v>1066</v>
      </c>
      <c r="C5020" s="76" t="s">
        <v>1281</v>
      </c>
      <c r="D5020" s="75"/>
    </row>
    <row hidden="true" r="5021">
      <c r="A5021" s="76" t="s">
        <v>1301</v>
      </c>
      <c r="B5021" s="76" t="s">
        <v>1068</v>
      </c>
      <c r="C5021" s="76" t="s">
        <v>1281</v>
      </c>
      <c r="D5021" s="75"/>
    </row>
    <row hidden="true" r="5022">
      <c r="A5022" s="76" t="s">
        <v>1301</v>
      </c>
      <c r="B5022" s="76" t="s">
        <v>1070</v>
      </c>
      <c r="C5022" s="76" t="s">
        <v>1281</v>
      </c>
      <c r="D5022" s="75"/>
    </row>
    <row hidden="true" r="5023">
      <c r="A5023" s="76" t="s">
        <v>1301</v>
      </c>
      <c r="B5023" s="76" t="s">
        <v>1071</v>
      </c>
      <c r="C5023" s="76" t="s">
        <v>1281</v>
      </c>
      <c r="D5023" s="75"/>
    </row>
    <row hidden="true" r="5024">
      <c r="A5024" s="76" t="s">
        <v>1301</v>
      </c>
      <c r="B5024" s="76" t="s">
        <v>1072</v>
      </c>
      <c r="C5024" s="76" t="s">
        <v>1281</v>
      </c>
      <c r="D5024" s="75"/>
    </row>
    <row hidden="true" r="5025">
      <c r="A5025" s="76" t="s">
        <v>1301</v>
      </c>
      <c r="B5025" s="76" t="s">
        <v>1074</v>
      </c>
      <c r="C5025" s="76" t="s">
        <v>1281</v>
      </c>
      <c r="D5025" s="75"/>
    </row>
    <row hidden="true" r="5026">
      <c r="A5026" s="76" t="s">
        <v>1301</v>
      </c>
      <c r="B5026" s="76" t="s">
        <v>1075</v>
      </c>
      <c r="C5026" s="76" t="s">
        <v>1281</v>
      </c>
      <c r="D5026" s="75"/>
    </row>
    <row hidden="true" r="5027">
      <c r="A5027" s="76" t="s">
        <v>1301</v>
      </c>
      <c r="B5027" s="76" t="s">
        <v>1076</v>
      </c>
      <c r="C5027" s="76" t="s">
        <v>1281</v>
      </c>
      <c r="D5027" s="75"/>
    </row>
    <row hidden="true" r="5028">
      <c r="A5028" s="76" t="s">
        <v>1301</v>
      </c>
      <c r="B5028" s="76" t="s">
        <v>1078</v>
      </c>
      <c r="C5028" s="76" t="s">
        <v>1281</v>
      </c>
      <c r="D5028" s="75"/>
    </row>
    <row hidden="true" r="5029">
      <c r="A5029" s="76" t="s">
        <v>1301</v>
      </c>
      <c r="B5029" s="76" t="s">
        <v>839</v>
      </c>
      <c r="C5029" s="76" t="s">
        <v>1281</v>
      </c>
      <c r="D5029" s="75"/>
    </row>
    <row hidden="true" r="5030">
      <c r="A5030" s="76" t="s">
        <v>1301</v>
      </c>
      <c r="B5030" s="76" t="s">
        <v>1080</v>
      </c>
      <c r="C5030" s="76" t="s">
        <v>1281</v>
      </c>
      <c r="D5030" s="75"/>
    </row>
    <row hidden="true" r="5031">
      <c r="A5031" s="76" t="s">
        <v>1301</v>
      </c>
      <c r="B5031" s="76" t="s">
        <v>1082</v>
      </c>
      <c r="C5031" s="76" t="s">
        <v>1281</v>
      </c>
      <c r="D5031" s="75"/>
    </row>
    <row hidden="true" r="5032">
      <c r="A5032" s="76" t="s">
        <v>1301</v>
      </c>
      <c r="B5032" s="76" t="s">
        <v>1084</v>
      </c>
      <c r="C5032" s="76" t="s">
        <v>1281</v>
      </c>
      <c r="D5032" s="75"/>
    </row>
    <row hidden="true" r="5033">
      <c r="A5033" s="76" t="s">
        <v>1301</v>
      </c>
      <c r="B5033" s="76" t="s">
        <v>1086</v>
      </c>
      <c r="C5033" s="76" t="s">
        <v>1281</v>
      </c>
      <c r="D5033" s="75"/>
    </row>
    <row hidden="true" r="5034">
      <c r="A5034" s="76" t="s">
        <v>1301</v>
      </c>
      <c r="B5034" s="76" t="s">
        <v>1088</v>
      </c>
      <c r="C5034" s="76" t="s">
        <v>1281</v>
      </c>
      <c r="D5034" s="75"/>
    </row>
    <row hidden="true" r="5035">
      <c r="A5035" s="76" t="s">
        <v>1301</v>
      </c>
      <c r="B5035" s="76" t="s">
        <v>1090</v>
      </c>
      <c r="C5035" s="76" t="s">
        <v>1281</v>
      </c>
      <c r="D5035" s="75"/>
    </row>
    <row hidden="true" r="5036">
      <c r="A5036" s="76" t="s">
        <v>1301</v>
      </c>
      <c r="B5036" s="76" t="s">
        <v>1092</v>
      </c>
      <c r="C5036" s="76" t="s">
        <v>1281</v>
      </c>
      <c r="D5036" s="75"/>
    </row>
    <row hidden="true" r="5037">
      <c r="A5037" s="76" t="s">
        <v>1301</v>
      </c>
      <c r="B5037" s="76" t="s">
        <v>1093</v>
      </c>
      <c r="C5037" s="76" t="s">
        <v>1281</v>
      </c>
      <c r="D5037" s="75"/>
    </row>
    <row hidden="true" r="5038">
      <c r="A5038" s="76" t="s">
        <v>1301</v>
      </c>
      <c r="B5038" s="76" t="s">
        <v>1095</v>
      </c>
      <c r="C5038" s="76" t="s">
        <v>1281</v>
      </c>
      <c r="D5038" s="75"/>
    </row>
    <row hidden="true" r="5039">
      <c r="A5039" s="76" t="s">
        <v>1301</v>
      </c>
      <c r="B5039" s="76" t="s">
        <v>1097</v>
      </c>
      <c r="C5039" s="76" t="s">
        <v>1281</v>
      </c>
      <c r="D5039" s="75"/>
    </row>
    <row hidden="true" r="5040">
      <c r="A5040" s="76" t="s">
        <v>1301</v>
      </c>
      <c r="B5040" s="76" t="s">
        <v>1099</v>
      </c>
      <c r="C5040" s="76" t="s">
        <v>1281</v>
      </c>
      <c r="D5040" s="75"/>
    </row>
    <row hidden="true" r="5041">
      <c r="A5041" s="76" t="s">
        <v>1301</v>
      </c>
      <c r="B5041" s="76" t="s">
        <v>1101</v>
      </c>
      <c r="C5041" s="76" t="s">
        <v>1281</v>
      </c>
      <c r="D5041" s="75"/>
    </row>
    <row hidden="true" r="5042">
      <c r="A5042" s="76" t="s">
        <v>1301</v>
      </c>
      <c r="B5042" s="76" t="s">
        <v>1103</v>
      </c>
      <c r="C5042" s="76" t="s">
        <v>1281</v>
      </c>
      <c r="D5042" s="75"/>
    </row>
    <row hidden="true" r="5043">
      <c r="A5043" s="76" t="s">
        <v>1301</v>
      </c>
      <c r="B5043" s="76" t="s">
        <v>1105</v>
      </c>
      <c r="C5043" s="76" t="s">
        <v>1281</v>
      </c>
      <c r="D5043" s="75"/>
    </row>
    <row hidden="true" r="5044">
      <c r="A5044" s="76" t="s">
        <v>1301</v>
      </c>
      <c r="B5044" s="76" t="s">
        <v>1107</v>
      </c>
      <c r="C5044" s="76" t="s">
        <v>1281</v>
      </c>
      <c r="D5044" s="75"/>
    </row>
    <row hidden="true" r="5045">
      <c r="A5045" s="76" t="s">
        <v>1301</v>
      </c>
      <c r="B5045" s="76" t="s">
        <v>1109</v>
      </c>
      <c r="C5045" s="76" t="s">
        <v>1281</v>
      </c>
      <c r="D5045" s="75"/>
    </row>
    <row hidden="true" r="5046">
      <c r="A5046" s="76" t="s">
        <v>1301</v>
      </c>
      <c r="B5046" s="76" t="s">
        <v>1111</v>
      </c>
      <c r="C5046" s="76" t="s">
        <v>1281</v>
      </c>
      <c r="D5046" s="75"/>
    </row>
    <row hidden="true" r="5047">
      <c r="A5047" s="76" t="s">
        <v>1301</v>
      </c>
      <c r="B5047" s="76" t="s">
        <v>1113</v>
      </c>
      <c r="C5047" s="76" t="s">
        <v>1281</v>
      </c>
      <c r="D5047" s="75"/>
    </row>
    <row hidden="true" r="5048">
      <c r="A5048" s="76" t="s">
        <v>1301</v>
      </c>
      <c r="B5048" s="76" t="s">
        <v>1115</v>
      </c>
      <c r="C5048" s="76" t="s">
        <v>1281</v>
      </c>
      <c r="D5048" s="75"/>
    </row>
    <row hidden="true" r="5049">
      <c r="A5049" s="76" t="s">
        <v>1301</v>
      </c>
      <c r="B5049" s="76" t="s">
        <v>1117</v>
      </c>
      <c r="C5049" s="76" t="s">
        <v>1281</v>
      </c>
      <c r="D5049" s="75"/>
    </row>
    <row hidden="true" r="5050">
      <c r="A5050" s="76" t="s">
        <v>1301</v>
      </c>
      <c r="B5050" s="76" t="s">
        <v>1119</v>
      </c>
      <c r="C5050" s="76" t="s">
        <v>1281</v>
      </c>
      <c r="D5050" s="75"/>
    </row>
    <row hidden="true" r="5051">
      <c r="A5051" s="76" t="s">
        <v>1301</v>
      </c>
      <c r="B5051" s="76" t="s">
        <v>1121</v>
      </c>
      <c r="C5051" s="76" t="s">
        <v>1281</v>
      </c>
      <c r="D5051" s="75"/>
    </row>
    <row hidden="true" r="5052">
      <c r="A5052" s="76" t="s">
        <v>1301</v>
      </c>
      <c r="B5052" s="76" t="s">
        <v>1123</v>
      </c>
      <c r="C5052" s="76" t="s">
        <v>1281</v>
      </c>
      <c r="D5052" s="75"/>
    </row>
    <row hidden="true" r="5053">
      <c r="A5053" s="76" t="s">
        <v>1301</v>
      </c>
      <c r="B5053" s="76" t="s">
        <v>1125</v>
      </c>
      <c r="C5053" s="76" t="s">
        <v>1281</v>
      </c>
      <c r="D5053" s="75"/>
    </row>
    <row hidden="true" r="5054">
      <c r="A5054" s="76" t="s">
        <v>1301</v>
      </c>
      <c r="B5054" s="76" t="s">
        <v>1127</v>
      </c>
      <c r="C5054" s="76" t="s">
        <v>1281</v>
      </c>
      <c r="D5054" s="75"/>
    </row>
    <row hidden="true" r="5055">
      <c r="A5055" s="76" t="s">
        <v>1301</v>
      </c>
      <c r="B5055" s="76" t="s">
        <v>1129</v>
      </c>
      <c r="C5055" s="76" t="s">
        <v>1281</v>
      </c>
      <c r="D5055" s="75"/>
    </row>
    <row hidden="true" r="5056">
      <c r="A5056" s="76" t="s">
        <v>1301</v>
      </c>
      <c r="B5056" s="76" t="s">
        <v>1131</v>
      </c>
      <c r="C5056" s="76" t="s">
        <v>1281</v>
      </c>
      <c r="D5056" s="75"/>
    </row>
    <row hidden="true" r="5057">
      <c r="A5057" s="76" t="s">
        <v>1301</v>
      </c>
      <c r="B5057" s="76" t="s">
        <v>1133</v>
      </c>
      <c r="C5057" s="76" t="s">
        <v>1281</v>
      </c>
      <c r="D5057" s="75"/>
    </row>
    <row hidden="true" r="5058">
      <c r="A5058" s="76" t="s">
        <v>1301</v>
      </c>
      <c r="B5058" s="76" t="s">
        <v>1135</v>
      </c>
      <c r="C5058" s="76" t="s">
        <v>1281</v>
      </c>
      <c r="D5058" s="75"/>
    </row>
    <row hidden="true" r="5059">
      <c r="A5059" s="76" t="s">
        <v>1301</v>
      </c>
      <c r="B5059" s="76" t="s">
        <v>1137</v>
      </c>
      <c r="C5059" s="76" t="s">
        <v>1281</v>
      </c>
      <c r="D5059" s="75"/>
    </row>
    <row hidden="true" r="5060">
      <c r="A5060" s="76" t="s">
        <v>1301</v>
      </c>
      <c r="B5060" s="76" t="s">
        <v>1139</v>
      </c>
      <c r="C5060" s="76" t="s">
        <v>1281</v>
      </c>
      <c r="D5060" s="75"/>
    </row>
    <row hidden="true" r="5061">
      <c r="A5061" s="76" t="s">
        <v>1301</v>
      </c>
      <c r="B5061" s="76" t="s">
        <v>1141</v>
      </c>
      <c r="C5061" s="76" t="s">
        <v>1281</v>
      </c>
      <c r="D5061" s="75"/>
    </row>
    <row hidden="true" r="5062">
      <c r="A5062" s="76" t="s">
        <v>1301</v>
      </c>
      <c r="B5062" s="76" t="s">
        <v>1143</v>
      </c>
      <c r="C5062" s="76" t="s">
        <v>1281</v>
      </c>
      <c r="D5062" s="75"/>
    </row>
    <row hidden="true" r="5063">
      <c r="A5063" s="76" t="s">
        <v>1301</v>
      </c>
      <c r="B5063" s="76" t="s">
        <v>1145</v>
      </c>
      <c r="C5063" s="76" t="s">
        <v>1281</v>
      </c>
      <c r="D5063" s="75"/>
    </row>
    <row hidden="true" r="5064">
      <c r="A5064" s="76" t="s">
        <v>1301</v>
      </c>
      <c r="B5064" s="76" t="s">
        <v>1147</v>
      </c>
      <c r="C5064" s="76" t="s">
        <v>1281</v>
      </c>
      <c r="D5064" s="75"/>
    </row>
    <row hidden="true" r="5065">
      <c r="A5065" s="76" t="s">
        <v>1301</v>
      </c>
      <c r="B5065" s="76" t="s">
        <v>1149</v>
      </c>
      <c r="C5065" s="76" t="s">
        <v>1281</v>
      </c>
      <c r="D5065" s="75"/>
    </row>
    <row hidden="true" r="5066">
      <c r="A5066" s="76" t="s">
        <v>1301</v>
      </c>
      <c r="B5066" s="76" t="s">
        <v>1151</v>
      </c>
      <c r="C5066" s="76" t="s">
        <v>1281</v>
      </c>
      <c r="D5066" s="75"/>
    </row>
    <row hidden="true" r="5067">
      <c r="A5067" s="76" t="s">
        <v>1301</v>
      </c>
      <c r="B5067" s="76" t="s">
        <v>1153</v>
      </c>
      <c r="C5067" s="76" t="s">
        <v>1281</v>
      </c>
      <c r="D5067" s="75"/>
    </row>
    <row hidden="true" r="5068">
      <c r="A5068" s="76" t="s">
        <v>1301</v>
      </c>
      <c r="B5068" s="76" t="s">
        <v>1155</v>
      </c>
      <c r="C5068" s="76" t="s">
        <v>1281</v>
      </c>
      <c r="D5068" s="75"/>
    </row>
    <row hidden="true" r="5069">
      <c r="A5069" s="76" t="s">
        <v>1301</v>
      </c>
      <c r="B5069" s="76" t="s">
        <v>1157</v>
      </c>
      <c r="C5069" s="76" t="s">
        <v>1281</v>
      </c>
      <c r="D5069" s="75"/>
    </row>
    <row hidden="true" r="5070">
      <c r="A5070" s="76" t="s">
        <v>1301</v>
      </c>
      <c r="B5070" s="76" t="s">
        <v>1159</v>
      </c>
      <c r="C5070" s="76" t="s">
        <v>1281</v>
      </c>
      <c r="D5070" s="75"/>
    </row>
    <row hidden="true" r="5071">
      <c r="A5071" s="76" t="s">
        <v>1301</v>
      </c>
      <c r="B5071" s="76" t="s">
        <v>868</v>
      </c>
      <c r="C5071" s="76" t="s">
        <v>1281</v>
      </c>
      <c r="D5071" s="75"/>
    </row>
    <row hidden="true" r="5072">
      <c r="A5072" s="76" t="s">
        <v>1301</v>
      </c>
      <c r="B5072" s="76" t="s">
        <v>1161</v>
      </c>
      <c r="C5072" s="76" t="s">
        <v>1281</v>
      </c>
      <c r="D5072" s="75"/>
    </row>
    <row hidden="true" r="5073">
      <c r="A5073" s="76" t="s">
        <v>1301</v>
      </c>
      <c r="B5073" s="76" t="s">
        <v>1163</v>
      </c>
      <c r="C5073" s="76" t="s">
        <v>1281</v>
      </c>
      <c r="D5073" s="75"/>
    </row>
    <row hidden="true" r="5074">
      <c r="A5074" s="76" t="s">
        <v>1301</v>
      </c>
      <c r="B5074" s="76" t="s">
        <v>1165</v>
      </c>
      <c r="C5074" s="76" t="s">
        <v>1281</v>
      </c>
      <c r="D5074" s="75"/>
    </row>
    <row hidden="true" r="5075">
      <c r="A5075" s="76" t="s">
        <v>1301</v>
      </c>
      <c r="B5075" s="76" t="s">
        <v>1167</v>
      </c>
      <c r="C5075" s="76" t="s">
        <v>1281</v>
      </c>
      <c r="D5075" s="75"/>
    </row>
    <row hidden="true" r="5076">
      <c r="A5076" s="76" t="s">
        <v>1301</v>
      </c>
      <c r="B5076" s="76" t="s">
        <v>1169</v>
      </c>
      <c r="C5076" s="76" t="s">
        <v>1281</v>
      </c>
      <c r="D5076" s="75"/>
    </row>
    <row hidden="true" r="5077">
      <c r="A5077" s="76" t="s">
        <v>1301</v>
      </c>
      <c r="B5077" s="76" t="s">
        <v>1171</v>
      </c>
      <c r="C5077" s="76" t="s">
        <v>1281</v>
      </c>
      <c r="D5077" s="75"/>
    </row>
    <row hidden="true" r="5078">
      <c r="A5078" s="76" t="s">
        <v>1301</v>
      </c>
      <c r="B5078" s="76" t="s">
        <v>1173</v>
      </c>
      <c r="C5078" s="76" t="s">
        <v>1281</v>
      </c>
      <c r="D5078" s="75"/>
    </row>
    <row hidden="true" r="5079">
      <c r="A5079" s="76" t="s">
        <v>1301</v>
      </c>
      <c r="B5079" s="76" t="s">
        <v>1175</v>
      </c>
      <c r="C5079" s="76" t="s">
        <v>1281</v>
      </c>
      <c r="D5079" s="75"/>
    </row>
    <row hidden="true" r="5080">
      <c r="A5080" s="76" t="s">
        <v>1301</v>
      </c>
      <c r="B5080" s="76" t="s">
        <v>1177</v>
      </c>
      <c r="C5080" s="76" t="s">
        <v>1281</v>
      </c>
      <c r="D5080" s="75"/>
    </row>
    <row hidden="true" r="5081">
      <c r="A5081" s="76" t="s">
        <v>1301</v>
      </c>
      <c r="B5081" s="76" t="s">
        <v>1179</v>
      </c>
      <c r="C5081" s="76" t="s">
        <v>1281</v>
      </c>
      <c r="D5081" s="75"/>
    </row>
    <row hidden="true" r="5082">
      <c r="A5082" s="76" t="s">
        <v>1301</v>
      </c>
      <c r="B5082" s="76" t="s">
        <v>1181</v>
      </c>
      <c r="C5082" s="76" t="s">
        <v>1281</v>
      </c>
      <c r="D5082" s="75"/>
    </row>
    <row hidden="true" r="5083">
      <c r="A5083" s="76" t="s">
        <v>1301</v>
      </c>
      <c r="B5083" s="76" t="s">
        <v>1183</v>
      </c>
      <c r="C5083" s="76" t="s">
        <v>1281</v>
      </c>
      <c r="D5083" s="75"/>
    </row>
    <row hidden="true" r="5084">
      <c r="A5084" s="76" t="s">
        <v>1301</v>
      </c>
      <c r="B5084" s="76" t="s">
        <v>1185</v>
      </c>
      <c r="C5084" s="76" t="s">
        <v>1281</v>
      </c>
      <c r="D5084" s="75"/>
    </row>
    <row hidden="true" r="5085">
      <c r="A5085" s="76" t="s">
        <v>1301</v>
      </c>
      <c r="B5085" s="76" t="s">
        <v>1187</v>
      </c>
      <c r="C5085" s="76" t="s">
        <v>1281</v>
      </c>
      <c r="D5085" s="75"/>
    </row>
    <row hidden="true" r="5086">
      <c r="A5086" s="76" t="s">
        <v>1301</v>
      </c>
      <c r="B5086" s="76" t="s">
        <v>1189</v>
      </c>
      <c r="C5086" s="76" t="s">
        <v>1281</v>
      </c>
      <c r="D5086" s="75"/>
    </row>
    <row hidden="true" r="5087">
      <c r="A5087" s="76" t="s">
        <v>1301</v>
      </c>
      <c r="B5087" s="76" t="s">
        <v>1191</v>
      </c>
      <c r="C5087" s="76" t="s">
        <v>1281</v>
      </c>
      <c r="D5087" s="75"/>
    </row>
    <row hidden="true" r="5088">
      <c r="A5088" s="76" t="s">
        <v>1301</v>
      </c>
      <c r="B5088" s="76" t="s">
        <v>1199</v>
      </c>
      <c r="C5088" s="76" t="s">
        <v>1281</v>
      </c>
      <c r="D5088" s="75"/>
    </row>
    <row hidden="true" r="5089">
      <c r="A5089" s="76" t="s">
        <v>1301</v>
      </c>
      <c r="B5089" s="76" t="s">
        <v>1201</v>
      </c>
      <c r="C5089" s="76" t="s">
        <v>1281</v>
      </c>
      <c r="D5089" s="75"/>
    </row>
    <row hidden="true" r="5090">
      <c r="A5090" s="76" t="s">
        <v>1301</v>
      </c>
      <c r="B5090" s="76" t="s">
        <v>1203</v>
      </c>
      <c r="C5090" s="76" t="s">
        <v>1281</v>
      </c>
      <c r="D5090" s="75"/>
    </row>
    <row hidden="true" r="5091">
      <c r="A5091" s="76" t="s">
        <v>1301</v>
      </c>
      <c r="B5091" s="76" t="s">
        <v>1205</v>
      </c>
      <c r="C5091" s="76" t="s">
        <v>1281</v>
      </c>
      <c r="D5091" s="75"/>
    </row>
    <row hidden="true" r="5092">
      <c r="A5092" s="76" t="s">
        <v>1301</v>
      </c>
      <c r="B5092" s="76" t="s">
        <v>1207</v>
      </c>
      <c r="C5092" s="76" t="s">
        <v>1281</v>
      </c>
      <c r="D5092" s="75"/>
    </row>
    <row hidden="true" r="5093">
      <c r="A5093" s="76" t="s">
        <v>1301</v>
      </c>
      <c r="B5093" s="76" t="s">
        <v>1209</v>
      </c>
      <c r="C5093" s="76" t="s">
        <v>1281</v>
      </c>
      <c r="D5093" s="75"/>
    </row>
    <row hidden="true" r="5094">
      <c r="A5094" s="76" t="s">
        <v>1301</v>
      </c>
      <c r="B5094" s="76" t="s">
        <v>1211</v>
      </c>
      <c r="C5094" s="76" t="s">
        <v>1281</v>
      </c>
      <c r="D5094" s="75"/>
    </row>
    <row hidden="true" r="5095">
      <c r="A5095" s="76" t="s">
        <v>1301</v>
      </c>
      <c r="B5095" s="76" t="s">
        <v>1282</v>
      </c>
      <c r="C5095" s="76" t="s">
        <v>1281</v>
      </c>
      <c r="D5095" s="75"/>
    </row>
    <row hidden="true" r="5096">
      <c r="A5096" s="76" t="s">
        <v>1301</v>
      </c>
      <c r="B5096" s="76" t="s">
        <v>735</v>
      </c>
      <c r="C5096" s="76" t="s">
        <v>1283</v>
      </c>
      <c r="D5096" s="75"/>
    </row>
    <row hidden="true" r="5097">
      <c r="A5097" s="76" t="s">
        <v>1302</v>
      </c>
      <c r="B5097" s="76" t="s">
        <v>407</v>
      </c>
      <c r="C5097" s="76"/>
      <c r="D5097" s="75"/>
    </row>
    <row hidden="true" r="5098">
      <c r="A5098" s="76" t="s">
        <v>1302</v>
      </c>
      <c r="B5098" s="76" t="s">
        <v>744</v>
      </c>
      <c r="C5098" s="76"/>
      <c r="D5098" s="75"/>
    </row>
    <row hidden="true" r="5099">
      <c r="A5099" s="76" t="s">
        <v>1302</v>
      </c>
      <c r="B5099" s="76" t="s">
        <v>409</v>
      </c>
      <c r="C5099" s="76"/>
      <c r="D5099" s="75"/>
    </row>
    <row hidden="true" r="5100">
      <c r="A5100" s="76" t="s">
        <v>1302</v>
      </c>
      <c r="B5100" s="76" t="s">
        <v>884</v>
      </c>
      <c r="C5100" s="76"/>
      <c r="D5100" s="75"/>
    </row>
    <row hidden="true" r="5101">
      <c r="A5101" s="76" t="s">
        <v>1302</v>
      </c>
      <c r="B5101" s="76" t="s">
        <v>886</v>
      </c>
      <c r="C5101" s="76"/>
      <c r="D5101" s="75"/>
    </row>
    <row hidden="true" r="5102">
      <c r="A5102" s="76" t="s">
        <v>1302</v>
      </c>
      <c r="B5102" s="76" t="s">
        <v>888</v>
      </c>
      <c r="C5102" s="76"/>
      <c r="D5102" s="75"/>
    </row>
    <row hidden="true" r="5103">
      <c r="A5103" s="76" t="s">
        <v>1302</v>
      </c>
      <c r="B5103" s="76" t="s">
        <v>890</v>
      </c>
      <c r="C5103" s="76"/>
      <c r="D5103" s="75"/>
    </row>
    <row hidden="true" r="5104">
      <c r="A5104" s="76" t="s">
        <v>1302</v>
      </c>
      <c r="B5104" s="76" t="s">
        <v>892</v>
      </c>
      <c r="C5104" s="76"/>
      <c r="D5104" s="75"/>
    </row>
    <row hidden="true" r="5105">
      <c r="A5105" s="76" t="s">
        <v>1302</v>
      </c>
      <c r="B5105" s="76" t="s">
        <v>894</v>
      </c>
      <c r="C5105" s="76"/>
      <c r="D5105" s="75"/>
    </row>
    <row hidden="true" r="5106">
      <c r="A5106" s="76" t="s">
        <v>1302</v>
      </c>
      <c r="B5106" s="76" t="s">
        <v>896</v>
      </c>
      <c r="C5106" s="76"/>
      <c r="D5106" s="75"/>
    </row>
    <row hidden="true" r="5107">
      <c r="A5107" s="76" t="s">
        <v>1302</v>
      </c>
      <c r="B5107" s="76" t="s">
        <v>898</v>
      </c>
      <c r="C5107" s="76"/>
      <c r="D5107" s="75"/>
    </row>
    <row hidden="true" r="5108">
      <c r="A5108" s="76" t="s">
        <v>1302</v>
      </c>
      <c r="B5108" s="76" t="s">
        <v>900</v>
      </c>
      <c r="C5108" s="76"/>
      <c r="D5108" s="75"/>
    </row>
    <row hidden="true" r="5109">
      <c r="A5109" s="76" t="s">
        <v>1302</v>
      </c>
      <c r="B5109" s="76" t="s">
        <v>902</v>
      </c>
      <c r="C5109" s="76"/>
      <c r="D5109" s="75"/>
    </row>
    <row hidden="true" r="5110">
      <c r="A5110" s="76" t="s">
        <v>1302</v>
      </c>
      <c r="B5110" s="76" t="s">
        <v>904</v>
      </c>
      <c r="C5110" s="76"/>
      <c r="D5110" s="75"/>
    </row>
    <row hidden="true" r="5111">
      <c r="A5111" s="76" t="s">
        <v>1302</v>
      </c>
      <c r="B5111" s="76" t="s">
        <v>906</v>
      </c>
      <c r="C5111" s="76"/>
      <c r="D5111" s="75"/>
    </row>
    <row hidden="true" r="5112">
      <c r="A5112" s="76" t="s">
        <v>1302</v>
      </c>
      <c r="B5112" s="76" t="s">
        <v>908</v>
      </c>
      <c r="C5112" s="76"/>
      <c r="D5112" s="75"/>
    </row>
    <row hidden="true" r="5113">
      <c r="A5113" s="76" t="s">
        <v>1302</v>
      </c>
      <c r="B5113" s="76" t="s">
        <v>910</v>
      </c>
      <c r="C5113" s="76"/>
      <c r="D5113" s="75"/>
    </row>
    <row hidden="true" r="5114">
      <c r="A5114" s="76" t="s">
        <v>1302</v>
      </c>
      <c r="B5114" s="76" t="s">
        <v>912</v>
      </c>
      <c r="C5114" s="76"/>
      <c r="D5114" s="75"/>
    </row>
    <row hidden="true" r="5115">
      <c r="A5115" s="76" t="s">
        <v>1302</v>
      </c>
      <c r="B5115" s="76" t="s">
        <v>914</v>
      </c>
      <c r="C5115" s="76"/>
      <c r="D5115" s="75"/>
    </row>
    <row hidden="true" r="5116">
      <c r="A5116" s="76" t="s">
        <v>1302</v>
      </c>
      <c r="B5116" s="76" t="s">
        <v>916</v>
      </c>
      <c r="C5116" s="76"/>
      <c r="D5116" s="75"/>
    </row>
    <row hidden="true" r="5117">
      <c r="A5117" s="76" t="s">
        <v>1302</v>
      </c>
      <c r="B5117" s="76" t="s">
        <v>918</v>
      </c>
      <c r="C5117" s="76"/>
      <c r="D5117" s="75"/>
    </row>
    <row hidden="true" r="5118">
      <c r="A5118" s="76" t="s">
        <v>1302</v>
      </c>
      <c r="B5118" s="76" t="s">
        <v>920</v>
      </c>
      <c r="C5118" s="76"/>
      <c r="D5118" s="75"/>
    </row>
    <row hidden="true" r="5119">
      <c r="A5119" s="76" t="s">
        <v>1302</v>
      </c>
      <c r="B5119" s="76" t="s">
        <v>922</v>
      </c>
      <c r="C5119" s="76"/>
      <c r="D5119" s="75"/>
    </row>
    <row hidden="true" r="5120">
      <c r="A5120" s="76" t="s">
        <v>1302</v>
      </c>
      <c r="B5120" s="76" t="s">
        <v>924</v>
      </c>
      <c r="C5120" s="76"/>
      <c r="D5120" s="75"/>
    </row>
    <row hidden="true" r="5121">
      <c r="A5121" s="76" t="s">
        <v>1302</v>
      </c>
      <c r="B5121" s="76" t="s">
        <v>926</v>
      </c>
      <c r="C5121" s="76"/>
      <c r="D5121" s="75"/>
    </row>
    <row hidden="true" r="5122">
      <c r="A5122" s="76" t="s">
        <v>1302</v>
      </c>
      <c r="B5122" s="76" t="s">
        <v>928</v>
      </c>
      <c r="C5122" s="76"/>
      <c r="D5122" s="75"/>
    </row>
    <row hidden="true" r="5123">
      <c r="A5123" s="76" t="s">
        <v>1302</v>
      </c>
      <c r="B5123" s="76" t="s">
        <v>930</v>
      </c>
      <c r="C5123" s="76"/>
      <c r="D5123" s="75"/>
    </row>
    <row hidden="true" r="5124">
      <c r="A5124" s="76" t="s">
        <v>1302</v>
      </c>
      <c r="B5124" s="76" t="s">
        <v>932</v>
      </c>
      <c r="C5124" s="76"/>
      <c r="D5124" s="75"/>
    </row>
    <row hidden="true" r="5125">
      <c r="A5125" s="76" t="s">
        <v>1302</v>
      </c>
      <c r="B5125" s="76" t="s">
        <v>934</v>
      </c>
      <c r="C5125" s="76"/>
      <c r="D5125" s="75"/>
    </row>
    <row hidden="true" r="5126">
      <c r="A5126" s="76" t="s">
        <v>1302</v>
      </c>
      <c r="B5126" s="76" t="s">
        <v>936</v>
      </c>
      <c r="C5126" s="76"/>
      <c r="D5126" s="75"/>
    </row>
    <row hidden="true" r="5127">
      <c r="A5127" s="76" t="s">
        <v>1302</v>
      </c>
      <c r="B5127" s="76" t="s">
        <v>938</v>
      </c>
      <c r="C5127" s="76"/>
      <c r="D5127" s="75"/>
    </row>
    <row hidden="true" r="5128">
      <c r="A5128" s="76" t="s">
        <v>1302</v>
      </c>
      <c r="B5128" s="76" t="s">
        <v>940</v>
      </c>
      <c r="C5128" s="76"/>
      <c r="D5128" s="75"/>
    </row>
    <row hidden="true" r="5129">
      <c r="A5129" s="76" t="s">
        <v>1302</v>
      </c>
      <c r="B5129" s="76" t="s">
        <v>942</v>
      </c>
      <c r="C5129" s="76"/>
      <c r="D5129" s="75"/>
    </row>
    <row hidden="true" r="5130">
      <c r="A5130" s="76" t="s">
        <v>1302</v>
      </c>
      <c r="B5130" s="76" t="s">
        <v>944</v>
      </c>
      <c r="C5130" s="76"/>
      <c r="D5130" s="75"/>
    </row>
    <row hidden="true" r="5131">
      <c r="A5131" s="76" t="s">
        <v>1302</v>
      </c>
      <c r="B5131" s="76" t="s">
        <v>946</v>
      </c>
      <c r="C5131" s="76"/>
      <c r="D5131" s="75"/>
    </row>
    <row hidden="true" r="5132">
      <c r="A5132" s="76" t="s">
        <v>1302</v>
      </c>
      <c r="B5132" s="76" t="s">
        <v>948</v>
      </c>
      <c r="C5132" s="76"/>
      <c r="D5132" s="75"/>
    </row>
    <row hidden="true" r="5133">
      <c r="A5133" s="76" t="s">
        <v>1302</v>
      </c>
      <c r="B5133" s="76" t="s">
        <v>950</v>
      </c>
      <c r="C5133" s="76"/>
      <c r="D5133" s="75"/>
    </row>
    <row hidden="true" r="5134">
      <c r="A5134" s="76" t="s">
        <v>1302</v>
      </c>
      <c r="B5134" s="76" t="s">
        <v>952</v>
      </c>
      <c r="C5134" s="76"/>
      <c r="D5134" s="75"/>
    </row>
    <row hidden="true" r="5135">
      <c r="A5135" s="76" t="s">
        <v>1302</v>
      </c>
      <c r="B5135" s="76" t="s">
        <v>954</v>
      </c>
      <c r="C5135" s="76"/>
      <c r="D5135" s="75"/>
    </row>
    <row hidden="true" r="5136">
      <c r="A5136" s="76" t="s">
        <v>1302</v>
      </c>
      <c r="B5136" s="76" t="s">
        <v>775</v>
      </c>
      <c r="C5136" s="76"/>
      <c r="D5136" s="75"/>
    </row>
    <row hidden="true" r="5137">
      <c r="A5137" s="76" t="s">
        <v>1302</v>
      </c>
      <c r="B5137" s="76" t="s">
        <v>956</v>
      </c>
      <c r="C5137" s="76"/>
      <c r="D5137" s="75"/>
    </row>
    <row hidden="true" r="5138">
      <c r="A5138" s="76" t="s">
        <v>1302</v>
      </c>
      <c r="B5138" s="76" t="s">
        <v>958</v>
      </c>
      <c r="C5138" s="76"/>
      <c r="D5138" s="75"/>
    </row>
    <row hidden="true" r="5139">
      <c r="A5139" s="76" t="s">
        <v>1302</v>
      </c>
      <c r="B5139" s="76" t="s">
        <v>960</v>
      </c>
      <c r="C5139" s="76"/>
      <c r="D5139" s="75"/>
    </row>
    <row hidden="true" r="5140">
      <c r="A5140" s="76" t="s">
        <v>1302</v>
      </c>
      <c r="B5140" s="76" t="s">
        <v>962</v>
      </c>
      <c r="C5140" s="76"/>
      <c r="D5140" s="75"/>
    </row>
    <row hidden="true" r="5141">
      <c r="A5141" s="76" t="s">
        <v>1302</v>
      </c>
      <c r="B5141" s="76" t="s">
        <v>964</v>
      </c>
      <c r="C5141" s="76"/>
      <c r="D5141" s="75"/>
    </row>
    <row hidden="true" r="5142">
      <c r="A5142" s="76" t="s">
        <v>1302</v>
      </c>
      <c r="B5142" s="76" t="s">
        <v>966</v>
      </c>
      <c r="C5142" s="76"/>
      <c r="D5142" s="75"/>
    </row>
    <row hidden="true" r="5143">
      <c r="A5143" s="76" t="s">
        <v>1302</v>
      </c>
      <c r="B5143" s="76" t="s">
        <v>968</v>
      </c>
      <c r="C5143" s="76"/>
      <c r="D5143" s="75"/>
    </row>
    <row hidden="true" r="5144">
      <c r="A5144" s="76" t="s">
        <v>1302</v>
      </c>
      <c r="B5144" s="76" t="s">
        <v>970</v>
      </c>
      <c r="C5144" s="76"/>
      <c r="D5144" s="75"/>
    </row>
    <row hidden="true" r="5145">
      <c r="A5145" s="76" t="s">
        <v>1302</v>
      </c>
      <c r="B5145" s="76" t="s">
        <v>972</v>
      </c>
      <c r="C5145" s="76"/>
      <c r="D5145" s="75"/>
    </row>
    <row hidden="true" r="5146">
      <c r="A5146" s="76" t="s">
        <v>1302</v>
      </c>
      <c r="B5146" s="76" t="s">
        <v>974</v>
      </c>
      <c r="C5146" s="76"/>
      <c r="D5146" s="75"/>
    </row>
    <row hidden="true" r="5147">
      <c r="A5147" s="76" t="s">
        <v>1302</v>
      </c>
      <c r="B5147" s="76" t="s">
        <v>976</v>
      </c>
      <c r="C5147" s="76"/>
      <c r="D5147" s="75"/>
    </row>
    <row hidden="true" r="5148">
      <c r="A5148" s="76" t="s">
        <v>1302</v>
      </c>
      <c r="B5148" s="76" t="s">
        <v>823</v>
      </c>
      <c r="C5148" s="76"/>
      <c r="D5148" s="75"/>
    </row>
    <row hidden="true" r="5149">
      <c r="A5149" s="76" t="s">
        <v>1302</v>
      </c>
      <c r="B5149" s="76" t="s">
        <v>978</v>
      </c>
      <c r="C5149" s="76"/>
      <c r="D5149" s="75"/>
    </row>
    <row hidden="true" r="5150">
      <c r="A5150" s="76" t="s">
        <v>1302</v>
      </c>
      <c r="B5150" s="76" t="s">
        <v>980</v>
      </c>
      <c r="C5150" s="76"/>
      <c r="D5150" s="75"/>
    </row>
    <row hidden="true" r="5151">
      <c r="A5151" s="76" t="s">
        <v>1302</v>
      </c>
      <c r="B5151" s="76" t="s">
        <v>982</v>
      </c>
      <c r="C5151" s="76"/>
      <c r="D5151" s="75"/>
    </row>
    <row hidden="true" r="5152">
      <c r="A5152" s="76" t="s">
        <v>1302</v>
      </c>
      <c r="B5152" s="76" t="s">
        <v>984</v>
      </c>
      <c r="C5152" s="76"/>
      <c r="D5152" s="75"/>
    </row>
    <row hidden="true" r="5153">
      <c r="A5153" s="76" t="s">
        <v>1302</v>
      </c>
      <c r="B5153" s="76" t="s">
        <v>986</v>
      </c>
      <c r="C5153" s="76"/>
      <c r="D5153" s="75"/>
    </row>
    <row hidden="true" r="5154">
      <c r="A5154" s="76" t="s">
        <v>1302</v>
      </c>
      <c r="B5154" s="76" t="s">
        <v>988</v>
      </c>
      <c r="C5154" s="76"/>
      <c r="D5154" s="75"/>
    </row>
    <row hidden="true" r="5155">
      <c r="A5155" s="76" t="s">
        <v>1302</v>
      </c>
      <c r="B5155" s="76" t="s">
        <v>990</v>
      </c>
      <c r="C5155" s="76"/>
      <c r="D5155" s="75"/>
    </row>
    <row hidden="true" r="5156">
      <c r="A5156" s="76" t="s">
        <v>1302</v>
      </c>
      <c r="B5156" s="76" t="s">
        <v>992</v>
      </c>
      <c r="C5156" s="76"/>
      <c r="D5156" s="75"/>
    </row>
    <row hidden="true" r="5157">
      <c r="A5157" s="76" t="s">
        <v>1302</v>
      </c>
      <c r="B5157" s="76" t="s">
        <v>994</v>
      </c>
      <c r="C5157" s="76"/>
      <c r="D5157" s="75"/>
    </row>
    <row hidden="true" r="5158">
      <c r="A5158" s="76" t="s">
        <v>1302</v>
      </c>
      <c r="B5158" s="76" t="s">
        <v>996</v>
      </c>
      <c r="C5158" s="76"/>
      <c r="D5158" s="75"/>
    </row>
    <row hidden="true" r="5159">
      <c r="A5159" s="76" t="s">
        <v>1302</v>
      </c>
      <c r="B5159" s="76" t="s">
        <v>998</v>
      </c>
      <c r="C5159" s="76"/>
      <c r="D5159" s="75"/>
    </row>
    <row hidden="true" r="5160">
      <c r="A5160" s="76" t="s">
        <v>1302</v>
      </c>
      <c r="B5160" s="76" t="s">
        <v>1000</v>
      </c>
      <c r="C5160" s="76"/>
      <c r="D5160" s="75"/>
    </row>
    <row hidden="true" r="5161">
      <c r="A5161" s="76" t="s">
        <v>1302</v>
      </c>
      <c r="B5161" s="76" t="s">
        <v>1002</v>
      </c>
      <c r="C5161" s="76"/>
      <c r="D5161" s="75"/>
    </row>
    <row hidden="true" r="5162">
      <c r="A5162" s="76" t="s">
        <v>1302</v>
      </c>
      <c r="B5162" s="76" t="s">
        <v>1004</v>
      </c>
      <c r="C5162" s="76"/>
      <c r="D5162" s="75"/>
    </row>
    <row hidden="true" r="5163">
      <c r="A5163" s="76" t="s">
        <v>1302</v>
      </c>
      <c r="B5163" s="76" t="s">
        <v>1006</v>
      </c>
      <c r="C5163" s="76"/>
      <c r="D5163" s="75"/>
    </row>
    <row hidden="true" r="5164">
      <c r="A5164" s="76" t="s">
        <v>1302</v>
      </c>
      <c r="B5164" s="76" t="s">
        <v>1008</v>
      </c>
      <c r="C5164" s="76"/>
      <c r="D5164" s="75"/>
    </row>
    <row hidden="true" r="5165">
      <c r="A5165" s="76" t="s">
        <v>1302</v>
      </c>
      <c r="B5165" s="76" t="s">
        <v>1010</v>
      </c>
      <c r="C5165" s="76"/>
      <c r="D5165" s="75"/>
    </row>
    <row hidden="true" r="5166">
      <c r="A5166" s="76" t="s">
        <v>1302</v>
      </c>
      <c r="B5166" s="76" t="s">
        <v>1012</v>
      </c>
      <c r="C5166" s="76"/>
      <c r="D5166" s="75"/>
    </row>
    <row hidden="true" r="5167">
      <c r="A5167" s="76" t="s">
        <v>1302</v>
      </c>
      <c r="B5167" s="76" t="s">
        <v>1014</v>
      </c>
      <c r="C5167" s="76"/>
      <c r="D5167" s="75"/>
    </row>
    <row hidden="true" r="5168">
      <c r="A5168" s="76" t="s">
        <v>1302</v>
      </c>
      <c r="B5168" s="76" t="s">
        <v>1016</v>
      </c>
      <c r="C5168" s="76"/>
      <c r="D5168" s="75"/>
    </row>
    <row hidden="true" r="5169">
      <c r="A5169" s="76" t="s">
        <v>1302</v>
      </c>
      <c r="B5169" s="76" t="s">
        <v>1018</v>
      </c>
      <c r="C5169" s="76"/>
      <c r="D5169" s="75"/>
    </row>
    <row hidden="true" r="5170">
      <c r="A5170" s="76" t="s">
        <v>1302</v>
      </c>
      <c r="B5170" s="76" t="s">
        <v>1020</v>
      </c>
      <c r="C5170" s="76"/>
      <c r="D5170" s="75"/>
    </row>
    <row hidden="true" r="5171">
      <c r="A5171" s="76" t="s">
        <v>1302</v>
      </c>
      <c r="B5171" s="76" t="s">
        <v>1022</v>
      </c>
      <c r="C5171" s="76"/>
      <c r="D5171" s="75"/>
    </row>
    <row hidden="true" r="5172">
      <c r="A5172" s="76" t="s">
        <v>1302</v>
      </c>
      <c r="B5172" s="76" t="s">
        <v>1023</v>
      </c>
      <c r="C5172" s="76"/>
      <c r="D5172" s="75"/>
    </row>
    <row hidden="true" r="5173">
      <c r="A5173" s="76" t="s">
        <v>1302</v>
      </c>
      <c r="B5173" s="76" t="s">
        <v>1024</v>
      </c>
      <c r="C5173" s="76"/>
      <c r="D5173" s="75"/>
    </row>
    <row hidden="true" r="5174">
      <c r="A5174" s="76" t="s">
        <v>1302</v>
      </c>
      <c r="B5174" s="76" t="s">
        <v>1025</v>
      </c>
      <c r="C5174" s="76"/>
      <c r="D5174" s="75"/>
    </row>
    <row hidden="true" r="5175">
      <c r="A5175" s="76" t="s">
        <v>1302</v>
      </c>
      <c r="B5175" s="76" t="s">
        <v>1026</v>
      </c>
      <c r="C5175" s="76"/>
      <c r="D5175" s="75"/>
    </row>
    <row hidden="true" r="5176">
      <c r="A5176" s="76" t="s">
        <v>1302</v>
      </c>
      <c r="B5176" s="76" t="s">
        <v>1027</v>
      </c>
      <c r="C5176" s="76"/>
      <c r="D5176" s="75"/>
    </row>
    <row hidden="true" r="5177">
      <c r="A5177" s="76" t="s">
        <v>1302</v>
      </c>
      <c r="B5177" s="76" t="s">
        <v>1028</v>
      </c>
      <c r="C5177" s="76"/>
      <c r="D5177" s="75"/>
    </row>
    <row hidden="true" r="5178">
      <c r="A5178" s="76" t="s">
        <v>1302</v>
      </c>
      <c r="B5178" s="76" t="s">
        <v>530</v>
      </c>
      <c r="C5178" s="76"/>
      <c r="D5178" s="75"/>
    </row>
    <row hidden="true" r="5179">
      <c r="A5179" s="76" t="s">
        <v>1302</v>
      </c>
      <c r="B5179" s="76" t="s">
        <v>1030</v>
      </c>
      <c r="C5179" s="76"/>
      <c r="D5179" s="75"/>
    </row>
    <row hidden="true" r="5180">
      <c r="A5180" s="76" t="s">
        <v>1302</v>
      </c>
      <c r="B5180" s="76" t="s">
        <v>1032</v>
      </c>
      <c r="C5180" s="76"/>
      <c r="D5180" s="75"/>
    </row>
    <row hidden="true" r="5181">
      <c r="A5181" s="76" t="s">
        <v>1302</v>
      </c>
      <c r="B5181" s="76" t="s">
        <v>1034</v>
      </c>
      <c r="C5181" s="76"/>
      <c r="D5181" s="75"/>
    </row>
    <row hidden="true" r="5182">
      <c r="A5182" s="76" t="s">
        <v>1302</v>
      </c>
      <c r="B5182" s="76" t="s">
        <v>532</v>
      </c>
      <c r="C5182" s="76"/>
      <c r="D5182" s="75"/>
    </row>
    <row hidden="true" r="5183">
      <c r="A5183" s="76" t="s">
        <v>1302</v>
      </c>
      <c r="B5183" s="76" t="s">
        <v>1036</v>
      </c>
      <c r="C5183" s="76"/>
      <c r="D5183" s="75"/>
    </row>
    <row hidden="true" r="5184">
      <c r="A5184" s="76" t="s">
        <v>1302</v>
      </c>
      <c r="B5184" s="76" t="s">
        <v>1038</v>
      </c>
      <c r="C5184" s="76"/>
      <c r="D5184" s="75"/>
    </row>
    <row hidden="true" r="5185">
      <c r="A5185" s="76" t="s">
        <v>1302</v>
      </c>
      <c r="B5185" s="76" t="s">
        <v>1040</v>
      </c>
      <c r="C5185" s="76"/>
      <c r="D5185" s="75"/>
    </row>
    <row hidden="true" r="5186">
      <c r="A5186" s="76" t="s">
        <v>1302</v>
      </c>
      <c r="B5186" s="76" t="s">
        <v>1042</v>
      </c>
      <c r="C5186" s="76"/>
      <c r="D5186" s="75"/>
    </row>
    <row hidden="true" r="5187">
      <c r="A5187" s="76" t="s">
        <v>1302</v>
      </c>
      <c r="B5187" s="76" t="s">
        <v>1044</v>
      </c>
      <c r="C5187" s="76"/>
      <c r="D5187" s="75"/>
    </row>
    <row hidden="true" r="5188">
      <c r="A5188" s="76" t="s">
        <v>1302</v>
      </c>
      <c r="B5188" s="76" t="s">
        <v>1046</v>
      </c>
      <c r="C5188" s="76"/>
      <c r="D5188" s="75"/>
    </row>
    <row hidden="true" r="5189">
      <c r="A5189" s="76" t="s">
        <v>1302</v>
      </c>
      <c r="B5189" s="76" t="s">
        <v>1048</v>
      </c>
      <c r="C5189" s="76"/>
      <c r="D5189" s="75"/>
    </row>
    <row hidden="true" r="5190">
      <c r="A5190" s="76" t="s">
        <v>1302</v>
      </c>
      <c r="B5190" s="76" t="s">
        <v>1050</v>
      </c>
      <c r="C5190" s="76"/>
      <c r="D5190" s="75"/>
    </row>
    <row hidden="true" r="5191">
      <c r="A5191" s="76" t="s">
        <v>1302</v>
      </c>
      <c r="B5191" s="76" t="s">
        <v>1052</v>
      </c>
      <c r="C5191" s="76"/>
      <c r="D5191" s="75"/>
    </row>
    <row hidden="true" r="5192">
      <c r="A5192" s="76" t="s">
        <v>1302</v>
      </c>
      <c r="B5192" s="76" t="s">
        <v>1054</v>
      </c>
      <c r="C5192" s="76"/>
      <c r="D5192" s="75"/>
    </row>
    <row hidden="true" r="5193">
      <c r="A5193" s="76" t="s">
        <v>1302</v>
      </c>
      <c r="B5193" s="76" t="s">
        <v>1056</v>
      </c>
      <c r="C5193" s="76"/>
      <c r="D5193" s="75"/>
    </row>
    <row hidden="true" r="5194">
      <c r="A5194" s="76" t="s">
        <v>1302</v>
      </c>
      <c r="B5194" s="76" t="s">
        <v>1058</v>
      </c>
      <c r="C5194" s="76"/>
      <c r="D5194" s="75"/>
    </row>
    <row hidden="true" r="5195">
      <c r="A5195" s="76" t="s">
        <v>1302</v>
      </c>
      <c r="B5195" s="76" t="s">
        <v>1060</v>
      </c>
      <c r="C5195" s="76"/>
      <c r="D5195" s="75"/>
    </row>
    <row hidden="true" r="5196">
      <c r="A5196" s="76" t="s">
        <v>1302</v>
      </c>
      <c r="B5196" s="76" t="s">
        <v>1062</v>
      </c>
      <c r="C5196" s="76"/>
      <c r="D5196" s="75"/>
    </row>
    <row hidden="true" r="5197">
      <c r="A5197" s="76" t="s">
        <v>1302</v>
      </c>
      <c r="B5197" s="76" t="s">
        <v>1064</v>
      </c>
      <c r="C5197" s="76"/>
      <c r="D5197" s="75"/>
    </row>
    <row hidden="true" r="5198">
      <c r="A5198" s="76" t="s">
        <v>1302</v>
      </c>
      <c r="B5198" s="76" t="s">
        <v>1066</v>
      </c>
      <c r="C5198" s="76"/>
      <c r="D5198" s="75"/>
    </row>
    <row hidden="true" r="5199">
      <c r="A5199" s="76" t="s">
        <v>1302</v>
      </c>
      <c r="B5199" s="76" t="s">
        <v>1068</v>
      </c>
      <c r="C5199" s="76"/>
      <c r="D5199" s="75"/>
    </row>
    <row hidden="true" r="5200">
      <c r="A5200" s="76" t="s">
        <v>1302</v>
      </c>
      <c r="B5200" s="76" t="s">
        <v>1070</v>
      </c>
      <c r="C5200" s="76"/>
      <c r="D5200" s="75"/>
    </row>
    <row hidden="true" r="5201">
      <c r="A5201" s="76" t="s">
        <v>1302</v>
      </c>
      <c r="B5201" s="76" t="s">
        <v>1071</v>
      </c>
      <c r="C5201" s="76"/>
      <c r="D5201" s="75"/>
    </row>
    <row hidden="true" r="5202">
      <c r="A5202" s="76" t="s">
        <v>1302</v>
      </c>
      <c r="B5202" s="76" t="s">
        <v>1072</v>
      </c>
      <c r="C5202" s="76"/>
      <c r="D5202" s="75"/>
    </row>
    <row hidden="true" r="5203">
      <c r="A5203" s="76" t="s">
        <v>1302</v>
      </c>
      <c r="B5203" s="76" t="s">
        <v>1074</v>
      </c>
      <c r="C5203" s="76"/>
      <c r="D5203" s="75"/>
    </row>
    <row hidden="true" r="5204">
      <c r="A5204" s="76" t="s">
        <v>1302</v>
      </c>
      <c r="B5204" s="76" t="s">
        <v>1075</v>
      </c>
      <c r="C5204" s="76"/>
      <c r="D5204" s="75"/>
    </row>
    <row hidden="true" r="5205">
      <c r="A5205" s="76" t="s">
        <v>1302</v>
      </c>
      <c r="B5205" s="76" t="s">
        <v>1076</v>
      </c>
      <c r="C5205" s="76"/>
      <c r="D5205" s="75"/>
    </row>
    <row hidden="true" r="5206">
      <c r="A5206" s="76" t="s">
        <v>1302</v>
      </c>
      <c r="B5206" s="76" t="s">
        <v>1078</v>
      </c>
      <c r="C5206" s="76"/>
      <c r="D5206" s="75"/>
    </row>
    <row hidden="true" r="5207">
      <c r="A5207" s="76" t="s">
        <v>1302</v>
      </c>
      <c r="B5207" s="76" t="s">
        <v>839</v>
      </c>
      <c r="C5207" s="76"/>
      <c r="D5207" s="75"/>
    </row>
    <row hidden="true" r="5208">
      <c r="A5208" s="76" t="s">
        <v>1302</v>
      </c>
      <c r="B5208" s="76" t="s">
        <v>1080</v>
      </c>
      <c r="C5208" s="76"/>
      <c r="D5208" s="75"/>
    </row>
    <row hidden="true" r="5209">
      <c r="A5209" s="76" t="s">
        <v>1302</v>
      </c>
      <c r="B5209" s="76" t="s">
        <v>1082</v>
      </c>
      <c r="C5209" s="76"/>
      <c r="D5209" s="75"/>
    </row>
    <row hidden="true" r="5210">
      <c r="A5210" s="76" t="s">
        <v>1302</v>
      </c>
      <c r="B5210" s="76" t="s">
        <v>1084</v>
      </c>
      <c r="C5210" s="76"/>
      <c r="D5210" s="75"/>
    </row>
    <row hidden="true" r="5211">
      <c r="A5211" s="76" t="s">
        <v>1302</v>
      </c>
      <c r="B5211" s="76" t="s">
        <v>1086</v>
      </c>
      <c r="C5211" s="76"/>
      <c r="D5211" s="75"/>
    </row>
    <row hidden="true" r="5212">
      <c r="A5212" s="76" t="s">
        <v>1302</v>
      </c>
      <c r="B5212" s="76" t="s">
        <v>1088</v>
      </c>
      <c r="C5212" s="76"/>
      <c r="D5212" s="75"/>
    </row>
    <row hidden="true" r="5213">
      <c r="A5213" s="76" t="s">
        <v>1302</v>
      </c>
      <c r="B5213" s="76" t="s">
        <v>1090</v>
      </c>
      <c r="C5213" s="76"/>
      <c r="D5213" s="75"/>
    </row>
    <row hidden="true" r="5214">
      <c r="A5214" s="76" t="s">
        <v>1302</v>
      </c>
      <c r="B5214" s="76" t="s">
        <v>1092</v>
      </c>
      <c r="C5214" s="76"/>
      <c r="D5214" s="75"/>
    </row>
    <row hidden="true" r="5215">
      <c r="A5215" s="76" t="s">
        <v>1302</v>
      </c>
      <c r="B5215" s="76" t="s">
        <v>1093</v>
      </c>
      <c r="C5215" s="76"/>
      <c r="D5215" s="75"/>
    </row>
    <row hidden="true" r="5216">
      <c r="A5216" s="76" t="s">
        <v>1302</v>
      </c>
      <c r="B5216" s="76" t="s">
        <v>1095</v>
      </c>
      <c r="C5216" s="76"/>
      <c r="D5216" s="75"/>
    </row>
    <row hidden="true" r="5217">
      <c r="A5217" s="76" t="s">
        <v>1302</v>
      </c>
      <c r="B5217" s="76" t="s">
        <v>1097</v>
      </c>
      <c r="C5217" s="76"/>
      <c r="D5217" s="75"/>
    </row>
    <row hidden="true" r="5218">
      <c r="A5218" s="76" t="s">
        <v>1302</v>
      </c>
      <c r="B5218" s="76" t="s">
        <v>1099</v>
      </c>
      <c r="C5218" s="76"/>
      <c r="D5218" s="75"/>
    </row>
    <row hidden="true" r="5219">
      <c r="A5219" s="76" t="s">
        <v>1302</v>
      </c>
      <c r="B5219" s="76" t="s">
        <v>1101</v>
      </c>
      <c r="C5219" s="76"/>
      <c r="D5219" s="75"/>
    </row>
    <row hidden="true" r="5220">
      <c r="A5220" s="76" t="s">
        <v>1302</v>
      </c>
      <c r="B5220" s="76" t="s">
        <v>1103</v>
      </c>
      <c r="C5220" s="76"/>
      <c r="D5220" s="75"/>
    </row>
    <row hidden="true" r="5221">
      <c r="A5221" s="76" t="s">
        <v>1302</v>
      </c>
      <c r="B5221" s="76" t="s">
        <v>1105</v>
      </c>
      <c r="C5221" s="76"/>
      <c r="D5221" s="75"/>
    </row>
    <row hidden="true" r="5222">
      <c r="A5222" s="76" t="s">
        <v>1302</v>
      </c>
      <c r="B5222" s="76" t="s">
        <v>1107</v>
      </c>
      <c r="C5222" s="76"/>
      <c r="D5222" s="75"/>
    </row>
    <row hidden="true" r="5223">
      <c r="A5223" s="76" t="s">
        <v>1302</v>
      </c>
      <c r="B5223" s="76" t="s">
        <v>1109</v>
      </c>
      <c r="C5223" s="76"/>
      <c r="D5223" s="75"/>
    </row>
    <row hidden="true" r="5224">
      <c r="A5224" s="76" t="s">
        <v>1302</v>
      </c>
      <c r="B5224" s="76" t="s">
        <v>1111</v>
      </c>
      <c r="C5224" s="76"/>
      <c r="D5224" s="75"/>
    </row>
    <row hidden="true" r="5225">
      <c r="A5225" s="76" t="s">
        <v>1302</v>
      </c>
      <c r="B5225" s="76" t="s">
        <v>1113</v>
      </c>
      <c r="C5225" s="76"/>
      <c r="D5225" s="75"/>
    </row>
    <row hidden="true" r="5226">
      <c r="A5226" s="76" t="s">
        <v>1302</v>
      </c>
      <c r="B5226" s="76" t="s">
        <v>1115</v>
      </c>
      <c r="C5226" s="76"/>
      <c r="D5226" s="75"/>
    </row>
    <row hidden="true" r="5227">
      <c r="A5227" s="76" t="s">
        <v>1302</v>
      </c>
      <c r="B5227" s="76" t="s">
        <v>1117</v>
      </c>
      <c r="C5227" s="76"/>
      <c r="D5227" s="75"/>
    </row>
    <row hidden="true" r="5228">
      <c r="A5228" s="76" t="s">
        <v>1302</v>
      </c>
      <c r="B5228" s="76" t="s">
        <v>1119</v>
      </c>
      <c r="C5228" s="76"/>
      <c r="D5228" s="75"/>
    </row>
    <row hidden="true" r="5229">
      <c r="A5229" s="76" t="s">
        <v>1302</v>
      </c>
      <c r="B5229" s="76" t="s">
        <v>1121</v>
      </c>
      <c r="C5229" s="76"/>
      <c r="D5229" s="75"/>
    </row>
    <row hidden="true" r="5230">
      <c r="A5230" s="76" t="s">
        <v>1302</v>
      </c>
      <c r="B5230" s="76" t="s">
        <v>1123</v>
      </c>
      <c r="C5230" s="76"/>
      <c r="D5230" s="75"/>
    </row>
    <row hidden="true" r="5231">
      <c r="A5231" s="76" t="s">
        <v>1302</v>
      </c>
      <c r="B5231" s="76" t="s">
        <v>1125</v>
      </c>
      <c r="C5231" s="76"/>
      <c r="D5231" s="75"/>
    </row>
    <row hidden="true" r="5232">
      <c r="A5232" s="76" t="s">
        <v>1302</v>
      </c>
      <c r="B5232" s="76" t="s">
        <v>1127</v>
      </c>
      <c r="C5232" s="76"/>
      <c r="D5232" s="75"/>
    </row>
    <row hidden="true" r="5233">
      <c r="A5233" s="76" t="s">
        <v>1302</v>
      </c>
      <c r="B5233" s="76" t="s">
        <v>1129</v>
      </c>
      <c r="C5233" s="76"/>
      <c r="D5233" s="75"/>
    </row>
    <row hidden="true" r="5234">
      <c r="A5234" s="76" t="s">
        <v>1302</v>
      </c>
      <c r="B5234" s="76" t="s">
        <v>1131</v>
      </c>
      <c r="C5234" s="76"/>
      <c r="D5234" s="75"/>
    </row>
    <row hidden="true" r="5235">
      <c r="A5235" s="76" t="s">
        <v>1302</v>
      </c>
      <c r="B5235" s="76" t="s">
        <v>1133</v>
      </c>
      <c r="C5235" s="76"/>
      <c r="D5235" s="75"/>
    </row>
    <row hidden="true" r="5236">
      <c r="A5236" s="76" t="s">
        <v>1302</v>
      </c>
      <c r="B5236" s="76" t="s">
        <v>1135</v>
      </c>
      <c r="C5236" s="76"/>
      <c r="D5236" s="75"/>
    </row>
    <row hidden="true" r="5237">
      <c r="A5237" s="76" t="s">
        <v>1302</v>
      </c>
      <c r="B5237" s="76" t="s">
        <v>1137</v>
      </c>
      <c r="C5237" s="76"/>
      <c r="D5237" s="75"/>
    </row>
    <row hidden="true" r="5238">
      <c r="A5238" s="76" t="s">
        <v>1302</v>
      </c>
      <c r="B5238" s="76" t="s">
        <v>1139</v>
      </c>
      <c r="C5238" s="76"/>
      <c r="D5238" s="75"/>
    </row>
    <row hidden="true" r="5239">
      <c r="A5239" s="76" t="s">
        <v>1302</v>
      </c>
      <c r="B5239" s="76" t="s">
        <v>1141</v>
      </c>
      <c r="C5239" s="76"/>
      <c r="D5239" s="75"/>
    </row>
    <row hidden="true" r="5240">
      <c r="A5240" s="76" t="s">
        <v>1302</v>
      </c>
      <c r="B5240" s="76" t="s">
        <v>1143</v>
      </c>
      <c r="C5240" s="76"/>
      <c r="D5240" s="75"/>
    </row>
    <row hidden="true" r="5241">
      <c r="A5241" s="76" t="s">
        <v>1302</v>
      </c>
      <c r="B5241" s="76" t="s">
        <v>1145</v>
      </c>
      <c r="C5241" s="76"/>
      <c r="D5241" s="75"/>
    </row>
    <row hidden="true" r="5242">
      <c r="A5242" s="76" t="s">
        <v>1302</v>
      </c>
      <c r="B5242" s="76" t="s">
        <v>1147</v>
      </c>
      <c r="C5242" s="76"/>
      <c r="D5242" s="75"/>
    </row>
    <row hidden="true" r="5243">
      <c r="A5243" s="76" t="s">
        <v>1302</v>
      </c>
      <c r="B5243" s="76" t="s">
        <v>1149</v>
      </c>
      <c r="C5243" s="76"/>
      <c r="D5243" s="75"/>
    </row>
    <row hidden="true" r="5244">
      <c r="A5244" s="76" t="s">
        <v>1302</v>
      </c>
      <c r="B5244" s="76" t="s">
        <v>1151</v>
      </c>
      <c r="C5244" s="76"/>
      <c r="D5244" s="75"/>
    </row>
    <row hidden="true" r="5245">
      <c r="A5245" s="76" t="s">
        <v>1302</v>
      </c>
      <c r="B5245" s="76" t="s">
        <v>1153</v>
      </c>
      <c r="C5245" s="76"/>
      <c r="D5245" s="75"/>
    </row>
    <row hidden="true" r="5246">
      <c r="A5246" s="76" t="s">
        <v>1302</v>
      </c>
      <c r="B5246" s="76" t="s">
        <v>1155</v>
      </c>
      <c r="C5246" s="76"/>
      <c r="D5246" s="75"/>
    </row>
    <row hidden="true" r="5247">
      <c r="A5247" s="76" t="s">
        <v>1302</v>
      </c>
      <c r="B5247" s="76" t="s">
        <v>1157</v>
      </c>
      <c r="C5247" s="76"/>
      <c r="D5247" s="75"/>
    </row>
    <row hidden="true" r="5248">
      <c r="A5248" s="76" t="s">
        <v>1302</v>
      </c>
      <c r="B5248" s="76" t="s">
        <v>1159</v>
      </c>
      <c r="C5248" s="76"/>
      <c r="D5248" s="75"/>
    </row>
    <row hidden="true" r="5249">
      <c r="A5249" s="76" t="s">
        <v>1302</v>
      </c>
      <c r="B5249" s="76" t="s">
        <v>868</v>
      </c>
      <c r="C5249" s="76"/>
      <c r="D5249" s="75"/>
    </row>
    <row hidden="true" r="5250">
      <c r="A5250" s="76" t="s">
        <v>1302</v>
      </c>
      <c r="B5250" s="76" t="s">
        <v>1161</v>
      </c>
      <c r="C5250" s="76"/>
      <c r="D5250" s="75"/>
    </row>
    <row hidden="true" r="5251">
      <c r="A5251" s="76" t="s">
        <v>1302</v>
      </c>
      <c r="B5251" s="76" t="s">
        <v>1163</v>
      </c>
      <c r="C5251" s="76"/>
      <c r="D5251" s="75"/>
    </row>
    <row hidden="true" r="5252">
      <c r="A5252" s="76" t="s">
        <v>1302</v>
      </c>
      <c r="B5252" s="76" t="s">
        <v>1165</v>
      </c>
      <c r="C5252" s="76"/>
      <c r="D5252" s="75"/>
    </row>
    <row hidden="true" r="5253">
      <c r="A5253" s="76" t="s">
        <v>1302</v>
      </c>
      <c r="B5253" s="76" t="s">
        <v>1167</v>
      </c>
      <c r="C5253" s="76"/>
      <c r="D5253" s="75"/>
    </row>
    <row hidden="true" r="5254">
      <c r="A5254" s="76" t="s">
        <v>1302</v>
      </c>
      <c r="B5254" s="76" t="s">
        <v>1169</v>
      </c>
      <c r="C5254" s="76"/>
      <c r="D5254" s="75"/>
    </row>
    <row hidden="true" r="5255">
      <c r="A5255" s="76" t="s">
        <v>1302</v>
      </c>
      <c r="B5255" s="76" t="s">
        <v>1171</v>
      </c>
      <c r="C5255" s="76"/>
      <c r="D5255" s="75"/>
    </row>
    <row hidden="true" r="5256">
      <c r="A5256" s="76" t="s">
        <v>1302</v>
      </c>
      <c r="B5256" s="76" t="s">
        <v>1173</v>
      </c>
      <c r="C5256" s="76"/>
      <c r="D5256" s="75"/>
    </row>
    <row hidden="true" r="5257">
      <c r="A5257" s="76" t="s">
        <v>1302</v>
      </c>
      <c r="B5257" s="76" t="s">
        <v>1175</v>
      </c>
      <c r="C5257" s="76"/>
      <c r="D5257" s="75"/>
    </row>
    <row hidden="true" r="5258">
      <c r="A5258" s="76" t="s">
        <v>1302</v>
      </c>
      <c r="B5258" s="76" t="s">
        <v>1177</v>
      </c>
      <c r="C5258" s="76"/>
      <c r="D5258" s="75"/>
    </row>
    <row hidden="true" r="5259">
      <c r="A5259" s="76" t="s">
        <v>1302</v>
      </c>
      <c r="B5259" s="76" t="s">
        <v>1179</v>
      </c>
      <c r="C5259" s="76"/>
      <c r="D5259" s="75"/>
    </row>
    <row hidden="true" r="5260">
      <c r="A5260" s="76" t="s">
        <v>1302</v>
      </c>
      <c r="B5260" s="76" t="s">
        <v>1181</v>
      </c>
      <c r="C5260" s="76"/>
      <c r="D5260" s="75"/>
    </row>
    <row hidden="true" r="5261">
      <c r="A5261" s="76" t="s">
        <v>1302</v>
      </c>
      <c r="B5261" s="76" t="s">
        <v>1183</v>
      </c>
      <c r="C5261" s="76"/>
      <c r="D5261" s="75"/>
    </row>
    <row hidden="true" r="5262">
      <c r="A5262" s="76" t="s">
        <v>1302</v>
      </c>
      <c r="B5262" s="76" t="s">
        <v>1185</v>
      </c>
      <c r="C5262" s="76"/>
      <c r="D5262" s="75"/>
    </row>
    <row hidden="true" r="5263">
      <c r="A5263" s="76" t="s">
        <v>1302</v>
      </c>
      <c r="B5263" s="76" t="s">
        <v>1187</v>
      </c>
      <c r="C5263" s="76"/>
      <c r="D5263" s="75"/>
    </row>
    <row hidden="true" r="5264">
      <c r="A5264" s="76" t="s">
        <v>1302</v>
      </c>
      <c r="B5264" s="76" t="s">
        <v>1189</v>
      </c>
      <c r="C5264" s="76"/>
      <c r="D5264" s="75"/>
    </row>
    <row hidden="true" r="5265">
      <c r="A5265" s="76" t="s">
        <v>1302</v>
      </c>
      <c r="B5265" s="76" t="s">
        <v>1199</v>
      </c>
      <c r="C5265" s="76"/>
      <c r="D5265" s="75"/>
    </row>
    <row hidden="true" r="5266">
      <c r="A5266" s="76" t="s">
        <v>1302</v>
      </c>
      <c r="B5266" s="76" t="s">
        <v>1201</v>
      </c>
      <c r="C5266" s="76"/>
      <c r="D5266" s="75"/>
    </row>
    <row hidden="true" r="5267">
      <c r="A5267" s="76" t="s">
        <v>1302</v>
      </c>
      <c r="B5267" s="76" t="s">
        <v>1203</v>
      </c>
      <c r="C5267" s="76"/>
      <c r="D5267" s="75"/>
    </row>
    <row hidden="true" r="5268">
      <c r="A5268" s="76" t="s">
        <v>1302</v>
      </c>
      <c r="B5268" s="76" t="s">
        <v>1205</v>
      </c>
      <c r="C5268" s="76"/>
      <c r="D5268" s="75"/>
    </row>
    <row hidden="true" r="5269">
      <c r="A5269" s="76" t="s">
        <v>1302</v>
      </c>
      <c r="B5269" s="76" t="s">
        <v>1207</v>
      </c>
      <c r="C5269" s="76"/>
      <c r="D5269" s="75"/>
    </row>
    <row hidden="true" r="5270">
      <c r="A5270" s="76" t="s">
        <v>1302</v>
      </c>
      <c r="B5270" s="76" t="s">
        <v>1209</v>
      </c>
      <c r="C5270" s="76"/>
      <c r="D5270" s="75"/>
    </row>
    <row hidden="true" r="5271">
      <c r="A5271" s="76" t="s">
        <v>1302</v>
      </c>
      <c r="B5271" s="76" t="s">
        <v>1211</v>
      </c>
      <c r="C5271" s="76"/>
      <c r="D5271" s="75"/>
    </row>
    <row hidden="true" r="5272">
      <c r="A5272" s="76" t="s">
        <v>1302</v>
      </c>
      <c r="B5272" s="76" t="s">
        <v>1282</v>
      </c>
      <c r="C5272" s="76"/>
      <c r="D5272" s="75"/>
    </row>
    <row hidden="true" r="5273">
      <c r="A5273" s="76" t="s">
        <v>1302</v>
      </c>
      <c r="B5273" s="76" t="s">
        <v>735</v>
      </c>
      <c r="C5273" s="76"/>
      <c r="D5273" s="75"/>
    </row>
    <row hidden="true" r="5274">
      <c r="A5274" s="76" t="s">
        <v>1303</v>
      </c>
      <c r="B5274" s="76" t="s">
        <v>407</v>
      </c>
      <c r="C5274" s="76" t="s">
        <v>1281</v>
      </c>
      <c r="D5274" s="75"/>
    </row>
    <row hidden="true" r="5275">
      <c r="A5275" s="76" t="s">
        <v>1303</v>
      </c>
      <c r="B5275" s="76" t="s">
        <v>744</v>
      </c>
      <c r="C5275" s="76" t="s">
        <v>1281</v>
      </c>
      <c r="D5275" s="75"/>
    </row>
    <row hidden="true" r="5276">
      <c r="A5276" s="76" t="s">
        <v>1303</v>
      </c>
      <c r="B5276" s="76" t="s">
        <v>409</v>
      </c>
      <c r="C5276" s="76" t="s">
        <v>1281</v>
      </c>
      <c r="D5276" s="75"/>
    </row>
    <row hidden="true" r="5277">
      <c r="A5277" s="76" t="s">
        <v>1303</v>
      </c>
      <c r="B5277" s="76" t="s">
        <v>884</v>
      </c>
      <c r="C5277" s="76" t="s">
        <v>1281</v>
      </c>
      <c r="D5277" s="75"/>
    </row>
    <row hidden="true" r="5278">
      <c r="A5278" s="76" t="s">
        <v>1303</v>
      </c>
      <c r="B5278" s="76" t="s">
        <v>886</v>
      </c>
      <c r="C5278" s="76" t="s">
        <v>1281</v>
      </c>
      <c r="D5278" s="75"/>
    </row>
    <row hidden="true" r="5279">
      <c r="A5279" s="76" t="s">
        <v>1303</v>
      </c>
      <c r="B5279" s="76" t="s">
        <v>888</v>
      </c>
      <c r="C5279" s="76" t="s">
        <v>1281</v>
      </c>
      <c r="D5279" s="75"/>
    </row>
    <row hidden="true" r="5280">
      <c r="A5280" s="76" t="s">
        <v>1303</v>
      </c>
      <c r="B5280" s="76" t="s">
        <v>890</v>
      </c>
      <c r="C5280" s="76" t="s">
        <v>1281</v>
      </c>
      <c r="D5280" s="75"/>
    </row>
    <row hidden="true" r="5281">
      <c r="A5281" s="76" t="s">
        <v>1303</v>
      </c>
      <c r="B5281" s="76" t="s">
        <v>892</v>
      </c>
      <c r="C5281" s="76" t="s">
        <v>1281</v>
      </c>
      <c r="D5281" s="75"/>
    </row>
    <row hidden="true" r="5282">
      <c r="A5282" s="76" t="s">
        <v>1303</v>
      </c>
      <c r="B5282" s="76" t="s">
        <v>894</v>
      </c>
      <c r="C5282" s="76" t="s">
        <v>1281</v>
      </c>
      <c r="D5282" s="75"/>
    </row>
    <row hidden="true" r="5283">
      <c r="A5283" s="76" t="s">
        <v>1303</v>
      </c>
      <c r="B5283" s="76" t="s">
        <v>896</v>
      </c>
      <c r="C5283" s="76" t="s">
        <v>1281</v>
      </c>
      <c r="D5283" s="75"/>
    </row>
    <row hidden="true" r="5284">
      <c r="A5284" s="76" t="s">
        <v>1303</v>
      </c>
      <c r="B5284" s="76" t="s">
        <v>898</v>
      </c>
      <c r="C5284" s="76" t="s">
        <v>1281</v>
      </c>
      <c r="D5284" s="75"/>
    </row>
    <row hidden="true" r="5285">
      <c r="A5285" s="76" t="s">
        <v>1303</v>
      </c>
      <c r="B5285" s="76" t="s">
        <v>900</v>
      </c>
      <c r="C5285" s="76" t="s">
        <v>1281</v>
      </c>
      <c r="D5285" s="75"/>
    </row>
    <row hidden="true" r="5286">
      <c r="A5286" s="76" t="s">
        <v>1303</v>
      </c>
      <c r="B5286" s="76" t="s">
        <v>902</v>
      </c>
      <c r="C5286" s="76" t="s">
        <v>1281</v>
      </c>
      <c r="D5286" s="75"/>
    </row>
    <row hidden="true" r="5287">
      <c r="A5287" s="76" t="s">
        <v>1303</v>
      </c>
      <c r="B5287" s="76" t="s">
        <v>904</v>
      </c>
      <c r="C5287" s="76" t="s">
        <v>1281</v>
      </c>
      <c r="D5287" s="75"/>
    </row>
    <row hidden="true" r="5288">
      <c r="A5288" s="76" t="s">
        <v>1303</v>
      </c>
      <c r="B5288" s="76" t="s">
        <v>906</v>
      </c>
      <c r="C5288" s="76" t="s">
        <v>1281</v>
      </c>
      <c r="D5288" s="75"/>
    </row>
    <row hidden="true" r="5289">
      <c r="A5289" s="76" t="s">
        <v>1303</v>
      </c>
      <c r="B5289" s="76" t="s">
        <v>908</v>
      </c>
      <c r="C5289" s="76" t="s">
        <v>1281</v>
      </c>
      <c r="D5289" s="75"/>
    </row>
    <row hidden="true" r="5290">
      <c r="A5290" s="76" t="s">
        <v>1303</v>
      </c>
      <c r="B5290" s="76" t="s">
        <v>910</v>
      </c>
      <c r="C5290" s="76" t="s">
        <v>1281</v>
      </c>
      <c r="D5290" s="75"/>
    </row>
    <row hidden="true" r="5291">
      <c r="A5291" s="76" t="s">
        <v>1303</v>
      </c>
      <c r="B5291" s="76" t="s">
        <v>912</v>
      </c>
      <c r="C5291" s="76" t="s">
        <v>1281</v>
      </c>
      <c r="D5291" s="75"/>
    </row>
    <row hidden="true" r="5292">
      <c r="A5292" s="76" t="s">
        <v>1303</v>
      </c>
      <c r="B5292" s="76" t="s">
        <v>914</v>
      </c>
      <c r="C5292" s="76" t="s">
        <v>1281</v>
      </c>
      <c r="D5292" s="75"/>
    </row>
    <row hidden="true" r="5293">
      <c r="A5293" s="76" t="s">
        <v>1303</v>
      </c>
      <c r="B5293" s="76" t="s">
        <v>916</v>
      </c>
      <c r="C5293" s="76" t="s">
        <v>1281</v>
      </c>
      <c r="D5293" s="75"/>
    </row>
    <row hidden="true" r="5294">
      <c r="A5294" s="76" t="s">
        <v>1303</v>
      </c>
      <c r="B5294" s="76" t="s">
        <v>918</v>
      </c>
      <c r="C5294" s="76" t="s">
        <v>1281</v>
      </c>
      <c r="D5294" s="75"/>
    </row>
    <row hidden="true" r="5295">
      <c r="A5295" s="76" t="s">
        <v>1303</v>
      </c>
      <c r="B5295" s="76" t="s">
        <v>920</v>
      </c>
      <c r="C5295" s="76" t="s">
        <v>1281</v>
      </c>
      <c r="D5295" s="75"/>
    </row>
    <row hidden="true" r="5296">
      <c r="A5296" s="76" t="s">
        <v>1303</v>
      </c>
      <c r="B5296" s="76" t="s">
        <v>922</v>
      </c>
      <c r="C5296" s="76" t="s">
        <v>1281</v>
      </c>
      <c r="D5296" s="75"/>
    </row>
    <row hidden="true" r="5297">
      <c r="A5297" s="76" t="s">
        <v>1303</v>
      </c>
      <c r="B5297" s="76" t="s">
        <v>924</v>
      </c>
      <c r="C5297" s="76" t="s">
        <v>1281</v>
      </c>
      <c r="D5297" s="75"/>
    </row>
    <row hidden="true" r="5298">
      <c r="A5298" s="76" t="s">
        <v>1303</v>
      </c>
      <c r="B5298" s="76" t="s">
        <v>926</v>
      </c>
      <c r="C5298" s="76" t="s">
        <v>1281</v>
      </c>
      <c r="D5298" s="75"/>
    </row>
    <row hidden="true" r="5299">
      <c r="A5299" s="76" t="s">
        <v>1303</v>
      </c>
      <c r="B5299" s="76" t="s">
        <v>928</v>
      </c>
      <c r="C5299" s="76" t="s">
        <v>1281</v>
      </c>
      <c r="D5299" s="75"/>
    </row>
    <row hidden="true" r="5300">
      <c r="A5300" s="76" t="s">
        <v>1303</v>
      </c>
      <c r="B5300" s="76" t="s">
        <v>930</v>
      </c>
      <c r="C5300" s="76" t="s">
        <v>1281</v>
      </c>
      <c r="D5300" s="75"/>
    </row>
    <row hidden="true" r="5301">
      <c r="A5301" s="76" t="s">
        <v>1303</v>
      </c>
      <c r="B5301" s="76" t="s">
        <v>932</v>
      </c>
      <c r="C5301" s="76" t="s">
        <v>1281</v>
      </c>
      <c r="D5301" s="75"/>
    </row>
    <row hidden="true" r="5302">
      <c r="A5302" s="76" t="s">
        <v>1303</v>
      </c>
      <c r="B5302" s="76" t="s">
        <v>934</v>
      </c>
      <c r="C5302" s="76" t="s">
        <v>1281</v>
      </c>
      <c r="D5302" s="75"/>
    </row>
    <row hidden="true" r="5303">
      <c r="A5303" s="76" t="s">
        <v>1303</v>
      </c>
      <c r="B5303" s="76" t="s">
        <v>936</v>
      </c>
      <c r="C5303" s="76" t="s">
        <v>1281</v>
      </c>
      <c r="D5303" s="75"/>
    </row>
    <row hidden="true" r="5304">
      <c r="A5304" s="76" t="s">
        <v>1303</v>
      </c>
      <c r="B5304" s="76" t="s">
        <v>938</v>
      </c>
      <c r="C5304" s="76" t="s">
        <v>1281</v>
      </c>
      <c r="D5304" s="75"/>
    </row>
    <row hidden="true" r="5305">
      <c r="A5305" s="76" t="s">
        <v>1303</v>
      </c>
      <c r="B5305" s="76" t="s">
        <v>940</v>
      </c>
      <c r="C5305" s="76" t="s">
        <v>1281</v>
      </c>
      <c r="D5305" s="75"/>
    </row>
    <row hidden="true" r="5306">
      <c r="A5306" s="76" t="s">
        <v>1303</v>
      </c>
      <c r="B5306" s="76" t="s">
        <v>942</v>
      </c>
      <c r="C5306" s="76" t="s">
        <v>1281</v>
      </c>
      <c r="D5306" s="75"/>
    </row>
    <row hidden="true" r="5307">
      <c r="A5307" s="76" t="s">
        <v>1303</v>
      </c>
      <c r="B5307" s="76" t="s">
        <v>944</v>
      </c>
      <c r="C5307" s="76" t="s">
        <v>1281</v>
      </c>
      <c r="D5307" s="75"/>
    </row>
    <row hidden="true" r="5308">
      <c r="A5308" s="76" t="s">
        <v>1303</v>
      </c>
      <c r="B5308" s="76" t="s">
        <v>946</v>
      </c>
      <c r="C5308" s="76" t="s">
        <v>1281</v>
      </c>
      <c r="D5308" s="75"/>
    </row>
    <row hidden="true" r="5309">
      <c r="A5309" s="76" t="s">
        <v>1303</v>
      </c>
      <c r="B5309" s="76" t="s">
        <v>948</v>
      </c>
      <c r="C5309" s="76" t="s">
        <v>1281</v>
      </c>
      <c r="D5309" s="75"/>
    </row>
    <row hidden="true" r="5310">
      <c r="A5310" s="76" t="s">
        <v>1303</v>
      </c>
      <c r="B5310" s="76" t="s">
        <v>950</v>
      </c>
      <c r="C5310" s="76" t="s">
        <v>1281</v>
      </c>
      <c r="D5310" s="75"/>
    </row>
    <row hidden="true" r="5311">
      <c r="A5311" s="76" t="s">
        <v>1303</v>
      </c>
      <c r="B5311" s="76" t="s">
        <v>952</v>
      </c>
      <c r="C5311" s="76" t="s">
        <v>1281</v>
      </c>
      <c r="D5311" s="75"/>
    </row>
    <row hidden="true" r="5312">
      <c r="A5312" s="76" t="s">
        <v>1303</v>
      </c>
      <c r="B5312" s="76" t="s">
        <v>954</v>
      </c>
      <c r="C5312" s="76" t="s">
        <v>1281</v>
      </c>
      <c r="D5312" s="75"/>
    </row>
    <row hidden="true" r="5313">
      <c r="A5313" s="76" t="s">
        <v>1303</v>
      </c>
      <c r="B5313" s="76" t="s">
        <v>775</v>
      </c>
      <c r="C5313" s="76" t="s">
        <v>1281</v>
      </c>
      <c r="D5313" s="75"/>
    </row>
    <row hidden="true" r="5314">
      <c r="A5314" s="76" t="s">
        <v>1303</v>
      </c>
      <c r="B5314" s="76" t="s">
        <v>956</v>
      </c>
      <c r="C5314" s="76" t="s">
        <v>1281</v>
      </c>
      <c r="D5314" s="75"/>
    </row>
    <row hidden="true" r="5315">
      <c r="A5315" s="76" t="s">
        <v>1303</v>
      </c>
      <c r="B5315" s="76" t="s">
        <v>958</v>
      </c>
      <c r="C5315" s="76" t="s">
        <v>1281</v>
      </c>
      <c r="D5315" s="75"/>
    </row>
    <row hidden="true" r="5316">
      <c r="A5316" s="76" t="s">
        <v>1303</v>
      </c>
      <c r="B5316" s="76" t="s">
        <v>960</v>
      </c>
      <c r="C5316" s="76" t="s">
        <v>1281</v>
      </c>
      <c r="D5316" s="75"/>
    </row>
    <row hidden="true" r="5317">
      <c r="A5317" s="76" t="s">
        <v>1303</v>
      </c>
      <c r="B5317" s="76" t="s">
        <v>962</v>
      </c>
      <c r="C5317" s="76" t="s">
        <v>1281</v>
      </c>
      <c r="D5317" s="75"/>
    </row>
    <row hidden="true" r="5318">
      <c r="A5318" s="76" t="s">
        <v>1303</v>
      </c>
      <c r="B5318" s="76" t="s">
        <v>964</v>
      </c>
      <c r="C5318" s="76" t="s">
        <v>1281</v>
      </c>
      <c r="D5318" s="75"/>
    </row>
    <row hidden="true" r="5319">
      <c r="A5319" s="76" t="s">
        <v>1303</v>
      </c>
      <c r="B5319" s="76" t="s">
        <v>966</v>
      </c>
      <c r="C5319" s="76" t="s">
        <v>1281</v>
      </c>
      <c r="D5319" s="75"/>
    </row>
    <row hidden="true" r="5320">
      <c r="A5320" s="76" t="s">
        <v>1303</v>
      </c>
      <c r="B5320" s="76" t="s">
        <v>968</v>
      </c>
      <c r="C5320" s="76" t="s">
        <v>1281</v>
      </c>
      <c r="D5320" s="75"/>
    </row>
    <row hidden="true" r="5321">
      <c r="A5321" s="76" t="s">
        <v>1303</v>
      </c>
      <c r="B5321" s="76" t="s">
        <v>970</v>
      </c>
      <c r="C5321" s="76" t="s">
        <v>1281</v>
      </c>
      <c r="D5321" s="75"/>
    </row>
    <row hidden="true" r="5322">
      <c r="A5322" s="76" t="s">
        <v>1303</v>
      </c>
      <c r="B5322" s="76" t="s">
        <v>972</v>
      </c>
      <c r="C5322" s="76" t="s">
        <v>1281</v>
      </c>
      <c r="D5322" s="75"/>
    </row>
    <row hidden="true" r="5323">
      <c r="A5323" s="76" t="s">
        <v>1303</v>
      </c>
      <c r="B5323" s="76" t="s">
        <v>974</v>
      </c>
      <c r="C5323" s="76" t="s">
        <v>1281</v>
      </c>
      <c r="D5323" s="75"/>
    </row>
    <row hidden="true" r="5324">
      <c r="A5324" s="76" t="s">
        <v>1303</v>
      </c>
      <c r="B5324" s="76" t="s">
        <v>976</v>
      </c>
      <c r="C5324" s="76" t="s">
        <v>1281</v>
      </c>
      <c r="D5324" s="75"/>
    </row>
    <row hidden="true" r="5325">
      <c r="A5325" s="76" t="s">
        <v>1303</v>
      </c>
      <c r="B5325" s="76" t="s">
        <v>823</v>
      </c>
      <c r="C5325" s="76" t="s">
        <v>1281</v>
      </c>
      <c r="D5325" s="75"/>
    </row>
    <row hidden="true" r="5326">
      <c r="A5326" s="76" t="s">
        <v>1303</v>
      </c>
      <c r="B5326" s="76" t="s">
        <v>978</v>
      </c>
      <c r="C5326" s="76" t="s">
        <v>1281</v>
      </c>
      <c r="D5326" s="75"/>
    </row>
    <row hidden="true" r="5327">
      <c r="A5327" s="76" t="s">
        <v>1303</v>
      </c>
      <c r="B5327" s="76" t="s">
        <v>980</v>
      </c>
      <c r="C5327" s="76" t="s">
        <v>1281</v>
      </c>
      <c r="D5327" s="75"/>
    </row>
    <row hidden="true" r="5328">
      <c r="A5328" s="76" t="s">
        <v>1303</v>
      </c>
      <c r="B5328" s="76" t="s">
        <v>982</v>
      </c>
      <c r="C5328" s="76" t="s">
        <v>1281</v>
      </c>
      <c r="D5328" s="75"/>
    </row>
    <row hidden="true" r="5329">
      <c r="A5329" s="76" t="s">
        <v>1303</v>
      </c>
      <c r="B5329" s="76" t="s">
        <v>984</v>
      </c>
      <c r="C5329" s="76" t="s">
        <v>1281</v>
      </c>
      <c r="D5329" s="75"/>
    </row>
    <row hidden="true" r="5330">
      <c r="A5330" s="76" t="s">
        <v>1303</v>
      </c>
      <c r="B5330" s="76" t="s">
        <v>986</v>
      </c>
      <c r="C5330" s="76" t="s">
        <v>1281</v>
      </c>
      <c r="D5330" s="75"/>
    </row>
    <row hidden="true" r="5331">
      <c r="A5331" s="76" t="s">
        <v>1303</v>
      </c>
      <c r="B5331" s="76" t="s">
        <v>988</v>
      </c>
      <c r="C5331" s="76" t="s">
        <v>1281</v>
      </c>
      <c r="D5331" s="75"/>
    </row>
    <row hidden="true" r="5332">
      <c r="A5332" s="76" t="s">
        <v>1303</v>
      </c>
      <c r="B5332" s="76" t="s">
        <v>990</v>
      </c>
      <c r="C5332" s="76" t="s">
        <v>1281</v>
      </c>
      <c r="D5332" s="75"/>
    </row>
    <row hidden="true" r="5333">
      <c r="A5333" s="76" t="s">
        <v>1303</v>
      </c>
      <c r="B5333" s="76" t="s">
        <v>992</v>
      </c>
      <c r="C5333" s="76" t="s">
        <v>1281</v>
      </c>
      <c r="D5333" s="75"/>
    </row>
    <row hidden="true" r="5334">
      <c r="A5334" s="76" t="s">
        <v>1303</v>
      </c>
      <c r="B5334" s="76" t="s">
        <v>994</v>
      </c>
      <c r="C5334" s="76" t="s">
        <v>1281</v>
      </c>
      <c r="D5334" s="75"/>
    </row>
    <row hidden="true" r="5335">
      <c r="A5335" s="76" t="s">
        <v>1303</v>
      </c>
      <c r="B5335" s="76" t="s">
        <v>996</v>
      </c>
      <c r="C5335" s="76" t="s">
        <v>1281</v>
      </c>
      <c r="D5335" s="75"/>
    </row>
    <row hidden="true" r="5336">
      <c r="A5336" s="76" t="s">
        <v>1303</v>
      </c>
      <c r="B5336" s="76" t="s">
        <v>998</v>
      </c>
      <c r="C5336" s="76" t="s">
        <v>1281</v>
      </c>
      <c r="D5336" s="75"/>
    </row>
    <row hidden="true" r="5337">
      <c r="A5337" s="76" t="s">
        <v>1303</v>
      </c>
      <c r="B5337" s="76" t="s">
        <v>1000</v>
      </c>
      <c r="C5337" s="76" t="s">
        <v>1281</v>
      </c>
      <c r="D5337" s="75"/>
    </row>
    <row hidden="true" r="5338">
      <c r="A5338" s="76" t="s">
        <v>1303</v>
      </c>
      <c r="B5338" s="76" t="s">
        <v>1002</v>
      </c>
      <c r="C5338" s="76" t="s">
        <v>1281</v>
      </c>
      <c r="D5338" s="75"/>
    </row>
    <row hidden="true" r="5339">
      <c r="A5339" s="76" t="s">
        <v>1303</v>
      </c>
      <c r="B5339" s="76" t="s">
        <v>1004</v>
      </c>
      <c r="C5339" s="76" t="s">
        <v>1281</v>
      </c>
      <c r="D5339" s="75"/>
    </row>
    <row hidden="true" r="5340">
      <c r="A5340" s="76" t="s">
        <v>1303</v>
      </c>
      <c r="B5340" s="76" t="s">
        <v>1006</v>
      </c>
      <c r="C5340" s="76" t="s">
        <v>1281</v>
      </c>
      <c r="D5340" s="75"/>
    </row>
    <row hidden="true" r="5341">
      <c r="A5341" s="76" t="s">
        <v>1303</v>
      </c>
      <c r="B5341" s="76" t="s">
        <v>1008</v>
      </c>
      <c r="C5341" s="76" t="s">
        <v>1281</v>
      </c>
      <c r="D5341" s="75"/>
    </row>
    <row hidden="true" r="5342">
      <c r="A5342" s="76" t="s">
        <v>1303</v>
      </c>
      <c r="B5342" s="76" t="s">
        <v>1010</v>
      </c>
      <c r="C5342" s="76" t="s">
        <v>1281</v>
      </c>
      <c r="D5342" s="75"/>
    </row>
    <row hidden="true" r="5343">
      <c r="A5343" s="76" t="s">
        <v>1303</v>
      </c>
      <c r="B5343" s="76" t="s">
        <v>1012</v>
      </c>
      <c r="C5343" s="76" t="s">
        <v>1281</v>
      </c>
      <c r="D5343" s="75"/>
    </row>
    <row hidden="true" r="5344">
      <c r="A5344" s="76" t="s">
        <v>1303</v>
      </c>
      <c r="B5344" s="76" t="s">
        <v>1014</v>
      </c>
      <c r="C5344" s="76" t="s">
        <v>1281</v>
      </c>
      <c r="D5344" s="75"/>
    </row>
    <row hidden="true" r="5345">
      <c r="A5345" s="76" t="s">
        <v>1303</v>
      </c>
      <c r="B5345" s="76" t="s">
        <v>1016</v>
      </c>
      <c r="C5345" s="76" t="s">
        <v>1281</v>
      </c>
      <c r="D5345" s="75"/>
    </row>
    <row hidden="true" r="5346">
      <c r="A5346" s="76" t="s">
        <v>1303</v>
      </c>
      <c r="B5346" s="76" t="s">
        <v>1018</v>
      </c>
      <c r="C5346" s="76" t="s">
        <v>1281</v>
      </c>
      <c r="D5346" s="75"/>
    </row>
    <row hidden="true" r="5347">
      <c r="A5347" s="76" t="s">
        <v>1303</v>
      </c>
      <c r="B5347" s="76" t="s">
        <v>1020</v>
      </c>
      <c r="C5347" s="76" t="s">
        <v>1281</v>
      </c>
      <c r="D5347" s="75"/>
    </row>
    <row hidden="true" r="5348">
      <c r="A5348" s="76" t="s">
        <v>1303</v>
      </c>
      <c r="B5348" s="76" t="s">
        <v>1022</v>
      </c>
      <c r="C5348" s="76" t="s">
        <v>1281</v>
      </c>
      <c r="D5348" s="75"/>
    </row>
    <row hidden="true" r="5349">
      <c r="A5349" s="76" t="s">
        <v>1303</v>
      </c>
      <c r="B5349" s="76" t="s">
        <v>1023</v>
      </c>
      <c r="C5349" s="76" t="s">
        <v>1281</v>
      </c>
      <c r="D5349" s="75"/>
    </row>
    <row hidden="true" r="5350">
      <c r="A5350" s="76" t="s">
        <v>1303</v>
      </c>
      <c r="B5350" s="76" t="s">
        <v>1024</v>
      </c>
      <c r="C5350" s="76" t="s">
        <v>1281</v>
      </c>
      <c r="D5350" s="75"/>
    </row>
    <row hidden="true" r="5351">
      <c r="A5351" s="76" t="s">
        <v>1303</v>
      </c>
      <c r="B5351" s="76" t="s">
        <v>1025</v>
      </c>
      <c r="C5351" s="76" t="s">
        <v>1281</v>
      </c>
      <c r="D5351" s="75"/>
    </row>
    <row hidden="true" r="5352">
      <c r="A5352" s="76" t="s">
        <v>1303</v>
      </c>
      <c r="B5352" s="76" t="s">
        <v>1026</v>
      </c>
      <c r="C5352" s="76" t="s">
        <v>1281</v>
      </c>
      <c r="D5352" s="75"/>
    </row>
    <row hidden="true" r="5353">
      <c r="A5353" s="76" t="s">
        <v>1303</v>
      </c>
      <c r="B5353" s="76" t="s">
        <v>1027</v>
      </c>
      <c r="C5353" s="76" t="s">
        <v>1281</v>
      </c>
      <c r="D5353" s="75"/>
    </row>
    <row hidden="true" r="5354">
      <c r="A5354" s="76" t="s">
        <v>1303</v>
      </c>
      <c r="B5354" s="76" t="s">
        <v>1028</v>
      </c>
      <c r="C5354" s="76" t="s">
        <v>1281</v>
      </c>
      <c r="D5354" s="75"/>
    </row>
    <row hidden="true" r="5355">
      <c r="A5355" s="76" t="s">
        <v>1303</v>
      </c>
      <c r="B5355" s="76" t="s">
        <v>530</v>
      </c>
      <c r="C5355" s="76" t="s">
        <v>1281</v>
      </c>
      <c r="D5355" s="75"/>
    </row>
    <row hidden="true" r="5356">
      <c r="A5356" s="76" t="s">
        <v>1303</v>
      </c>
      <c r="B5356" s="76" t="s">
        <v>1030</v>
      </c>
      <c r="C5356" s="76" t="s">
        <v>1281</v>
      </c>
      <c r="D5356" s="75"/>
    </row>
    <row hidden="true" r="5357">
      <c r="A5357" s="76" t="s">
        <v>1303</v>
      </c>
      <c r="B5357" s="76" t="s">
        <v>1032</v>
      </c>
      <c r="C5357" s="76" t="s">
        <v>1281</v>
      </c>
      <c r="D5357" s="75"/>
    </row>
    <row hidden="true" r="5358">
      <c r="A5358" s="76" t="s">
        <v>1303</v>
      </c>
      <c r="B5358" s="76" t="s">
        <v>1034</v>
      </c>
      <c r="C5358" s="76" t="s">
        <v>1281</v>
      </c>
      <c r="D5358" s="75"/>
    </row>
    <row hidden="true" r="5359">
      <c r="A5359" s="76" t="s">
        <v>1303</v>
      </c>
      <c r="B5359" s="76" t="s">
        <v>532</v>
      </c>
      <c r="C5359" s="76" t="s">
        <v>1281</v>
      </c>
      <c r="D5359" s="75"/>
    </row>
    <row hidden="true" r="5360">
      <c r="A5360" s="76" t="s">
        <v>1303</v>
      </c>
      <c r="B5360" s="76" t="s">
        <v>1036</v>
      </c>
      <c r="C5360" s="76" t="s">
        <v>1281</v>
      </c>
      <c r="D5360" s="75"/>
    </row>
    <row hidden="true" r="5361">
      <c r="A5361" s="76" t="s">
        <v>1303</v>
      </c>
      <c r="B5361" s="76" t="s">
        <v>1038</v>
      </c>
      <c r="C5361" s="76" t="s">
        <v>1281</v>
      </c>
      <c r="D5361" s="75"/>
    </row>
    <row hidden="true" r="5362">
      <c r="A5362" s="76" t="s">
        <v>1303</v>
      </c>
      <c r="B5362" s="76" t="s">
        <v>1040</v>
      </c>
      <c r="C5362" s="76" t="s">
        <v>1281</v>
      </c>
      <c r="D5362" s="75"/>
    </row>
    <row hidden="true" r="5363">
      <c r="A5363" s="76" t="s">
        <v>1303</v>
      </c>
      <c r="B5363" s="76" t="s">
        <v>1042</v>
      </c>
      <c r="C5363" s="76" t="s">
        <v>1281</v>
      </c>
      <c r="D5363" s="75"/>
    </row>
    <row hidden="true" r="5364">
      <c r="A5364" s="76" t="s">
        <v>1303</v>
      </c>
      <c r="B5364" s="76" t="s">
        <v>1044</v>
      </c>
      <c r="C5364" s="76" t="s">
        <v>1281</v>
      </c>
      <c r="D5364" s="75"/>
    </row>
    <row hidden="true" r="5365">
      <c r="A5365" s="76" t="s">
        <v>1303</v>
      </c>
      <c r="B5365" s="76" t="s">
        <v>1046</v>
      </c>
      <c r="C5365" s="76" t="s">
        <v>1281</v>
      </c>
      <c r="D5365" s="75"/>
    </row>
    <row hidden="true" r="5366">
      <c r="A5366" s="76" t="s">
        <v>1303</v>
      </c>
      <c r="B5366" s="76" t="s">
        <v>1048</v>
      </c>
      <c r="C5366" s="76" t="s">
        <v>1281</v>
      </c>
      <c r="D5366" s="75"/>
    </row>
    <row hidden="true" r="5367">
      <c r="A5367" s="76" t="s">
        <v>1303</v>
      </c>
      <c r="B5367" s="76" t="s">
        <v>1050</v>
      </c>
      <c r="C5367" s="76" t="s">
        <v>1281</v>
      </c>
      <c r="D5367" s="75"/>
    </row>
    <row hidden="true" r="5368">
      <c r="A5368" s="76" t="s">
        <v>1303</v>
      </c>
      <c r="B5368" s="76" t="s">
        <v>1052</v>
      </c>
      <c r="C5368" s="76" t="s">
        <v>1281</v>
      </c>
      <c r="D5368" s="75"/>
    </row>
    <row hidden="true" r="5369">
      <c r="A5369" s="76" t="s">
        <v>1303</v>
      </c>
      <c r="B5369" s="76" t="s">
        <v>1054</v>
      </c>
      <c r="C5369" s="76" t="s">
        <v>1281</v>
      </c>
      <c r="D5369" s="75"/>
    </row>
    <row hidden="true" r="5370">
      <c r="A5370" s="76" t="s">
        <v>1303</v>
      </c>
      <c r="B5370" s="76" t="s">
        <v>1056</v>
      </c>
      <c r="C5370" s="76" t="s">
        <v>1281</v>
      </c>
      <c r="D5370" s="75"/>
    </row>
    <row hidden="true" r="5371">
      <c r="A5371" s="76" t="s">
        <v>1303</v>
      </c>
      <c r="B5371" s="76" t="s">
        <v>1058</v>
      </c>
      <c r="C5371" s="76" t="s">
        <v>1281</v>
      </c>
      <c r="D5371" s="75"/>
    </row>
    <row hidden="true" r="5372">
      <c r="A5372" s="76" t="s">
        <v>1303</v>
      </c>
      <c r="B5372" s="76" t="s">
        <v>1060</v>
      </c>
      <c r="C5372" s="76" t="s">
        <v>1281</v>
      </c>
      <c r="D5372" s="75"/>
    </row>
    <row hidden="true" r="5373">
      <c r="A5373" s="76" t="s">
        <v>1303</v>
      </c>
      <c r="B5373" s="76" t="s">
        <v>1062</v>
      </c>
      <c r="C5373" s="76" t="s">
        <v>1281</v>
      </c>
      <c r="D5373" s="75"/>
    </row>
    <row hidden="true" r="5374">
      <c r="A5374" s="76" t="s">
        <v>1303</v>
      </c>
      <c r="B5374" s="76" t="s">
        <v>1064</v>
      </c>
      <c r="C5374" s="76" t="s">
        <v>1281</v>
      </c>
      <c r="D5374" s="75"/>
    </row>
    <row hidden="true" r="5375">
      <c r="A5375" s="76" t="s">
        <v>1303</v>
      </c>
      <c r="B5375" s="76" t="s">
        <v>1066</v>
      </c>
      <c r="C5375" s="76" t="s">
        <v>1281</v>
      </c>
      <c r="D5375" s="75"/>
    </row>
    <row hidden="true" r="5376">
      <c r="A5376" s="76" t="s">
        <v>1303</v>
      </c>
      <c r="B5376" s="76" t="s">
        <v>1068</v>
      </c>
      <c r="C5376" s="76" t="s">
        <v>1281</v>
      </c>
      <c r="D5376" s="75"/>
    </row>
    <row hidden="true" r="5377">
      <c r="A5377" s="76" t="s">
        <v>1303</v>
      </c>
      <c r="B5377" s="76" t="s">
        <v>1070</v>
      </c>
      <c r="C5377" s="76" t="s">
        <v>1281</v>
      </c>
      <c r="D5377" s="75"/>
    </row>
    <row hidden="true" r="5378">
      <c r="A5378" s="76" t="s">
        <v>1303</v>
      </c>
      <c r="B5378" s="76" t="s">
        <v>1071</v>
      </c>
      <c r="C5378" s="76" t="s">
        <v>1281</v>
      </c>
      <c r="D5378" s="75"/>
    </row>
    <row hidden="true" r="5379">
      <c r="A5379" s="76" t="s">
        <v>1303</v>
      </c>
      <c r="B5379" s="76" t="s">
        <v>1072</v>
      </c>
      <c r="C5379" s="76" t="s">
        <v>1281</v>
      </c>
      <c r="D5379" s="75"/>
    </row>
    <row hidden="true" r="5380">
      <c r="A5380" s="76" t="s">
        <v>1303</v>
      </c>
      <c r="B5380" s="76" t="s">
        <v>1074</v>
      </c>
      <c r="C5380" s="76" t="s">
        <v>1281</v>
      </c>
      <c r="D5380" s="75"/>
    </row>
    <row hidden="true" r="5381">
      <c r="A5381" s="76" t="s">
        <v>1303</v>
      </c>
      <c r="B5381" s="76" t="s">
        <v>1075</v>
      </c>
      <c r="C5381" s="76" t="s">
        <v>1281</v>
      </c>
      <c r="D5381" s="75"/>
    </row>
    <row hidden="true" r="5382">
      <c r="A5382" s="76" t="s">
        <v>1303</v>
      </c>
      <c r="B5382" s="76" t="s">
        <v>1076</v>
      </c>
      <c r="C5382" s="76" t="s">
        <v>1281</v>
      </c>
      <c r="D5382" s="75"/>
    </row>
    <row hidden="true" r="5383">
      <c r="A5383" s="76" t="s">
        <v>1303</v>
      </c>
      <c r="B5383" s="76" t="s">
        <v>1078</v>
      </c>
      <c r="C5383" s="76" t="s">
        <v>1281</v>
      </c>
      <c r="D5383" s="75"/>
    </row>
    <row hidden="true" r="5384">
      <c r="A5384" s="76" t="s">
        <v>1303</v>
      </c>
      <c r="B5384" s="76" t="s">
        <v>839</v>
      </c>
      <c r="C5384" s="76" t="s">
        <v>1281</v>
      </c>
      <c r="D5384" s="75"/>
    </row>
    <row hidden="true" r="5385">
      <c r="A5385" s="76" t="s">
        <v>1303</v>
      </c>
      <c r="B5385" s="76" t="s">
        <v>1080</v>
      </c>
      <c r="C5385" s="76" t="s">
        <v>1281</v>
      </c>
      <c r="D5385" s="75"/>
    </row>
    <row hidden="true" r="5386">
      <c r="A5386" s="76" t="s">
        <v>1303</v>
      </c>
      <c r="B5386" s="76" t="s">
        <v>1082</v>
      </c>
      <c r="C5386" s="76" t="s">
        <v>1281</v>
      </c>
      <c r="D5386" s="75"/>
    </row>
    <row hidden="true" r="5387">
      <c r="A5387" s="76" t="s">
        <v>1303</v>
      </c>
      <c r="B5387" s="76" t="s">
        <v>1084</v>
      </c>
      <c r="C5387" s="76" t="s">
        <v>1281</v>
      </c>
      <c r="D5387" s="75"/>
    </row>
    <row hidden="true" r="5388">
      <c r="A5388" s="76" t="s">
        <v>1303</v>
      </c>
      <c r="B5388" s="76" t="s">
        <v>1086</v>
      </c>
      <c r="C5388" s="76" t="s">
        <v>1281</v>
      </c>
      <c r="D5388" s="75"/>
    </row>
    <row hidden="true" r="5389">
      <c r="A5389" s="76" t="s">
        <v>1303</v>
      </c>
      <c r="B5389" s="76" t="s">
        <v>1088</v>
      </c>
      <c r="C5389" s="76" t="s">
        <v>1281</v>
      </c>
      <c r="D5389" s="75"/>
    </row>
    <row hidden="true" r="5390">
      <c r="A5390" s="76" t="s">
        <v>1303</v>
      </c>
      <c r="B5390" s="76" t="s">
        <v>1090</v>
      </c>
      <c r="C5390" s="76" t="s">
        <v>1281</v>
      </c>
      <c r="D5390" s="75"/>
    </row>
    <row hidden="true" r="5391">
      <c r="A5391" s="76" t="s">
        <v>1303</v>
      </c>
      <c r="B5391" s="76" t="s">
        <v>1092</v>
      </c>
      <c r="C5391" s="76" t="s">
        <v>1281</v>
      </c>
      <c r="D5391" s="75"/>
    </row>
    <row hidden="true" r="5392">
      <c r="A5392" s="76" t="s">
        <v>1303</v>
      </c>
      <c r="B5392" s="76" t="s">
        <v>1093</v>
      </c>
      <c r="C5392" s="76" t="s">
        <v>1281</v>
      </c>
      <c r="D5392" s="75"/>
    </row>
    <row hidden="true" r="5393">
      <c r="A5393" s="76" t="s">
        <v>1303</v>
      </c>
      <c r="B5393" s="76" t="s">
        <v>1095</v>
      </c>
      <c r="C5393" s="76" t="s">
        <v>1281</v>
      </c>
      <c r="D5393" s="75"/>
    </row>
    <row hidden="true" r="5394">
      <c r="A5394" s="76" t="s">
        <v>1303</v>
      </c>
      <c r="B5394" s="76" t="s">
        <v>1097</v>
      </c>
      <c r="C5394" s="76" t="s">
        <v>1281</v>
      </c>
      <c r="D5394" s="75"/>
    </row>
    <row hidden="true" r="5395">
      <c r="A5395" s="76" t="s">
        <v>1303</v>
      </c>
      <c r="B5395" s="76" t="s">
        <v>1099</v>
      </c>
      <c r="C5395" s="76" t="s">
        <v>1281</v>
      </c>
      <c r="D5395" s="75"/>
    </row>
    <row hidden="true" r="5396">
      <c r="A5396" s="76" t="s">
        <v>1303</v>
      </c>
      <c r="B5396" s="76" t="s">
        <v>1101</v>
      </c>
      <c r="C5396" s="76" t="s">
        <v>1281</v>
      </c>
      <c r="D5396" s="75"/>
    </row>
    <row hidden="true" r="5397">
      <c r="A5397" s="76" t="s">
        <v>1303</v>
      </c>
      <c r="B5397" s="76" t="s">
        <v>1103</v>
      </c>
      <c r="C5397" s="76" t="s">
        <v>1281</v>
      </c>
      <c r="D5397" s="75"/>
    </row>
    <row hidden="true" r="5398">
      <c r="A5398" s="76" t="s">
        <v>1303</v>
      </c>
      <c r="B5398" s="76" t="s">
        <v>1105</v>
      </c>
      <c r="C5398" s="76" t="s">
        <v>1281</v>
      </c>
      <c r="D5398" s="75"/>
    </row>
    <row hidden="true" r="5399">
      <c r="A5399" s="76" t="s">
        <v>1303</v>
      </c>
      <c r="B5399" s="76" t="s">
        <v>1107</v>
      </c>
      <c r="C5399" s="76" t="s">
        <v>1281</v>
      </c>
      <c r="D5399" s="75"/>
    </row>
    <row hidden="true" r="5400">
      <c r="A5400" s="76" t="s">
        <v>1303</v>
      </c>
      <c r="B5400" s="76" t="s">
        <v>1109</v>
      </c>
      <c r="C5400" s="76" t="s">
        <v>1281</v>
      </c>
      <c r="D5400" s="75"/>
    </row>
    <row hidden="true" r="5401">
      <c r="A5401" s="76" t="s">
        <v>1303</v>
      </c>
      <c r="B5401" s="76" t="s">
        <v>1111</v>
      </c>
      <c r="C5401" s="76" t="s">
        <v>1281</v>
      </c>
      <c r="D5401" s="75"/>
    </row>
    <row hidden="true" r="5402">
      <c r="A5402" s="76" t="s">
        <v>1303</v>
      </c>
      <c r="B5402" s="76" t="s">
        <v>1113</v>
      </c>
      <c r="C5402" s="76" t="s">
        <v>1281</v>
      </c>
      <c r="D5402" s="75"/>
    </row>
    <row hidden="true" r="5403">
      <c r="A5403" s="76" t="s">
        <v>1303</v>
      </c>
      <c r="B5403" s="76" t="s">
        <v>1115</v>
      </c>
      <c r="C5403" s="76" t="s">
        <v>1281</v>
      </c>
      <c r="D5403" s="75"/>
    </row>
    <row hidden="true" r="5404">
      <c r="A5404" s="76" t="s">
        <v>1303</v>
      </c>
      <c r="B5404" s="76" t="s">
        <v>1117</v>
      </c>
      <c r="C5404" s="76" t="s">
        <v>1281</v>
      </c>
      <c r="D5404" s="75"/>
    </row>
    <row hidden="true" r="5405">
      <c r="A5405" s="76" t="s">
        <v>1303</v>
      </c>
      <c r="B5405" s="76" t="s">
        <v>1119</v>
      </c>
      <c r="C5405" s="76" t="s">
        <v>1281</v>
      </c>
      <c r="D5405" s="75"/>
    </row>
    <row hidden="true" r="5406">
      <c r="A5406" s="76" t="s">
        <v>1303</v>
      </c>
      <c r="B5406" s="76" t="s">
        <v>1121</v>
      </c>
      <c r="C5406" s="76" t="s">
        <v>1281</v>
      </c>
      <c r="D5406" s="75"/>
    </row>
    <row hidden="true" r="5407">
      <c r="A5407" s="76" t="s">
        <v>1303</v>
      </c>
      <c r="B5407" s="76" t="s">
        <v>1123</v>
      </c>
      <c r="C5407" s="76" t="s">
        <v>1281</v>
      </c>
      <c r="D5407" s="75"/>
    </row>
    <row hidden="true" r="5408">
      <c r="A5408" s="76" t="s">
        <v>1303</v>
      </c>
      <c r="B5408" s="76" t="s">
        <v>1125</v>
      </c>
      <c r="C5408" s="76" t="s">
        <v>1281</v>
      </c>
      <c r="D5408" s="75"/>
    </row>
    <row hidden="true" r="5409">
      <c r="A5409" s="76" t="s">
        <v>1303</v>
      </c>
      <c r="B5409" s="76" t="s">
        <v>1127</v>
      </c>
      <c r="C5409" s="76" t="s">
        <v>1281</v>
      </c>
      <c r="D5409" s="75"/>
    </row>
    <row hidden="true" r="5410">
      <c r="A5410" s="76" t="s">
        <v>1303</v>
      </c>
      <c r="B5410" s="76" t="s">
        <v>1129</v>
      </c>
      <c r="C5410" s="76" t="s">
        <v>1281</v>
      </c>
      <c r="D5410" s="75"/>
    </row>
    <row hidden="true" r="5411">
      <c r="A5411" s="76" t="s">
        <v>1303</v>
      </c>
      <c r="B5411" s="76" t="s">
        <v>1131</v>
      </c>
      <c r="C5411" s="76" t="s">
        <v>1281</v>
      </c>
      <c r="D5411" s="75"/>
    </row>
    <row hidden="true" r="5412">
      <c r="A5412" s="76" t="s">
        <v>1303</v>
      </c>
      <c r="B5412" s="76" t="s">
        <v>1133</v>
      </c>
      <c r="C5412" s="76" t="s">
        <v>1281</v>
      </c>
      <c r="D5412" s="75"/>
    </row>
    <row hidden="true" r="5413">
      <c r="A5413" s="76" t="s">
        <v>1303</v>
      </c>
      <c r="B5413" s="76" t="s">
        <v>1135</v>
      </c>
      <c r="C5413" s="76" t="s">
        <v>1281</v>
      </c>
      <c r="D5413" s="75"/>
    </row>
    <row hidden="true" r="5414">
      <c r="A5414" s="76" t="s">
        <v>1303</v>
      </c>
      <c r="B5414" s="76" t="s">
        <v>1137</v>
      </c>
      <c r="C5414" s="76" t="s">
        <v>1281</v>
      </c>
      <c r="D5414" s="75"/>
    </row>
    <row hidden="true" r="5415">
      <c r="A5415" s="76" t="s">
        <v>1303</v>
      </c>
      <c r="B5415" s="76" t="s">
        <v>1139</v>
      </c>
      <c r="C5415" s="76" t="s">
        <v>1281</v>
      </c>
      <c r="D5415" s="75"/>
    </row>
    <row hidden="true" r="5416">
      <c r="A5416" s="76" t="s">
        <v>1303</v>
      </c>
      <c r="B5416" s="76" t="s">
        <v>1141</v>
      </c>
      <c r="C5416" s="76" t="s">
        <v>1281</v>
      </c>
      <c r="D5416" s="75"/>
    </row>
    <row hidden="true" r="5417">
      <c r="A5417" s="76" t="s">
        <v>1303</v>
      </c>
      <c r="B5417" s="76" t="s">
        <v>1143</v>
      </c>
      <c r="C5417" s="76" t="s">
        <v>1281</v>
      </c>
      <c r="D5417" s="75"/>
    </row>
    <row hidden="true" r="5418">
      <c r="A5418" s="76" t="s">
        <v>1303</v>
      </c>
      <c r="B5418" s="76" t="s">
        <v>1145</v>
      </c>
      <c r="C5418" s="76" t="s">
        <v>1281</v>
      </c>
      <c r="D5418" s="75"/>
    </row>
    <row hidden="true" r="5419">
      <c r="A5419" s="76" t="s">
        <v>1303</v>
      </c>
      <c r="B5419" s="76" t="s">
        <v>1147</v>
      </c>
      <c r="C5419" s="76" t="s">
        <v>1281</v>
      </c>
      <c r="D5419" s="75"/>
    </row>
    <row hidden="true" r="5420">
      <c r="A5420" s="76" t="s">
        <v>1303</v>
      </c>
      <c r="B5420" s="76" t="s">
        <v>1149</v>
      </c>
      <c r="C5420" s="76" t="s">
        <v>1281</v>
      </c>
      <c r="D5420" s="75"/>
    </row>
    <row hidden="true" r="5421">
      <c r="A5421" s="76" t="s">
        <v>1303</v>
      </c>
      <c r="B5421" s="76" t="s">
        <v>1151</v>
      </c>
      <c r="C5421" s="76" t="s">
        <v>1281</v>
      </c>
      <c r="D5421" s="75"/>
    </row>
    <row hidden="true" r="5422">
      <c r="A5422" s="76" t="s">
        <v>1303</v>
      </c>
      <c r="B5422" s="76" t="s">
        <v>1153</v>
      </c>
      <c r="C5422" s="76" t="s">
        <v>1281</v>
      </c>
      <c r="D5422" s="75"/>
    </row>
    <row hidden="true" r="5423">
      <c r="A5423" s="76" t="s">
        <v>1303</v>
      </c>
      <c r="B5423" s="76" t="s">
        <v>1155</v>
      </c>
      <c r="C5423" s="76" t="s">
        <v>1281</v>
      </c>
      <c r="D5423" s="75"/>
    </row>
    <row hidden="true" r="5424">
      <c r="A5424" s="76" t="s">
        <v>1303</v>
      </c>
      <c r="B5424" s="76" t="s">
        <v>1157</v>
      </c>
      <c r="C5424" s="76" t="s">
        <v>1281</v>
      </c>
      <c r="D5424" s="75"/>
    </row>
    <row hidden="true" r="5425">
      <c r="A5425" s="76" t="s">
        <v>1303</v>
      </c>
      <c r="B5425" s="76" t="s">
        <v>1159</v>
      </c>
      <c r="C5425" s="76" t="s">
        <v>1281</v>
      </c>
      <c r="D5425" s="75"/>
    </row>
    <row hidden="true" r="5426">
      <c r="A5426" s="76" t="s">
        <v>1303</v>
      </c>
      <c r="B5426" s="76" t="s">
        <v>868</v>
      </c>
      <c r="C5426" s="76" t="s">
        <v>1281</v>
      </c>
      <c r="D5426" s="75"/>
    </row>
    <row hidden="true" r="5427">
      <c r="A5427" s="76" t="s">
        <v>1303</v>
      </c>
      <c r="B5427" s="76" t="s">
        <v>1161</v>
      </c>
      <c r="C5427" s="76" t="s">
        <v>1281</v>
      </c>
      <c r="D5427" s="75"/>
    </row>
    <row hidden="true" r="5428">
      <c r="A5428" s="76" t="s">
        <v>1303</v>
      </c>
      <c r="B5428" s="76" t="s">
        <v>1163</v>
      </c>
      <c r="C5428" s="76" t="s">
        <v>1281</v>
      </c>
      <c r="D5428" s="75"/>
    </row>
    <row hidden="true" r="5429">
      <c r="A5429" s="76" t="s">
        <v>1303</v>
      </c>
      <c r="B5429" s="76" t="s">
        <v>1165</v>
      </c>
      <c r="C5429" s="76" t="s">
        <v>1281</v>
      </c>
      <c r="D5429" s="75"/>
    </row>
    <row hidden="true" r="5430">
      <c r="A5430" s="76" t="s">
        <v>1303</v>
      </c>
      <c r="B5430" s="76" t="s">
        <v>1167</v>
      </c>
      <c r="C5430" s="76" t="s">
        <v>1281</v>
      </c>
      <c r="D5430" s="75"/>
    </row>
    <row hidden="true" r="5431">
      <c r="A5431" s="76" t="s">
        <v>1303</v>
      </c>
      <c r="B5431" s="76" t="s">
        <v>1169</v>
      </c>
      <c r="C5431" s="76" t="s">
        <v>1281</v>
      </c>
      <c r="D5431" s="75"/>
    </row>
    <row hidden="true" r="5432">
      <c r="A5432" s="76" t="s">
        <v>1303</v>
      </c>
      <c r="B5432" s="76" t="s">
        <v>1171</v>
      </c>
      <c r="C5432" s="76" t="s">
        <v>1281</v>
      </c>
      <c r="D5432" s="75"/>
    </row>
    <row hidden="true" r="5433">
      <c r="A5433" s="76" t="s">
        <v>1303</v>
      </c>
      <c r="B5433" s="76" t="s">
        <v>1173</v>
      </c>
      <c r="C5433" s="76" t="s">
        <v>1281</v>
      </c>
      <c r="D5433" s="75"/>
    </row>
    <row hidden="true" r="5434">
      <c r="A5434" s="76" t="s">
        <v>1303</v>
      </c>
      <c r="B5434" s="76" t="s">
        <v>1175</v>
      </c>
      <c r="C5434" s="76" t="s">
        <v>1281</v>
      </c>
      <c r="D5434" s="75"/>
    </row>
    <row hidden="true" r="5435">
      <c r="A5435" s="76" t="s">
        <v>1303</v>
      </c>
      <c r="B5435" s="76" t="s">
        <v>1177</v>
      </c>
      <c r="C5435" s="76" t="s">
        <v>1281</v>
      </c>
      <c r="D5435" s="75"/>
    </row>
    <row hidden="true" r="5436">
      <c r="A5436" s="76" t="s">
        <v>1303</v>
      </c>
      <c r="B5436" s="76" t="s">
        <v>1179</v>
      </c>
      <c r="C5436" s="76" t="s">
        <v>1281</v>
      </c>
      <c r="D5436" s="75"/>
    </row>
    <row hidden="true" r="5437">
      <c r="A5437" s="76" t="s">
        <v>1303</v>
      </c>
      <c r="B5437" s="76" t="s">
        <v>1181</v>
      </c>
      <c r="C5437" s="76" t="s">
        <v>1281</v>
      </c>
      <c r="D5437" s="75"/>
    </row>
    <row hidden="true" r="5438">
      <c r="A5438" s="76" t="s">
        <v>1303</v>
      </c>
      <c r="B5438" s="76" t="s">
        <v>1183</v>
      </c>
      <c r="C5438" s="76" t="s">
        <v>1281</v>
      </c>
      <c r="D5438" s="75"/>
    </row>
    <row hidden="true" r="5439">
      <c r="A5439" s="76" t="s">
        <v>1303</v>
      </c>
      <c r="B5439" s="76" t="s">
        <v>1185</v>
      </c>
      <c r="C5439" s="76" t="s">
        <v>1281</v>
      </c>
      <c r="D5439" s="75"/>
    </row>
    <row hidden="true" r="5440">
      <c r="A5440" s="76" t="s">
        <v>1303</v>
      </c>
      <c r="B5440" s="76" t="s">
        <v>1187</v>
      </c>
      <c r="C5440" s="76" t="s">
        <v>1281</v>
      </c>
      <c r="D5440" s="75"/>
    </row>
    <row hidden="true" r="5441">
      <c r="A5441" s="76" t="s">
        <v>1303</v>
      </c>
      <c r="B5441" s="76" t="s">
        <v>1199</v>
      </c>
      <c r="C5441" s="76" t="s">
        <v>1281</v>
      </c>
      <c r="D5441" s="75"/>
    </row>
    <row hidden="true" r="5442">
      <c r="A5442" s="76" t="s">
        <v>1303</v>
      </c>
      <c r="B5442" s="76" t="s">
        <v>1201</v>
      </c>
      <c r="C5442" s="76" t="s">
        <v>1281</v>
      </c>
      <c r="D5442" s="75"/>
    </row>
    <row hidden="true" r="5443">
      <c r="A5443" s="76" t="s">
        <v>1303</v>
      </c>
      <c r="B5443" s="76" t="s">
        <v>1203</v>
      </c>
      <c r="C5443" s="76" t="s">
        <v>1281</v>
      </c>
      <c r="D5443" s="75"/>
    </row>
    <row hidden="true" r="5444">
      <c r="A5444" s="76" t="s">
        <v>1303</v>
      </c>
      <c r="B5444" s="76" t="s">
        <v>1205</v>
      </c>
      <c r="C5444" s="76" t="s">
        <v>1281</v>
      </c>
      <c r="D5444" s="75"/>
    </row>
    <row hidden="true" r="5445">
      <c r="A5445" s="76" t="s">
        <v>1303</v>
      </c>
      <c r="B5445" s="76" t="s">
        <v>1207</v>
      </c>
      <c r="C5445" s="76" t="s">
        <v>1281</v>
      </c>
      <c r="D5445" s="75"/>
    </row>
    <row hidden="true" r="5446">
      <c r="A5446" s="76" t="s">
        <v>1303</v>
      </c>
      <c r="B5446" s="76" t="s">
        <v>1209</v>
      </c>
      <c r="C5446" s="76" t="s">
        <v>1281</v>
      </c>
      <c r="D5446" s="75"/>
    </row>
    <row hidden="true" r="5447">
      <c r="A5447" s="76" t="s">
        <v>1303</v>
      </c>
      <c r="B5447" s="76" t="s">
        <v>1282</v>
      </c>
      <c r="C5447" s="76" t="s">
        <v>1281</v>
      </c>
      <c r="D5447" s="75"/>
    </row>
    <row hidden="true" r="5448">
      <c r="A5448" s="76" t="s">
        <v>1303</v>
      </c>
      <c r="B5448" s="76" t="s">
        <v>735</v>
      </c>
      <c r="C5448" s="76" t="s">
        <v>1283</v>
      </c>
      <c r="D5448" s="75"/>
    </row>
    <row hidden="true" r="5449">
      <c r="A5449" s="76" t="s">
        <v>1304</v>
      </c>
      <c r="B5449" s="76" t="s">
        <v>407</v>
      </c>
      <c r="C5449" s="76" t="s">
        <v>408</v>
      </c>
      <c r="D5449" s="75"/>
    </row>
    <row hidden="true" r="5450">
      <c r="A5450" s="76" t="s">
        <v>1304</v>
      </c>
      <c r="B5450" s="76" t="s">
        <v>744</v>
      </c>
      <c r="C5450" s="76" t="s">
        <v>745</v>
      </c>
      <c r="D5450" s="75"/>
    </row>
    <row hidden="true" r="5451">
      <c r="A5451" s="76" t="s">
        <v>1304</v>
      </c>
      <c r="B5451" s="76" t="s">
        <v>480</v>
      </c>
      <c r="C5451" s="76" t="s">
        <v>481</v>
      </c>
      <c r="D5451" s="75"/>
    </row>
    <row hidden="true" r="5452">
      <c r="A5452" s="76" t="s">
        <v>1304</v>
      </c>
      <c r="B5452" s="76" t="s">
        <v>884</v>
      </c>
      <c r="C5452" s="76" t="s">
        <v>885</v>
      </c>
      <c r="D5452" s="75"/>
    </row>
    <row hidden="true" r="5453">
      <c r="A5453" s="76" t="s">
        <v>1304</v>
      </c>
      <c r="B5453" s="76" t="s">
        <v>886</v>
      </c>
      <c r="C5453" s="76" t="s">
        <v>887</v>
      </c>
      <c r="D5453" s="75"/>
    </row>
    <row hidden="true" r="5454">
      <c r="A5454" s="76" t="s">
        <v>1304</v>
      </c>
      <c r="B5454" s="76" t="s">
        <v>888</v>
      </c>
      <c r="C5454" s="76" t="s">
        <v>889</v>
      </c>
      <c r="D5454" s="75"/>
    </row>
    <row hidden="true" r="5455">
      <c r="A5455" s="76" t="s">
        <v>1304</v>
      </c>
      <c r="B5455" s="76" t="s">
        <v>890</v>
      </c>
      <c r="C5455" s="76" t="s">
        <v>891</v>
      </c>
      <c r="D5455" s="75"/>
    </row>
    <row hidden="true" r="5456">
      <c r="A5456" s="76" t="s">
        <v>1304</v>
      </c>
      <c r="B5456" s="76" t="s">
        <v>892</v>
      </c>
      <c r="C5456" s="76" t="s">
        <v>893</v>
      </c>
      <c r="D5456" s="75"/>
    </row>
    <row hidden="true" r="5457">
      <c r="A5457" s="76" t="s">
        <v>1304</v>
      </c>
      <c r="B5457" s="76" t="s">
        <v>894</v>
      </c>
      <c r="C5457" s="76" t="s">
        <v>895</v>
      </c>
      <c r="D5457" s="75"/>
    </row>
    <row hidden="true" r="5458">
      <c r="A5458" s="76" t="s">
        <v>1304</v>
      </c>
      <c r="B5458" s="76" t="s">
        <v>896</v>
      </c>
      <c r="C5458" s="76" t="s">
        <v>897</v>
      </c>
      <c r="D5458" s="75"/>
    </row>
    <row hidden="true" r="5459">
      <c r="A5459" s="76" t="s">
        <v>1304</v>
      </c>
      <c r="B5459" s="76" t="s">
        <v>898</v>
      </c>
      <c r="C5459" s="76" t="s">
        <v>899</v>
      </c>
      <c r="D5459" s="75"/>
    </row>
    <row hidden="true" r="5460">
      <c r="A5460" s="76" t="s">
        <v>1304</v>
      </c>
      <c r="B5460" s="76" t="s">
        <v>900</v>
      </c>
      <c r="C5460" s="76" t="s">
        <v>901</v>
      </c>
      <c r="D5460" s="75"/>
    </row>
    <row hidden="true" r="5461">
      <c r="A5461" s="76" t="s">
        <v>1304</v>
      </c>
      <c r="B5461" s="76" t="s">
        <v>902</v>
      </c>
      <c r="C5461" s="76" t="s">
        <v>903</v>
      </c>
      <c r="D5461" s="75"/>
    </row>
    <row hidden="true" r="5462">
      <c r="A5462" s="76" t="s">
        <v>1304</v>
      </c>
      <c r="B5462" s="76" t="s">
        <v>904</v>
      </c>
      <c r="C5462" s="76" t="s">
        <v>905</v>
      </c>
      <c r="D5462" s="75"/>
    </row>
    <row hidden="true" r="5463">
      <c r="A5463" s="76" t="s">
        <v>1304</v>
      </c>
      <c r="B5463" s="76" t="s">
        <v>906</v>
      </c>
      <c r="C5463" s="76" t="s">
        <v>907</v>
      </c>
      <c r="D5463" s="75"/>
    </row>
    <row hidden="true" r="5464">
      <c r="A5464" s="76" t="s">
        <v>1304</v>
      </c>
      <c r="B5464" s="76" t="s">
        <v>908</v>
      </c>
      <c r="C5464" s="76" t="s">
        <v>909</v>
      </c>
      <c r="D5464" s="75"/>
    </row>
    <row hidden="true" r="5465">
      <c r="A5465" s="76" t="s">
        <v>1304</v>
      </c>
      <c r="B5465" s="76" t="s">
        <v>910</v>
      </c>
      <c r="C5465" s="76" t="s">
        <v>911</v>
      </c>
      <c r="D5465" s="75"/>
    </row>
    <row hidden="true" r="5466">
      <c r="A5466" s="76" t="s">
        <v>1304</v>
      </c>
      <c r="B5466" s="76" t="s">
        <v>912</v>
      </c>
      <c r="C5466" s="76" t="s">
        <v>913</v>
      </c>
      <c r="D5466" s="75"/>
    </row>
    <row hidden="true" r="5467">
      <c r="A5467" s="76" t="s">
        <v>1304</v>
      </c>
      <c r="B5467" s="76" t="s">
        <v>914</v>
      </c>
      <c r="C5467" s="76" t="s">
        <v>915</v>
      </c>
      <c r="D5467" s="75"/>
    </row>
    <row hidden="true" r="5468">
      <c r="A5468" s="76" t="s">
        <v>1304</v>
      </c>
      <c r="B5468" s="76" t="s">
        <v>916</v>
      </c>
      <c r="C5468" s="76" t="s">
        <v>917</v>
      </c>
      <c r="D5468" s="75"/>
    </row>
    <row hidden="true" r="5469">
      <c r="A5469" s="76" t="s">
        <v>1304</v>
      </c>
      <c r="B5469" s="76" t="s">
        <v>918</v>
      </c>
      <c r="C5469" s="76" t="s">
        <v>919</v>
      </c>
      <c r="D5469" s="75"/>
    </row>
    <row hidden="true" r="5470">
      <c r="A5470" s="76" t="s">
        <v>1304</v>
      </c>
      <c r="B5470" s="76" t="s">
        <v>920</v>
      </c>
      <c r="C5470" s="76" t="s">
        <v>921</v>
      </c>
      <c r="D5470" s="75"/>
    </row>
    <row hidden="true" r="5471">
      <c r="A5471" s="76" t="s">
        <v>1304</v>
      </c>
      <c r="B5471" s="76" t="s">
        <v>922</v>
      </c>
      <c r="C5471" s="76" t="s">
        <v>923</v>
      </c>
      <c r="D5471" s="75"/>
    </row>
    <row hidden="true" r="5472">
      <c r="A5472" s="76" t="s">
        <v>1304</v>
      </c>
      <c r="B5472" s="76" t="s">
        <v>924</v>
      </c>
      <c r="C5472" s="76" t="s">
        <v>925</v>
      </c>
      <c r="D5472" s="75"/>
    </row>
    <row hidden="true" r="5473">
      <c r="A5473" s="76" t="s">
        <v>1304</v>
      </c>
      <c r="B5473" s="76" t="s">
        <v>926</v>
      </c>
      <c r="C5473" s="76" t="s">
        <v>927</v>
      </c>
      <c r="D5473" s="75"/>
    </row>
    <row hidden="true" r="5474">
      <c r="A5474" s="76" t="s">
        <v>1304</v>
      </c>
      <c r="B5474" s="76" t="s">
        <v>928</v>
      </c>
      <c r="C5474" s="76" t="s">
        <v>929</v>
      </c>
      <c r="D5474" s="75"/>
    </row>
    <row hidden="true" r="5475">
      <c r="A5475" s="76" t="s">
        <v>1304</v>
      </c>
      <c r="B5475" s="76" t="s">
        <v>930</v>
      </c>
      <c r="C5475" s="76" t="s">
        <v>931</v>
      </c>
      <c r="D5475" s="75"/>
    </row>
    <row hidden="true" r="5476">
      <c r="A5476" s="76" t="s">
        <v>1304</v>
      </c>
      <c r="B5476" s="76" t="s">
        <v>932</v>
      </c>
      <c r="C5476" s="76" t="s">
        <v>933</v>
      </c>
      <c r="D5476" s="75"/>
    </row>
    <row hidden="true" r="5477">
      <c r="A5477" s="76" t="s">
        <v>1304</v>
      </c>
      <c r="B5477" s="76" t="s">
        <v>934</v>
      </c>
      <c r="C5477" s="76" t="s">
        <v>935</v>
      </c>
      <c r="D5477" s="75"/>
    </row>
    <row hidden="true" r="5478">
      <c r="A5478" s="76" t="s">
        <v>1304</v>
      </c>
      <c r="B5478" s="76" t="s">
        <v>936</v>
      </c>
      <c r="C5478" s="76" t="s">
        <v>937</v>
      </c>
      <c r="D5478" s="75"/>
    </row>
    <row hidden="true" r="5479">
      <c r="A5479" s="76" t="s">
        <v>1304</v>
      </c>
      <c r="B5479" s="76" t="s">
        <v>938</v>
      </c>
      <c r="C5479" s="76" t="s">
        <v>939</v>
      </c>
      <c r="D5479" s="75"/>
    </row>
    <row hidden="true" r="5480">
      <c r="A5480" s="76" t="s">
        <v>1304</v>
      </c>
      <c r="B5480" s="76" t="s">
        <v>940</v>
      </c>
      <c r="C5480" s="76" t="s">
        <v>941</v>
      </c>
      <c r="D5480" s="75"/>
    </row>
    <row hidden="true" r="5481">
      <c r="A5481" s="76" t="s">
        <v>1304</v>
      </c>
      <c r="B5481" s="76" t="s">
        <v>942</v>
      </c>
      <c r="C5481" s="76" t="s">
        <v>943</v>
      </c>
      <c r="D5481" s="75"/>
    </row>
    <row hidden="true" r="5482">
      <c r="A5482" s="76" t="s">
        <v>1304</v>
      </c>
      <c r="B5482" s="76" t="s">
        <v>944</v>
      </c>
      <c r="C5482" s="76" t="s">
        <v>945</v>
      </c>
      <c r="D5482" s="75"/>
    </row>
    <row hidden="true" r="5483">
      <c r="A5483" s="76" t="s">
        <v>1304</v>
      </c>
      <c r="B5483" s="76" t="s">
        <v>1305</v>
      </c>
      <c r="C5483" s="76" t="s">
        <v>1306</v>
      </c>
      <c r="D5483" s="75"/>
    </row>
    <row hidden="true" r="5484">
      <c r="A5484" s="76" t="s">
        <v>1304</v>
      </c>
      <c r="B5484" s="76" t="s">
        <v>1307</v>
      </c>
      <c r="C5484" s="76" t="s">
        <v>1308</v>
      </c>
      <c r="D5484" s="75"/>
    </row>
    <row hidden="true" r="5485">
      <c r="A5485" s="76" t="s">
        <v>1304</v>
      </c>
      <c r="B5485" s="76" t="s">
        <v>946</v>
      </c>
      <c r="C5485" s="76" t="s">
        <v>947</v>
      </c>
      <c r="D5485" s="75"/>
    </row>
    <row hidden="true" r="5486">
      <c r="A5486" s="76" t="s">
        <v>1304</v>
      </c>
      <c r="B5486" s="76" t="s">
        <v>948</v>
      </c>
      <c r="C5486" s="76" t="s">
        <v>949</v>
      </c>
      <c r="D5486" s="75"/>
    </row>
    <row hidden="true" r="5487">
      <c r="A5487" s="76" t="s">
        <v>1304</v>
      </c>
      <c r="B5487" s="76" t="s">
        <v>950</v>
      </c>
      <c r="C5487" s="76" t="s">
        <v>951</v>
      </c>
      <c r="D5487" s="75"/>
    </row>
    <row hidden="true" r="5488">
      <c r="A5488" s="76" t="s">
        <v>1304</v>
      </c>
      <c r="B5488" s="76" t="s">
        <v>952</v>
      </c>
      <c r="C5488" s="76" t="s">
        <v>953</v>
      </c>
      <c r="D5488" s="75"/>
    </row>
    <row hidden="true" r="5489">
      <c r="A5489" s="76" t="s">
        <v>1304</v>
      </c>
      <c r="B5489" s="76" t="s">
        <v>954</v>
      </c>
      <c r="C5489" s="76" t="s">
        <v>955</v>
      </c>
      <c r="D5489" s="75"/>
    </row>
    <row hidden="true" r="5490">
      <c r="A5490" s="76" t="s">
        <v>1304</v>
      </c>
      <c r="B5490" s="76" t="s">
        <v>775</v>
      </c>
      <c r="C5490" s="76" t="s">
        <v>776</v>
      </c>
      <c r="D5490" s="75"/>
    </row>
    <row hidden="true" r="5491">
      <c r="A5491" s="76" t="s">
        <v>1304</v>
      </c>
      <c r="B5491" s="76" t="s">
        <v>956</v>
      </c>
      <c r="C5491" s="76" t="s">
        <v>957</v>
      </c>
      <c r="D5491" s="75"/>
    </row>
    <row hidden="true" r="5492">
      <c r="A5492" s="76" t="s">
        <v>1304</v>
      </c>
      <c r="B5492" s="76" t="s">
        <v>958</v>
      </c>
      <c r="C5492" s="76" t="s">
        <v>959</v>
      </c>
      <c r="D5492" s="75"/>
    </row>
    <row hidden="true" r="5493">
      <c r="A5493" s="76" t="s">
        <v>1304</v>
      </c>
      <c r="B5493" s="76" t="s">
        <v>960</v>
      </c>
      <c r="C5493" s="76" t="s">
        <v>961</v>
      </c>
      <c r="D5493" s="75"/>
    </row>
    <row hidden="true" r="5494">
      <c r="A5494" s="76" t="s">
        <v>1304</v>
      </c>
      <c r="B5494" s="76" t="s">
        <v>962</v>
      </c>
      <c r="C5494" s="76" t="s">
        <v>963</v>
      </c>
      <c r="D5494" s="75"/>
    </row>
    <row hidden="true" r="5495">
      <c r="A5495" s="76" t="s">
        <v>1304</v>
      </c>
      <c r="B5495" s="76" t="s">
        <v>964</v>
      </c>
      <c r="C5495" s="76" t="s">
        <v>965</v>
      </c>
      <c r="D5495" s="75"/>
    </row>
    <row hidden="true" r="5496">
      <c r="A5496" s="76" t="s">
        <v>1304</v>
      </c>
      <c r="B5496" s="76" t="s">
        <v>966</v>
      </c>
      <c r="C5496" s="76" t="s">
        <v>967</v>
      </c>
      <c r="D5496" s="75"/>
    </row>
    <row hidden="true" r="5497">
      <c r="A5497" s="76" t="s">
        <v>1304</v>
      </c>
      <c r="B5497" s="76" t="s">
        <v>968</v>
      </c>
      <c r="C5497" s="76" t="s">
        <v>969</v>
      </c>
      <c r="D5497" s="75"/>
    </row>
    <row hidden="true" r="5498">
      <c r="A5498" s="76" t="s">
        <v>1304</v>
      </c>
      <c r="B5498" s="76" t="s">
        <v>970</v>
      </c>
      <c r="C5498" s="76" t="s">
        <v>971</v>
      </c>
      <c r="D5498" s="75"/>
    </row>
    <row hidden="true" r="5499">
      <c r="A5499" s="76" t="s">
        <v>1304</v>
      </c>
      <c r="B5499" s="76" t="s">
        <v>972</v>
      </c>
      <c r="C5499" s="76" t="s">
        <v>973</v>
      </c>
      <c r="D5499" s="75"/>
    </row>
    <row hidden="true" r="5500">
      <c r="A5500" s="76" t="s">
        <v>1304</v>
      </c>
      <c r="B5500" s="76" t="s">
        <v>974</v>
      </c>
      <c r="C5500" s="76" t="s">
        <v>975</v>
      </c>
      <c r="D5500" s="75"/>
    </row>
    <row hidden="true" r="5501">
      <c r="A5501" s="76" t="s">
        <v>1304</v>
      </c>
      <c r="B5501" s="76" t="s">
        <v>976</v>
      </c>
      <c r="C5501" s="76" t="s">
        <v>977</v>
      </c>
      <c r="D5501" s="75"/>
    </row>
    <row hidden="true" r="5502">
      <c r="A5502" s="76" t="s">
        <v>1304</v>
      </c>
      <c r="B5502" s="76" t="s">
        <v>823</v>
      </c>
      <c r="C5502" s="76" t="s">
        <v>824</v>
      </c>
      <c r="D5502" s="75"/>
    </row>
    <row hidden="true" r="5503">
      <c r="A5503" s="76" t="s">
        <v>1304</v>
      </c>
      <c r="B5503" s="76" t="s">
        <v>978</v>
      </c>
      <c r="C5503" s="76" t="s">
        <v>979</v>
      </c>
      <c r="D5503" s="75"/>
    </row>
    <row hidden="true" r="5504">
      <c r="A5504" s="76" t="s">
        <v>1304</v>
      </c>
      <c r="B5504" s="76" t="s">
        <v>980</v>
      </c>
      <c r="C5504" s="76" t="s">
        <v>981</v>
      </c>
      <c r="D5504" s="75"/>
    </row>
    <row hidden="true" r="5505">
      <c r="A5505" s="76" t="s">
        <v>1304</v>
      </c>
      <c r="B5505" s="76" t="s">
        <v>982</v>
      </c>
      <c r="C5505" s="76" t="s">
        <v>983</v>
      </c>
      <c r="D5505" s="75"/>
    </row>
    <row hidden="true" r="5506">
      <c r="A5506" s="76" t="s">
        <v>1304</v>
      </c>
      <c r="B5506" s="76" t="s">
        <v>984</v>
      </c>
      <c r="C5506" s="76" t="s">
        <v>985</v>
      </c>
      <c r="D5506" s="75"/>
    </row>
    <row hidden="true" r="5507">
      <c r="A5507" s="76" t="s">
        <v>1304</v>
      </c>
      <c r="B5507" s="76" t="s">
        <v>986</v>
      </c>
      <c r="C5507" s="76" t="s">
        <v>987</v>
      </c>
      <c r="D5507" s="75"/>
    </row>
    <row hidden="true" r="5508">
      <c r="A5508" s="76" t="s">
        <v>1304</v>
      </c>
      <c r="B5508" s="76" t="s">
        <v>1309</v>
      </c>
      <c r="C5508" s="76" t="s">
        <v>1310</v>
      </c>
      <c r="D5508" s="75"/>
    </row>
    <row hidden="true" r="5509">
      <c r="A5509" s="76" t="s">
        <v>1304</v>
      </c>
      <c r="B5509" s="76" t="s">
        <v>1311</v>
      </c>
      <c r="C5509" s="76" t="s">
        <v>1312</v>
      </c>
      <c r="D5509" s="75"/>
    </row>
    <row hidden="true" r="5510">
      <c r="A5510" s="76" t="s">
        <v>1304</v>
      </c>
      <c r="B5510" s="76" t="s">
        <v>1099</v>
      </c>
      <c r="C5510" s="76" t="s">
        <v>1100</v>
      </c>
      <c r="D5510" s="75"/>
    </row>
    <row hidden="true" r="5511">
      <c r="A5511" s="76" t="s">
        <v>1304</v>
      </c>
      <c r="B5511" s="76" t="s">
        <v>1101</v>
      </c>
      <c r="C5511" s="76" t="s">
        <v>1102</v>
      </c>
      <c r="D5511" s="75"/>
    </row>
    <row hidden="true" r="5512">
      <c r="A5512" s="76" t="s">
        <v>1304</v>
      </c>
      <c r="B5512" s="76" t="s">
        <v>1313</v>
      </c>
      <c r="C5512" s="76" t="s">
        <v>1314</v>
      </c>
      <c r="D5512" s="75"/>
    </row>
    <row hidden="true" r="5513">
      <c r="A5513" s="76" t="s">
        <v>1304</v>
      </c>
      <c r="B5513" s="76" t="s">
        <v>996</v>
      </c>
      <c r="C5513" s="76" t="s">
        <v>997</v>
      </c>
      <c r="D5513" s="75"/>
    </row>
    <row hidden="true" r="5514">
      <c r="A5514" s="76" t="s">
        <v>1304</v>
      </c>
      <c r="B5514" s="76" t="s">
        <v>998</v>
      </c>
      <c r="C5514" s="76" t="s">
        <v>999</v>
      </c>
      <c r="D5514" s="75"/>
    </row>
    <row hidden="true" r="5515">
      <c r="A5515" s="76" t="s">
        <v>1304</v>
      </c>
      <c r="B5515" s="76" t="s">
        <v>1000</v>
      </c>
      <c r="C5515" s="76" t="s">
        <v>1001</v>
      </c>
      <c r="D5515" s="75"/>
    </row>
    <row hidden="true" r="5516">
      <c r="A5516" s="76" t="s">
        <v>1304</v>
      </c>
      <c r="B5516" s="76" t="s">
        <v>1002</v>
      </c>
      <c r="C5516" s="76" t="s">
        <v>1003</v>
      </c>
      <c r="D5516" s="75"/>
    </row>
    <row hidden="true" r="5517">
      <c r="A5517" s="76" t="s">
        <v>1304</v>
      </c>
      <c r="B5517" s="76" t="s">
        <v>1004</v>
      </c>
      <c r="C5517" s="76" t="s">
        <v>1005</v>
      </c>
      <c r="D5517" s="75"/>
    </row>
    <row hidden="true" r="5518">
      <c r="A5518" s="76" t="s">
        <v>1304</v>
      </c>
      <c r="B5518" s="76" t="s">
        <v>1006</v>
      </c>
      <c r="C5518" s="76" t="s">
        <v>1007</v>
      </c>
      <c r="D5518" s="75"/>
    </row>
    <row hidden="true" r="5519">
      <c r="A5519" s="76" t="s">
        <v>1304</v>
      </c>
      <c r="B5519" s="76" t="s">
        <v>1008</v>
      </c>
      <c r="C5519" s="76" t="s">
        <v>1009</v>
      </c>
      <c r="D5519" s="75"/>
    </row>
    <row hidden="true" r="5520">
      <c r="A5520" s="76" t="s">
        <v>1304</v>
      </c>
      <c r="B5520" s="76" t="s">
        <v>1010</v>
      </c>
      <c r="C5520" s="76" t="s">
        <v>1011</v>
      </c>
      <c r="D5520" s="75"/>
    </row>
    <row hidden="true" r="5521">
      <c r="A5521" s="76" t="s">
        <v>1304</v>
      </c>
      <c r="B5521" s="76" t="s">
        <v>1315</v>
      </c>
      <c r="C5521" s="76" t="s">
        <v>1316</v>
      </c>
      <c r="D5521" s="75"/>
    </row>
    <row hidden="true" r="5522">
      <c r="A5522" s="76" t="s">
        <v>1304</v>
      </c>
      <c r="B5522" s="76" t="s">
        <v>1014</v>
      </c>
      <c r="C5522" s="76" t="s">
        <v>1015</v>
      </c>
      <c r="D5522" s="75"/>
    </row>
    <row hidden="true" r="5523">
      <c r="A5523" s="76" t="s">
        <v>1304</v>
      </c>
      <c r="B5523" s="76" t="s">
        <v>1016</v>
      </c>
      <c r="C5523" s="76" t="s">
        <v>1017</v>
      </c>
      <c r="D5523" s="75"/>
    </row>
    <row hidden="true" r="5524">
      <c r="A5524" s="76" t="s">
        <v>1304</v>
      </c>
      <c r="B5524" s="76" t="s">
        <v>1018</v>
      </c>
      <c r="C5524" s="76" t="s">
        <v>1019</v>
      </c>
      <c r="D5524" s="75"/>
    </row>
    <row hidden="true" r="5525">
      <c r="A5525" s="76" t="s">
        <v>1304</v>
      </c>
      <c r="B5525" s="76" t="s">
        <v>1020</v>
      </c>
      <c r="C5525" s="76" t="s">
        <v>1021</v>
      </c>
      <c r="D5525" s="75"/>
    </row>
    <row hidden="true" r="5526">
      <c r="A5526" s="76" t="s">
        <v>1304</v>
      </c>
      <c r="B5526" s="76" t="s">
        <v>1022</v>
      </c>
      <c r="C5526" s="76" t="s">
        <v>1017</v>
      </c>
      <c r="D5526" s="75"/>
    </row>
    <row hidden="true" r="5527">
      <c r="A5527" s="76" t="s">
        <v>1304</v>
      </c>
      <c r="B5527" s="76" t="s">
        <v>1023</v>
      </c>
      <c r="C5527" s="76" t="s">
        <v>1019</v>
      </c>
      <c r="D5527" s="75"/>
    </row>
    <row hidden="true" r="5528">
      <c r="A5528" s="76" t="s">
        <v>1304</v>
      </c>
      <c r="B5528" s="76" t="s">
        <v>1024</v>
      </c>
      <c r="C5528" s="76" t="s">
        <v>1021</v>
      </c>
      <c r="D5528" s="75"/>
    </row>
    <row hidden="true" r="5529">
      <c r="A5529" s="76" t="s">
        <v>1304</v>
      </c>
      <c r="B5529" s="76" t="s">
        <v>1025</v>
      </c>
      <c r="C5529" s="76" t="s">
        <v>1017</v>
      </c>
      <c r="D5529" s="75"/>
    </row>
    <row hidden="true" r="5530">
      <c r="A5530" s="76" t="s">
        <v>1304</v>
      </c>
      <c r="B5530" s="76" t="s">
        <v>1026</v>
      </c>
      <c r="C5530" s="76" t="s">
        <v>1019</v>
      </c>
      <c r="D5530" s="75"/>
    </row>
    <row hidden="true" r="5531">
      <c r="A5531" s="76" t="s">
        <v>1304</v>
      </c>
      <c r="B5531" s="76" t="s">
        <v>1027</v>
      </c>
      <c r="C5531" s="76" t="s">
        <v>1021</v>
      </c>
      <c r="D5531" s="75"/>
    </row>
    <row hidden="true" r="5532">
      <c r="A5532" s="76" t="s">
        <v>1304</v>
      </c>
      <c r="B5532" s="76" t="s">
        <v>1133</v>
      </c>
      <c r="C5532" s="76" t="s">
        <v>1134</v>
      </c>
      <c r="D5532" s="75"/>
    </row>
    <row hidden="true" r="5533">
      <c r="A5533" s="76" t="s">
        <v>1304</v>
      </c>
      <c r="B5533" s="76" t="s">
        <v>1317</v>
      </c>
      <c r="C5533" s="76" t="s">
        <v>1318</v>
      </c>
      <c r="D5533" s="75"/>
    </row>
    <row hidden="true" r="5534">
      <c r="A5534" s="76" t="s">
        <v>1304</v>
      </c>
      <c r="B5534" s="76" t="s">
        <v>1319</v>
      </c>
      <c r="C5534" s="76" t="s">
        <v>1320</v>
      </c>
      <c r="D5534" s="75"/>
    </row>
    <row hidden="true" r="5535">
      <c r="A5535" s="76" t="s">
        <v>1304</v>
      </c>
      <c r="B5535" s="76" t="s">
        <v>1028</v>
      </c>
      <c r="C5535" s="76" t="s">
        <v>1029</v>
      </c>
      <c r="D5535" s="75"/>
    </row>
    <row hidden="true" r="5536">
      <c r="A5536" s="76" t="s">
        <v>1304</v>
      </c>
      <c r="B5536" s="76" t="s">
        <v>988</v>
      </c>
      <c r="C5536" s="76" t="s">
        <v>989</v>
      </c>
      <c r="D5536" s="75"/>
    </row>
    <row hidden="true" r="5537">
      <c r="A5537" s="76" t="s">
        <v>1304</v>
      </c>
      <c r="B5537" s="76" t="s">
        <v>990</v>
      </c>
      <c r="C5537" s="76" t="s">
        <v>991</v>
      </c>
      <c r="D5537" s="75"/>
    </row>
    <row hidden="true" r="5538">
      <c r="A5538" s="76" t="s">
        <v>1304</v>
      </c>
      <c r="B5538" s="76" t="s">
        <v>992</v>
      </c>
      <c r="C5538" s="76" t="s">
        <v>993</v>
      </c>
      <c r="D5538" s="75"/>
    </row>
    <row hidden="true" r="5539">
      <c r="A5539" s="76" t="s">
        <v>1304</v>
      </c>
      <c r="B5539" s="76" t="s">
        <v>530</v>
      </c>
      <c r="C5539" s="76" t="s">
        <v>531</v>
      </c>
      <c r="D5539" s="75"/>
    </row>
    <row hidden="true" r="5540">
      <c r="A5540" s="76" t="s">
        <v>1304</v>
      </c>
      <c r="B5540" s="76" t="s">
        <v>1032</v>
      </c>
      <c r="C5540" s="76" t="s">
        <v>1033</v>
      </c>
      <c r="D5540" s="75"/>
    </row>
    <row hidden="true" r="5541">
      <c r="A5541" s="76" t="s">
        <v>1304</v>
      </c>
      <c r="B5541" s="76" t="s">
        <v>532</v>
      </c>
      <c r="C5541" s="76" t="s">
        <v>533</v>
      </c>
      <c r="D5541" s="75"/>
    </row>
    <row hidden="true" r="5542">
      <c r="A5542" s="76" t="s">
        <v>1304</v>
      </c>
      <c r="B5542" s="76" t="s">
        <v>1036</v>
      </c>
      <c r="C5542" s="76" t="s">
        <v>1037</v>
      </c>
      <c r="D5542" s="75"/>
    </row>
    <row hidden="true" r="5543">
      <c r="A5543" s="76" t="s">
        <v>1304</v>
      </c>
      <c r="B5543" s="76" t="s">
        <v>1038</v>
      </c>
      <c r="C5543" s="76" t="s">
        <v>1039</v>
      </c>
      <c r="D5543" s="75"/>
    </row>
    <row hidden="true" r="5544">
      <c r="A5544" s="76" t="s">
        <v>1304</v>
      </c>
      <c r="B5544" s="76" t="s">
        <v>1321</v>
      </c>
      <c r="C5544" s="76" t="s">
        <v>1322</v>
      </c>
      <c r="D5544" s="75"/>
    </row>
    <row hidden="true" r="5545">
      <c r="A5545" s="76" t="s">
        <v>1304</v>
      </c>
      <c r="B5545" s="76" t="s">
        <v>1323</v>
      </c>
      <c r="C5545" s="76" t="s">
        <v>1324</v>
      </c>
      <c r="D5545" s="75"/>
    </row>
    <row hidden="true" r="5546">
      <c r="A5546" s="76" t="s">
        <v>1304</v>
      </c>
      <c r="B5546" s="76" t="s">
        <v>1012</v>
      </c>
      <c r="C5546" s="76" t="s">
        <v>1013</v>
      </c>
      <c r="D5546" s="75"/>
    </row>
    <row hidden="true" r="5547">
      <c r="A5547" s="76" t="s">
        <v>1304</v>
      </c>
      <c r="B5547" s="76" t="s">
        <v>1052</v>
      </c>
      <c r="C5547" s="76" t="s">
        <v>1053</v>
      </c>
      <c r="D5547" s="75"/>
    </row>
    <row hidden="true" r="5548">
      <c r="A5548" s="76" t="s">
        <v>1304</v>
      </c>
      <c r="B5548" s="76" t="s">
        <v>1054</v>
      </c>
      <c r="C5548" s="76" t="s">
        <v>1055</v>
      </c>
      <c r="D5548" s="75"/>
    </row>
    <row hidden="true" r="5549">
      <c r="A5549" s="76" t="s">
        <v>1304</v>
      </c>
      <c r="B5549" s="76" t="s">
        <v>1056</v>
      </c>
      <c r="C5549" s="76" t="s">
        <v>1057</v>
      </c>
      <c r="D5549" s="75"/>
    </row>
    <row hidden="true" r="5550">
      <c r="A5550" s="76" t="s">
        <v>1304</v>
      </c>
      <c r="B5550" s="76" t="s">
        <v>1058</v>
      </c>
      <c r="C5550" s="76" t="s">
        <v>1059</v>
      </c>
      <c r="D5550" s="75"/>
    </row>
    <row hidden="true" r="5551">
      <c r="A5551" s="76" t="s">
        <v>1304</v>
      </c>
      <c r="B5551" s="76" t="s">
        <v>1060</v>
      </c>
      <c r="C5551" s="76" t="s">
        <v>1061</v>
      </c>
      <c r="D5551" s="75"/>
    </row>
    <row hidden="true" r="5552">
      <c r="A5552" s="76" t="s">
        <v>1304</v>
      </c>
      <c r="B5552" s="76" t="s">
        <v>1062</v>
      </c>
      <c r="C5552" s="76" t="s">
        <v>1063</v>
      </c>
      <c r="D5552" s="75"/>
    </row>
    <row hidden="true" r="5553">
      <c r="A5553" s="76" t="s">
        <v>1304</v>
      </c>
      <c r="B5553" s="76" t="s">
        <v>1064</v>
      </c>
      <c r="C5553" s="76" t="s">
        <v>1065</v>
      </c>
      <c r="D5553" s="75"/>
    </row>
    <row hidden="true" r="5554">
      <c r="A5554" s="76" t="s">
        <v>1304</v>
      </c>
      <c r="B5554" s="76" t="s">
        <v>1066</v>
      </c>
      <c r="C5554" s="76" t="s">
        <v>1067</v>
      </c>
      <c r="D5554" s="75"/>
    </row>
    <row hidden="true" r="5555">
      <c r="A5555" s="76" t="s">
        <v>1304</v>
      </c>
      <c r="B5555" s="76" t="s">
        <v>1068</v>
      </c>
      <c r="C5555" s="76" t="s">
        <v>1069</v>
      </c>
      <c r="D5555" s="75"/>
    </row>
    <row hidden="true" r="5556">
      <c r="A5556" s="76" t="s">
        <v>1304</v>
      </c>
      <c r="B5556" s="76" t="s">
        <v>1070</v>
      </c>
      <c r="C5556" s="76" t="s">
        <v>1069</v>
      </c>
      <c r="D5556" s="75"/>
    </row>
    <row hidden="true" r="5557">
      <c r="A5557" s="76" t="s">
        <v>1304</v>
      </c>
      <c r="B5557" s="76" t="s">
        <v>1071</v>
      </c>
      <c r="C5557" s="76" t="s">
        <v>1069</v>
      </c>
      <c r="D5557" s="75"/>
    </row>
    <row hidden="true" r="5558">
      <c r="A5558" s="76" t="s">
        <v>1304</v>
      </c>
      <c r="B5558" s="76" t="s">
        <v>1072</v>
      </c>
      <c r="C5558" s="76" t="s">
        <v>1073</v>
      </c>
      <c r="D5558" s="75"/>
    </row>
    <row hidden="true" r="5559">
      <c r="A5559" s="76" t="s">
        <v>1304</v>
      </c>
      <c r="B5559" s="76" t="s">
        <v>1074</v>
      </c>
      <c r="C5559" s="76" t="s">
        <v>1073</v>
      </c>
      <c r="D5559" s="75"/>
    </row>
    <row hidden="true" r="5560">
      <c r="A5560" s="76" t="s">
        <v>1304</v>
      </c>
      <c r="B5560" s="76" t="s">
        <v>1075</v>
      </c>
      <c r="C5560" s="76" t="s">
        <v>1073</v>
      </c>
      <c r="D5560" s="75"/>
    </row>
    <row hidden="true" r="5561">
      <c r="A5561" s="76" t="s">
        <v>1304</v>
      </c>
      <c r="B5561" s="76" t="s">
        <v>1082</v>
      </c>
      <c r="C5561" s="76" t="s">
        <v>1083</v>
      </c>
      <c r="D5561" s="75"/>
    </row>
    <row hidden="true" r="5562">
      <c r="A5562" s="76" t="s">
        <v>1304</v>
      </c>
      <c r="B5562" s="76" t="s">
        <v>1084</v>
      </c>
      <c r="C5562" s="76" t="s">
        <v>1085</v>
      </c>
      <c r="D5562" s="75"/>
    </row>
    <row hidden="true" r="5563">
      <c r="A5563" s="76" t="s">
        <v>1304</v>
      </c>
      <c r="B5563" s="76" t="s">
        <v>1086</v>
      </c>
      <c r="C5563" s="76" t="s">
        <v>1087</v>
      </c>
      <c r="D5563" s="75"/>
    </row>
    <row hidden="true" r="5564">
      <c r="A5564" s="76" t="s">
        <v>1304</v>
      </c>
      <c r="B5564" s="76" t="s">
        <v>1088</v>
      </c>
      <c r="C5564" s="76" t="s">
        <v>1089</v>
      </c>
      <c r="D5564" s="75"/>
    </row>
    <row hidden="true" r="5565">
      <c r="A5565" s="76" t="s">
        <v>1304</v>
      </c>
      <c r="B5565" s="76" t="s">
        <v>1076</v>
      </c>
      <c r="C5565" s="76" t="s">
        <v>1077</v>
      </c>
      <c r="D5565" s="75"/>
    </row>
    <row hidden="true" r="5566">
      <c r="A5566" s="76" t="s">
        <v>1304</v>
      </c>
      <c r="B5566" s="76" t="s">
        <v>1078</v>
      </c>
      <c r="C5566" s="76" t="s">
        <v>1079</v>
      </c>
      <c r="D5566" s="75"/>
    </row>
    <row hidden="true" r="5567">
      <c r="A5567" s="76" t="s">
        <v>1304</v>
      </c>
      <c r="B5567" s="76" t="s">
        <v>1040</v>
      </c>
      <c r="C5567" s="76" t="s">
        <v>1041</v>
      </c>
      <c r="D5567" s="75"/>
    </row>
    <row hidden="true" r="5568">
      <c r="A5568" s="76" t="s">
        <v>1304</v>
      </c>
      <c r="B5568" s="76" t="s">
        <v>839</v>
      </c>
      <c r="C5568" s="76" t="s">
        <v>840</v>
      </c>
      <c r="D5568" s="75"/>
    </row>
    <row hidden="true" r="5569">
      <c r="A5569" s="76" t="s">
        <v>1304</v>
      </c>
      <c r="B5569" s="76" t="s">
        <v>1121</v>
      </c>
      <c r="C5569" s="76" t="s">
        <v>1122</v>
      </c>
      <c r="D5569" s="75"/>
    </row>
    <row hidden="true" r="5570">
      <c r="A5570" s="76" t="s">
        <v>1304</v>
      </c>
      <c r="B5570" s="76" t="s">
        <v>1325</v>
      </c>
      <c r="C5570" s="76" t="s">
        <v>1326</v>
      </c>
      <c r="D5570" s="75"/>
    </row>
    <row hidden="true" r="5571">
      <c r="A5571" s="76" t="s">
        <v>1304</v>
      </c>
      <c r="B5571" s="76" t="s">
        <v>1080</v>
      </c>
      <c r="C5571" s="76" t="s">
        <v>1081</v>
      </c>
      <c r="D5571" s="75"/>
    </row>
    <row hidden="true" r="5572">
      <c r="A5572" s="76" t="s">
        <v>1304</v>
      </c>
      <c r="B5572" s="76" t="s">
        <v>1327</v>
      </c>
      <c r="C5572" s="76" t="s">
        <v>1328</v>
      </c>
      <c r="D5572" s="75"/>
    </row>
    <row hidden="true" r="5573">
      <c r="A5573" s="76" t="s">
        <v>1304</v>
      </c>
      <c r="B5573" s="76" t="s">
        <v>1090</v>
      </c>
      <c r="C5573" s="76" t="s">
        <v>1091</v>
      </c>
      <c r="D5573" s="75"/>
    </row>
    <row hidden="true" r="5574">
      <c r="A5574" s="76" t="s">
        <v>1304</v>
      </c>
      <c r="B5574" s="76" t="s">
        <v>1092</v>
      </c>
      <c r="C5574" s="76" t="s">
        <v>1091</v>
      </c>
      <c r="D5574" s="75"/>
    </row>
    <row hidden="true" r="5575">
      <c r="A5575" s="76" t="s">
        <v>1304</v>
      </c>
      <c r="B5575" s="76" t="s">
        <v>1093</v>
      </c>
      <c r="C5575" s="76" t="s">
        <v>1094</v>
      </c>
      <c r="D5575" s="75"/>
    </row>
    <row hidden="true" r="5576">
      <c r="A5576" s="76" t="s">
        <v>1304</v>
      </c>
      <c r="B5576" s="76" t="s">
        <v>1095</v>
      </c>
      <c r="C5576" s="76" t="s">
        <v>1096</v>
      </c>
      <c r="D5576" s="75"/>
    </row>
    <row hidden="true" r="5577">
      <c r="A5577" s="76" t="s">
        <v>1304</v>
      </c>
      <c r="B5577" s="76" t="s">
        <v>1097</v>
      </c>
      <c r="C5577" s="76" t="s">
        <v>1098</v>
      </c>
      <c r="D5577" s="75"/>
    </row>
    <row hidden="true" r="5578">
      <c r="A5578" s="76" t="s">
        <v>1304</v>
      </c>
      <c r="B5578" s="76" t="s">
        <v>1103</v>
      </c>
      <c r="C5578" s="76" t="s">
        <v>1104</v>
      </c>
      <c r="D5578" s="75"/>
    </row>
    <row hidden="true" r="5579">
      <c r="A5579" s="76" t="s">
        <v>1304</v>
      </c>
      <c r="B5579" s="76" t="s">
        <v>1329</v>
      </c>
      <c r="C5579" s="76" t="s">
        <v>1330</v>
      </c>
      <c r="D5579" s="75"/>
    </row>
    <row hidden="true" r="5580">
      <c r="A5580" s="76" t="s">
        <v>1304</v>
      </c>
      <c r="B5580" s="76" t="s">
        <v>1113</v>
      </c>
      <c r="C5580" s="76" t="s">
        <v>1114</v>
      </c>
      <c r="D5580" s="75"/>
    </row>
    <row hidden="true" r="5581">
      <c r="A5581" s="76" t="s">
        <v>1304</v>
      </c>
      <c r="B5581" s="76" t="s">
        <v>1115</v>
      </c>
      <c r="C5581" s="76" t="s">
        <v>1116</v>
      </c>
      <c r="D5581" s="75"/>
    </row>
    <row hidden="true" r="5582">
      <c r="A5582" s="76" t="s">
        <v>1304</v>
      </c>
      <c r="B5582" s="76" t="s">
        <v>1117</v>
      </c>
      <c r="C5582" s="76" t="s">
        <v>1118</v>
      </c>
      <c r="D5582" s="75"/>
    </row>
    <row hidden="true" r="5583">
      <c r="A5583" s="76" t="s">
        <v>1304</v>
      </c>
      <c r="B5583" s="76" t="s">
        <v>1119</v>
      </c>
      <c r="C5583" s="76" t="s">
        <v>1120</v>
      </c>
      <c r="D5583" s="75"/>
    </row>
    <row hidden="true" r="5584">
      <c r="A5584" s="76" t="s">
        <v>1304</v>
      </c>
      <c r="B5584" s="76" t="s">
        <v>1127</v>
      </c>
      <c r="C5584" s="76" t="s">
        <v>1128</v>
      </c>
      <c r="D5584" s="75"/>
    </row>
    <row hidden="true" r="5585">
      <c r="A5585" s="76" t="s">
        <v>1304</v>
      </c>
      <c r="B5585" s="76" t="s">
        <v>1129</v>
      </c>
      <c r="C5585" s="76" t="s">
        <v>1130</v>
      </c>
      <c r="D5585" s="75"/>
    </row>
    <row hidden="true" r="5586">
      <c r="A5586" s="76" t="s">
        <v>1304</v>
      </c>
      <c r="B5586" s="76" t="s">
        <v>1131</v>
      </c>
      <c r="C5586" s="76" t="s">
        <v>1132</v>
      </c>
      <c r="D5586" s="75"/>
    </row>
    <row hidden="true" r="5587">
      <c r="A5587" s="76" t="s">
        <v>1304</v>
      </c>
      <c r="B5587" s="76" t="s">
        <v>1137</v>
      </c>
      <c r="C5587" s="76" t="s">
        <v>1138</v>
      </c>
      <c r="D5587" s="75"/>
    </row>
    <row hidden="true" r="5588">
      <c r="A5588" s="76" t="s">
        <v>1304</v>
      </c>
      <c r="B5588" s="76" t="s">
        <v>1139</v>
      </c>
      <c r="C5588" s="76" t="s">
        <v>1140</v>
      </c>
      <c r="D5588" s="75"/>
    </row>
    <row hidden="true" r="5589">
      <c r="A5589" s="76" t="s">
        <v>1304</v>
      </c>
      <c r="B5589" s="76" t="s">
        <v>1141</v>
      </c>
      <c r="C5589" s="76" t="s">
        <v>1142</v>
      </c>
      <c r="D5589" s="75"/>
    </row>
    <row hidden="true" r="5590">
      <c r="A5590" s="76" t="s">
        <v>1304</v>
      </c>
      <c r="B5590" s="76" t="s">
        <v>1143</v>
      </c>
      <c r="C5590" s="76" t="s">
        <v>1144</v>
      </c>
      <c r="D5590" s="75"/>
    </row>
    <row hidden="true" r="5591">
      <c r="A5591" s="76" t="s">
        <v>1304</v>
      </c>
      <c r="B5591" s="76" t="s">
        <v>1145</v>
      </c>
      <c r="C5591" s="76" t="s">
        <v>1146</v>
      </c>
      <c r="D5591" s="75"/>
    </row>
    <row hidden="true" r="5592">
      <c r="A5592" s="76" t="s">
        <v>1304</v>
      </c>
      <c r="B5592" s="76" t="s">
        <v>1147</v>
      </c>
      <c r="C5592" s="76" t="s">
        <v>1148</v>
      </c>
      <c r="D5592" s="75"/>
    </row>
    <row hidden="true" r="5593">
      <c r="A5593" s="76" t="s">
        <v>1304</v>
      </c>
      <c r="B5593" s="76" t="s">
        <v>1153</v>
      </c>
      <c r="C5593" s="76" t="s">
        <v>1154</v>
      </c>
      <c r="D5593" s="75"/>
    </row>
    <row hidden="true" r="5594">
      <c r="A5594" s="76" t="s">
        <v>1304</v>
      </c>
      <c r="B5594" s="76" t="s">
        <v>1155</v>
      </c>
      <c r="C5594" s="76" t="s">
        <v>1156</v>
      </c>
      <c r="D5594" s="75"/>
    </row>
    <row hidden="true" r="5595">
      <c r="A5595" s="76" t="s">
        <v>1304</v>
      </c>
      <c r="B5595" s="76" t="s">
        <v>1157</v>
      </c>
      <c r="C5595" s="76" t="s">
        <v>1158</v>
      </c>
      <c r="D5595" s="75"/>
    </row>
    <row hidden="true" r="5596">
      <c r="A5596" s="76" t="s">
        <v>1304</v>
      </c>
      <c r="B5596" s="76" t="s">
        <v>1159</v>
      </c>
      <c r="C5596" s="76" t="s">
        <v>1160</v>
      </c>
      <c r="D5596" s="75"/>
    </row>
    <row hidden="true" r="5597">
      <c r="A5597" s="76" t="s">
        <v>1304</v>
      </c>
      <c r="B5597" s="76" t="s">
        <v>1161</v>
      </c>
      <c r="C5597" s="76" t="s">
        <v>1162</v>
      </c>
      <c r="D5597" s="75"/>
    </row>
    <row hidden="true" r="5598">
      <c r="A5598" s="76" t="s">
        <v>1304</v>
      </c>
      <c r="B5598" s="76" t="s">
        <v>1163</v>
      </c>
      <c r="C5598" s="76" t="s">
        <v>1164</v>
      </c>
      <c r="D5598" s="75"/>
    </row>
    <row hidden="true" r="5599">
      <c r="A5599" s="76" t="s">
        <v>1304</v>
      </c>
      <c r="B5599" s="76" t="s">
        <v>1165</v>
      </c>
      <c r="C5599" s="76" t="s">
        <v>1166</v>
      </c>
      <c r="D5599" s="75"/>
    </row>
    <row hidden="true" r="5600">
      <c r="A5600" s="76" t="s">
        <v>1304</v>
      </c>
      <c r="B5600" s="76" t="s">
        <v>1331</v>
      </c>
      <c r="C5600" s="76" t="s">
        <v>1332</v>
      </c>
      <c r="D5600" s="75"/>
    </row>
    <row hidden="true" r="5601">
      <c r="A5601" s="76" t="s">
        <v>1304</v>
      </c>
      <c r="B5601" s="76" t="s">
        <v>1333</v>
      </c>
      <c r="C5601" s="76" t="s">
        <v>1334</v>
      </c>
      <c r="D5601" s="75"/>
    </row>
    <row hidden="true" r="5602">
      <c r="A5602" s="76" t="s">
        <v>1304</v>
      </c>
      <c r="B5602" s="76" t="s">
        <v>1335</v>
      </c>
      <c r="C5602" s="76" t="s">
        <v>1336</v>
      </c>
      <c r="D5602" s="75"/>
    </row>
    <row hidden="true" r="5603">
      <c r="A5603" s="76" t="s">
        <v>1304</v>
      </c>
      <c r="B5603" s="76" t="s">
        <v>1337</v>
      </c>
      <c r="C5603" s="76" t="s">
        <v>1338</v>
      </c>
      <c r="D5603" s="75"/>
    </row>
    <row hidden="true" r="5604">
      <c r="A5604" s="76" t="s">
        <v>1304</v>
      </c>
      <c r="B5604" s="76" t="s">
        <v>1339</v>
      </c>
      <c r="C5604" s="76" t="s">
        <v>1340</v>
      </c>
      <c r="D5604" s="75"/>
    </row>
    <row hidden="true" r="5605">
      <c r="A5605" s="76" t="s">
        <v>1304</v>
      </c>
      <c r="B5605" s="76" t="s">
        <v>1341</v>
      </c>
      <c r="C5605" s="76" t="s">
        <v>1342</v>
      </c>
      <c r="D5605" s="75"/>
    </row>
    <row hidden="true" r="5606">
      <c r="A5606" s="76" t="s">
        <v>1304</v>
      </c>
      <c r="B5606" s="76" t="s">
        <v>1044</v>
      </c>
      <c r="C5606" s="76" t="s">
        <v>1045</v>
      </c>
      <c r="D5606" s="75"/>
    </row>
    <row hidden="true" r="5607">
      <c r="A5607" s="76" t="s">
        <v>1304</v>
      </c>
      <c r="B5607" s="76" t="s">
        <v>1046</v>
      </c>
      <c r="C5607" s="76" t="s">
        <v>1047</v>
      </c>
      <c r="D5607" s="75"/>
    </row>
    <row hidden="true" r="5608">
      <c r="A5608" s="76" t="s">
        <v>1304</v>
      </c>
      <c r="B5608" s="76" t="s">
        <v>1048</v>
      </c>
      <c r="C5608" s="76" t="s">
        <v>1049</v>
      </c>
      <c r="D5608" s="75"/>
    </row>
    <row hidden="true" r="5609">
      <c r="A5609" s="76" t="s">
        <v>1304</v>
      </c>
      <c r="B5609" s="76" t="s">
        <v>1167</v>
      </c>
      <c r="C5609" s="76" t="s">
        <v>1168</v>
      </c>
      <c r="D5609" s="75"/>
    </row>
    <row hidden="true" r="5610">
      <c r="A5610" s="76" t="s">
        <v>1304</v>
      </c>
      <c r="B5610" s="76" t="s">
        <v>1169</v>
      </c>
      <c r="C5610" s="76" t="s">
        <v>1170</v>
      </c>
      <c r="D5610" s="75"/>
    </row>
    <row hidden="true" r="5611">
      <c r="A5611" s="76" t="s">
        <v>1304</v>
      </c>
      <c r="B5611" s="76" t="s">
        <v>1171</v>
      </c>
      <c r="C5611" s="76" t="s">
        <v>1172</v>
      </c>
      <c r="D5611" s="75"/>
    </row>
    <row hidden="true" r="5612">
      <c r="A5612" s="76" t="s">
        <v>1304</v>
      </c>
      <c r="B5612" s="76" t="s">
        <v>1173</v>
      </c>
      <c r="C5612" s="76" t="s">
        <v>1174</v>
      </c>
      <c r="D5612" s="75"/>
    </row>
    <row hidden="true" r="5613">
      <c r="A5613" s="76" t="s">
        <v>1304</v>
      </c>
      <c r="B5613" s="76" t="s">
        <v>1175</v>
      </c>
      <c r="C5613" s="76" t="s">
        <v>1176</v>
      </c>
      <c r="D5613" s="75"/>
    </row>
    <row hidden="true" r="5614">
      <c r="A5614" s="76" t="s">
        <v>1304</v>
      </c>
      <c r="B5614" s="76" t="s">
        <v>1177</v>
      </c>
      <c r="C5614" s="76" t="s">
        <v>1178</v>
      </c>
      <c r="D5614" s="75"/>
    </row>
    <row hidden="true" r="5615">
      <c r="A5615" s="76" t="s">
        <v>1304</v>
      </c>
      <c r="B5615" s="76" t="s">
        <v>1135</v>
      </c>
      <c r="C5615" s="76" t="s">
        <v>1136</v>
      </c>
      <c r="D5615" s="75"/>
    </row>
    <row hidden="true" r="5616">
      <c r="A5616" s="76" t="s">
        <v>1304</v>
      </c>
      <c r="B5616" s="76" t="s">
        <v>1179</v>
      </c>
      <c r="C5616" s="76" t="s">
        <v>1180</v>
      </c>
      <c r="D5616" s="75"/>
    </row>
    <row hidden="true" r="5617">
      <c r="A5617" s="76" t="s">
        <v>1304</v>
      </c>
      <c r="B5617" s="76" t="s">
        <v>1181</v>
      </c>
      <c r="C5617" s="76" t="s">
        <v>1182</v>
      </c>
      <c r="D5617" s="75"/>
    </row>
    <row hidden="true" r="5618">
      <c r="A5618" s="76" t="s">
        <v>1304</v>
      </c>
      <c r="B5618" s="76" t="s">
        <v>1183</v>
      </c>
      <c r="C5618" s="76" t="s">
        <v>1184</v>
      </c>
      <c r="D5618" s="75"/>
    </row>
    <row hidden="true" r="5619">
      <c r="A5619" s="76" t="s">
        <v>1304</v>
      </c>
      <c r="B5619" s="76" t="s">
        <v>1185</v>
      </c>
      <c r="C5619" s="76" t="s">
        <v>1186</v>
      </c>
      <c r="D5619" s="75"/>
    </row>
    <row hidden="true" r="5620">
      <c r="A5620" s="76" t="s">
        <v>1304</v>
      </c>
      <c r="B5620" s="76" t="s">
        <v>1187</v>
      </c>
      <c r="C5620" s="76" t="s">
        <v>1188</v>
      </c>
      <c r="D5620" s="75"/>
    </row>
    <row hidden="true" r="5621">
      <c r="A5621" s="76" t="s">
        <v>1304</v>
      </c>
      <c r="B5621" s="76" t="s">
        <v>1189</v>
      </c>
      <c r="C5621" s="76" t="s">
        <v>1190</v>
      </c>
      <c r="D5621" s="75"/>
    </row>
    <row hidden="true" r="5622">
      <c r="A5622" s="76" t="s">
        <v>1304</v>
      </c>
      <c r="B5622" s="76" t="s">
        <v>1191</v>
      </c>
      <c r="C5622" s="76" t="s">
        <v>1192</v>
      </c>
      <c r="D5622" s="75"/>
    </row>
    <row hidden="true" r="5623">
      <c r="A5623" s="76" t="s">
        <v>1304</v>
      </c>
      <c r="B5623" s="76" t="s">
        <v>1199</v>
      </c>
      <c r="C5623" s="76" t="s">
        <v>1200</v>
      </c>
      <c r="D5623" s="75"/>
    </row>
    <row hidden="true" r="5624">
      <c r="A5624" s="76" t="s">
        <v>1304</v>
      </c>
      <c r="B5624" s="76" t="s">
        <v>1201</v>
      </c>
      <c r="C5624" s="76" t="s">
        <v>1202</v>
      </c>
      <c r="D5624" s="75"/>
    </row>
    <row hidden="true" r="5625">
      <c r="A5625" s="76" t="s">
        <v>1304</v>
      </c>
      <c r="B5625" s="76" t="s">
        <v>1203</v>
      </c>
      <c r="C5625" s="76" t="s">
        <v>1204</v>
      </c>
      <c r="D5625" s="75"/>
    </row>
    <row hidden="true" r="5626">
      <c r="A5626" s="76" t="s">
        <v>1304</v>
      </c>
      <c r="B5626" s="76" t="s">
        <v>1205</v>
      </c>
      <c r="C5626" s="76" t="s">
        <v>1206</v>
      </c>
      <c r="D5626" s="75"/>
    </row>
    <row hidden="true" r="5627">
      <c r="A5627" s="76" t="s">
        <v>1304</v>
      </c>
      <c r="B5627" s="76" t="s">
        <v>1207</v>
      </c>
      <c r="C5627" s="76" t="s">
        <v>1208</v>
      </c>
      <c r="D5627" s="75"/>
    </row>
    <row hidden="true" r="5628">
      <c r="A5628" s="76" t="s">
        <v>1304</v>
      </c>
      <c r="B5628" s="76" t="s">
        <v>1209</v>
      </c>
      <c r="C5628" s="76" t="s">
        <v>1210</v>
      </c>
      <c r="D5628" s="75"/>
    </row>
    <row hidden="true" r="5629">
      <c r="A5629" s="76" t="s">
        <v>1304</v>
      </c>
      <c r="B5629" s="76" t="s">
        <v>1211</v>
      </c>
      <c r="C5629" s="76" t="s">
        <v>1212</v>
      </c>
      <c r="D5629" s="75"/>
    </row>
    <row hidden="true" r="5630">
      <c r="A5630" s="76" t="s">
        <v>1304</v>
      </c>
      <c r="B5630" s="76" t="s">
        <v>735</v>
      </c>
      <c r="C5630" s="76"/>
      <c r="D5630" s="75"/>
    </row>
    <row hidden="true" r="5631">
      <c r="A5631" s="76" t="s">
        <v>1343</v>
      </c>
      <c r="B5631" s="76" t="s">
        <v>407</v>
      </c>
      <c r="C5631" s="76" t="s">
        <v>408</v>
      </c>
      <c r="D5631" s="75"/>
    </row>
    <row hidden="true" r="5632">
      <c r="A5632" s="76" t="s">
        <v>1343</v>
      </c>
      <c r="B5632" s="76" t="s">
        <v>744</v>
      </c>
      <c r="C5632" s="76" t="s">
        <v>745</v>
      </c>
      <c r="D5632" s="75"/>
    </row>
    <row hidden="true" r="5633">
      <c r="A5633" s="76" t="s">
        <v>1343</v>
      </c>
      <c r="B5633" s="76" t="s">
        <v>480</v>
      </c>
      <c r="C5633" s="76" t="s">
        <v>481</v>
      </c>
      <c r="D5633" s="75"/>
    </row>
    <row hidden="true" r="5634">
      <c r="A5634" s="76" t="s">
        <v>1343</v>
      </c>
      <c r="B5634" s="76" t="s">
        <v>884</v>
      </c>
      <c r="C5634" s="76" t="s">
        <v>885</v>
      </c>
      <c r="D5634" s="75"/>
    </row>
    <row hidden="true" r="5635">
      <c r="A5635" s="76" t="s">
        <v>1343</v>
      </c>
      <c r="B5635" s="76" t="s">
        <v>886</v>
      </c>
      <c r="C5635" s="76" t="s">
        <v>887</v>
      </c>
      <c r="D5635" s="75"/>
    </row>
    <row hidden="true" r="5636">
      <c r="A5636" s="76" t="s">
        <v>1343</v>
      </c>
      <c r="B5636" s="76" t="s">
        <v>888</v>
      </c>
      <c r="C5636" s="76" t="s">
        <v>889</v>
      </c>
      <c r="D5636" s="75"/>
    </row>
    <row hidden="true" r="5637">
      <c r="A5637" s="76" t="s">
        <v>1343</v>
      </c>
      <c r="B5637" s="76" t="s">
        <v>890</v>
      </c>
      <c r="C5637" s="76" t="s">
        <v>891</v>
      </c>
      <c r="D5637" s="75"/>
    </row>
    <row hidden="true" r="5638">
      <c r="A5638" s="76" t="s">
        <v>1343</v>
      </c>
      <c r="B5638" s="76" t="s">
        <v>892</v>
      </c>
      <c r="C5638" s="76" t="s">
        <v>893</v>
      </c>
      <c r="D5638" s="75"/>
    </row>
    <row hidden="true" r="5639">
      <c r="A5639" s="76" t="s">
        <v>1343</v>
      </c>
      <c r="B5639" s="76" t="s">
        <v>894</v>
      </c>
      <c r="C5639" s="76" t="s">
        <v>895</v>
      </c>
      <c r="D5639" s="75"/>
    </row>
    <row hidden="true" r="5640">
      <c r="A5640" s="76" t="s">
        <v>1343</v>
      </c>
      <c r="B5640" s="76" t="s">
        <v>896</v>
      </c>
      <c r="C5640" s="76" t="s">
        <v>897</v>
      </c>
      <c r="D5640" s="75"/>
    </row>
    <row hidden="true" r="5641">
      <c r="A5641" s="76" t="s">
        <v>1343</v>
      </c>
      <c r="B5641" s="76" t="s">
        <v>898</v>
      </c>
      <c r="C5641" s="76" t="s">
        <v>899</v>
      </c>
      <c r="D5641" s="75"/>
    </row>
    <row hidden="true" r="5642">
      <c r="A5642" s="76" t="s">
        <v>1343</v>
      </c>
      <c r="B5642" s="76" t="s">
        <v>900</v>
      </c>
      <c r="C5642" s="76" t="s">
        <v>901</v>
      </c>
      <c r="D5642" s="75"/>
    </row>
    <row hidden="true" r="5643">
      <c r="A5643" s="76" t="s">
        <v>1343</v>
      </c>
      <c r="B5643" s="76" t="s">
        <v>902</v>
      </c>
      <c r="C5643" s="76" t="s">
        <v>903</v>
      </c>
      <c r="D5643" s="75"/>
    </row>
    <row hidden="true" r="5644">
      <c r="A5644" s="76" t="s">
        <v>1343</v>
      </c>
      <c r="B5644" s="76" t="s">
        <v>904</v>
      </c>
      <c r="C5644" s="76" t="s">
        <v>905</v>
      </c>
      <c r="D5644" s="75"/>
    </row>
    <row hidden="true" r="5645">
      <c r="A5645" s="76" t="s">
        <v>1343</v>
      </c>
      <c r="B5645" s="76" t="s">
        <v>906</v>
      </c>
      <c r="C5645" s="76" t="s">
        <v>907</v>
      </c>
      <c r="D5645" s="75"/>
    </row>
    <row hidden="true" r="5646">
      <c r="A5646" s="76" t="s">
        <v>1343</v>
      </c>
      <c r="B5646" s="76" t="s">
        <v>908</v>
      </c>
      <c r="C5646" s="76" t="s">
        <v>909</v>
      </c>
      <c r="D5646" s="75"/>
    </row>
    <row hidden="true" r="5647">
      <c r="A5647" s="76" t="s">
        <v>1343</v>
      </c>
      <c r="B5647" s="76" t="s">
        <v>910</v>
      </c>
      <c r="C5647" s="76" t="s">
        <v>911</v>
      </c>
      <c r="D5647" s="75"/>
    </row>
    <row hidden="true" r="5648">
      <c r="A5648" s="76" t="s">
        <v>1343</v>
      </c>
      <c r="B5648" s="76" t="s">
        <v>912</v>
      </c>
      <c r="C5648" s="76" t="s">
        <v>913</v>
      </c>
      <c r="D5648" s="75"/>
    </row>
    <row hidden="true" r="5649">
      <c r="A5649" s="76" t="s">
        <v>1343</v>
      </c>
      <c r="B5649" s="76" t="s">
        <v>914</v>
      </c>
      <c r="C5649" s="76" t="s">
        <v>915</v>
      </c>
      <c r="D5649" s="75"/>
    </row>
    <row hidden="true" r="5650">
      <c r="A5650" s="76" t="s">
        <v>1343</v>
      </c>
      <c r="B5650" s="76" t="s">
        <v>916</v>
      </c>
      <c r="C5650" s="76" t="s">
        <v>917</v>
      </c>
      <c r="D5650" s="75"/>
    </row>
    <row hidden="true" r="5651">
      <c r="A5651" s="76" t="s">
        <v>1343</v>
      </c>
      <c r="B5651" s="76" t="s">
        <v>918</v>
      </c>
      <c r="C5651" s="76" t="s">
        <v>919</v>
      </c>
      <c r="D5651" s="75"/>
    </row>
    <row hidden="true" r="5652">
      <c r="A5652" s="76" t="s">
        <v>1343</v>
      </c>
      <c r="B5652" s="76" t="s">
        <v>920</v>
      </c>
      <c r="C5652" s="76" t="s">
        <v>921</v>
      </c>
      <c r="D5652" s="75"/>
    </row>
    <row hidden="true" r="5653">
      <c r="A5653" s="76" t="s">
        <v>1343</v>
      </c>
      <c r="B5653" s="76" t="s">
        <v>922</v>
      </c>
      <c r="C5653" s="76" t="s">
        <v>923</v>
      </c>
      <c r="D5653" s="75"/>
    </row>
    <row hidden="true" r="5654">
      <c r="A5654" s="76" t="s">
        <v>1343</v>
      </c>
      <c r="B5654" s="76" t="s">
        <v>924</v>
      </c>
      <c r="C5654" s="76" t="s">
        <v>925</v>
      </c>
      <c r="D5654" s="75"/>
    </row>
    <row hidden="true" r="5655">
      <c r="A5655" s="76" t="s">
        <v>1343</v>
      </c>
      <c r="B5655" s="76" t="s">
        <v>926</v>
      </c>
      <c r="C5655" s="76" t="s">
        <v>927</v>
      </c>
      <c r="D5655" s="75"/>
    </row>
    <row hidden="true" r="5656">
      <c r="A5656" s="76" t="s">
        <v>1343</v>
      </c>
      <c r="B5656" s="76" t="s">
        <v>928</v>
      </c>
      <c r="C5656" s="76" t="s">
        <v>929</v>
      </c>
      <c r="D5656" s="75"/>
    </row>
    <row hidden="true" r="5657">
      <c r="A5657" s="76" t="s">
        <v>1343</v>
      </c>
      <c r="B5657" s="76" t="s">
        <v>930</v>
      </c>
      <c r="C5657" s="76" t="s">
        <v>931</v>
      </c>
      <c r="D5657" s="75"/>
    </row>
    <row hidden="true" r="5658">
      <c r="A5658" s="76" t="s">
        <v>1343</v>
      </c>
      <c r="B5658" s="76" t="s">
        <v>932</v>
      </c>
      <c r="C5658" s="76" t="s">
        <v>933</v>
      </c>
      <c r="D5658" s="75"/>
    </row>
    <row hidden="true" r="5659">
      <c r="A5659" s="76" t="s">
        <v>1343</v>
      </c>
      <c r="B5659" s="76" t="s">
        <v>934</v>
      </c>
      <c r="C5659" s="76" t="s">
        <v>935</v>
      </c>
      <c r="D5659" s="75"/>
    </row>
    <row hidden="true" r="5660">
      <c r="A5660" s="76" t="s">
        <v>1343</v>
      </c>
      <c r="B5660" s="76" t="s">
        <v>936</v>
      </c>
      <c r="C5660" s="76" t="s">
        <v>937</v>
      </c>
      <c r="D5660" s="75"/>
    </row>
    <row hidden="true" r="5661">
      <c r="A5661" s="76" t="s">
        <v>1343</v>
      </c>
      <c r="B5661" s="76" t="s">
        <v>938</v>
      </c>
      <c r="C5661" s="76" t="s">
        <v>939</v>
      </c>
      <c r="D5661" s="75"/>
    </row>
    <row hidden="true" r="5662">
      <c r="A5662" s="76" t="s">
        <v>1343</v>
      </c>
      <c r="B5662" s="76" t="s">
        <v>940</v>
      </c>
      <c r="C5662" s="76" t="s">
        <v>941</v>
      </c>
      <c r="D5662" s="75"/>
    </row>
    <row hidden="true" r="5663">
      <c r="A5663" s="76" t="s">
        <v>1343</v>
      </c>
      <c r="B5663" s="76" t="s">
        <v>942</v>
      </c>
      <c r="C5663" s="76" t="s">
        <v>943</v>
      </c>
      <c r="D5663" s="75"/>
    </row>
    <row hidden="true" r="5664">
      <c r="A5664" s="76" t="s">
        <v>1343</v>
      </c>
      <c r="B5664" s="76" t="s">
        <v>944</v>
      </c>
      <c r="C5664" s="76" t="s">
        <v>945</v>
      </c>
      <c r="D5664" s="75"/>
    </row>
    <row hidden="true" r="5665">
      <c r="A5665" s="76" t="s">
        <v>1343</v>
      </c>
      <c r="B5665" s="76" t="s">
        <v>1305</v>
      </c>
      <c r="C5665" s="76" t="s">
        <v>1306</v>
      </c>
      <c r="D5665" s="75"/>
    </row>
    <row hidden="true" r="5666">
      <c r="A5666" s="76" t="s">
        <v>1343</v>
      </c>
      <c r="B5666" s="76" t="s">
        <v>1307</v>
      </c>
      <c r="C5666" s="76" t="s">
        <v>1308</v>
      </c>
      <c r="D5666" s="75"/>
    </row>
    <row hidden="true" r="5667">
      <c r="A5667" s="76" t="s">
        <v>1343</v>
      </c>
      <c r="B5667" s="76" t="s">
        <v>946</v>
      </c>
      <c r="C5667" s="76" t="s">
        <v>947</v>
      </c>
      <c r="D5667" s="75"/>
    </row>
    <row hidden="true" r="5668">
      <c r="A5668" s="76" t="s">
        <v>1343</v>
      </c>
      <c r="B5668" s="76" t="s">
        <v>948</v>
      </c>
      <c r="C5668" s="76" t="s">
        <v>949</v>
      </c>
      <c r="D5668" s="75"/>
    </row>
    <row hidden="true" r="5669">
      <c r="A5669" s="76" t="s">
        <v>1343</v>
      </c>
      <c r="B5669" s="76" t="s">
        <v>950</v>
      </c>
      <c r="C5669" s="76" t="s">
        <v>951</v>
      </c>
      <c r="D5669" s="75"/>
    </row>
    <row hidden="true" r="5670">
      <c r="A5670" s="76" t="s">
        <v>1343</v>
      </c>
      <c r="B5670" s="76" t="s">
        <v>952</v>
      </c>
      <c r="C5670" s="76" t="s">
        <v>953</v>
      </c>
      <c r="D5670" s="75"/>
    </row>
    <row hidden="true" r="5671">
      <c r="A5671" s="76" t="s">
        <v>1343</v>
      </c>
      <c r="B5671" s="76" t="s">
        <v>954</v>
      </c>
      <c r="C5671" s="76" t="s">
        <v>955</v>
      </c>
      <c r="D5671" s="75"/>
    </row>
    <row hidden="true" r="5672">
      <c r="A5672" s="76" t="s">
        <v>1343</v>
      </c>
      <c r="B5672" s="76" t="s">
        <v>775</v>
      </c>
      <c r="C5672" s="76" t="s">
        <v>776</v>
      </c>
      <c r="D5672" s="75"/>
    </row>
    <row hidden="true" r="5673">
      <c r="A5673" s="76" t="s">
        <v>1343</v>
      </c>
      <c r="B5673" s="76" t="s">
        <v>956</v>
      </c>
      <c r="C5673" s="76" t="s">
        <v>957</v>
      </c>
      <c r="D5673" s="75"/>
    </row>
    <row hidden="true" r="5674">
      <c r="A5674" s="76" t="s">
        <v>1343</v>
      </c>
      <c r="B5674" s="76" t="s">
        <v>958</v>
      </c>
      <c r="C5674" s="76" t="s">
        <v>959</v>
      </c>
      <c r="D5674" s="75"/>
    </row>
    <row hidden="true" r="5675">
      <c r="A5675" s="76" t="s">
        <v>1343</v>
      </c>
      <c r="B5675" s="76" t="s">
        <v>960</v>
      </c>
      <c r="C5675" s="76" t="s">
        <v>961</v>
      </c>
      <c r="D5675" s="75"/>
    </row>
    <row hidden="true" r="5676">
      <c r="A5676" s="76" t="s">
        <v>1343</v>
      </c>
      <c r="B5676" s="76" t="s">
        <v>962</v>
      </c>
      <c r="C5676" s="76" t="s">
        <v>963</v>
      </c>
      <c r="D5676" s="75"/>
    </row>
    <row hidden="true" r="5677">
      <c r="A5677" s="76" t="s">
        <v>1343</v>
      </c>
      <c r="B5677" s="76" t="s">
        <v>964</v>
      </c>
      <c r="C5677" s="76" t="s">
        <v>965</v>
      </c>
      <c r="D5677" s="75"/>
    </row>
    <row hidden="true" r="5678">
      <c r="A5678" s="76" t="s">
        <v>1343</v>
      </c>
      <c r="B5678" s="76" t="s">
        <v>966</v>
      </c>
      <c r="C5678" s="76" t="s">
        <v>967</v>
      </c>
      <c r="D5678" s="75"/>
    </row>
    <row hidden="true" r="5679">
      <c r="A5679" s="76" t="s">
        <v>1343</v>
      </c>
      <c r="B5679" s="76" t="s">
        <v>968</v>
      </c>
      <c r="C5679" s="76" t="s">
        <v>969</v>
      </c>
      <c r="D5679" s="75"/>
    </row>
    <row hidden="true" r="5680">
      <c r="A5680" s="76" t="s">
        <v>1343</v>
      </c>
      <c r="B5680" s="76" t="s">
        <v>970</v>
      </c>
      <c r="C5680" s="76" t="s">
        <v>971</v>
      </c>
      <c r="D5680" s="75"/>
    </row>
    <row hidden="true" r="5681">
      <c r="A5681" s="76" t="s">
        <v>1343</v>
      </c>
      <c r="B5681" s="76" t="s">
        <v>972</v>
      </c>
      <c r="C5681" s="76" t="s">
        <v>973</v>
      </c>
      <c r="D5681" s="75"/>
    </row>
    <row hidden="true" r="5682">
      <c r="A5682" s="76" t="s">
        <v>1343</v>
      </c>
      <c r="B5682" s="76" t="s">
        <v>974</v>
      </c>
      <c r="C5682" s="76" t="s">
        <v>975</v>
      </c>
      <c r="D5682" s="75"/>
    </row>
    <row hidden="true" r="5683">
      <c r="A5683" s="76" t="s">
        <v>1343</v>
      </c>
      <c r="B5683" s="76" t="s">
        <v>976</v>
      </c>
      <c r="C5683" s="76" t="s">
        <v>977</v>
      </c>
      <c r="D5683" s="75"/>
    </row>
    <row hidden="true" r="5684">
      <c r="A5684" s="76" t="s">
        <v>1343</v>
      </c>
      <c r="B5684" s="76" t="s">
        <v>823</v>
      </c>
      <c r="C5684" s="76" t="s">
        <v>824</v>
      </c>
      <c r="D5684" s="75"/>
    </row>
    <row hidden="true" r="5685">
      <c r="A5685" s="76" t="s">
        <v>1343</v>
      </c>
      <c r="B5685" s="76" t="s">
        <v>978</v>
      </c>
      <c r="C5685" s="76" t="s">
        <v>979</v>
      </c>
      <c r="D5685" s="75"/>
    </row>
    <row hidden="true" r="5686">
      <c r="A5686" s="76" t="s">
        <v>1343</v>
      </c>
      <c r="B5686" s="76" t="s">
        <v>980</v>
      </c>
      <c r="C5686" s="76" t="s">
        <v>981</v>
      </c>
      <c r="D5686" s="75"/>
    </row>
    <row hidden="true" r="5687">
      <c r="A5687" s="76" t="s">
        <v>1343</v>
      </c>
      <c r="B5687" s="76" t="s">
        <v>982</v>
      </c>
      <c r="C5687" s="76" t="s">
        <v>983</v>
      </c>
      <c r="D5687" s="75"/>
    </row>
    <row hidden="true" r="5688">
      <c r="A5688" s="76" t="s">
        <v>1343</v>
      </c>
      <c r="B5688" s="76" t="s">
        <v>984</v>
      </c>
      <c r="C5688" s="76" t="s">
        <v>985</v>
      </c>
      <c r="D5688" s="75"/>
    </row>
    <row hidden="true" r="5689">
      <c r="A5689" s="76" t="s">
        <v>1343</v>
      </c>
      <c r="B5689" s="76" t="s">
        <v>986</v>
      </c>
      <c r="C5689" s="76" t="s">
        <v>987</v>
      </c>
      <c r="D5689" s="75"/>
    </row>
    <row hidden="true" r="5690">
      <c r="A5690" s="76" t="s">
        <v>1343</v>
      </c>
      <c r="B5690" s="76" t="s">
        <v>1309</v>
      </c>
      <c r="C5690" s="76" t="s">
        <v>1310</v>
      </c>
      <c r="D5690" s="75"/>
    </row>
    <row hidden="true" r="5691">
      <c r="A5691" s="76" t="s">
        <v>1343</v>
      </c>
      <c r="B5691" s="76" t="s">
        <v>1311</v>
      </c>
      <c r="C5691" s="76" t="s">
        <v>1312</v>
      </c>
      <c r="D5691" s="75"/>
    </row>
    <row hidden="true" r="5692">
      <c r="A5692" s="76" t="s">
        <v>1343</v>
      </c>
      <c r="B5692" s="76" t="s">
        <v>1099</v>
      </c>
      <c r="C5692" s="76" t="s">
        <v>1100</v>
      </c>
      <c r="D5692" s="75"/>
    </row>
    <row hidden="true" r="5693">
      <c r="A5693" s="76" t="s">
        <v>1343</v>
      </c>
      <c r="B5693" s="76" t="s">
        <v>1101</v>
      </c>
      <c r="C5693" s="76" t="s">
        <v>1102</v>
      </c>
      <c r="D5693" s="75"/>
    </row>
    <row hidden="true" r="5694">
      <c r="A5694" s="76" t="s">
        <v>1343</v>
      </c>
      <c r="B5694" s="76" t="s">
        <v>1313</v>
      </c>
      <c r="C5694" s="76" t="s">
        <v>1314</v>
      </c>
      <c r="D5694" s="75"/>
    </row>
    <row hidden="true" r="5695">
      <c r="A5695" s="76" t="s">
        <v>1343</v>
      </c>
      <c r="B5695" s="76" t="s">
        <v>996</v>
      </c>
      <c r="C5695" s="76" t="s">
        <v>997</v>
      </c>
      <c r="D5695" s="75"/>
    </row>
    <row hidden="true" r="5696">
      <c r="A5696" s="76" t="s">
        <v>1343</v>
      </c>
      <c r="B5696" s="76" t="s">
        <v>998</v>
      </c>
      <c r="C5696" s="76" t="s">
        <v>999</v>
      </c>
      <c r="D5696" s="75"/>
    </row>
    <row hidden="true" r="5697">
      <c r="A5697" s="76" t="s">
        <v>1343</v>
      </c>
      <c r="B5697" s="76" t="s">
        <v>1000</v>
      </c>
      <c r="C5697" s="76" t="s">
        <v>1001</v>
      </c>
      <c r="D5697" s="75"/>
    </row>
    <row hidden="true" r="5698">
      <c r="A5698" s="76" t="s">
        <v>1343</v>
      </c>
      <c r="B5698" s="76" t="s">
        <v>1002</v>
      </c>
      <c r="C5698" s="76" t="s">
        <v>1003</v>
      </c>
      <c r="D5698" s="75"/>
    </row>
    <row hidden="true" r="5699">
      <c r="A5699" s="76" t="s">
        <v>1343</v>
      </c>
      <c r="B5699" s="76" t="s">
        <v>1004</v>
      </c>
      <c r="C5699" s="76" t="s">
        <v>1005</v>
      </c>
      <c r="D5699" s="75"/>
    </row>
    <row hidden="true" r="5700">
      <c r="A5700" s="76" t="s">
        <v>1343</v>
      </c>
      <c r="B5700" s="76" t="s">
        <v>1006</v>
      </c>
      <c r="C5700" s="76" t="s">
        <v>1007</v>
      </c>
      <c r="D5700" s="75"/>
    </row>
    <row hidden="true" r="5701">
      <c r="A5701" s="76" t="s">
        <v>1343</v>
      </c>
      <c r="B5701" s="76" t="s">
        <v>1008</v>
      </c>
      <c r="C5701" s="76" t="s">
        <v>1009</v>
      </c>
      <c r="D5701" s="75"/>
    </row>
    <row hidden="true" r="5702">
      <c r="A5702" s="76" t="s">
        <v>1343</v>
      </c>
      <c r="B5702" s="76" t="s">
        <v>1010</v>
      </c>
      <c r="C5702" s="76" t="s">
        <v>1011</v>
      </c>
      <c r="D5702" s="75"/>
    </row>
    <row hidden="true" r="5703">
      <c r="A5703" s="76" t="s">
        <v>1343</v>
      </c>
      <c r="B5703" s="76" t="s">
        <v>1315</v>
      </c>
      <c r="C5703" s="76" t="s">
        <v>1316</v>
      </c>
      <c r="D5703" s="75"/>
    </row>
    <row hidden="true" r="5704">
      <c r="A5704" s="76" t="s">
        <v>1343</v>
      </c>
      <c r="B5704" s="76" t="s">
        <v>1014</v>
      </c>
      <c r="C5704" s="76" t="s">
        <v>1015</v>
      </c>
      <c r="D5704" s="75"/>
    </row>
    <row hidden="true" r="5705">
      <c r="A5705" s="76" t="s">
        <v>1343</v>
      </c>
      <c r="B5705" s="76" t="s">
        <v>1016</v>
      </c>
      <c r="C5705" s="76" t="s">
        <v>1017</v>
      </c>
      <c r="D5705" s="75"/>
    </row>
    <row hidden="true" r="5706">
      <c r="A5706" s="76" t="s">
        <v>1343</v>
      </c>
      <c r="B5706" s="76" t="s">
        <v>1018</v>
      </c>
      <c r="C5706" s="76" t="s">
        <v>1019</v>
      </c>
      <c r="D5706" s="75"/>
    </row>
    <row hidden="true" r="5707">
      <c r="A5707" s="76" t="s">
        <v>1343</v>
      </c>
      <c r="B5707" s="76" t="s">
        <v>1020</v>
      </c>
      <c r="C5707" s="76" t="s">
        <v>1021</v>
      </c>
      <c r="D5707" s="75"/>
    </row>
    <row hidden="true" r="5708">
      <c r="A5708" s="76" t="s">
        <v>1343</v>
      </c>
      <c r="B5708" s="76" t="s">
        <v>1022</v>
      </c>
      <c r="C5708" s="76" t="s">
        <v>1017</v>
      </c>
      <c r="D5708" s="75"/>
    </row>
    <row hidden="true" r="5709">
      <c r="A5709" s="76" t="s">
        <v>1343</v>
      </c>
      <c r="B5709" s="76" t="s">
        <v>1023</v>
      </c>
      <c r="C5709" s="76" t="s">
        <v>1019</v>
      </c>
      <c r="D5709" s="75"/>
    </row>
    <row hidden="true" r="5710">
      <c r="A5710" s="76" t="s">
        <v>1343</v>
      </c>
      <c r="B5710" s="76" t="s">
        <v>1024</v>
      </c>
      <c r="C5710" s="76" t="s">
        <v>1021</v>
      </c>
      <c r="D5710" s="75"/>
    </row>
    <row hidden="true" r="5711">
      <c r="A5711" s="76" t="s">
        <v>1343</v>
      </c>
      <c r="B5711" s="76" t="s">
        <v>1025</v>
      </c>
      <c r="C5711" s="76" t="s">
        <v>1017</v>
      </c>
      <c r="D5711" s="75"/>
    </row>
    <row hidden="true" r="5712">
      <c r="A5712" s="76" t="s">
        <v>1343</v>
      </c>
      <c r="B5712" s="76" t="s">
        <v>1026</v>
      </c>
      <c r="C5712" s="76" t="s">
        <v>1019</v>
      </c>
      <c r="D5712" s="75"/>
    </row>
    <row hidden="true" r="5713">
      <c r="A5713" s="76" t="s">
        <v>1343</v>
      </c>
      <c r="B5713" s="76" t="s">
        <v>1027</v>
      </c>
      <c r="C5713" s="76" t="s">
        <v>1021</v>
      </c>
      <c r="D5713" s="75"/>
    </row>
    <row hidden="true" r="5714">
      <c r="A5714" s="76" t="s">
        <v>1343</v>
      </c>
      <c r="B5714" s="76" t="s">
        <v>1133</v>
      </c>
      <c r="C5714" s="76" t="s">
        <v>1134</v>
      </c>
      <c r="D5714" s="75"/>
    </row>
    <row hidden="true" r="5715">
      <c r="A5715" s="76" t="s">
        <v>1343</v>
      </c>
      <c r="B5715" s="76" t="s">
        <v>1317</v>
      </c>
      <c r="C5715" s="76" t="s">
        <v>1318</v>
      </c>
      <c r="D5715" s="75"/>
    </row>
    <row hidden="true" r="5716">
      <c r="A5716" s="76" t="s">
        <v>1343</v>
      </c>
      <c r="B5716" s="76" t="s">
        <v>1319</v>
      </c>
      <c r="C5716" s="76" t="s">
        <v>1320</v>
      </c>
      <c r="D5716" s="75"/>
    </row>
    <row hidden="true" r="5717">
      <c r="A5717" s="76" t="s">
        <v>1343</v>
      </c>
      <c r="B5717" s="76" t="s">
        <v>1028</v>
      </c>
      <c r="C5717" s="76" t="s">
        <v>1029</v>
      </c>
      <c r="D5717" s="75"/>
    </row>
    <row hidden="true" r="5718">
      <c r="A5718" s="76" t="s">
        <v>1343</v>
      </c>
      <c r="B5718" s="76" t="s">
        <v>988</v>
      </c>
      <c r="C5718" s="76" t="s">
        <v>989</v>
      </c>
      <c r="D5718" s="75"/>
    </row>
    <row hidden="true" r="5719">
      <c r="A5719" s="76" t="s">
        <v>1343</v>
      </c>
      <c r="B5719" s="76" t="s">
        <v>990</v>
      </c>
      <c r="C5719" s="76" t="s">
        <v>991</v>
      </c>
      <c r="D5719" s="75"/>
    </row>
    <row hidden="true" r="5720">
      <c r="A5720" s="76" t="s">
        <v>1343</v>
      </c>
      <c r="B5720" s="76" t="s">
        <v>992</v>
      </c>
      <c r="C5720" s="76" t="s">
        <v>993</v>
      </c>
      <c r="D5720" s="75"/>
    </row>
    <row hidden="true" r="5721">
      <c r="A5721" s="76" t="s">
        <v>1343</v>
      </c>
      <c r="B5721" s="76" t="s">
        <v>530</v>
      </c>
      <c r="C5721" s="76" t="s">
        <v>531</v>
      </c>
      <c r="D5721" s="75"/>
    </row>
    <row hidden="true" r="5722">
      <c r="A5722" s="76" t="s">
        <v>1343</v>
      </c>
      <c r="B5722" s="76" t="s">
        <v>1032</v>
      </c>
      <c r="C5722" s="76" t="s">
        <v>1033</v>
      </c>
      <c r="D5722" s="75"/>
    </row>
    <row hidden="true" r="5723">
      <c r="A5723" s="76" t="s">
        <v>1343</v>
      </c>
      <c r="B5723" s="76" t="s">
        <v>532</v>
      </c>
      <c r="C5723" s="76" t="s">
        <v>533</v>
      </c>
      <c r="D5723" s="75"/>
    </row>
    <row hidden="true" r="5724">
      <c r="A5724" s="76" t="s">
        <v>1343</v>
      </c>
      <c r="B5724" s="76" t="s">
        <v>1036</v>
      </c>
      <c r="C5724" s="76" t="s">
        <v>1037</v>
      </c>
      <c r="D5724" s="75"/>
    </row>
    <row hidden="true" r="5725">
      <c r="A5725" s="76" t="s">
        <v>1343</v>
      </c>
      <c r="B5725" s="76" t="s">
        <v>1038</v>
      </c>
      <c r="C5725" s="76" t="s">
        <v>1039</v>
      </c>
      <c r="D5725" s="75"/>
    </row>
    <row hidden="true" r="5726">
      <c r="A5726" s="76" t="s">
        <v>1343</v>
      </c>
      <c r="B5726" s="76" t="s">
        <v>1321</v>
      </c>
      <c r="C5726" s="76" t="s">
        <v>1322</v>
      </c>
      <c r="D5726" s="75"/>
    </row>
    <row hidden="true" r="5727">
      <c r="A5727" s="76" t="s">
        <v>1343</v>
      </c>
      <c r="B5727" s="76" t="s">
        <v>1323</v>
      </c>
      <c r="C5727" s="76" t="s">
        <v>1324</v>
      </c>
      <c r="D5727" s="75"/>
    </row>
    <row hidden="true" r="5728">
      <c r="A5728" s="76" t="s">
        <v>1343</v>
      </c>
      <c r="B5728" s="76" t="s">
        <v>1012</v>
      </c>
      <c r="C5728" s="76" t="s">
        <v>1013</v>
      </c>
      <c r="D5728" s="75"/>
    </row>
    <row hidden="true" r="5729">
      <c r="A5729" s="76" t="s">
        <v>1343</v>
      </c>
      <c r="B5729" s="76" t="s">
        <v>1052</v>
      </c>
      <c r="C5729" s="76" t="s">
        <v>1053</v>
      </c>
      <c r="D5729" s="75"/>
    </row>
    <row hidden="true" r="5730">
      <c r="A5730" s="76" t="s">
        <v>1343</v>
      </c>
      <c r="B5730" s="76" t="s">
        <v>1054</v>
      </c>
      <c r="C5730" s="76" t="s">
        <v>1055</v>
      </c>
      <c r="D5730" s="75"/>
    </row>
    <row hidden="true" r="5731">
      <c r="A5731" s="76" t="s">
        <v>1343</v>
      </c>
      <c r="B5731" s="76" t="s">
        <v>1056</v>
      </c>
      <c r="C5731" s="76" t="s">
        <v>1057</v>
      </c>
      <c r="D5731" s="75"/>
    </row>
    <row hidden="true" r="5732">
      <c r="A5732" s="76" t="s">
        <v>1343</v>
      </c>
      <c r="B5732" s="76" t="s">
        <v>1058</v>
      </c>
      <c r="C5732" s="76" t="s">
        <v>1059</v>
      </c>
      <c r="D5732" s="75"/>
    </row>
    <row hidden="true" r="5733">
      <c r="A5733" s="76" t="s">
        <v>1343</v>
      </c>
      <c r="B5733" s="76" t="s">
        <v>1060</v>
      </c>
      <c r="C5733" s="76" t="s">
        <v>1061</v>
      </c>
      <c r="D5733" s="75"/>
    </row>
    <row hidden="true" r="5734">
      <c r="A5734" s="76" t="s">
        <v>1343</v>
      </c>
      <c r="B5734" s="76" t="s">
        <v>1062</v>
      </c>
      <c r="C5734" s="76" t="s">
        <v>1063</v>
      </c>
      <c r="D5734" s="75"/>
    </row>
    <row hidden="true" r="5735">
      <c r="A5735" s="76" t="s">
        <v>1343</v>
      </c>
      <c r="B5735" s="76" t="s">
        <v>1064</v>
      </c>
      <c r="C5735" s="76" t="s">
        <v>1065</v>
      </c>
      <c r="D5735" s="75"/>
    </row>
    <row hidden="true" r="5736">
      <c r="A5736" s="76" t="s">
        <v>1343</v>
      </c>
      <c r="B5736" s="76" t="s">
        <v>1066</v>
      </c>
      <c r="C5736" s="76" t="s">
        <v>1067</v>
      </c>
      <c r="D5736" s="75"/>
    </row>
    <row hidden="true" r="5737">
      <c r="A5737" s="76" t="s">
        <v>1343</v>
      </c>
      <c r="B5737" s="76" t="s">
        <v>1068</v>
      </c>
      <c r="C5737" s="76" t="s">
        <v>1069</v>
      </c>
      <c r="D5737" s="75"/>
    </row>
    <row hidden="true" r="5738">
      <c r="A5738" s="76" t="s">
        <v>1343</v>
      </c>
      <c r="B5738" s="76" t="s">
        <v>1070</v>
      </c>
      <c r="C5738" s="76" t="s">
        <v>1069</v>
      </c>
      <c r="D5738" s="75"/>
    </row>
    <row hidden="true" r="5739">
      <c r="A5739" s="76" t="s">
        <v>1343</v>
      </c>
      <c r="B5739" s="76" t="s">
        <v>1071</v>
      </c>
      <c r="C5739" s="76" t="s">
        <v>1069</v>
      </c>
      <c r="D5739" s="75"/>
    </row>
    <row hidden="true" r="5740">
      <c r="A5740" s="76" t="s">
        <v>1343</v>
      </c>
      <c r="B5740" s="76" t="s">
        <v>1072</v>
      </c>
      <c r="C5740" s="76" t="s">
        <v>1073</v>
      </c>
      <c r="D5740" s="75"/>
    </row>
    <row hidden="true" r="5741">
      <c r="A5741" s="76" t="s">
        <v>1343</v>
      </c>
      <c r="B5741" s="76" t="s">
        <v>1074</v>
      </c>
      <c r="C5741" s="76" t="s">
        <v>1073</v>
      </c>
      <c r="D5741" s="75"/>
    </row>
    <row hidden="true" r="5742">
      <c r="A5742" s="76" t="s">
        <v>1343</v>
      </c>
      <c r="B5742" s="76" t="s">
        <v>1075</v>
      </c>
      <c r="C5742" s="76" t="s">
        <v>1073</v>
      </c>
      <c r="D5742" s="75"/>
    </row>
    <row hidden="true" r="5743">
      <c r="A5743" s="76" t="s">
        <v>1343</v>
      </c>
      <c r="B5743" s="76" t="s">
        <v>1082</v>
      </c>
      <c r="C5743" s="76" t="s">
        <v>1083</v>
      </c>
      <c r="D5743" s="75"/>
    </row>
    <row hidden="true" r="5744">
      <c r="A5744" s="76" t="s">
        <v>1343</v>
      </c>
      <c r="B5744" s="76" t="s">
        <v>1084</v>
      </c>
      <c r="C5744" s="76" t="s">
        <v>1085</v>
      </c>
      <c r="D5744" s="75"/>
    </row>
    <row hidden="true" r="5745">
      <c r="A5745" s="76" t="s">
        <v>1343</v>
      </c>
      <c r="B5745" s="76" t="s">
        <v>1086</v>
      </c>
      <c r="C5745" s="76" t="s">
        <v>1087</v>
      </c>
      <c r="D5745" s="75"/>
    </row>
    <row hidden="true" r="5746">
      <c r="A5746" s="76" t="s">
        <v>1343</v>
      </c>
      <c r="B5746" s="76" t="s">
        <v>1088</v>
      </c>
      <c r="C5746" s="76" t="s">
        <v>1089</v>
      </c>
      <c r="D5746" s="75"/>
    </row>
    <row hidden="true" r="5747">
      <c r="A5747" s="76" t="s">
        <v>1343</v>
      </c>
      <c r="B5747" s="76" t="s">
        <v>1076</v>
      </c>
      <c r="C5747" s="76" t="s">
        <v>1077</v>
      </c>
      <c r="D5747" s="75"/>
    </row>
    <row hidden="true" r="5748">
      <c r="A5748" s="76" t="s">
        <v>1343</v>
      </c>
      <c r="B5748" s="76" t="s">
        <v>1078</v>
      </c>
      <c r="C5748" s="76" t="s">
        <v>1079</v>
      </c>
      <c r="D5748" s="75"/>
    </row>
    <row hidden="true" r="5749">
      <c r="A5749" s="76" t="s">
        <v>1343</v>
      </c>
      <c r="B5749" s="76" t="s">
        <v>1040</v>
      </c>
      <c r="C5749" s="76" t="s">
        <v>1041</v>
      </c>
      <c r="D5749" s="75"/>
    </row>
    <row hidden="true" r="5750">
      <c r="A5750" s="76" t="s">
        <v>1343</v>
      </c>
      <c r="B5750" s="76" t="s">
        <v>839</v>
      </c>
      <c r="C5750" s="76" t="s">
        <v>840</v>
      </c>
      <c r="D5750" s="75"/>
    </row>
    <row hidden="true" r="5751">
      <c r="A5751" s="76" t="s">
        <v>1343</v>
      </c>
      <c r="B5751" s="76" t="s">
        <v>1121</v>
      </c>
      <c r="C5751" s="76" t="s">
        <v>1122</v>
      </c>
      <c r="D5751" s="75"/>
    </row>
    <row hidden="true" r="5752">
      <c r="A5752" s="76" t="s">
        <v>1343</v>
      </c>
      <c r="B5752" s="76" t="s">
        <v>1325</v>
      </c>
      <c r="C5752" s="76" t="s">
        <v>1326</v>
      </c>
      <c r="D5752" s="75"/>
    </row>
    <row hidden="true" r="5753">
      <c r="A5753" s="76" t="s">
        <v>1343</v>
      </c>
      <c r="B5753" s="76" t="s">
        <v>1080</v>
      </c>
      <c r="C5753" s="76" t="s">
        <v>1081</v>
      </c>
      <c r="D5753" s="75"/>
    </row>
    <row hidden="true" r="5754">
      <c r="A5754" s="76" t="s">
        <v>1343</v>
      </c>
      <c r="B5754" s="76" t="s">
        <v>1327</v>
      </c>
      <c r="C5754" s="76" t="s">
        <v>1328</v>
      </c>
      <c r="D5754" s="75"/>
    </row>
    <row hidden="true" r="5755">
      <c r="A5755" s="76" t="s">
        <v>1343</v>
      </c>
      <c r="B5755" s="76" t="s">
        <v>1090</v>
      </c>
      <c r="C5755" s="76" t="s">
        <v>1091</v>
      </c>
      <c r="D5755" s="75"/>
    </row>
    <row hidden="true" r="5756">
      <c r="A5756" s="76" t="s">
        <v>1343</v>
      </c>
      <c r="B5756" s="76" t="s">
        <v>1092</v>
      </c>
      <c r="C5756" s="76" t="s">
        <v>1091</v>
      </c>
      <c r="D5756" s="75"/>
    </row>
    <row hidden="true" r="5757">
      <c r="A5757" s="76" t="s">
        <v>1343</v>
      </c>
      <c r="B5757" s="76" t="s">
        <v>1093</v>
      </c>
      <c r="C5757" s="76" t="s">
        <v>1094</v>
      </c>
      <c r="D5757" s="75"/>
    </row>
    <row hidden="true" r="5758">
      <c r="A5758" s="76" t="s">
        <v>1343</v>
      </c>
      <c r="B5758" s="76" t="s">
        <v>1095</v>
      </c>
      <c r="C5758" s="76" t="s">
        <v>1096</v>
      </c>
      <c r="D5758" s="75"/>
    </row>
    <row hidden="true" r="5759">
      <c r="A5759" s="76" t="s">
        <v>1343</v>
      </c>
      <c r="B5759" s="76" t="s">
        <v>1097</v>
      </c>
      <c r="C5759" s="76" t="s">
        <v>1098</v>
      </c>
      <c r="D5759" s="75"/>
    </row>
    <row hidden="true" r="5760">
      <c r="A5760" s="76" t="s">
        <v>1343</v>
      </c>
      <c r="B5760" s="76" t="s">
        <v>1103</v>
      </c>
      <c r="C5760" s="76" t="s">
        <v>1104</v>
      </c>
      <c r="D5760" s="75"/>
    </row>
    <row hidden="true" r="5761">
      <c r="A5761" s="76" t="s">
        <v>1343</v>
      </c>
      <c r="B5761" s="76" t="s">
        <v>1329</v>
      </c>
      <c r="C5761" s="76" t="s">
        <v>1330</v>
      </c>
      <c r="D5761" s="75"/>
    </row>
    <row hidden="true" r="5762">
      <c r="A5762" s="76" t="s">
        <v>1343</v>
      </c>
      <c r="B5762" s="76" t="s">
        <v>1113</v>
      </c>
      <c r="C5762" s="76" t="s">
        <v>1114</v>
      </c>
      <c r="D5762" s="75"/>
    </row>
    <row hidden="true" r="5763">
      <c r="A5763" s="76" t="s">
        <v>1343</v>
      </c>
      <c r="B5763" s="76" t="s">
        <v>1115</v>
      </c>
      <c r="C5763" s="76" t="s">
        <v>1116</v>
      </c>
      <c r="D5763" s="75"/>
    </row>
    <row hidden="true" r="5764">
      <c r="A5764" s="76" t="s">
        <v>1343</v>
      </c>
      <c r="B5764" s="76" t="s">
        <v>1117</v>
      </c>
      <c r="C5764" s="76" t="s">
        <v>1118</v>
      </c>
      <c r="D5764" s="75"/>
    </row>
    <row hidden="true" r="5765">
      <c r="A5765" s="76" t="s">
        <v>1343</v>
      </c>
      <c r="B5765" s="76" t="s">
        <v>1119</v>
      </c>
      <c r="C5765" s="76" t="s">
        <v>1120</v>
      </c>
      <c r="D5765" s="75"/>
    </row>
    <row hidden="true" r="5766">
      <c r="A5766" s="76" t="s">
        <v>1343</v>
      </c>
      <c r="B5766" s="76" t="s">
        <v>1127</v>
      </c>
      <c r="C5766" s="76" t="s">
        <v>1128</v>
      </c>
      <c r="D5766" s="75"/>
    </row>
    <row hidden="true" r="5767">
      <c r="A5767" s="76" t="s">
        <v>1343</v>
      </c>
      <c r="B5767" s="76" t="s">
        <v>1129</v>
      </c>
      <c r="C5767" s="76" t="s">
        <v>1130</v>
      </c>
      <c r="D5767" s="75"/>
    </row>
    <row hidden="true" r="5768">
      <c r="A5768" s="76" t="s">
        <v>1343</v>
      </c>
      <c r="B5768" s="76" t="s">
        <v>1131</v>
      </c>
      <c r="C5768" s="76" t="s">
        <v>1132</v>
      </c>
      <c r="D5768" s="75"/>
    </row>
    <row hidden="true" r="5769">
      <c r="A5769" s="76" t="s">
        <v>1343</v>
      </c>
      <c r="B5769" s="76" t="s">
        <v>1137</v>
      </c>
      <c r="C5769" s="76" t="s">
        <v>1138</v>
      </c>
      <c r="D5769" s="75"/>
    </row>
    <row hidden="true" r="5770">
      <c r="A5770" s="76" t="s">
        <v>1343</v>
      </c>
      <c r="B5770" s="76" t="s">
        <v>1139</v>
      </c>
      <c r="C5770" s="76" t="s">
        <v>1140</v>
      </c>
      <c r="D5770" s="75"/>
    </row>
    <row hidden="true" r="5771">
      <c r="A5771" s="76" t="s">
        <v>1343</v>
      </c>
      <c r="B5771" s="76" t="s">
        <v>1141</v>
      </c>
      <c r="C5771" s="76" t="s">
        <v>1142</v>
      </c>
      <c r="D5771" s="75"/>
    </row>
    <row hidden="true" r="5772">
      <c r="A5772" s="76" t="s">
        <v>1343</v>
      </c>
      <c r="B5772" s="76" t="s">
        <v>1143</v>
      </c>
      <c r="C5772" s="76" t="s">
        <v>1144</v>
      </c>
      <c r="D5772" s="75"/>
    </row>
    <row hidden="true" r="5773">
      <c r="A5773" s="76" t="s">
        <v>1343</v>
      </c>
      <c r="B5773" s="76" t="s">
        <v>1145</v>
      </c>
      <c r="C5773" s="76" t="s">
        <v>1146</v>
      </c>
      <c r="D5773" s="75"/>
    </row>
    <row hidden="true" r="5774">
      <c r="A5774" s="76" t="s">
        <v>1343</v>
      </c>
      <c r="B5774" s="76" t="s">
        <v>1147</v>
      </c>
      <c r="C5774" s="76" t="s">
        <v>1148</v>
      </c>
      <c r="D5774" s="75"/>
    </row>
    <row hidden="true" r="5775">
      <c r="A5775" s="76" t="s">
        <v>1343</v>
      </c>
      <c r="B5775" s="76" t="s">
        <v>1153</v>
      </c>
      <c r="C5775" s="76" t="s">
        <v>1154</v>
      </c>
      <c r="D5775" s="75"/>
    </row>
    <row hidden="true" r="5776">
      <c r="A5776" s="76" t="s">
        <v>1343</v>
      </c>
      <c r="B5776" s="76" t="s">
        <v>1155</v>
      </c>
      <c r="C5776" s="76" t="s">
        <v>1156</v>
      </c>
      <c r="D5776" s="75"/>
    </row>
    <row hidden="true" r="5777">
      <c r="A5777" s="76" t="s">
        <v>1343</v>
      </c>
      <c r="B5777" s="76" t="s">
        <v>1157</v>
      </c>
      <c r="C5777" s="76" t="s">
        <v>1158</v>
      </c>
      <c r="D5777" s="75"/>
    </row>
    <row hidden="true" r="5778">
      <c r="A5778" s="76" t="s">
        <v>1343</v>
      </c>
      <c r="B5778" s="76" t="s">
        <v>1159</v>
      </c>
      <c r="C5778" s="76" t="s">
        <v>1160</v>
      </c>
      <c r="D5778" s="75"/>
    </row>
    <row hidden="true" r="5779">
      <c r="A5779" s="76" t="s">
        <v>1343</v>
      </c>
      <c r="B5779" s="76" t="s">
        <v>1161</v>
      </c>
      <c r="C5779" s="76" t="s">
        <v>1162</v>
      </c>
      <c r="D5779" s="75"/>
    </row>
    <row hidden="true" r="5780">
      <c r="A5780" s="76" t="s">
        <v>1343</v>
      </c>
      <c r="B5780" s="76" t="s">
        <v>1163</v>
      </c>
      <c r="C5780" s="76" t="s">
        <v>1164</v>
      </c>
      <c r="D5780" s="75"/>
    </row>
    <row hidden="true" r="5781">
      <c r="A5781" s="76" t="s">
        <v>1343</v>
      </c>
      <c r="B5781" s="76" t="s">
        <v>1165</v>
      </c>
      <c r="C5781" s="76" t="s">
        <v>1166</v>
      </c>
      <c r="D5781" s="75"/>
    </row>
    <row hidden="true" r="5782">
      <c r="A5782" s="76" t="s">
        <v>1343</v>
      </c>
      <c r="B5782" s="76" t="s">
        <v>1331</v>
      </c>
      <c r="C5782" s="76" t="s">
        <v>1332</v>
      </c>
      <c r="D5782" s="75"/>
    </row>
    <row hidden="true" r="5783">
      <c r="A5783" s="76" t="s">
        <v>1343</v>
      </c>
      <c r="B5783" s="76" t="s">
        <v>1333</v>
      </c>
      <c r="C5783" s="76" t="s">
        <v>1334</v>
      </c>
      <c r="D5783" s="75"/>
    </row>
    <row hidden="true" r="5784">
      <c r="A5784" s="76" t="s">
        <v>1343</v>
      </c>
      <c r="B5784" s="76" t="s">
        <v>1335</v>
      </c>
      <c r="C5784" s="76" t="s">
        <v>1336</v>
      </c>
      <c r="D5784" s="75"/>
    </row>
    <row hidden="true" r="5785">
      <c r="A5785" s="76" t="s">
        <v>1343</v>
      </c>
      <c r="B5785" s="76" t="s">
        <v>1337</v>
      </c>
      <c r="C5785" s="76" t="s">
        <v>1338</v>
      </c>
      <c r="D5785" s="75"/>
    </row>
    <row hidden="true" r="5786">
      <c r="A5786" s="76" t="s">
        <v>1343</v>
      </c>
      <c r="B5786" s="76" t="s">
        <v>1339</v>
      </c>
      <c r="C5786" s="76" t="s">
        <v>1340</v>
      </c>
      <c r="D5786" s="75"/>
    </row>
    <row hidden="true" r="5787">
      <c r="A5787" s="76" t="s">
        <v>1343</v>
      </c>
      <c r="B5787" s="76" t="s">
        <v>1341</v>
      </c>
      <c r="C5787" s="76" t="s">
        <v>1342</v>
      </c>
      <c r="D5787" s="75"/>
    </row>
    <row hidden="true" r="5788">
      <c r="A5788" s="76" t="s">
        <v>1343</v>
      </c>
      <c r="B5788" s="76" t="s">
        <v>1044</v>
      </c>
      <c r="C5788" s="76" t="s">
        <v>1045</v>
      </c>
      <c r="D5788" s="75"/>
    </row>
    <row hidden="true" r="5789">
      <c r="A5789" s="76" t="s">
        <v>1343</v>
      </c>
      <c r="B5789" s="76" t="s">
        <v>1046</v>
      </c>
      <c r="C5789" s="76" t="s">
        <v>1047</v>
      </c>
      <c r="D5789" s="75"/>
    </row>
    <row hidden="true" r="5790">
      <c r="A5790" s="76" t="s">
        <v>1343</v>
      </c>
      <c r="B5790" s="76" t="s">
        <v>1048</v>
      </c>
      <c r="C5790" s="76" t="s">
        <v>1049</v>
      </c>
      <c r="D5790" s="75"/>
    </row>
    <row hidden="true" r="5791">
      <c r="A5791" s="76" t="s">
        <v>1343</v>
      </c>
      <c r="B5791" s="76" t="s">
        <v>1167</v>
      </c>
      <c r="C5791" s="76" t="s">
        <v>1168</v>
      </c>
      <c r="D5791" s="75"/>
    </row>
    <row hidden="true" r="5792">
      <c r="A5792" s="76" t="s">
        <v>1343</v>
      </c>
      <c r="B5792" s="76" t="s">
        <v>1169</v>
      </c>
      <c r="C5792" s="76" t="s">
        <v>1170</v>
      </c>
      <c r="D5792" s="75"/>
    </row>
    <row hidden="true" r="5793">
      <c r="A5793" s="76" t="s">
        <v>1343</v>
      </c>
      <c r="B5793" s="76" t="s">
        <v>1171</v>
      </c>
      <c r="C5793" s="76" t="s">
        <v>1172</v>
      </c>
      <c r="D5793" s="75"/>
    </row>
    <row hidden="true" r="5794">
      <c r="A5794" s="76" t="s">
        <v>1343</v>
      </c>
      <c r="B5794" s="76" t="s">
        <v>1173</v>
      </c>
      <c r="C5794" s="76" t="s">
        <v>1174</v>
      </c>
      <c r="D5794" s="75"/>
    </row>
    <row hidden="true" r="5795">
      <c r="A5795" s="76" t="s">
        <v>1343</v>
      </c>
      <c r="B5795" s="76" t="s">
        <v>1175</v>
      </c>
      <c r="C5795" s="76" t="s">
        <v>1176</v>
      </c>
      <c r="D5795" s="75"/>
    </row>
    <row hidden="true" r="5796">
      <c r="A5796" s="76" t="s">
        <v>1343</v>
      </c>
      <c r="B5796" s="76" t="s">
        <v>1177</v>
      </c>
      <c r="C5796" s="76" t="s">
        <v>1178</v>
      </c>
      <c r="D5796" s="75"/>
    </row>
    <row hidden="true" r="5797">
      <c r="A5797" s="76" t="s">
        <v>1343</v>
      </c>
      <c r="B5797" s="76" t="s">
        <v>1135</v>
      </c>
      <c r="C5797" s="76" t="s">
        <v>1136</v>
      </c>
      <c r="D5797" s="75"/>
    </row>
    <row hidden="true" r="5798">
      <c r="A5798" s="76" t="s">
        <v>1343</v>
      </c>
      <c r="B5798" s="76" t="s">
        <v>1179</v>
      </c>
      <c r="C5798" s="76" t="s">
        <v>1180</v>
      </c>
      <c r="D5798" s="75"/>
    </row>
    <row hidden="true" r="5799">
      <c r="A5799" s="76" t="s">
        <v>1343</v>
      </c>
      <c r="B5799" s="76" t="s">
        <v>1181</v>
      </c>
      <c r="C5799" s="76" t="s">
        <v>1182</v>
      </c>
      <c r="D5799" s="75"/>
    </row>
    <row hidden="true" r="5800">
      <c r="A5800" s="76" t="s">
        <v>1343</v>
      </c>
      <c r="B5800" s="76" t="s">
        <v>1183</v>
      </c>
      <c r="C5800" s="76" t="s">
        <v>1184</v>
      </c>
      <c r="D5800" s="75"/>
    </row>
    <row hidden="true" r="5801">
      <c r="A5801" s="76" t="s">
        <v>1343</v>
      </c>
      <c r="B5801" s="76" t="s">
        <v>1185</v>
      </c>
      <c r="C5801" s="76" t="s">
        <v>1186</v>
      </c>
      <c r="D5801" s="75"/>
    </row>
    <row hidden="true" r="5802">
      <c r="A5802" s="76" t="s">
        <v>1343</v>
      </c>
      <c r="B5802" s="76" t="s">
        <v>1187</v>
      </c>
      <c r="C5802" s="76" t="s">
        <v>1188</v>
      </c>
      <c r="D5802" s="75"/>
    </row>
    <row hidden="true" r="5803">
      <c r="A5803" s="76" t="s">
        <v>1343</v>
      </c>
      <c r="B5803" s="76" t="s">
        <v>1189</v>
      </c>
      <c r="C5803" s="76" t="s">
        <v>1190</v>
      </c>
      <c r="D5803" s="75"/>
    </row>
    <row hidden="true" r="5804">
      <c r="A5804" s="76" t="s">
        <v>1343</v>
      </c>
      <c r="B5804" s="76" t="s">
        <v>1199</v>
      </c>
      <c r="C5804" s="76" t="s">
        <v>1200</v>
      </c>
      <c r="D5804" s="75"/>
    </row>
    <row hidden="true" r="5805">
      <c r="A5805" s="76" t="s">
        <v>1343</v>
      </c>
      <c r="B5805" s="76" t="s">
        <v>1201</v>
      </c>
      <c r="C5805" s="76" t="s">
        <v>1202</v>
      </c>
      <c r="D5805" s="75"/>
    </row>
    <row hidden="true" r="5806">
      <c r="A5806" s="76" t="s">
        <v>1343</v>
      </c>
      <c r="B5806" s="76" t="s">
        <v>1203</v>
      </c>
      <c r="C5806" s="76" t="s">
        <v>1204</v>
      </c>
      <c r="D5806" s="75"/>
    </row>
    <row hidden="true" r="5807">
      <c r="A5807" s="76" t="s">
        <v>1343</v>
      </c>
      <c r="B5807" s="76" t="s">
        <v>1205</v>
      </c>
      <c r="C5807" s="76" t="s">
        <v>1206</v>
      </c>
      <c r="D5807" s="75"/>
    </row>
    <row hidden="true" r="5808">
      <c r="A5808" s="76" t="s">
        <v>1343</v>
      </c>
      <c r="B5808" s="76" t="s">
        <v>1207</v>
      </c>
      <c r="C5808" s="76" t="s">
        <v>1208</v>
      </c>
      <c r="D5808" s="75"/>
    </row>
    <row hidden="true" r="5809">
      <c r="A5809" s="76" t="s">
        <v>1343</v>
      </c>
      <c r="B5809" s="76" t="s">
        <v>1209</v>
      </c>
      <c r="C5809" s="76" t="s">
        <v>1210</v>
      </c>
      <c r="D5809" s="75"/>
    </row>
    <row hidden="true" r="5810">
      <c r="A5810" s="76" t="s">
        <v>1343</v>
      </c>
      <c r="B5810" s="76" t="s">
        <v>1211</v>
      </c>
      <c r="C5810" s="76" t="s">
        <v>1212</v>
      </c>
      <c r="D5810" s="75"/>
    </row>
    <row hidden="true" r="5811">
      <c r="A5811" s="76" t="s">
        <v>1343</v>
      </c>
      <c r="B5811" s="76" t="s">
        <v>735</v>
      </c>
      <c r="C5811" s="76"/>
      <c r="D5811" s="75"/>
    </row>
    <row hidden="true" r="5812">
      <c r="A5812" s="76" t="s">
        <v>1344</v>
      </c>
      <c r="B5812" s="76" t="s">
        <v>407</v>
      </c>
      <c r="C5812" s="76" t="s">
        <v>408</v>
      </c>
      <c r="D5812" s="75"/>
    </row>
    <row hidden="true" r="5813">
      <c r="A5813" s="76" t="s">
        <v>1344</v>
      </c>
      <c r="B5813" s="76" t="s">
        <v>744</v>
      </c>
      <c r="C5813" s="76" t="s">
        <v>745</v>
      </c>
      <c r="D5813" s="75"/>
    </row>
    <row hidden="true" r="5814">
      <c r="A5814" s="76" t="s">
        <v>1344</v>
      </c>
      <c r="B5814" s="76" t="s">
        <v>480</v>
      </c>
      <c r="C5814" s="76" t="s">
        <v>481</v>
      </c>
      <c r="D5814" s="75"/>
    </row>
    <row hidden="true" r="5815">
      <c r="A5815" s="76" t="s">
        <v>1344</v>
      </c>
      <c r="B5815" s="76" t="s">
        <v>884</v>
      </c>
      <c r="C5815" s="76" t="s">
        <v>885</v>
      </c>
      <c r="D5815" s="75"/>
    </row>
    <row hidden="true" r="5816">
      <c r="A5816" s="76" t="s">
        <v>1344</v>
      </c>
      <c r="B5816" s="76" t="s">
        <v>886</v>
      </c>
      <c r="C5816" s="76" t="s">
        <v>1216</v>
      </c>
      <c r="D5816" s="75"/>
    </row>
    <row hidden="true" r="5817">
      <c r="A5817" s="76" t="s">
        <v>1344</v>
      </c>
      <c r="B5817" s="76" t="s">
        <v>888</v>
      </c>
      <c r="C5817" s="76" t="s">
        <v>889</v>
      </c>
      <c r="D5817" s="75"/>
    </row>
    <row hidden="true" r="5818">
      <c r="A5818" s="76" t="s">
        <v>1344</v>
      </c>
      <c r="B5818" s="76" t="s">
        <v>890</v>
      </c>
      <c r="C5818" s="76" t="s">
        <v>891</v>
      </c>
      <c r="D5818" s="75"/>
    </row>
    <row hidden="true" r="5819">
      <c r="A5819" s="76" t="s">
        <v>1344</v>
      </c>
      <c r="B5819" s="76" t="s">
        <v>892</v>
      </c>
      <c r="C5819" s="76" t="s">
        <v>893</v>
      </c>
      <c r="D5819" s="75"/>
    </row>
    <row hidden="true" r="5820">
      <c r="A5820" s="76" t="s">
        <v>1344</v>
      </c>
      <c r="B5820" s="76" t="s">
        <v>894</v>
      </c>
      <c r="C5820" s="76" t="s">
        <v>1217</v>
      </c>
      <c r="D5820" s="75"/>
    </row>
    <row hidden="true" r="5821">
      <c r="A5821" s="76" t="s">
        <v>1344</v>
      </c>
      <c r="B5821" s="76" t="s">
        <v>896</v>
      </c>
      <c r="C5821" s="76" t="s">
        <v>897</v>
      </c>
      <c r="D5821" s="75"/>
    </row>
    <row hidden="true" r="5822">
      <c r="A5822" s="76" t="s">
        <v>1344</v>
      </c>
      <c r="B5822" s="76" t="s">
        <v>898</v>
      </c>
      <c r="C5822" s="76" t="s">
        <v>899</v>
      </c>
      <c r="D5822" s="75"/>
    </row>
    <row hidden="true" r="5823">
      <c r="A5823" s="76" t="s">
        <v>1344</v>
      </c>
      <c r="B5823" s="76" t="s">
        <v>900</v>
      </c>
      <c r="C5823" s="76" t="s">
        <v>1218</v>
      </c>
      <c r="D5823" s="75"/>
    </row>
    <row hidden="true" r="5824">
      <c r="A5824" s="76" t="s">
        <v>1344</v>
      </c>
      <c r="B5824" s="76" t="s">
        <v>902</v>
      </c>
      <c r="C5824" s="76" t="s">
        <v>903</v>
      </c>
      <c r="D5824" s="75"/>
    </row>
    <row hidden="true" r="5825">
      <c r="A5825" s="76" t="s">
        <v>1344</v>
      </c>
      <c r="B5825" s="76" t="s">
        <v>904</v>
      </c>
      <c r="C5825" s="76" t="s">
        <v>905</v>
      </c>
      <c r="D5825" s="75"/>
    </row>
    <row hidden="true" r="5826">
      <c r="A5826" s="76" t="s">
        <v>1344</v>
      </c>
      <c r="B5826" s="76" t="s">
        <v>906</v>
      </c>
      <c r="C5826" s="76" t="s">
        <v>907</v>
      </c>
      <c r="D5826" s="75"/>
    </row>
    <row hidden="true" r="5827">
      <c r="A5827" s="76" t="s">
        <v>1344</v>
      </c>
      <c r="B5827" s="76" t="s">
        <v>908</v>
      </c>
      <c r="C5827" s="76" t="s">
        <v>909</v>
      </c>
      <c r="D5827" s="75"/>
    </row>
    <row hidden="true" r="5828">
      <c r="A5828" s="76" t="s">
        <v>1344</v>
      </c>
      <c r="B5828" s="76" t="s">
        <v>910</v>
      </c>
      <c r="C5828" s="76" t="s">
        <v>911</v>
      </c>
      <c r="D5828" s="75"/>
    </row>
    <row hidden="true" r="5829">
      <c r="A5829" s="76" t="s">
        <v>1344</v>
      </c>
      <c r="B5829" s="76" t="s">
        <v>912</v>
      </c>
      <c r="C5829" s="76" t="s">
        <v>913</v>
      </c>
      <c r="D5829" s="75"/>
    </row>
    <row hidden="true" r="5830">
      <c r="A5830" s="76" t="s">
        <v>1344</v>
      </c>
      <c r="B5830" s="76" t="s">
        <v>914</v>
      </c>
      <c r="C5830" s="76" t="s">
        <v>915</v>
      </c>
      <c r="D5830" s="75"/>
    </row>
    <row hidden="true" r="5831">
      <c r="A5831" s="76" t="s">
        <v>1344</v>
      </c>
      <c r="B5831" s="76" t="s">
        <v>916</v>
      </c>
      <c r="C5831" s="76" t="s">
        <v>917</v>
      </c>
      <c r="D5831" s="75"/>
    </row>
    <row hidden="true" r="5832">
      <c r="A5832" s="76" t="s">
        <v>1344</v>
      </c>
      <c r="B5832" s="76" t="s">
        <v>918</v>
      </c>
      <c r="C5832" s="76" t="s">
        <v>919</v>
      </c>
      <c r="D5832" s="75"/>
    </row>
    <row hidden="true" r="5833">
      <c r="A5833" s="76" t="s">
        <v>1344</v>
      </c>
      <c r="B5833" s="76" t="s">
        <v>920</v>
      </c>
      <c r="C5833" s="76" t="s">
        <v>921</v>
      </c>
      <c r="D5833" s="75"/>
    </row>
    <row hidden="true" r="5834">
      <c r="A5834" s="76" t="s">
        <v>1344</v>
      </c>
      <c r="B5834" s="76" t="s">
        <v>922</v>
      </c>
      <c r="C5834" s="76" t="s">
        <v>1219</v>
      </c>
      <c r="D5834" s="75"/>
    </row>
    <row hidden="true" r="5835">
      <c r="A5835" s="76" t="s">
        <v>1344</v>
      </c>
      <c r="B5835" s="76" t="s">
        <v>924</v>
      </c>
      <c r="C5835" s="76" t="s">
        <v>925</v>
      </c>
      <c r="D5835" s="75"/>
    </row>
    <row hidden="true" r="5836">
      <c r="A5836" s="76" t="s">
        <v>1344</v>
      </c>
      <c r="B5836" s="76" t="s">
        <v>926</v>
      </c>
      <c r="C5836" s="76" t="s">
        <v>927</v>
      </c>
      <c r="D5836" s="75"/>
    </row>
    <row hidden="true" r="5837">
      <c r="A5837" s="76" t="s">
        <v>1344</v>
      </c>
      <c r="B5837" s="76" t="s">
        <v>928</v>
      </c>
      <c r="C5837" s="76" t="s">
        <v>929</v>
      </c>
      <c r="D5837" s="75"/>
    </row>
    <row hidden="true" r="5838">
      <c r="A5838" s="76" t="s">
        <v>1344</v>
      </c>
      <c r="B5838" s="76" t="s">
        <v>930</v>
      </c>
      <c r="C5838" s="76" t="s">
        <v>931</v>
      </c>
      <c r="D5838" s="75"/>
    </row>
    <row hidden="true" r="5839">
      <c r="A5839" s="76" t="s">
        <v>1344</v>
      </c>
      <c r="B5839" s="76" t="s">
        <v>932</v>
      </c>
      <c r="C5839" s="76" t="s">
        <v>933</v>
      </c>
      <c r="D5839" s="75"/>
    </row>
    <row hidden="true" r="5840">
      <c r="A5840" s="76" t="s">
        <v>1344</v>
      </c>
      <c r="B5840" s="76" t="s">
        <v>934</v>
      </c>
      <c r="C5840" s="76" t="s">
        <v>935</v>
      </c>
      <c r="D5840" s="75"/>
    </row>
    <row hidden="true" r="5841">
      <c r="A5841" s="76" t="s">
        <v>1344</v>
      </c>
      <c r="B5841" s="76" t="s">
        <v>936</v>
      </c>
      <c r="C5841" s="76" t="s">
        <v>937</v>
      </c>
      <c r="D5841" s="75"/>
    </row>
    <row hidden="true" r="5842">
      <c r="A5842" s="76" t="s">
        <v>1344</v>
      </c>
      <c r="B5842" s="76" t="s">
        <v>938</v>
      </c>
      <c r="C5842" s="76" t="s">
        <v>1220</v>
      </c>
      <c r="D5842" s="75"/>
    </row>
    <row hidden="true" r="5843">
      <c r="A5843" s="76" t="s">
        <v>1344</v>
      </c>
      <c r="B5843" s="76" t="s">
        <v>940</v>
      </c>
      <c r="C5843" s="76" t="s">
        <v>941</v>
      </c>
      <c r="D5843" s="75"/>
    </row>
    <row hidden="true" r="5844">
      <c r="A5844" s="76" t="s">
        <v>1344</v>
      </c>
      <c r="B5844" s="76" t="s">
        <v>942</v>
      </c>
      <c r="C5844" s="76" t="s">
        <v>943</v>
      </c>
      <c r="D5844" s="75"/>
    </row>
    <row hidden="true" r="5845">
      <c r="A5845" s="76" t="s">
        <v>1344</v>
      </c>
      <c r="B5845" s="76" t="s">
        <v>944</v>
      </c>
      <c r="C5845" s="76" t="s">
        <v>945</v>
      </c>
      <c r="D5845" s="75"/>
    </row>
    <row hidden="true" r="5846">
      <c r="A5846" s="76" t="s">
        <v>1344</v>
      </c>
      <c r="B5846" s="76" t="s">
        <v>1305</v>
      </c>
      <c r="C5846" s="76" t="s">
        <v>1306</v>
      </c>
      <c r="D5846" s="75"/>
    </row>
    <row hidden="true" r="5847">
      <c r="A5847" s="76" t="s">
        <v>1344</v>
      </c>
      <c r="B5847" s="76" t="s">
        <v>1307</v>
      </c>
      <c r="C5847" s="76" t="s">
        <v>1308</v>
      </c>
      <c r="D5847" s="75"/>
    </row>
    <row hidden="true" r="5848">
      <c r="A5848" s="76" t="s">
        <v>1344</v>
      </c>
      <c r="B5848" s="76" t="s">
        <v>946</v>
      </c>
      <c r="C5848" s="76" t="s">
        <v>1221</v>
      </c>
      <c r="D5848" s="75"/>
    </row>
    <row hidden="true" r="5849">
      <c r="A5849" s="76" t="s">
        <v>1344</v>
      </c>
      <c r="B5849" s="76" t="s">
        <v>948</v>
      </c>
      <c r="C5849" s="76" t="s">
        <v>1222</v>
      </c>
      <c r="D5849" s="75"/>
    </row>
    <row hidden="true" r="5850">
      <c r="A5850" s="76" t="s">
        <v>1344</v>
      </c>
      <c r="B5850" s="76" t="s">
        <v>950</v>
      </c>
      <c r="C5850" s="76" t="s">
        <v>951</v>
      </c>
      <c r="D5850" s="75"/>
    </row>
    <row hidden="true" r="5851">
      <c r="A5851" s="76" t="s">
        <v>1344</v>
      </c>
      <c r="B5851" s="76" t="s">
        <v>952</v>
      </c>
      <c r="C5851" s="76" t="s">
        <v>953</v>
      </c>
      <c r="D5851" s="75"/>
    </row>
    <row hidden="true" r="5852">
      <c r="A5852" s="76" t="s">
        <v>1344</v>
      </c>
      <c r="B5852" s="76" t="s">
        <v>954</v>
      </c>
      <c r="C5852" s="76" t="s">
        <v>955</v>
      </c>
      <c r="D5852" s="75"/>
    </row>
    <row hidden="true" r="5853">
      <c r="A5853" s="76" t="s">
        <v>1344</v>
      </c>
      <c r="B5853" s="76" t="s">
        <v>775</v>
      </c>
      <c r="C5853" s="76" t="s">
        <v>776</v>
      </c>
      <c r="D5853" s="75"/>
    </row>
    <row hidden="true" r="5854">
      <c r="A5854" s="76" t="s">
        <v>1344</v>
      </c>
      <c r="B5854" s="76" t="s">
        <v>956</v>
      </c>
      <c r="C5854" s="76" t="s">
        <v>957</v>
      </c>
      <c r="D5854" s="75"/>
    </row>
    <row hidden="true" r="5855">
      <c r="A5855" s="76" t="s">
        <v>1344</v>
      </c>
      <c r="B5855" s="76" t="s">
        <v>958</v>
      </c>
      <c r="C5855" s="76" t="s">
        <v>959</v>
      </c>
      <c r="D5855" s="75"/>
    </row>
    <row hidden="true" r="5856">
      <c r="A5856" s="76" t="s">
        <v>1344</v>
      </c>
      <c r="B5856" s="76" t="s">
        <v>960</v>
      </c>
      <c r="C5856" s="76" t="s">
        <v>961</v>
      </c>
      <c r="D5856" s="75"/>
    </row>
    <row hidden="true" r="5857">
      <c r="A5857" s="76" t="s">
        <v>1344</v>
      </c>
      <c r="B5857" s="76" t="s">
        <v>962</v>
      </c>
      <c r="C5857" s="76" t="s">
        <v>963</v>
      </c>
      <c r="D5857" s="75"/>
    </row>
    <row hidden="true" r="5858">
      <c r="A5858" s="76" t="s">
        <v>1344</v>
      </c>
      <c r="B5858" s="76" t="s">
        <v>964</v>
      </c>
      <c r="C5858" s="76" t="s">
        <v>965</v>
      </c>
      <c r="D5858" s="75"/>
    </row>
    <row hidden="true" r="5859">
      <c r="A5859" s="76" t="s">
        <v>1344</v>
      </c>
      <c r="B5859" s="76" t="s">
        <v>966</v>
      </c>
      <c r="C5859" s="76" t="s">
        <v>967</v>
      </c>
      <c r="D5859" s="75"/>
    </row>
    <row hidden="true" r="5860">
      <c r="A5860" s="76" t="s">
        <v>1344</v>
      </c>
      <c r="B5860" s="76" t="s">
        <v>968</v>
      </c>
      <c r="C5860" s="76" t="s">
        <v>969</v>
      </c>
      <c r="D5860" s="75"/>
    </row>
    <row hidden="true" r="5861">
      <c r="A5861" s="76" t="s">
        <v>1344</v>
      </c>
      <c r="B5861" s="76" t="s">
        <v>970</v>
      </c>
      <c r="C5861" s="76" t="s">
        <v>971</v>
      </c>
      <c r="D5861" s="75"/>
    </row>
    <row hidden="true" r="5862">
      <c r="A5862" s="76" t="s">
        <v>1344</v>
      </c>
      <c r="B5862" s="76" t="s">
        <v>972</v>
      </c>
      <c r="C5862" s="76" t="s">
        <v>973</v>
      </c>
      <c r="D5862" s="75"/>
    </row>
    <row hidden="true" r="5863">
      <c r="A5863" s="76" t="s">
        <v>1344</v>
      </c>
      <c r="B5863" s="76" t="s">
        <v>974</v>
      </c>
      <c r="C5863" s="76" t="s">
        <v>975</v>
      </c>
      <c r="D5863" s="75"/>
    </row>
    <row hidden="true" r="5864">
      <c r="A5864" s="76" t="s">
        <v>1344</v>
      </c>
      <c r="B5864" s="76" t="s">
        <v>976</v>
      </c>
      <c r="C5864" s="76" t="s">
        <v>977</v>
      </c>
      <c r="D5864" s="75"/>
    </row>
    <row hidden="true" r="5865">
      <c r="A5865" s="76" t="s">
        <v>1344</v>
      </c>
      <c r="B5865" s="76" t="s">
        <v>823</v>
      </c>
      <c r="C5865" s="76" t="s">
        <v>824</v>
      </c>
      <c r="D5865" s="75"/>
    </row>
    <row hidden="true" r="5866">
      <c r="A5866" s="76" t="s">
        <v>1344</v>
      </c>
      <c r="B5866" s="76" t="s">
        <v>978</v>
      </c>
      <c r="C5866" s="76" t="s">
        <v>979</v>
      </c>
      <c r="D5866" s="75"/>
    </row>
    <row hidden="true" r="5867">
      <c r="A5867" s="76" t="s">
        <v>1344</v>
      </c>
      <c r="B5867" s="76" t="s">
        <v>980</v>
      </c>
      <c r="C5867" s="76" t="s">
        <v>981</v>
      </c>
      <c r="D5867" s="75"/>
    </row>
    <row hidden="true" r="5868">
      <c r="A5868" s="76" t="s">
        <v>1344</v>
      </c>
      <c r="B5868" s="76" t="s">
        <v>982</v>
      </c>
      <c r="C5868" s="76" t="s">
        <v>983</v>
      </c>
      <c r="D5868" s="75"/>
    </row>
    <row hidden="true" r="5869">
      <c r="A5869" s="76" t="s">
        <v>1344</v>
      </c>
      <c r="B5869" s="76" t="s">
        <v>984</v>
      </c>
      <c r="C5869" s="76" t="s">
        <v>985</v>
      </c>
      <c r="D5869" s="75"/>
    </row>
    <row hidden="true" r="5870">
      <c r="A5870" s="76" t="s">
        <v>1344</v>
      </c>
      <c r="B5870" s="76" t="s">
        <v>986</v>
      </c>
      <c r="C5870" s="76" t="s">
        <v>987</v>
      </c>
      <c r="D5870" s="75"/>
    </row>
    <row hidden="true" r="5871">
      <c r="A5871" s="76" t="s">
        <v>1344</v>
      </c>
      <c r="B5871" s="76" t="s">
        <v>1309</v>
      </c>
      <c r="C5871" s="76" t="s">
        <v>1310</v>
      </c>
      <c r="D5871" s="75"/>
    </row>
    <row hidden="true" r="5872">
      <c r="A5872" s="76" t="s">
        <v>1344</v>
      </c>
      <c r="B5872" s="76" t="s">
        <v>1311</v>
      </c>
      <c r="C5872" s="76" t="s">
        <v>1312</v>
      </c>
      <c r="D5872" s="75"/>
    </row>
    <row hidden="true" r="5873">
      <c r="A5873" s="76" t="s">
        <v>1344</v>
      </c>
      <c r="B5873" s="76" t="s">
        <v>1099</v>
      </c>
      <c r="C5873" s="76" t="s">
        <v>1100</v>
      </c>
      <c r="D5873" s="75"/>
    </row>
    <row hidden="true" r="5874">
      <c r="A5874" s="76" t="s">
        <v>1344</v>
      </c>
      <c r="B5874" s="76" t="s">
        <v>1101</v>
      </c>
      <c r="C5874" s="76" t="s">
        <v>1102</v>
      </c>
      <c r="D5874" s="75"/>
    </row>
    <row hidden="true" r="5875">
      <c r="A5875" s="76" t="s">
        <v>1344</v>
      </c>
      <c r="B5875" s="76" t="s">
        <v>1313</v>
      </c>
      <c r="C5875" s="76" t="s">
        <v>1314</v>
      </c>
      <c r="D5875" s="75"/>
    </row>
    <row hidden="true" r="5876">
      <c r="A5876" s="76" t="s">
        <v>1344</v>
      </c>
      <c r="B5876" s="76" t="s">
        <v>996</v>
      </c>
      <c r="C5876" s="76" t="s">
        <v>997</v>
      </c>
      <c r="D5876" s="75"/>
    </row>
    <row hidden="true" r="5877">
      <c r="A5877" s="76" t="s">
        <v>1344</v>
      </c>
      <c r="B5877" s="76" t="s">
        <v>998</v>
      </c>
      <c r="C5877" s="76" t="s">
        <v>999</v>
      </c>
      <c r="D5877" s="75"/>
    </row>
    <row hidden="true" r="5878">
      <c r="A5878" s="76" t="s">
        <v>1344</v>
      </c>
      <c r="B5878" s="76" t="s">
        <v>1000</v>
      </c>
      <c r="C5878" s="76" t="s">
        <v>1001</v>
      </c>
      <c r="D5878" s="75"/>
    </row>
    <row hidden="true" r="5879">
      <c r="A5879" s="76" t="s">
        <v>1344</v>
      </c>
      <c r="B5879" s="76" t="s">
        <v>1002</v>
      </c>
      <c r="C5879" s="76" t="s">
        <v>1003</v>
      </c>
      <c r="D5879" s="75"/>
    </row>
    <row hidden="true" r="5880">
      <c r="A5880" s="76" t="s">
        <v>1344</v>
      </c>
      <c r="B5880" s="76" t="s">
        <v>1004</v>
      </c>
      <c r="C5880" s="76" t="s">
        <v>1005</v>
      </c>
      <c r="D5880" s="75"/>
    </row>
    <row hidden="true" r="5881">
      <c r="A5881" s="76" t="s">
        <v>1344</v>
      </c>
      <c r="B5881" s="76" t="s">
        <v>1006</v>
      </c>
      <c r="C5881" s="76" t="s">
        <v>1007</v>
      </c>
      <c r="D5881" s="75"/>
    </row>
    <row hidden="true" r="5882">
      <c r="A5882" s="76" t="s">
        <v>1344</v>
      </c>
      <c r="B5882" s="76" t="s">
        <v>1008</v>
      </c>
      <c r="C5882" s="76" t="s">
        <v>1009</v>
      </c>
      <c r="D5882" s="75"/>
    </row>
    <row hidden="true" r="5883">
      <c r="A5883" s="76" t="s">
        <v>1344</v>
      </c>
      <c r="B5883" s="76" t="s">
        <v>1010</v>
      </c>
      <c r="C5883" s="76" t="s">
        <v>1011</v>
      </c>
      <c r="D5883" s="75"/>
    </row>
    <row hidden="true" r="5884">
      <c r="A5884" s="76" t="s">
        <v>1344</v>
      </c>
      <c r="B5884" s="76" t="s">
        <v>1315</v>
      </c>
      <c r="C5884" s="76" t="s">
        <v>1316</v>
      </c>
      <c r="D5884" s="75"/>
    </row>
    <row hidden="true" r="5885">
      <c r="A5885" s="76" t="s">
        <v>1344</v>
      </c>
      <c r="B5885" s="76" t="s">
        <v>1014</v>
      </c>
      <c r="C5885" s="76" t="s">
        <v>1015</v>
      </c>
      <c r="D5885" s="75"/>
    </row>
    <row hidden="true" r="5886">
      <c r="A5886" s="76" t="s">
        <v>1344</v>
      </c>
      <c r="B5886" s="76" t="s">
        <v>1016</v>
      </c>
      <c r="C5886" s="76" t="s">
        <v>1017</v>
      </c>
      <c r="D5886" s="75"/>
    </row>
    <row hidden="true" r="5887">
      <c r="A5887" s="76" t="s">
        <v>1344</v>
      </c>
      <c r="B5887" s="76" t="s">
        <v>1018</v>
      </c>
      <c r="C5887" s="76" t="s">
        <v>1019</v>
      </c>
      <c r="D5887" s="75"/>
    </row>
    <row hidden="true" r="5888">
      <c r="A5888" s="76" t="s">
        <v>1344</v>
      </c>
      <c r="B5888" s="76" t="s">
        <v>1020</v>
      </c>
      <c r="C5888" s="76" t="s">
        <v>1021</v>
      </c>
      <c r="D5888" s="75"/>
    </row>
    <row hidden="true" r="5889">
      <c r="A5889" s="76" t="s">
        <v>1344</v>
      </c>
      <c r="B5889" s="76" t="s">
        <v>1022</v>
      </c>
      <c r="C5889" s="76" t="s">
        <v>1017</v>
      </c>
      <c r="D5889" s="75"/>
    </row>
    <row hidden="true" r="5890">
      <c r="A5890" s="76" t="s">
        <v>1344</v>
      </c>
      <c r="B5890" s="76" t="s">
        <v>1023</v>
      </c>
      <c r="C5890" s="76" t="s">
        <v>1019</v>
      </c>
      <c r="D5890" s="75"/>
    </row>
    <row hidden="true" r="5891">
      <c r="A5891" s="76" t="s">
        <v>1344</v>
      </c>
      <c r="B5891" s="76" t="s">
        <v>1024</v>
      </c>
      <c r="C5891" s="76" t="s">
        <v>1021</v>
      </c>
      <c r="D5891" s="75"/>
    </row>
    <row hidden="true" r="5892">
      <c r="A5892" s="76" t="s">
        <v>1344</v>
      </c>
      <c r="B5892" s="76" t="s">
        <v>1025</v>
      </c>
      <c r="C5892" s="76" t="s">
        <v>1017</v>
      </c>
      <c r="D5892" s="75"/>
    </row>
    <row hidden="true" r="5893">
      <c r="A5893" s="76" t="s">
        <v>1344</v>
      </c>
      <c r="B5893" s="76" t="s">
        <v>1026</v>
      </c>
      <c r="C5893" s="76" t="s">
        <v>1019</v>
      </c>
      <c r="D5893" s="75"/>
    </row>
    <row hidden="true" r="5894">
      <c r="A5894" s="76" t="s">
        <v>1344</v>
      </c>
      <c r="B5894" s="76" t="s">
        <v>1027</v>
      </c>
      <c r="C5894" s="76" t="s">
        <v>1021</v>
      </c>
      <c r="D5894" s="75"/>
    </row>
    <row hidden="true" r="5895">
      <c r="A5895" s="76" t="s">
        <v>1344</v>
      </c>
      <c r="B5895" s="76" t="s">
        <v>1133</v>
      </c>
      <c r="C5895" s="76" t="s">
        <v>1134</v>
      </c>
      <c r="D5895" s="75"/>
    </row>
    <row hidden="true" r="5896">
      <c r="A5896" s="76" t="s">
        <v>1344</v>
      </c>
      <c r="B5896" s="76" t="s">
        <v>1317</v>
      </c>
      <c r="C5896" s="76" t="s">
        <v>1318</v>
      </c>
      <c r="D5896" s="75"/>
    </row>
    <row hidden="true" r="5897">
      <c r="A5897" s="76" t="s">
        <v>1344</v>
      </c>
      <c r="B5897" s="76" t="s">
        <v>1319</v>
      </c>
      <c r="C5897" s="76" t="s">
        <v>1320</v>
      </c>
      <c r="D5897" s="75"/>
    </row>
    <row hidden="true" r="5898">
      <c r="A5898" s="76" t="s">
        <v>1344</v>
      </c>
      <c r="B5898" s="76" t="s">
        <v>1028</v>
      </c>
      <c r="C5898" s="76" t="s">
        <v>1029</v>
      </c>
      <c r="D5898" s="75"/>
    </row>
    <row hidden="true" r="5899">
      <c r="A5899" s="76" t="s">
        <v>1344</v>
      </c>
      <c r="B5899" s="76" t="s">
        <v>988</v>
      </c>
      <c r="C5899" s="76" t="s">
        <v>989</v>
      </c>
      <c r="D5899" s="75"/>
    </row>
    <row hidden="true" r="5900">
      <c r="A5900" s="76" t="s">
        <v>1344</v>
      </c>
      <c r="B5900" s="76" t="s">
        <v>990</v>
      </c>
      <c r="C5900" s="76" t="s">
        <v>991</v>
      </c>
      <c r="D5900" s="75"/>
    </row>
    <row hidden="true" r="5901">
      <c r="A5901" s="76" t="s">
        <v>1344</v>
      </c>
      <c r="B5901" s="76" t="s">
        <v>992</v>
      </c>
      <c r="C5901" s="76" t="s">
        <v>993</v>
      </c>
      <c r="D5901" s="75"/>
    </row>
    <row hidden="true" r="5902">
      <c r="A5902" s="76" t="s">
        <v>1344</v>
      </c>
      <c r="B5902" s="76" t="s">
        <v>530</v>
      </c>
      <c r="C5902" s="76" t="s">
        <v>531</v>
      </c>
      <c r="D5902" s="75"/>
    </row>
    <row hidden="true" r="5903">
      <c r="A5903" s="76" t="s">
        <v>1344</v>
      </c>
      <c r="B5903" s="76" t="s">
        <v>1032</v>
      </c>
      <c r="C5903" s="76" t="s">
        <v>1033</v>
      </c>
      <c r="D5903" s="75"/>
    </row>
    <row hidden="true" r="5904">
      <c r="A5904" s="76" t="s">
        <v>1344</v>
      </c>
      <c r="B5904" s="76" t="s">
        <v>532</v>
      </c>
      <c r="C5904" s="76" t="s">
        <v>533</v>
      </c>
      <c r="D5904" s="75"/>
    </row>
    <row hidden="true" r="5905">
      <c r="A5905" s="76" t="s">
        <v>1344</v>
      </c>
      <c r="B5905" s="76" t="s">
        <v>1036</v>
      </c>
      <c r="C5905" s="76" t="s">
        <v>1037</v>
      </c>
      <c r="D5905" s="75"/>
    </row>
    <row hidden="true" r="5906">
      <c r="A5906" s="76" t="s">
        <v>1344</v>
      </c>
      <c r="B5906" s="76" t="s">
        <v>1038</v>
      </c>
      <c r="C5906" s="76" t="s">
        <v>1039</v>
      </c>
      <c r="D5906" s="75"/>
    </row>
    <row hidden="true" r="5907">
      <c r="A5907" s="76" t="s">
        <v>1344</v>
      </c>
      <c r="B5907" s="76" t="s">
        <v>1321</v>
      </c>
      <c r="C5907" s="76" t="s">
        <v>1322</v>
      </c>
      <c r="D5907" s="75"/>
    </row>
    <row hidden="true" r="5908">
      <c r="A5908" s="76" t="s">
        <v>1344</v>
      </c>
      <c r="B5908" s="76" t="s">
        <v>1323</v>
      </c>
      <c r="C5908" s="76" t="s">
        <v>1324</v>
      </c>
      <c r="D5908" s="75"/>
    </row>
    <row hidden="true" r="5909">
      <c r="A5909" s="76" t="s">
        <v>1344</v>
      </c>
      <c r="B5909" s="76" t="s">
        <v>1012</v>
      </c>
      <c r="C5909" s="76" t="s">
        <v>1013</v>
      </c>
      <c r="D5909" s="75"/>
    </row>
    <row hidden="true" r="5910">
      <c r="A5910" s="76" t="s">
        <v>1344</v>
      </c>
      <c r="B5910" s="76" t="s">
        <v>1052</v>
      </c>
      <c r="C5910" s="76" t="s">
        <v>1053</v>
      </c>
      <c r="D5910" s="75"/>
    </row>
    <row hidden="true" r="5911">
      <c r="A5911" s="76" t="s">
        <v>1344</v>
      </c>
      <c r="B5911" s="76" t="s">
        <v>1054</v>
      </c>
      <c r="C5911" s="76" t="s">
        <v>1055</v>
      </c>
      <c r="D5911" s="75"/>
    </row>
    <row hidden="true" r="5912">
      <c r="A5912" s="76" t="s">
        <v>1344</v>
      </c>
      <c r="B5912" s="76" t="s">
        <v>1056</v>
      </c>
      <c r="C5912" s="76" t="s">
        <v>1057</v>
      </c>
      <c r="D5912" s="75"/>
    </row>
    <row hidden="true" r="5913">
      <c r="A5913" s="76" t="s">
        <v>1344</v>
      </c>
      <c r="B5913" s="76" t="s">
        <v>1058</v>
      </c>
      <c r="C5913" s="76" t="s">
        <v>1059</v>
      </c>
      <c r="D5913" s="75"/>
    </row>
    <row hidden="true" r="5914">
      <c r="A5914" s="76" t="s">
        <v>1344</v>
      </c>
      <c r="B5914" s="76" t="s">
        <v>1060</v>
      </c>
      <c r="C5914" s="76" t="s">
        <v>1061</v>
      </c>
      <c r="D5914" s="75"/>
    </row>
    <row hidden="true" r="5915">
      <c r="A5915" s="76" t="s">
        <v>1344</v>
      </c>
      <c r="B5915" s="76" t="s">
        <v>1062</v>
      </c>
      <c r="C5915" s="76" t="s">
        <v>1063</v>
      </c>
      <c r="D5915" s="75"/>
    </row>
    <row hidden="true" r="5916">
      <c r="A5916" s="76" t="s">
        <v>1344</v>
      </c>
      <c r="B5916" s="76" t="s">
        <v>1064</v>
      </c>
      <c r="C5916" s="76" t="s">
        <v>1065</v>
      </c>
      <c r="D5916" s="75"/>
    </row>
    <row hidden="true" r="5917">
      <c r="A5917" s="76" t="s">
        <v>1344</v>
      </c>
      <c r="B5917" s="76" t="s">
        <v>1066</v>
      </c>
      <c r="C5917" s="76" t="s">
        <v>1067</v>
      </c>
      <c r="D5917" s="75"/>
    </row>
    <row hidden="true" r="5918">
      <c r="A5918" s="76" t="s">
        <v>1344</v>
      </c>
      <c r="B5918" s="76" t="s">
        <v>1068</v>
      </c>
      <c r="C5918" s="76" t="s">
        <v>1069</v>
      </c>
      <c r="D5918" s="75"/>
    </row>
    <row hidden="true" r="5919">
      <c r="A5919" s="76" t="s">
        <v>1344</v>
      </c>
      <c r="B5919" s="76" t="s">
        <v>1070</v>
      </c>
      <c r="C5919" s="76" t="s">
        <v>1069</v>
      </c>
      <c r="D5919" s="75"/>
    </row>
    <row hidden="true" r="5920">
      <c r="A5920" s="76" t="s">
        <v>1344</v>
      </c>
      <c r="B5920" s="76" t="s">
        <v>1071</v>
      </c>
      <c r="C5920" s="76" t="s">
        <v>1069</v>
      </c>
      <c r="D5920" s="75"/>
    </row>
    <row hidden="true" r="5921">
      <c r="A5921" s="76" t="s">
        <v>1344</v>
      </c>
      <c r="B5921" s="76" t="s">
        <v>1072</v>
      </c>
      <c r="C5921" s="76" t="s">
        <v>1073</v>
      </c>
      <c r="D5921" s="75"/>
    </row>
    <row hidden="true" r="5922">
      <c r="A5922" s="76" t="s">
        <v>1344</v>
      </c>
      <c r="B5922" s="76" t="s">
        <v>1074</v>
      </c>
      <c r="C5922" s="76" t="s">
        <v>1073</v>
      </c>
      <c r="D5922" s="75"/>
    </row>
    <row hidden="true" r="5923">
      <c r="A5923" s="76" t="s">
        <v>1344</v>
      </c>
      <c r="B5923" s="76" t="s">
        <v>1075</v>
      </c>
      <c r="C5923" s="76" t="s">
        <v>1073</v>
      </c>
      <c r="D5923" s="75"/>
    </row>
    <row hidden="true" r="5924">
      <c r="A5924" s="76" t="s">
        <v>1344</v>
      </c>
      <c r="B5924" s="76" t="s">
        <v>1082</v>
      </c>
      <c r="C5924" s="76" t="s">
        <v>1083</v>
      </c>
      <c r="D5924" s="75"/>
    </row>
    <row hidden="true" r="5925">
      <c r="A5925" s="76" t="s">
        <v>1344</v>
      </c>
      <c r="B5925" s="76" t="s">
        <v>1084</v>
      </c>
      <c r="C5925" s="76" t="s">
        <v>1085</v>
      </c>
      <c r="D5925" s="75"/>
    </row>
    <row hidden="true" r="5926">
      <c r="A5926" s="76" t="s">
        <v>1344</v>
      </c>
      <c r="B5926" s="76" t="s">
        <v>1086</v>
      </c>
      <c r="C5926" s="76" t="s">
        <v>1087</v>
      </c>
      <c r="D5926" s="75"/>
    </row>
    <row hidden="true" r="5927">
      <c r="A5927" s="76" t="s">
        <v>1344</v>
      </c>
      <c r="B5927" s="76" t="s">
        <v>1088</v>
      </c>
      <c r="C5927" s="76" t="s">
        <v>1089</v>
      </c>
      <c r="D5927" s="75"/>
    </row>
    <row hidden="true" r="5928">
      <c r="A5928" s="76" t="s">
        <v>1344</v>
      </c>
      <c r="B5928" s="76" t="s">
        <v>1076</v>
      </c>
      <c r="C5928" s="76" t="s">
        <v>1077</v>
      </c>
      <c r="D5928" s="75"/>
    </row>
    <row hidden="true" r="5929">
      <c r="A5929" s="76" t="s">
        <v>1344</v>
      </c>
      <c r="B5929" s="76" t="s">
        <v>1078</v>
      </c>
      <c r="C5929" s="76" t="s">
        <v>1079</v>
      </c>
      <c r="D5929" s="75"/>
    </row>
    <row hidden="true" r="5930">
      <c r="A5930" s="76" t="s">
        <v>1344</v>
      </c>
      <c r="B5930" s="76" t="s">
        <v>1040</v>
      </c>
      <c r="C5930" s="76" t="s">
        <v>1041</v>
      </c>
      <c r="D5930" s="75"/>
    </row>
    <row hidden="true" r="5931">
      <c r="A5931" s="76" t="s">
        <v>1344</v>
      </c>
      <c r="B5931" s="76" t="s">
        <v>839</v>
      </c>
      <c r="C5931" s="76" t="s">
        <v>840</v>
      </c>
      <c r="D5931" s="75"/>
    </row>
    <row hidden="true" r="5932">
      <c r="A5932" s="76" t="s">
        <v>1344</v>
      </c>
      <c r="B5932" s="76" t="s">
        <v>1121</v>
      </c>
      <c r="C5932" s="76" t="s">
        <v>1122</v>
      </c>
      <c r="D5932" s="75"/>
    </row>
    <row hidden="true" r="5933">
      <c r="A5933" s="76" t="s">
        <v>1344</v>
      </c>
      <c r="B5933" s="76" t="s">
        <v>1325</v>
      </c>
      <c r="C5933" s="76" t="s">
        <v>1326</v>
      </c>
      <c r="D5933" s="75"/>
    </row>
    <row hidden="true" r="5934">
      <c r="A5934" s="76" t="s">
        <v>1344</v>
      </c>
      <c r="B5934" s="76" t="s">
        <v>1080</v>
      </c>
      <c r="C5934" s="76" t="s">
        <v>1081</v>
      </c>
      <c r="D5934" s="75"/>
    </row>
    <row hidden="true" r="5935">
      <c r="A5935" s="76" t="s">
        <v>1344</v>
      </c>
      <c r="B5935" s="76" t="s">
        <v>1327</v>
      </c>
      <c r="C5935" s="76" t="s">
        <v>1328</v>
      </c>
      <c r="D5935" s="75"/>
    </row>
    <row hidden="true" r="5936">
      <c r="A5936" s="76" t="s">
        <v>1344</v>
      </c>
      <c r="B5936" s="76" t="s">
        <v>1090</v>
      </c>
      <c r="C5936" s="76" t="s">
        <v>1091</v>
      </c>
      <c r="D5936" s="75"/>
    </row>
    <row hidden="true" r="5937">
      <c r="A5937" s="76" t="s">
        <v>1344</v>
      </c>
      <c r="B5937" s="76" t="s">
        <v>1092</v>
      </c>
      <c r="C5937" s="76" t="s">
        <v>1091</v>
      </c>
      <c r="D5937" s="75"/>
    </row>
    <row hidden="true" r="5938">
      <c r="A5938" s="76" t="s">
        <v>1344</v>
      </c>
      <c r="B5938" s="76" t="s">
        <v>1093</v>
      </c>
      <c r="C5938" s="76" t="s">
        <v>1094</v>
      </c>
      <c r="D5938" s="75"/>
    </row>
    <row hidden="true" r="5939">
      <c r="A5939" s="76" t="s">
        <v>1344</v>
      </c>
      <c r="B5939" s="76" t="s">
        <v>1095</v>
      </c>
      <c r="C5939" s="76" t="s">
        <v>1096</v>
      </c>
      <c r="D5939" s="75"/>
    </row>
    <row hidden="true" r="5940">
      <c r="A5940" s="76" t="s">
        <v>1344</v>
      </c>
      <c r="B5940" s="76" t="s">
        <v>1097</v>
      </c>
      <c r="C5940" s="76" t="s">
        <v>1098</v>
      </c>
      <c r="D5940" s="75"/>
    </row>
    <row hidden="true" r="5941">
      <c r="A5941" s="76" t="s">
        <v>1344</v>
      </c>
      <c r="B5941" s="76" t="s">
        <v>1103</v>
      </c>
      <c r="C5941" s="76" t="s">
        <v>1104</v>
      </c>
      <c r="D5941" s="75"/>
    </row>
    <row hidden="true" r="5942">
      <c r="A5942" s="76" t="s">
        <v>1344</v>
      </c>
      <c r="B5942" s="76" t="s">
        <v>1329</v>
      </c>
      <c r="C5942" s="76" t="s">
        <v>1330</v>
      </c>
      <c r="D5942" s="75"/>
    </row>
    <row hidden="true" r="5943">
      <c r="A5943" s="76" t="s">
        <v>1344</v>
      </c>
      <c r="B5943" s="76" t="s">
        <v>1113</v>
      </c>
      <c r="C5943" s="76" t="s">
        <v>1114</v>
      </c>
      <c r="D5943" s="75"/>
    </row>
    <row hidden="true" r="5944">
      <c r="A5944" s="76" t="s">
        <v>1344</v>
      </c>
      <c r="B5944" s="76" t="s">
        <v>1115</v>
      </c>
      <c r="C5944" s="76" t="s">
        <v>1116</v>
      </c>
      <c r="D5944" s="75"/>
    </row>
    <row hidden="true" r="5945">
      <c r="A5945" s="76" t="s">
        <v>1344</v>
      </c>
      <c r="B5945" s="76" t="s">
        <v>1117</v>
      </c>
      <c r="C5945" s="76" t="s">
        <v>1118</v>
      </c>
      <c r="D5945" s="75"/>
    </row>
    <row hidden="true" r="5946">
      <c r="A5946" s="76" t="s">
        <v>1344</v>
      </c>
      <c r="B5946" s="76" t="s">
        <v>1119</v>
      </c>
      <c r="C5946" s="76" t="s">
        <v>1120</v>
      </c>
      <c r="D5946" s="75"/>
    </row>
    <row hidden="true" r="5947">
      <c r="A5947" s="76" t="s">
        <v>1344</v>
      </c>
      <c r="B5947" s="76" t="s">
        <v>1127</v>
      </c>
      <c r="C5947" s="76" t="s">
        <v>1128</v>
      </c>
      <c r="D5947" s="75"/>
    </row>
    <row hidden="true" r="5948">
      <c r="A5948" s="76" t="s">
        <v>1344</v>
      </c>
      <c r="B5948" s="76" t="s">
        <v>1129</v>
      </c>
      <c r="C5948" s="76" t="s">
        <v>1130</v>
      </c>
      <c r="D5948" s="75"/>
    </row>
    <row hidden="true" r="5949">
      <c r="A5949" s="76" t="s">
        <v>1344</v>
      </c>
      <c r="B5949" s="76" t="s">
        <v>1131</v>
      </c>
      <c r="C5949" s="76" t="s">
        <v>1132</v>
      </c>
      <c r="D5949" s="75"/>
    </row>
    <row hidden="true" r="5950">
      <c r="A5950" s="76" t="s">
        <v>1344</v>
      </c>
      <c r="B5950" s="76" t="s">
        <v>1137</v>
      </c>
      <c r="C5950" s="76" t="s">
        <v>1138</v>
      </c>
      <c r="D5950" s="75"/>
    </row>
    <row hidden="true" r="5951">
      <c r="A5951" s="76" t="s">
        <v>1344</v>
      </c>
      <c r="B5951" s="76" t="s">
        <v>1139</v>
      </c>
      <c r="C5951" s="76" t="s">
        <v>1140</v>
      </c>
      <c r="D5951" s="75"/>
    </row>
    <row hidden="true" r="5952">
      <c r="A5952" s="76" t="s">
        <v>1344</v>
      </c>
      <c r="B5952" s="76" t="s">
        <v>1141</v>
      </c>
      <c r="C5952" s="76" t="s">
        <v>1142</v>
      </c>
      <c r="D5952" s="75"/>
    </row>
    <row hidden="true" r="5953">
      <c r="A5953" s="76" t="s">
        <v>1344</v>
      </c>
      <c r="B5953" s="76" t="s">
        <v>1143</v>
      </c>
      <c r="C5953" s="76" t="s">
        <v>1144</v>
      </c>
      <c r="D5953" s="75"/>
    </row>
    <row hidden="true" r="5954">
      <c r="A5954" s="76" t="s">
        <v>1344</v>
      </c>
      <c r="B5954" s="76" t="s">
        <v>1145</v>
      </c>
      <c r="C5954" s="76" t="s">
        <v>1223</v>
      </c>
      <c r="D5954" s="75"/>
    </row>
    <row hidden="true" r="5955">
      <c r="A5955" s="76" t="s">
        <v>1344</v>
      </c>
      <c r="B5955" s="76" t="s">
        <v>1147</v>
      </c>
      <c r="C5955" s="76" t="s">
        <v>1148</v>
      </c>
      <c r="D5955" s="75"/>
    </row>
    <row hidden="true" r="5956">
      <c r="A5956" s="76" t="s">
        <v>1344</v>
      </c>
      <c r="B5956" s="76" t="s">
        <v>1153</v>
      </c>
      <c r="C5956" s="76" t="s">
        <v>1154</v>
      </c>
      <c r="D5956" s="75"/>
    </row>
    <row hidden="true" r="5957">
      <c r="A5957" s="76" t="s">
        <v>1344</v>
      </c>
      <c r="B5957" s="76" t="s">
        <v>1155</v>
      </c>
      <c r="C5957" s="76" t="s">
        <v>1156</v>
      </c>
      <c r="D5957" s="75"/>
    </row>
    <row hidden="true" r="5958">
      <c r="A5958" s="76" t="s">
        <v>1344</v>
      </c>
      <c r="B5958" s="76" t="s">
        <v>1157</v>
      </c>
      <c r="C5958" s="76" t="s">
        <v>1158</v>
      </c>
      <c r="D5958" s="75"/>
    </row>
    <row hidden="true" r="5959">
      <c r="A5959" s="76" t="s">
        <v>1344</v>
      </c>
      <c r="B5959" s="76" t="s">
        <v>1159</v>
      </c>
      <c r="C5959" s="76" t="s">
        <v>1160</v>
      </c>
      <c r="D5959" s="75"/>
    </row>
    <row hidden="true" r="5960">
      <c r="A5960" s="76" t="s">
        <v>1344</v>
      </c>
      <c r="B5960" s="76" t="s">
        <v>1161</v>
      </c>
      <c r="C5960" s="76" t="s">
        <v>1162</v>
      </c>
      <c r="D5960" s="75"/>
    </row>
    <row hidden="true" r="5961">
      <c r="A5961" s="76" t="s">
        <v>1344</v>
      </c>
      <c r="B5961" s="76" t="s">
        <v>1163</v>
      </c>
      <c r="C5961" s="76" t="s">
        <v>1164</v>
      </c>
      <c r="D5961" s="75"/>
    </row>
    <row hidden="true" r="5962">
      <c r="A5962" s="76" t="s">
        <v>1344</v>
      </c>
      <c r="B5962" s="76" t="s">
        <v>1165</v>
      </c>
      <c r="C5962" s="76" t="s">
        <v>1166</v>
      </c>
      <c r="D5962" s="75"/>
    </row>
    <row hidden="true" r="5963">
      <c r="A5963" s="76" t="s">
        <v>1344</v>
      </c>
      <c r="B5963" s="76" t="s">
        <v>1331</v>
      </c>
      <c r="C5963" s="76" t="s">
        <v>1345</v>
      </c>
      <c r="D5963" s="75"/>
    </row>
    <row hidden="true" r="5964">
      <c r="A5964" s="76" t="s">
        <v>1344</v>
      </c>
      <c r="B5964" s="76" t="s">
        <v>1333</v>
      </c>
      <c r="C5964" s="76" t="s">
        <v>1346</v>
      </c>
      <c r="D5964" s="75"/>
    </row>
    <row hidden="true" r="5965">
      <c r="A5965" s="76" t="s">
        <v>1344</v>
      </c>
      <c r="B5965" s="76" t="s">
        <v>1335</v>
      </c>
      <c r="C5965" s="76" t="s">
        <v>1347</v>
      </c>
      <c r="D5965" s="75"/>
    </row>
    <row hidden="true" r="5966">
      <c r="A5966" s="76" t="s">
        <v>1344</v>
      </c>
      <c r="B5966" s="76" t="s">
        <v>1337</v>
      </c>
      <c r="C5966" s="76" t="s">
        <v>1348</v>
      </c>
      <c r="D5966" s="75"/>
    </row>
    <row hidden="true" r="5967">
      <c r="A5967" s="76" t="s">
        <v>1344</v>
      </c>
      <c r="B5967" s="76" t="s">
        <v>1339</v>
      </c>
      <c r="C5967" s="76" t="s">
        <v>1349</v>
      </c>
      <c r="D5967" s="75"/>
    </row>
    <row hidden="true" r="5968">
      <c r="A5968" s="76" t="s">
        <v>1344</v>
      </c>
      <c r="B5968" s="76" t="s">
        <v>1341</v>
      </c>
      <c r="C5968" s="76" t="s">
        <v>1342</v>
      </c>
      <c r="D5968" s="75"/>
    </row>
    <row hidden="true" r="5969">
      <c r="A5969" s="76" t="s">
        <v>1344</v>
      </c>
      <c r="B5969" s="76" t="s">
        <v>1044</v>
      </c>
      <c r="C5969" s="76" t="s">
        <v>1045</v>
      </c>
      <c r="D5969" s="75"/>
    </row>
    <row hidden="true" r="5970">
      <c r="A5970" s="76" t="s">
        <v>1344</v>
      </c>
      <c r="B5970" s="76" t="s">
        <v>1046</v>
      </c>
      <c r="C5970" s="76" t="s">
        <v>1047</v>
      </c>
      <c r="D5970" s="75"/>
    </row>
    <row hidden="true" r="5971">
      <c r="A5971" s="76" t="s">
        <v>1344</v>
      </c>
      <c r="B5971" s="76" t="s">
        <v>1048</v>
      </c>
      <c r="C5971" s="76" t="s">
        <v>1049</v>
      </c>
      <c r="D5971" s="75"/>
    </row>
    <row hidden="true" r="5972">
      <c r="A5972" s="76" t="s">
        <v>1344</v>
      </c>
      <c r="B5972" s="76" t="s">
        <v>1167</v>
      </c>
      <c r="C5972" s="76" t="s">
        <v>1168</v>
      </c>
      <c r="D5972" s="75"/>
    </row>
    <row hidden="true" r="5973">
      <c r="A5973" s="76" t="s">
        <v>1344</v>
      </c>
      <c r="B5973" s="76" t="s">
        <v>1169</v>
      </c>
      <c r="C5973" s="76" t="s">
        <v>1170</v>
      </c>
      <c r="D5973" s="75"/>
    </row>
    <row hidden="true" r="5974">
      <c r="A5974" s="76" t="s">
        <v>1344</v>
      </c>
      <c r="B5974" s="76" t="s">
        <v>1171</v>
      </c>
      <c r="C5974" s="76" t="s">
        <v>1172</v>
      </c>
      <c r="D5974" s="75"/>
    </row>
    <row hidden="true" r="5975">
      <c r="A5975" s="76" t="s">
        <v>1344</v>
      </c>
      <c r="B5975" s="76" t="s">
        <v>1173</v>
      </c>
      <c r="C5975" s="76" t="s">
        <v>1174</v>
      </c>
      <c r="D5975" s="75"/>
    </row>
    <row hidden="true" r="5976">
      <c r="A5976" s="76" t="s">
        <v>1344</v>
      </c>
      <c r="B5976" s="76" t="s">
        <v>1175</v>
      </c>
      <c r="C5976" s="76" t="s">
        <v>1176</v>
      </c>
      <c r="D5976" s="75"/>
    </row>
    <row hidden="true" r="5977">
      <c r="A5977" s="76" t="s">
        <v>1344</v>
      </c>
      <c r="B5977" s="76" t="s">
        <v>1177</v>
      </c>
      <c r="C5977" s="76" t="s">
        <v>1178</v>
      </c>
      <c r="D5977" s="75"/>
    </row>
    <row hidden="true" r="5978">
      <c r="A5978" s="76" t="s">
        <v>1344</v>
      </c>
      <c r="B5978" s="76" t="s">
        <v>1135</v>
      </c>
      <c r="C5978" s="76" t="s">
        <v>1136</v>
      </c>
      <c r="D5978" s="75"/>
    </row>
    <row hidden="true" r="5979">
      <c r="A5979" s="76" t="s">
        <v>1344</v>
      </c>
      <c r="B5979" s="76" t="s">
        <v>1179</v>
      </c>
      <c r="C5979" s="76" t="s">
        <v>1180</v>
      </c>
      <c r="D5979" s="75"/>
    </row>
    <row hidden="true" r="5980">
      <c r="A5980" s="76" t="s">
        <v>1344</v>
      </c>
      <c r="B5980" s="76" t="s">
        <v>1181</v>
      </c>
      <c r="C5980" s="76" t="s">
        <v>1182</v>
      </c>
      <c r="D5980" s="75"/>
    </row>
    <row hidden="true" r="5981">
      <c r="A5981" s="76" t="s">
        <v>1344</v>
      </c>
      <c r="B5981" s="76" t="s">
        <v>1183</v>
      </c>
      <c r="C5981" s="76" t="s">
        <v>1184</v>
      </c>
      <c r="D5981" s="75"/>
    </row>
    <row hidden="true" r="5982">
      <c r="A5982" s="76" t="s">
        <v>1344</v>
      </c>
      <c r="B5982" s="76" t="s">
        <v>1185</v>
      </c>
      <c r="C5982" s="76" t="s">
        <v>1186</v>
      </c>
      <c r="D5982" s="75"/>
    </row>
    <row hidden="true" r="5983">
      <c r="A5983" s="76" t="s">
        <v>1344</v>
      </c>
      <c r="B5983" s="76" t="s">
        <v>1187</v>
      </c>
      <c r="C5983" s="76" t="s">
        <v>1188</v>
      </c>
      <c r="D5983" s="75"/>
    </row>
    <row hidden="true" r="5984">
      <c r="A5984" s="76" t="s">
        <v>1344</v>
      </c>
      <c r="B5984" s="76" t="s">
        <v>1189</v>
      </c>
      <c r="C5984" s="76" t="s">
        <v>1190</v>
      </c>
      <c r="D5984" s="75"/>
    </row>
    <row hidden="true" r="5985">
      <c r="A5985" s="76" t="s">
        <v>1344</v>
      </c>
      <c r="B5985" s="76" t="s">
        <v>1199</v>
      </c>
      <c r="C5985" s="76" t="s">
        <v>1200</v>
      </c>
      <c r="D5985" s="75"/>
    </row>
    <row hidden="true" r="5986">
      <c r="A5986" s="76" t="s">
        <v>1344</v>
      </c>
      <c r="B5986" s="76" t="s">
        <v>1201</v>
      </c>
      <c r="C5986" s="76" t="s">
        <v>1202</v>
      </c>
      <c r="D5986" s="75"/>
    </row>
    <row hidden="true" r="5987">
      <c r="A5987" s="76" t="s">
        <v>1344</v>
      </c>
      <c r="B5987" s="76" t="s">
        <v>1203</v>
      </c>
      <c r="C5987" s="76" t="s">
        <v>1204</v>
      </c>
      <c r="D5987" s="75"/>
    </row>
    <row hidden="true" r="5988">
      <c r="A5988" s="76" t="s">
        <v>1344</v>
      </c>
      <c r="B5988" s="76" t="s">
        <v>1205</v>
      </c>
      <c r="C5988" s="76" t="s">
        <v>1206</v>
      </c>
      <c r="D5988" s="75"/>
    </row>
    <row hidden="true" r="5989">
      <c r="A5989" s="76" t="s">
        <v>1344</v>
      </c>
      <c r="B5989" s="76" t="s">
        <v>1207</v>
      </c>
      <c r="C5989" s="76" t="s">
        <v>1208</v>
      </c>
      <c r="D5989" s="75"/>
    </row>
    <row hidden="true" r="5990">
      <c r="A5990" s="76" t="s">
        <v>1344</v>
      </c>
      <c r="B5990" s="76" t="s">
        <v>1209</v>
      </c>
      <c r="C5990" s="76" t="s">
        <v>1210</v>
      </c>
      <c r="D5990" s="75"/>
    </row>
    <row hidden="true" r="5991">
      <c r="A5991" s="76" t="s">
        <v>1344</v>
      </c>
      <c r="B5991" s="76" t="s">
        <v>1211</v>
      </c>
      <c r="C5991" s="76"/>
      <c r="D5991" s="75"/>
    </row>
    <row hidden="true" r="5992">
      <c r="A5992" s="76" t="s">
        <v>1344</v>
      </c>
      <c r="B5992" s="76" t="s">
        <v>735</v>
      </c>
      <c r="C5992" s="76"/>
      <c r="D5992" s="75"/>
    </row>
    <row hidden="true" r="5993">
      <c r="A5993" s="76" t="s">
        <v>1350</v>
      </c>
      <c r="B5993" s="76" t="s">
        <v>407</v>
      </c>
      <c r="C5993" s="76" t="s">
        <v>1226</v>
      </c>
      <c r="D5993" s="75"/>
    </row>
    <row hidden="true" r="5994">
      <c r="A5994" s="76" t="s">
        <v>1350</v>
      </c>
      <c r="B5994" s="76" t="s">
        <v>744</v>
      </c>
      <c r="C5994" s="76" t="s">
        <v>745</v>
      </c>
      <c r="D5994" s="75"/>
    </row>
    <row hidden="true" r="5995">
      <c r="A5995" s="76" t="s">
        <v>1350</v>
      </c>
      <c r="B5995" s="76" t="s">
        <v>480</v>
      </c>
      <c r="C5995" s="76" t="s">
        <v>481</v>
      </c>
      <c r="D5995" s="75"/>
    </row>
    <row hidden="true" r="5996">
      <c r="A5996" s="76" t="s">
        <v>1350</v>
      </c>
      <c r="B5996" s="76" t="s">
        <v>884</v>
      </c>
      <c r="C5996" s="76" t="s">
        <v>1227</v>
      </c>
      <c r="D5996" s="75"/>
    </row>
    <row hidden="true" r="5997">
      <c r="A5997" s="76" t="s">
        <v>1350</v>
      </c>
      <c r="B5997" s="76" t="s">
        <v>886</v>
      </c>
      <c r="C5997" s="76" t="s">
        <v>1228</v>
      </c>
      <c r="D5997" s="75"/>
    </row>
    <row hidden="true" r="5998">
      <c r="A5998" s="76" t="s">
        <v>1350</v>
      </c>
      <c r="B5998" s="76" t="s">
        <v>888</v>
      </c>
      <c r="C5998" s="76" t="s">
        <v>889</v>
      </c>
      <c r="D5998" s="75"/>
    </row>
    <row hidden="true" r="5999">
      <c r="A5999" s="76" t="s">
        <v>1350</v>
      </c>
      <c r="B5999" s="76" t="s">
        <v>890</v>
      </c>
      <c r="C5999" s="76" t="s">
        <v>891</v>
      </c>
      <c r="D5999" s="75"/>
    </row>
    <row hidden="true" r="6000">
      <c r="A6000" s="76" t="s">
        <v>1350</v>
      </c>
      <c r="B6000" s="76" t="s">
        <v>892</v>
      </c>
      <c r="C6000" s="76" t="s">
        <v>893</v>
      </c>
      <c r="D6000" s="75"/>
    </row>
    <row hidden="true" r="6001">
      <c r="A6001" s="76" t="s">
        <v>1350</v>
      </c>
      <c r="B6001" s="76" t="s">
        <v>894</v>
      </c>
      <c r="C6001" s="76" t="s">
        <v>1217</v>
      </c>
      <c r="D6001" s="75"/>
    </row>
    <row hidden="true" r="6002">
      <c r="A6002" s="76" t="s">
        <v>1350</v>
      </c>
      <c r="B6002" s="76" t="s">
        <v>896</v>
      </c>
      <c r="C6002" s="76" t="s">
        <v>1229</v>
      </c>
      <c r="D6002" s="75"/>
    </row>
    <row hidden="true" r="6003">
      <c r="A6003" s="76" t="s">
        <v>1350</v>
      </c>
      <c r="B6003" s="76" t="s">
        <v>898</v>
      </c>
      <c r="C6003" s="76" t="s">
        <v>899</v>
      </c>
      <c r="D6003" s="75"/>
    </row>
    <row hidden="true" r="6004">
      <c r="A6004" s="76" t="s">
        <v>1350</v>
      </c>
      <c r="B6004" s="76" t="s">
        <v>900</v>
      </c>
      <c r="C6004" s="76" t="s">
        <v>1230</v>
      </c>
      <c r="D6004" s="75"/>
    </row>
    <row hidden="true" r="6005">
      <c r="A6005" s="76" t="s">
        <v>1350</v>
      </c>
      <c r="B6005" s="76" t="s">
        <v>902</v>
      </c>
      <c r="C6005" s="76" t="s">
        <v>903</v>
      </c>
      <c r="D6005" s="75"/>
    </row>
    <row hidden="true" r="6006">
      <c r="A6006" s="76" t="s">
        <v>1350</v>
      </c>
      <c r="B6006" s="76" t="s">
        <v>904</v>
      </c>
      <c r="C6006" s="76" t="s">
        <v>905</v>
      </c>
      <c r="D6006" s="75"/>
    </row>
    <row hidden="true" r="6007">
      <c r="A6007" s="76" t="s">
        <v>1350</v>
      </c>
      <c r="B6007" s="76" t="s">
        <v>906</v>
      </c>
      <c r="C6007" s="76" t="s">
        <v>1231</v>
      </c>
      <c r="D6007" s="75"/>
    </row>
    <row hidden="true" r="6008">
      <c r="A6008" s="76" t="s">
        <v>1350</v>
      </c>
      <c r="B6008" s="76" t="s">
        <v>908</v>
      </c>
      <c r="C6008" s="76" t="s">
        <v>909</v>
      </c>
      <c r="D6008" s="75"/>
    </row>
    <row hidden="true" r="6009">
      <c r="A6009" s="76" t="s">
        <v>1350</v>
      </c>
      <c r="B6009" s="76" t="s">
        <v>910</v>
      </c>
      <c r="C6009" s="76" t="s">
        <v>911</v>
      </c>
      <c r="D6009" s="75"/>
    </row>
    <row hidden="true" r="6010">
      <c r="A6010" s="76" t="s">
        <v>1350</v>
      </c>
      <c r="B6010" s="76" t="s">
        <v>912</v>
      </c>
      <c r="C6010" s="76" t="s">
        <v>913</v>
      </c>
      <c r="D6010" s="75"/>
    </row>
    <row hidden="true" r="6011">
      <c r="A6011" s="76" t="s">
        <v>1350</v>
      </c>
      <c r="B6011" s="76" t="s">
        <v>914</v>
      </c>
      <c r="C6011" s="76" t="s">
        <v>915</v>
      </c>
      <c r="D6011" s="75"/>
    </row>
    <row hidden="true" r="6012">
      <c r="A6012" s="76" t="s">
        <v>1350</v>
      </c>
      <c r="B6012" s="76" t="s">
        <v>916</v>
      </c>
      <c r="C6012" s="76" t="s">
        <v>917</v>
      </c>
      <c r="D6012" s="75"/>
    </row>
    <row hidden="true" r="6013">
      <c r="A6013" s="76" t="s">
        <v>1350</v>
      </c>
      <c r="B6013" s="76" t="s">
        <v>918</v>
      </c>
      <c r="C6013" s="76" t="s">
        <v>919</v>
      </c>
      <c r="D6013" s="75"/>
    </row>
    <row hidden="true" r="6014">
      <c r="A6014" s="76" t="s">
        <v>1350</v>
      </c>
      <c r="B6014" s="76" t="s">
        <v>920</v>
      </c>
      <c r="C6014" s="76" t="s">
        <v>921</v>
      </c>
      <c r="D6014" s="75"/>
    </row>
    <row hidden="true" r="6015">
      <c r="A6015" s="76" t="s">
        <v>1350</v>
      </c>
      <c r="B6015" s="76" t="s">
        <v>922</v>
      </c>
      <c r="C6015" s="76" t="s">
        <v>923</v>
      </c>
      <c r="D6015" s="75"/>
    </row>
    <row hidden="true" r="6016">
      <c r="A6016" s="76" t="s">
        <v>1350</v>
      </c>
      <c r="B6016" s="76" t="s">
        <v>924</v>
      </c>
      <c r="C6016" s="76" t="s">
        <v>925</v>
      </c>
      <c r="D6016" s="75"/>
    </row>
    <row hidden="true" r="6017">
      <c r="A6017" s="76" t="s">
        <v>1350</v>
      </c>
      <c r="B6017" s="76" t="s">
        <v>926</v>
      </c>
      <c r="C6017" s="76" t="s">
        <v>927</v>
      </c>
      <c r="D6017" s="75"/>
    </row>
    <row hidden="true" r="6018">
      <c r="A6018" s="76" t="s">
        <v>1350</v>
      </c>
      <c r="B6018" s="76" t="s">
        <v>928</v>
      </c>
      <c r="C6018" s="76" t="s">
        <v>929</v>
      </c>
      <c r="D6018" s="75"/>
    </row>
    <row hidden="true" r="6019">
      <c r="A6019" s="76" t="s">
        <v>1350</v>
      </c>
      <c r="B6019" s="76" t="s">
        <v>930</v>
      </c>
      <c r="C6019" s="76" t="s">
        <v>931</v>
      </c>
      <c r="D6019" s="75"/>
    </row>
    <row hidden="true" r="6020">
      <c r="A6020" s="76" t="s">
        <v>1350</v>
      </c>
      <c r="B6020" s="76" t="s">
        <v>932</v>
      </c>
      <c r="C6020" s="76" t="s">
        <v>933</v>
      </c>
      <c r="D6020" s="75"/>
    </row>
    <row hidden="true" r="6021">
      <c r="A6021" s="76" t="s">
        <v>1350</v>
      </c>
      <c r="B6021" s="76" t="s">
        <v>934</v>
      </c>
      <c r="C6021" s="76" t="s">
        <v>935</v>
      </c>
      <c r="D6021" s="75"/>
    </row>
    <row hidden="true" r="6022">
      <c r="A6022" s="76" t="s">
        <v>1350</v>
      </c>
      <c r="B6022" s="76" t="s">
        <v>936</v>
      </c>
      <c r="C6022" s="76" t="s">
        <v>937</v>
      </c>
      <c r="D6022" s="75"/>
    </row>
    <row hidden="true" r="6023">
      <c r="A6023" s="76" t="s">
        <v>1350</v>
      </c>
      <c r="B6023" s="76" t="s">
        <v>938</v>
      </c>
      <c r="C6023" s="76" t="s">
        <v>1220</v>
      </c>
      <c r="D6023" s="75"/>
    </row>
    <row hidden="true" r="6024">
      <c r="A6024" s="76" t="s">
        <v>1350</v>
      </c>
      <c r="B6024" s="76" t="s">
        <v>940</v>
      </c>
      <c r="C6024" s="76" t="s">
        <v>1232</v>
      </c>
      <c r="D6024" s="75"/>
    </row>
    <row hidden="true" r="6025">
      <c r="A6025" s="76" t="s">
        <v>1350</v>
      </c>
      <c r="B6025" s="76" t="s">
        <v>942</v>
      </c>
      <c r="C6025" s="76" t="s">
        <v>943</v>
      </c>
      <c r="D6025" s="75"/>
    </row>
    <row hidden="true" r="6026">
      <c r="A6026" s="76" t="s">
        <v>1350</v>
      </c>
      <c r="B6026" s="76" t="s">
        <v>944</v>
      </c>
      <c r="C6026" s="76" t="s">
        <v>945</v>
      </c>
      <c r="D6026" s="75"/>
    </row>
    <row hidden="true" r="6027">
      <c r="A6027" s="76" t="s">
        <v>1350</v>
      </c>
      <c r="B6027" s="76" t="s">
        <v>1305</v>
      </c>
      <c r="C6027" s="76" t="s">
        <v>1306</v>
      </c>
      <c r="D6027" s="75"/>
    </row>
    <row hidden="true" r="6028">
      <c r="A6028" s="76" t="s">
        <v>1350</v>
      </c>
      <c r="B6028" s="76" t="s">
        <v>1307</v>
      </c>
      <c r="C6028" s="76" t="s">
        <v>1308</v>
      </c>
      <c r="D6028" s="75"/>
    </row>
    <row hidden="true" r="6029">
      <c r="A6029" s="76" t="s">
        <v>1350</v>
      </c>
      <c r="B6029" s="76" t="s">
        <v>946</v>
      </c>
      <c r="C6029" s="76" t="s">
        <v>1233</v>
      </c>
      <c r="D6029" s="75"/>
    </row>
    <row hidden="true" r="6030">
      <c r="A6030" s="76" t="s">
        <v>1350</v>
      </c>
      <c r="B6030" s="76" t="s">
        <v>948</v>
      </c>
      <c r="C6030" s="76" t="s">
        <v>1222</v>
      </c>
      <c r="D6030" s="75"/>
    </row>
    <row hidden="true" r="6031">
      <c r="A6031" s="76" t="s">
        <v>1350</v>
      </c>
      <c r="B6031" s="76" t="s">
        <v>950</v>
      </c>
      <c r="C6031" s="76" t="s">
        <v>951</v>
      </c>
      <c r="D6031" s="75"/>
    </row>
    <row hidden="true" r="6032">
      <c r="A6032" s="76" t="s">
        <v>1350</v>
      </c>
      <c r="B6032" s="76" t="s">
        <v>952</v>
      </c>
      <c r="C6032" s="76" t="s">
        <v>953</v>
      </c>
      <c r="D6032" s="75"/>
    </row>
    <row hidden="true" r="6033">
      <c r="A6033" s="76" t="s">
        <v>1350</v>
      </c>
      <c r="B6033" s="76" t="s">
        <v>954</v>
      </c>
      <c r="C6033" s="76" t="s">
        <v>955</v>
      </c>
      <c r="D6033" s="75"/>
    </row>
    <row hidden="true" r="6034">
      <c r="A6034" s="76" t="s">
        <v>1350</v>
      </c>
      <c r="B6034" s="76" t="s">
        <v>775</v>
      </c>
      <c r="C6034" s="76" t="s">
        <v>1234</v>
      </c>
      <c r="D6034" s="75"/>
    </row>
    <row hidden="true" r="6035">
      <c r="A6035" s="76" t="s">
        <v>1350</v>
      </c>
      <c r="B6035" s="76" t="s">
        <v>956</v>
      </c>
      <c r="C6035" s="76" t="s">
        <v>957</v>
      </c>
      <c r="D6035" s="75"/>
    </row>
    <row hidden="true" r="6036">
      <c r="A6036" s="76" t="s">
        <v>1350</v>
      </c>
      <c r="B6036" s="76" t="s">
        <v>958</v>
      </c>
      <c r="C6036" s="76" t="s">
        <v>959</v>
      </c>
      <c r="D6036" s="75"/>
    </row>
    <row hidden="true" r="6037">
      <c r="A6037" s="76" t="s">
        <v>1350</v>
      </c>
      <c r="B6037" s="76" t="s">
        <v>960</v>
      </c>
      <c r="C6037" s="76" t="s">
        <v>961</v>
      </c>
      <c r="D6037" s="75"/>
    </row>
    <row hidden="true" r="6038">
      <c r="A6038" s="76" t="s">
        <v>1350</v>
      </c>
      <c r="B6038" s="76" t="s">
        <v>962</v>
      </c>
      <c r="C6038" s="76" t="s">
        <v>1235</v>
      </c>
      <c r="D6038" s="75"/>
    </row>
    <row hidden="true" r="6039">
      <c r="A6039" s="76" t="s">
        <v>1350</v>
      </c>
      <c r="B6039" s="76" t="s">
        <v>964</v>
      </c>
      <c r="C6039" s="76" t="s">
        <v>1236</v>
      </c>
      <c r="D6039" s="75"/>
    </row>
    <row hidden="true" r="6040">
      <c r="A6040" s="76" t="s">
        <v>1350</v>
      </c>
      <c r="B6040" s="76" t="s">
        <v>966</v>
      </c>
      <c r="C6040" s="76" t="s">
        <v>967</v>
      </c>
      <c r="D6040" s="75"/>
    </row>
    <row hidden="true" r="6041">
      <c r="A6041" s="76" t="s">
        <v>1350</v>
      </c>
      <c r="B6041" s="76" t="s">
        <v>968</v>
      </c>
      <c r="C6041" s="76" t="s">
        <v>969</v>
      </c>
      <c r="D6041" s="75"/>
    </row>
    <row hidden="true" r="6042">
      <c r="A6042" s="76" t="s">
        <v>1350</v>
      </c>
      <c r="B6042" s="76" t="s">
        <v>970</v>
      </c>
      <c r="C6042" s="76" t="s">
        <v>971</v>
      </c>
      <c r="D6042" s="75"/>
    </row>
    <row hidden="true" r="6043">
      <c r="A6043" s="76" t="s">
        <v>1350</v>
      </c>
      <c r="B6043" s="76" t="s">
        <v>972</v>
      </c>
      <c r="C6043" s="76" t="s">
        <v>1237</v>
      </c>
      <c r="D6043" s="75"/>
    </row>
    <row hidden="true" r="6044">
      <c r="A6044" s="76" t="s">
        <v>1350</v>
      </c>
      <c r="B6044" s="76" t="s">
        <v>974</v>
      </c>
      <c r="C6044" s="76" t="s">
        <v>975</v>
      </c>
      <c r="D6044" s="75"/>
    </row>
    <row hidden="true" r="6045">
      <c r="A6045" s="76" t="s">
        <v>1350</v>
      </c>
      <c r="B6045" s="76" t="s">
        <v>976</v>
      </c>
      <c r="C6045" s="76" t="s">
        <v>977</v>
      </c>
      <c r="D6045" s="75"/>
    </row>
    <row hidden="true" r="6046">
      <c r="A6046" s="76" t="s">
        <v>1350</v>
      </c>
      <c r="B6046" s="76" t="s">
        <v>823</v>
      </c>
      <c r="C6046" s="76" t="s">
        <v>824</v>
      </c>
      <c r="D6046" s="75"/>
    </row>
    <row hidden="true" r="6047">
      <c r="A6047" s="76" t="s">
        <v>1350</v>
      </c>
      <c r="B6047" s="76" t="s">
        <v>978</v>
      </c>
      <c r="C6047" s="76" t="s">
        <v>1238</v>
      </c>
      <c r="D6047" s="75"/>
    </row>
    <row hidden="true" r="6048">
      <c r="A6048" s="76" t="s">
        <v>1350</v>
      </c>
      <c r="B6048" s="76" t="s">
        <v>980</v>
      </c>
      <c r="C6048" s="76" t="s">
        <v>981</v>
      </c>
      <c r="D6048" s="75"/>
    </row>
    <row hidden="true" r="6049">
      <c r="A6049" s="76" t="s">
        <v>1350</v>
      </c>
      <c r="B6049" s="76" t="s">
        <v>982</v>
      </c>
      <c r="C6049" s="76" t="s">
        <v>983</v>
      </c>
      <c r="D6049" s="75"/>
    </row>
    <row hidden="true" r="6050">
      <c r="A6050" s="76" t="s">
        <v>1350</v>
      </c>
      <c r="B6050" s="76" t="s">
        <v>984</v>
      </c>
      <c r="C6050" s="76" t="s">
        <v>985</v>
      </c>
      <c r="D6050" s="75"/>
    </row>
    <row hidden="true" r="6051">
      <c r="A6051" s="76" t="s">
        <v>1350</v>
      </c>
      <c r="B6051" s="76" t="s">
        <v>1309</v>
      </c>
      <c r="C6051" s="76" t="s">
        <v>1310</v>
      </c>
      <c r="D6051" s="75"/>
    </row>
    <row hidden="true" r="6052">
      <c r="A6052" s="76" t="s">
        <v>1350</v>
      </c>
      <c r="B6052" s="76" t="s">
        <v>1311</v>
      </c>
      <c r="C6052" s="76" t="s">
        <v>1312</v>
      </c>
      <c r="D6052" s="75"/>
    </row>
    <row hidden="true" r="6053">
      <c r="A6053" s="76" t="s">
        <v>1350</v>
      </c>
      <c r="B6053" s="76" t="s">
        <v>1099</v>
      </c>
      <c r="C6053" s="76" t="s">
        <v>1242</v>
      </c>
      <c r="D6053" s="75"/>
    </row>
    <row hidden="true" r="6054">
      <c r="A6054" s="76" t="s">
        <v>1350</v>
      </c>
      <c r="B6054" s="76" t="s">
        <v>1101</v>
      </c>
      <c r="C6054" s="76" t="s">
        <v>1102</v>
      </c>
      <c r="D6054" s="75"/>
    </row>
    <row hidden="true" r="6055">
      <c r="A6055" s="76" t="s">
        <v>1350</v>
      </c>
      <c r="B6055" s="76" t="s">
        <v>1313</v>
      </c>
      <c r="C6055" s="76" t="s">
        <v>1351</v>
      </c>
      <c r="D6055" s="75"/>
    </row>
    <row hidden="true" r="6056">
      <c r="A6056" s="76" t="s">
        <v>1350</v>
      </c>
      <c r="B6056" s="76" t="s">
        <v>996</v>
      </c>
      <c r="C6056" s="76" t="s">
        <v>997</v>
      </c>
      <c r="D6056" s="75"/>
    </row>
    <row hidden="true" r="6057">
      <c r="A6057" s="76" t="s">
        <v>1350</v>
      </c>
      <c r="B6057" s="76" t="s">
        <v>998</v>
      </c>
      <c r="C6057" s="76" t="s">
        <v>1239</v>
      </c>
      <c r="D6057" s="75"/>
    </row>
    <row hidden="true" r="6058">
      <c r="A6058" s="76" t="s">
        <v>1350</v>
      </c>
      <c r="B6058" s="76" t="s">
        <v>1000</v>
      </c>
      <c r="C6058" s="76" t="s">
        <v>1001</v>
      </c>
      <c r="D6058" s="75"/>
    </row>
    <row hidden="true" r="6059">
      <c r="A6059" s="76" t="s">
        <v>1350</v>
      </c>
      <c r="B6059" s="76" t="s">
        <v>1002</v>
      </c>
      <c r="C6059" s="76" t="s">
        <v>1003</v>
      </c>
      <c r="D6059" s="75"/>
    </row>
    <row hidden="true" r="6060">
      <c r="A6060" s="76" t="s">
        <v>1350</v>
      </c>
      <c r="B6060" s="76" t="s">
        <v>1004</v>
      </c>
      <c r="C6060" s="76" t="s">
        <v>1005</v>
      </c>
      <c r="D6060" s="75"/>
    </row>
    <row hidden="true" r="6061">
      <c r="A6061" s="76" t="s">
        <v>1350</v>
      </c>
      <c r="B6061" s="76" t="s">
        <v>1006</v>
      </c>
      <c r="C6061" s="76" t="s">
        <v>1007</v>
      </c>
      <c r="D6061" s="75"/>
    </row>
    <row hidden="true" r="6062">
      <c r="A6062" s="76" t="s">
        <v>1350</v>
      </c>
      <c r="B6062" s="76" t="s">
        <v>1008</v>
      </c>
      <c r="C6062" s="76" t="s">
        <v>1009</v>
      </c>
      <c r="D6062" s="75"/>
    </row>
    <row hidden="true" r="6063">
      <c r="A6063" s="76" t="s">
        <v>1350</v>
      </c>
      <c r="B6063" s="76" t="s">
        <v>1010</v>
      </c>
      <c r="C6063" s="76" t="s">
        <v>1011</v>
      </c>
      <c r="D6063" s="75"/>
    </row>
    <row hidden="true" r="6064">
      <c r="A6064" s="76" t="s">
        <v>1350</v>
      </c>
      <c r="B6064" s="76" t="s">
        <v>1315</v>
      </c>
      <c r="C6064" s="76" t="s">
        <v>1352</v>
      </c>
      <c r="D6064" s="75"/>
    </row>
    <row hidden="true" r="6065">
      <c r="A6065" s="76" t="s">
        <v>1350</v>
      </c>
      <c r="B6065" s="76" t="s">
        <v>1014</v>
      </c>
      <c r="C6065" s="76" t="s">
        <v>1015</v>
      </c>
      <c r="D6065" s="75"/>
    </row>
    <row hidden="true" r="6066">
      <c r="A6066" s="76" t="s">
        <v>1350</v>
      </c>
      <c r="B6066" s="76" t="s">
        <v>1016</v>
      </c>
      <c r="C6066" s="76" t="s">
        <v>1017</v>
      </c>
      <c r="D6066" s="75"/>
    </row>
    <row hidden="true" r="6067">
      <c r="A6067" s="76" t="s">
        <v>1350</v>
      </c>
      <c r="B6067" s="76" t="s">
        <v>1018</v>
      </c>
      <c r="C6067" s="76" t="s">
        <v>1019</v>
      </c>
      <c r="D6067" s="75"/>
    </row>
    <row hidden="true" r="6068">
      <c r="A6068" s="76" t="s">
        <v>1350</v>
      </c>
      <c r="B6068" s="76" t="s">
        <v>1020</v>
      </c>
      <c r="C6068" s="76" t="s">
        <v>1021</v>
      </c>
      <c r="D6068" s="75"/>
    </row>
    <row hidden="true" r="6069">
      <c r="A6069" s="76" t="s">
        <v>1350</v>
      </c>
      <c r="B6069" s="76" t="s">
        <v>1022</v>
      </c>
      <c r="C6069" s="76" t="s">
        <v>1017</v>
      </c>
      <c r="D6069" s="75"/>
    </row>
    <row hidden="true" r="6070">
      <c r="A6070" s="76" t="s">
        <v>1350</v>
      </c>
      <c r="B6070" s="76" t="s">
        <v>1023</v>
      </c>
      <c r="C6070" s="76" t="s">
        <v>1019</v>
      </c>
      <c r="D6070" s="75"/>
    </row>
    <row hidden="true" r="6071">
      <c r="A6071" s="76" t="s">
        <v>1350</v>
      </c>
      <c r="B6071" s="76" t="s">
        <v>1024</v>
      </c>
      <c r="C6071" s="76" t="s">
        <v>1021</v>
      </c>
      <c r="D6071" s="75"/>
    </row>
    <row hidden="true" r="6072">
      <c r="A6072" s="76" t="s">
        <v>1350</v>
      </c>
      <c r="B6072" s="76" t="s">
        <v>1025</v>
      </c>
      <c r="C6072" s="76" t="s">
        <v>1017</v>
      </c>
      <c r="D6072" s="75"/>
    </row>
    <row hidden="true" r="6073">
      <c r="A6073" s="76" t="s">
        <v>1350</v>
      </c>
      <c r="B6073" s="76" t="s">
        <v>1026</v>
      </c>
      <c r="C6073" s="76" t="s">
        <v>1019</v>
      </c>
      <c r="D6073" s="75"/>
    </row>
    <row hidden="true" r="6074">
      <c r="A6074" s="76" t="s">
        <v>1350</v>
      </c>
      <c r="B6074" s="76" t="s">
        <v>1027</v>
      </c>
      <c r="C6074" s="76" t="s">
        <v>1021</v>
      </c>
      <c r="D6074" s="75"/>
    </row>
    <row hidden="true" r="6075">
      <c r="A6075" s="76" t="s">
        <v>1350</v>
      </c>
      <c r="B6075" s="76" t="s">
        <v>1133</v>
      </c>
      <c r="C6075" s="76" t="s">
        <v>1134</v>
      </c>
      <c r="D6075" s="75"/>
    </row>
    <row hidden="true" r="6076">
      <c r="A6076" s="76" t="s">
        <v>1350</v>
      </c>
      <c r="B6076" s="76" t="s">
        <v>1317</v>
      </c>
      <c r="C6076" s="76" t="s">
        <v>1318</v>
      </c>
      <c r="D6076" s="75"/>
    </row>
    <row hidden="true" r="6077">
      <c r="A6077" s="76" t="s">
        <v>1350</v>
      </c>
      <c r="B6077" s="76" t="s">
        <v>1319</v>
      </c>
      <c r="C6077" s="76" t="s">
        <v>1320</v>
      </c>
      <c r="D6077" s="75"/>
    </row>
    <row hidden="true" r="6078">
      <c r="A6078" s="76" t="s">
        <v>1350</v>
      </c>
      <c r="B6078" s="76" t="s">
        <v>1028</v>
      </c>
      <c r="C6078" s="76" t="s">
        <v>1029</v>
      </c>
      <c r="D6078" s="75"/>
    </row>
    <row hidden="true" r="6079">
      <c r="A6079" s="76" t="s">
        <v>1350</v>
      </c>
      <c r="B6079" s="76" t="s">
        <v>988</v>
      </c>
      <c r="C6079" s="76" t="s">
        <v>989</v>
      </c>
      <c r="D6079" s="75"/>
    </row>
    <row hidden="true" r="6080">
      <c r="A6080" s="76" t="s">
        <v>1350</v>
      </c>
      <c r="B6080" s="76" t="s">
        <v>990</v>
      </c>
      <c r="C6080" s="76" t="s">
        <v>991</v>
      </c>
      <c r="D6080" s="75"/>
    </row>
    <row hidden="true" r="6081">
      <c r="A6081" s="76" t="s">
        <v>1350</v>
      </c>
      <c r="B6081" s="76" t="s">
        <v>992</v>
      </c>
      <c r="C6081" s="76" t="s">
        <v>993</v>
      </c>
      <c r="D6081" s="75"/>
    </row>
    <row hidden="true" r="6082">
      <c r="A6082" s="76" t="s">
        <v>1350</v>
      </c>
      <c r="B6082" s="76" t="s">
        <v>530</v>
      </c>
      <c r="C6082" s="76" t="s">
        <v>1240</v>
      </c>
      <c r="D6082" s="75"/>
    </row>
    <row hidden="true" r="6083">
      <c r="A6083" s="76" t="s">
        <v>1350</v>
      </c>
      <c r="B6083" s="76" t="s">
        <v>1032</v>
      </c>
      <c r="C6083" s="76" t="s">
        <v>1033</v>
      </c>
      <c r="D6083" s="75"/>
    </row>
    <row hidden="true" r="6084">
      <c r="A6084" s="76" t="s">
        <v>1350</v>
      </c>
      <c r="B6084" s="76" t="s">
        <v>532</v>
      </c>
      <c r="C6084" s="76" t="s">
        <v>533</v>
      </c>
      <c r="D6084" s="75"/>
    </row>
    <row hidden="true" r="6085">
      <c r="A6085" s="76" t="s">
        <v>1350</v>
      </c>
      <c r="B6085" s="76" t="s">
        <v>1036</v>
      </c>
      <c r="C6085" s="76" t="s">
        <v>1037</v>
      </c>
      <c r="D6085" s="75"/>
    </row>
    <row hidden="true" r="6086">
      <c r="A6086" s="76" t="s">
        <v>1350</v>
      </c>
      <c r="B6086" s="76" t="s">
        <v>1038</v>
      </c>
      <c r="C6086" s="76" t="s">
        <v>1039</v>
      </c>
      <c r="D6086" s="75"/>
    </row>
    <row hidden="true" r="6087">
      <c r="A6087" s="76" t="s">
        <v>1350</v>
      </c>
      <c r="B6087" s="76" t="s">
        <v>1321</v>
      </c>
      <c r="C6087" s="76" t="s">
        <v>1322</v>
      </c>
      <c r="D6087" s="75"/>
    </row>
    <row hidden="true" r="6088">
      <c r="A6088" s="76" t="s">
        <v>1350</v>
      </c>
      <c r="B6088" s="76" t="s">
        <v>1323</v>
      </c>
      <c r="C6088" s="76" t="s">
        <v>1324</v>
      </c>
      <c r="D6088" s="75"/>
    </row>
    <row hidden="true" r="6089">
      <c r="A6089" s="76" t="s">
        <v>1350</v>
      </c>
      <c r="B6089" s="76" t="s">
        <v>1012</v>
      </c>
      <c r="C6089" s="76" t="s">
        <v>1013</v>
      </c>
      <c r="D6089" s="75"/>
    </row>
    <row hidden="true" r="6090">
      <c r="A6090" s="76" t="s">
        <v>1350</v>
      </c>
      <c r="B6090" s="76" t="s">
        <v>1052</v>
      </c>
      <c r="C6090" s="76" t="s">
        <v>1053</v>
      </c>
      <c r="D6090" s="75"/>
    </row>
    <row hidden="true" r="6091">
      <c r="A6091" s="76" t="s">
        <v>1350</v>
      </c>
      <c r="B6091" s="76" t="s">
        <v>1054</v>
      </c>
      <c r="C6091" s="76" t="s">
        <v>1055</v>
      </c>
      <c r="D6091" s="75"/>
    </row>
    <row hidden="true" r="6092">
      <c r="A6092" s="76" t="s">
        <v>1350</v>
      </c>
      <c r="B6092" s="76" t="s">
        <v>1056</v>
      </c>
      <c r="C6092" s="76" t="s">
        <v>1057</v>
      </c>
      <c r="D6092" s="75"/>
    </row>
    <row hidden="true" r="6093">
      <c r="A6093" s="76" t="s">
        <v>1350</v>
      </c>
      <c r="B6093" s="76" t="s">
        <v>1058</v>
      </c>
      <c r="C6093" s="76" t="s">
        <v>1059</v>
      </c>
      <c r="D6093" s="75"/>
    </row>
    <row hidden="true" r="6094">
      <c r="A6094" s="76" t="s">
        <v>1350</v>
      </c>
      <c r="B6094" s="76" t="s">
        <v>1060</v>
      </c>
      <c r="C6094" s="76" t="s">
        <v>1061</v>
      </c>
      <c r="D6094" s="75"/>
    </row>
    <row hidden="true" r="6095">
      <c r="A6095" s="76" t="s">
        <v>1350</v>
      </c>
      <c r="B6095" s="76" t="s">
        <v>1062</v>
      </c>
      <c r="C6095" s="76" t="s">
        <v>1063</v>
      </c>
      <c r="D6095" s="75"/>
    </row>
    <row hidden="true" r="6096">
      <c r="A6096" s="76" t="s">
        <v>1350</v>
      </c>
      <c r="B6096" s="76" t="s">
        <v>1064</v>
      </c>
      <c r="C6096" s="76" t="s">
        <v>1065</v>
      </c>
      <c r="D6096" s="75"/>
    </row>
    <row hidden="true" r="6097">
      <c r="A6097" s="76" t="s">
        <v>1350</v>
      </c>
      <c r="B6097" s="76" t="s">
        <v>1066</v>
      </c>
      <c r="C6097" s="76" t="s">
        <v>1067</v>
      </c>
      <c r="D6097" s="75"/>
    </row>
    <row hidden="true" r="6098">
      <c r="A6098" s="76" t="s">
        <v>1350</v>
      </c>
      <c r="B6098" s="76" t="s">
        <v>1068</v>
      </c>
      <c r="C6098" s="76" t="s">
        <v>1069</v>
      </c>
      <c r="D6098" s="75"/>
    </row>
    <row hidden="true" r="6099">
      <c r="A6099" s="76" t="s">
        <v>1350</v>
      </c>
      <c r="B6099" s="76" t="s">
        <v>1070</v>
      </c>
      <c r="C6099" s="76" t="s">
        <v>1069</v>
      </c>
      <c r="D6099" s="75"/>
    </row>
    <row hidden="true" r="6100">
      <c r="A6100" s="76" t="s">
        <v>1350</v>
      </c>
      <c r="B6100" s="76" t="s">
        <v>1071</v>
      </c>
      <c r="C6100" s="76" t="s">
        <v>1069</v>
      </c>
      <c r="D6100" s="75"/>
    </row>
    <row hidden="true" r="6101">
      <c r="A6101" s="76" t="s">
        <v>1350</v>
      </c>
      <c r="B6101" s="76" t="s">
        <v>1072</v>
      </c>
      <c r="C6101" s="76" t="s">
        <v>1073</v>
      </c>
      <c r="D6101" s="75"/>
    </row>
    <row hidden="true" r="6102">
      <c r="A6102" s="76" t="s">
        <v>1350</v>
      </c>
      <c r="B6102" s="76" t="s">
        <v>1074</v>
      </c>
      <c r="C6102" s="76" t="s">
        <v>1073</v>
      </c>
      <c r="D6102" s="75"/>
    </row>
    <row hidden="true" r="6103">
      <c r="A6103" s="76" t="s">
        <v>1350</v>
      </c>
      <c r="B6103" s="76" t="s">
        <v>1075</v>
      </c>
      <c r="C6103" s="76" t="s">
        <v>1073</v>
      </c>
      <c r="D6103" s="75"/>
    </row>
    <row hidden="true" r="6104">
      <c r="A6104" s="76" t="s">
        <v>1350</v>
      </c>
      <c r="B6104" s="76" t="s">
        <v>1082</v>
      </c>
      <c r="C6104" s="76" t="s">
        <v>1083</v>
      </c>
      <c r="D6104" s="75"/>
    </row>
    <row hidden="true" r="6105">
      <c r="A6105" s="76" t="s">
        <v>1350</v>
      </c>
      <c r="B6105" s="76" t="s">
        <v>1084</v>
      </c>
      <c r="C6105" s="76" t="s">
        <v>1085</v>
      </c>
      <c r="D6105" s="75"/>
    </row>
    <row hidden="true" r="6106">
      <c r="A6106" s="76" t="s">
        <v>1350</v>
      </c>
      <c r="B6106" s="76" t="s">
        <v>1086</v>
      </c>
      <c r="C6106" s="76" t="s">
        <v>1087</v>
      </c>
      <c r="D6106" s="75"/>
    </row>
    <row hidden="true" r="6107">
      <c r="A6107" s="76" t="s">
        <v>1350</v>
      </c>
      <c r="B6107" s="76" t="s">
        <v>1088</v>
      </c>
      <c r="C6107" s="76" t="s">
        <v>1089</v>
      </c>
      <c r="D6107" s="75"/>
    </row>
    <row hidden="true" r="6108">
      <c r="A6108" s="76" t="s">
        <v>1350</v>
      </c>
      <c r="B6108" s="76" t="s">
        <v>1076</v>
      </c>
      <c r="C6108" s="76" t="s">
        <v>1077</v>
      </c>
      <c r="D6108" s="75"/>
    </row>
    <row hidden="true" r="6109">
      <c r="A6109" s="76" t="s">
        <v>1350</v>
      </c>
      <c r="B6109" s="76" t="s">
        <v>1078</v>
      </c>
      <c r="C6109" s="76" t="s">
        <v>1079</v>
      </c>
      <c r="D6109" s="75"/>
    </row>
    <row hidden="true" r="6110">
      <c r="A6110" s="76" t="s">
        <v>1350</v>
      </c>
      <c r="B6110" s="76" t="s">
        <v>1040</v>
      </c>
      <c r="C6110" s="76" t="s">
        <v>1041</v>
      </c>
      <c r="D6110" s="75"/>
    </row>
    <row hidden="true" r="6111">
      <c r="A6111" s="76" t="s">
        <v>1350</v>
      </c>
      <c r="B6111" s="76" t="s">
        <v>839</v>
      </c>
      <c r="C6111" s="76" t="s">
        <v>840</v>
      </c>
      <c r="D6111" s="75"/>
    </row>
    <row hidden="true" r="6112">
      <c r="A6112" s="76" t="s">
        <v>1350</v>
      </c>
      <c r="B6112" s="76" t="s">
        <v>1121</v>
      </c>
      <c r="C6112" s="76" t="s">
        <v>1122</v>
      </c>
      <c r="D6112" s="75"/>
    </row>
    <row hidden="true" r="6113">
      <c r="A6113" s="76" t="s">
        <v>1350</v>
      </c>
      <c r="B6113" s="76" t="s">
        <v>1325</v>
      </c>
      <c r="C6113" s="76" t="s">
        <v>1326</v>
      </c>
      <c r="D6113" s="75"/>
    </row>
    <row hidden="true" r="6114">
      <c r="A6114" s="76" t="s">
        <v>1350</v>
      </c>
      <c r="B6114" s="76" t="s">
        <v>1080</v>
      </c>
      <c r="C6114" s="76" t="s">
        <v>1081</v>
      </c>
      <c r="D6114" s="75"/>
    </row>
    <row hidden="true" r="6115">
      <c r="A6115" s="76" t="s">
        <v>1350</v>
      </c>
      <c r="B6115" s="76" t="s">
        <v>1327</v>
      </c>
      <c r="C6115" s="76" t="s">
        <v>1328</v>
      </c>
      <c r="D6115" s="75"/>
    </row>
    <row hidden="true" r="6116">
      <c r="A6116" s="76" t="s">
        <v>1350</v>
      </c>
      <c r="B6116" s="76" t="s">
        <v>1090</v>
      </c>
      <c r="C6116" s="76" t="s">
        <v>1091</v>
      </c>
      <c r="D6116" s="75"/>
    </row>
    <row hidden="true" r="6117">
      <c r="A6117" s="76" t="s">
        <v>1350</v>
      </c>
      <c r="B6117" s="76" t="s">
        <v>1092</v>
      </c>
      <c r="C6117" s="76" t="s">
        <v>1091</v>
      </c>
      <c r="D6117" s="75"/>
    </row>
    <row hidden="true" r="6118">
      <c r="A6118" s="76" t="s">
        <v>1350</v>
      </c>
      <c r="B6118" s="76" t="s">
        <v>1093</v>
      </c>
      <c r="C6118" s="76" t="s">
        <v>1094</v>
      </c>
      <c r="D6118" s="75"/>
    </row>
    <row hidden="true" r="6119">
      <c r="A6119" s="76" t="s">
        <v>1350</v>
      </c>
      <c r="B6119" s="76" t="s">
        <v>1095</v>
      </c>
      <c r="C6119" s="76" t="s">
        <v>1096</v>
      </c>
      <c r="D6119" s="75"/>
    </row>
    <row hidden="true" r="6120">
      <c r="A6120" s="76" t="s">
        <v>1350</v>
      </c>
      <c r="B6120" s="76" t="s">
        <v>1097</v>
      </c>
      <c r="C6120" s="76" t="s">
        <v>1098</v>
      </c>
      <c r="D6120" s="75"/>
    </row>
    <row hidden="true" r="6121">
      <c r="A6121" s="76" t="s">
        <v>1350</v>
      </c>
      <c r="B6121" s="76" t="s">
        <v>1103</v>
      </c>
      <c r="C6121" s="76" t="s">
        <v>1104</v>
      </c>
      <c r="D6121" s="75"/>
    </row>
    <row hidden="true" r="6122">
      <c r="A6122" s="76" t="s">
        <v>1350</v>
      </c>
      <c r="B6122" s="76" t="s">
        <v>1329</v>
      </c>
      <c r="C6122" s="76" t="s">
        <v>1353</v>
      </c>
      <c r="D6122" s="75"/>
    </row>
    <row hidden="true" r="6123">
      <c r="A6123" s="76" t="s">
        <v>1350</v>
      </c>
      <c r="B6123" s="76" t="s">
        <v>1113</v>
      </c>
      <c r="C6123" s="76" t="s">
        <v>1114</v>
      </c>
      <c r="D6123" s="75"/>
    </row>
    <row hidden="true" r="6124">
      <c r="A6124" s="76" t="s">
        <v>1350</v>
      </c>
      <c r="B6124" s="76" t="s">
        <v>1115</v>
      </c>
      <c r="C6124" s="76" t="s">
        <v>1116</v>
      </c>
      <c r="D6124" s="75"/>
    </row>
    <row hidden="true" r="6125">
      <c r="A6125" s="76" t="s">
        <v>1350</v>
      </c>
      <c r="B6125" s="76" t="s">
        <v>1117</v>
      </c>
      <c r="C6125" s="76" t="s">
        <v>1244</v>
      </c>
      <c r="D6125" s="75"/>
    </row>
    <row hidden="true" r="6126">
      <c r="A6126" s="76" t="s">
        <v>1350</v>
      </c>
      <c r="B6126" s="76" t="s">
        <v>1119</v>
      </c>
      <c r="C6126" s="76" t="s">
        <v>1120</v>
      </c>
      <c r="D6126" s="75"/>
    </row>
    <row hidden="true" r="6127">
      <c r="A6127" s="76" t="s">
        <v>1350</v>
      </c>
      <c r="B6127" s="76" t="s">
        <v>1127</v>
      </c>
      <c r="C6127" s="76" t="s">
        <v>1128</v>
      </c>
      <c r="D6127" s="75"/>
    </row>
    <row hidden="true" r="6128">
      <c r="A6128" s="76" t="s">
        <v>1350</v>
      </c>
      <c r="B6128" s="76" t="s">
        <v>1129</v>
      </c>
      <c r="C6128" s="76" t="s">
        <v>1130</v>
      </c>
      <c r="D6128" s="75"/>
    </row>
    <row hidden="true" r="6129">
      <c r="A6129" s="76" t="s">
        <v>1350</v>
      </c>
      <c r="B6129" s="76" t="s">
        <v>1131</v>
      </c>
      <c r="C6129" s="76" t="s">
        <v>1132</v>
      </c>
      <c r="D6129" s="75"/>
    </row>
    <row hidden="true" r="6130">
      <c r="A6130" s="76" t="s">
        <v>1350</v>
      </c>
      <c r="B6130" s="76" t="s">
        <v>1137</v>
      </c>
      <c r="C6130" s="76" t="s">
        <v>1138</v>
      </c>
      <c r="D6130" s="75"/>
    </row>
    <row hidden="true" r="6131">
      <c r="A6131" s="76" t="s">
        <v>1350</v>
      </c>
      <c r="B6131" s="76" t="s">
        <v>1139</v>
      </c>
      <c r="C6131" s="76" t="s">
        <v>1140</v>
      </c>
      <c r="D6131" s="75"/>
    </row>
    <row hidden="true" r="6132">
      <c r="A6132" s="76" t="s">
        <v>1350</v>
      </c>
      <c r="B6132" s="76" t="s">
        <v>1141</v>
      </c>
      <c r="C6132" s="76" t="s">
        <v>1142</v>
      </c>
      <c r="D6132" s="75"/>
    </row>
    <row hidden="true" r="6133">
      <c r="A6133" s="76" t="s">
        <v>1350</v>
      </c>
      <c r="B6133" s="76" t="s">
        <v>1143</v>
      </c>
      <c r="C6133" s="76" t="s">
        <v>1144</v>
      </c>
      <c r="D6133" s="75"/>
    </row>
    <row hidden="true" r="6134">
      <c r="A6134" s="76" t="s">
        <v>1350</v>
      </c>
      <c r="B6134" s="76" t="s">
        <v>1145</v>
      </c>
      <c r="C6134" s="76" t="s">
        <v>1223</v>
      </c>
      <c r="D6134" s="75"/>
    </row>
    <row hidden="true" r="6135">
      <c r="A6135" s="76" t="s">
        <v>1350</v>
      </c>
      <c r="B6135" s="76" t="s">
        <v>1147</v>
      </c>
      <c r="C6135" s="76" t="s">
        <v>1148</v>
      </c>
      <c r="D6135" s="75"/>
    </row>
    <row hidden="true" r="6136">
      <c r="A6136" s="76" t="s">
        <v>1350</v>
      </c>
      <c r="B6136" s="76" t="s">
        <v>1153</v>
      </c>
      <c r="C6136" s="76" t="s">
        <v>1154</v>
      </c>
      <c r="D6136" s="75"/>
    </row>
    <row hidden="true" r="6137">
      <c r="A6137" s="76" t="s">
        <v>1350</v>
      </c>
      <c r="B6137" s="76" t="s">
        <v>1155</v>
      </c>
      <c r="C6137" s="76" t="s">
        <v>1156</v>
      </c>
      <c r="D6137" s="75"/>
    </row>
    <row hidden="true" r="6138">
      <c r="A6138" s="76" t="s">
        <v>1350</v>
      </c>
      <c r="B6138" s="76" t="s">
        <v>1157</v>
      </c>
      <c r="C6138" s="76" t="s">
        <v>1158</v>
      </c>
      <c r="D6138" s="75"/>
    </row>
    <row hidden="true" r="6139">
      <c r="A6139" s="76" t="s">
        <v>1350</v>
      </c>
      <c r="B6139" s="76" t="s">
        <v>1159</v>
      </c>
      <c r="C6139" s="76" t="s">
        <v>1160</v>
      </c>
      <c r="D6139" s="75"/>
    </row>
    <row hidden="true" r="6140">
      <c r="A6140" s="76" t="s">
        <v>1350</v>
      </c>
      <c r="B6140" s="76" t="s">
        <v>1161</v>
      </c>
      <c r="C6140" s="76" t="s">
        <v>1162</v>
      </c>
      <c r="D6140" s="75"/>
    </row>
    <row hidden="true" r="6141">
      <c r="A6141" s="76" t="s">
        <v>1350</v>
      </c>
      <c r="B6141" s="76" t="s">
        <v>1163</v>
      </c>
      <c r="C6141" s="76" t="s">
        <v>1164</v>
      </c>
      <c r="D6141" s="75"/>
    </row>
    <row hidden="true" r="6142">
      <c r="A6142" s="76" t="s">
        <v>1350</v>
      </c>
      <c r="B6142" s="76" t="s">
        <v>1165</v>
      </c>
      <c r="C6142" s="76" t="s">
        <v>1166</v>
      </c>
      <c r="D6142" s="75"/>
    </row>
    <row hidden="true" r="6143">
      <c r="A6143" s="76" t="s">
        <v>1350</v>
      </c>
      <c r="B6143" s="76" t="s">
        <v>1331</v>
      </c>
      <c r="C6143" s="76" t="s">
        <v>1345</v>
      </c>
      <c r="D6143" s="75"/>
    </row>
    <row hidden="true" r="6144">
      <c r="A6144" s="76" t="s">
        <v>1350</v>
      </c>
      <c r="B6144" s="76" t="s">
        <v>1333</v>
      </c>
      <c r="C6144" s="76" t="s">
        <v>1346</v>
      </c>
      <c r="D6144" s="75"/>
    </row>
    <row hidden="true" r="6145">
      <c r="A6145" s="76" t="s">
        <v>1350</v>
      </c>
      <c r="B6145" s="76" t="s">
        <v>1335</v>
      </c>
      <c r="C6145" s="76" t="s">
        <v>1347</v>
      </c>
      <c r="D6145" s="75"/>
    </row>
    <row hidden="true" r="6146">
      <c r="A6146" s="76" t="s">
        <v>1350</v>
      </c>
      <c r="B6146" s="76" t="s">
        <v>1337</v>
      </c>
      <c r="C6146" s="76" t="s">
        <v>1348</v>
      </c>
      <c r="D6146" s="75"/>
    </row>
    <row hidden="true" r="6147">
      <c r="A6147" s="76" t="s">
        <v>1350</v>
      </c>
      <c r="B6147" s="76" t="s">
        <v>1339</v>
      </c>
      <c r="C6147" s="76" t="s">
        <v>1349</v>
      </c>
      <c r="D6147" s="75"/>
    </row>
    <row hidden="true" r="6148">
      <c r="A6148" s="76" t="s">
        <v>1350</v>
      </c>
      <c r="B6148" s="76" t="s">
        <v>1341</v>
      </c>
      <c r="C6148" s="76" t="s">
        <v>1342</v>
      </c>
      <c r="D6148" s="75"/>
    </row>
    <row hidden="true" r="6149">
      <c r="A6149" s="76" t="s">
        <v>1350</v>
      </c>
      <c r="B6149" s="76" t="s">
        <v>1044</v>
      </c>
      <c r="C6149" s="76" t="s">
        <v>1045</v>
      </c>
      <c r="D6149" s="75"/>
    </row>
    <row hidden="true" r="6150">
      <c r="A6150" s="76" t="s">
        <v>1350</v>
      </c>
      <c r="B6150" s="76" t="s">
        <v>1046</v>
      </c>
      <c r="C6150" s="76" t="s">
        <v>1047</v>
      </c>
      <c r="D6150" s="75"/>
    </row>
    <row hidden="true" r="6151">
      <c r="A6151" s="76" t="s">
        <v>1350</v>
      </c>
      <c r="B6151" s="76" t="s">
        <v>1048</v>
      </c>
      <c r="C6151" s="76" t="s">
        <v>1241</v>
      </c>
      <c r="D6151" s="75"/>
    </row>
    <row hidden="true" r="6152">
      <c r="A6152" s="76" t="s">
        <v>1350</v>
      </c>
      <c r="B6152" s="76" t="s">
        <v>1167</v>
      </c>
      <c r="C6152" s="76" t="s">
        <v>1246</v>
      </c>
      <c r="D6152" s="75"/>
    </row>
    <row hidden="true" r="6153">
      <c r="A6153" s="76" t="s">
        <v>1350</v>
      </c>
      <c r="B6153" s="76" t="s">
        <v>1169</v>
      </c>
      <c r="C6153" s="76" t="s">
        <v>1170</v>
      </c>
      <c r="D6153" s="75"/>
    </row>
    <row hidden="true" r="6154">
      <c r="A6154" s="76" t="s">
        <v>1350</v>
      </c>
      <c r="B6154" s="76" t="s">
        <v>1171</v>
      </c>
      <c r="C6154" s="76" t="s">
        <v>1172</v>
      </c>
      <c r="D6154" s="75"/>
    </row>
    <row hidden="true" r="6155">
      <c r="A6155" s="76" t="s">
        <v>1350</v>
      </c>
      <c r="B6155" s="76" t="s">
        <v>1173</v>
      </c>
      <c r="C6155" s="76" t="s">
        <v>1247</v>
      </c>
      <c r="D6155" s="75"/>
    </row>
    <row hidden="true" r="6156">
      <c r="A6156" s="76" t="s">
        <v>1350</v>
      </c>
      <c r="B6156" s="76" t="s">
        <v>1175</v>
      </c>
      <c r="C6156" s="76" t="s">
        <v>1176</v>
      </c>
      <c r="D6156" s="75"/>
    </row>
    <row hidden="true" r="6157">
      <c r="A6157" s="76" t="s">
        <v>1350</v>
      </c>
      <c r="B6157" s="76" t="s">
        <v>1177</v>
      </c>
      <c r="C6157" s="76" t="s">
        <v>1178</v>
      </c>
      <c r="D6157" s="75"/>
    </row>
    <row hidden="true" r="6158">
      <c r="A6158" s="76" t="s">
        <v>1350</v>
      </c>
      <c r="B6158" s="76" t="s">
        <v>1135</v>
      </c>
      <c r="C6158" s="76" t="s">
        <v>1136</v>
      </c>
      <c r="D6158" s="75"/>
    </row>
    <row hidden="true" r="6159">
      <c r="A6159" s="76" t="s">
        <v>1350</v>
      </c>
      <c r="B6159" s="76" t="s">
        <v>1179</v>
      </c>
      <c r="C6159" s="76" t="s">
        <v>1180</v>
      </c>
      <c r="D6159" s="75"/>
    </row>
    <row hidden="true" r="6160">
      <c r="A6160" s="76" t="s">
        <v>1350</v>
      </c>
      <c r="B6160" s="76" t="s">
        <v>1181</v>
      </c>
      <c r="C6160" s="76" t="s">
        <v>1182</v>
      </c>
      <c r="D6160" s="75"/>
    </row>
    <row hidden="true" r="6161">
      <c r="A6161" s="76" t="s">
        <v>1350</v>
      </c>
      <c r="B6161" s="76" t="s">
        <v>1183</v>
      </c>
      <c r="C6161" s="76" t="s">
        <v>1184</v>
      </c>
      <c r="D6161" s="75"/>
    </row>
    <row hidden="true" r="6162">
      <c r="A6162" s="76" t="s">
        <v>1350</v>
      </c>
      <c r="B6162" s="76" t="s">
        <v>1185</v>
      </c>
      <c r="C6162" s="76" t="s">
        <v>1186</v>
      </c>
      <c r="D6162" s="75"/>
    </row>
    <row hidden="true" r="6163">
      <c r="A6163" s="76" t="s">
        <v>1350</v>
      </c>
      <c r="B6163" s="76" t="s">
        <v>1187</v>
      </c>
      <c r="C6163" s="76" t="s">
        <v>1188</v>
      </c>
      <c r="D6163" s="75"/>
    </row>
    <row hidden="true" r="6164">
      <c r="A6164" s="76" t="s">
        <v>1350</v>
      </c>
      <c r="B6164" s="76" t="s">
        <v>1199</v>
      </c>
      <c r="C6164" s="76" t="s">
        <v>1200</v>
      </c>
      <c r="D6164" s="75"/>
    </row>
    <row hidden="true" r="6165">
      <c r="A6165" s="76" t="s">
        <v>1350</v>
      </c>
      <c r="B6165" s="76" t="s">
        <v>1201</v>
      </c>
      <c r="C6165" s="76" t="s">
        <v>1202</v>
      </c>
      <c r="D6165" s="75"/>
    </row>
    <row hidden="true" r="6166">
      <c r="A6166" s="76" t="s">
        <v>1350</v>
      </c>
      <c r="B6166" s="76" t="s">
        <v>1203</v>
      </c>
      <c r="C6166" s="76" t="s">
        <v>1204</v>
      </c>
      <c r="D6166" s="75"/>
    </row>
    <row hidden="true" r="6167">
      <c r="A6167" s="76" t="s">
        <v>1350</v>
      </c>
      <c r="B6167" s="76" t="s">
        <v>1205</v>
      </c>
      <c r="C6167" s="76" t="s">
        <v>1206</v>
      </c>
      <c r="D6167" s="75"/>
    </row>
    <row hidden="true" r="6168">
      <c r="A6168" s="76" t="s">
        <v>1350</v>
      </c>
      <c r="B6168" s="76" t="s">
        <v>1207</v>
      </c>
      <c r="C6168" s="76" t="s">
        <v>1208</v>
      </c>
      <c r="D6168" s="75"/>
    </row>
    <row hidden="true" r="6169">
      <c r="A6169" s="76" t="s">
        <v>1350</v>
      </c>
      <c r="B6169" s="76" t="s">
        <v>1209</v>
      </c>
      <c r="C6169" s="76" t="s">
        <v>1210</v>
      </c>
      <c r="D6169" s="75"/>
    </row>
    <row hidden="true" r="6170">
      <c r="A6170" s="76" t="s">
        <v>1350</v>
      </c>
      <c r="B6170" s="76" t="s">
        <v>735</v>
      </c>
      <c r="C6170" s="76"/>
      <c r="D6170" s="75"/>
    </row>
    <row hidden="true" r="6171">
      <c r="A6171" s="76" t="s">
        <v>1354</v>
      </c>
      <c r="B6171" s="76" t="s">
        <v>407</v>
      </c>
      <c r="C6171" s="76" t="s">
        <v>408</v>
      </c>
      <c r="D6171" s="75"/>
    </row>
    <row hidden="true" r="6172">
      <c r="A6172" s="76" t="s">
        <v>1354</v>
      </c>
      <c r="B6172" s="76" t="s">
        <v>744</v>
      </c>
      <c r="C6172" s="76" t="s">
        <v>745</v>
      </c>
      <c r="D6172" s="75"/>
    </row>
    <row hidden="true" r="6173">
      <c r="A6173" s="76" t="s">
        <v>1354</v>
      </c>
      <c r="B6173" s="76" t="s">
        <v>480</v>
      </c>
      <c r="C6173" s="76" t="s">
        <v>481</v>
      </c>
      <c r="D6173" s="75"/>
    </row>
    <row hidden="true" r="6174">
      <c r="A6174" s="76" t="s">
        <v>1354</v>
      </c>
      <c r="B6174" s="76" t="s">
        <v>884</v>
      </c>
      <c r="C6174" s="76" t="s">
        <v>885</v>
      </c>
      <c r="D6174" s="75"/>
    </row>
    <row hidden="true" r="6175">
      <c r="A6175" s="76" t="s">
        <v>1354</v>
      </c>
      <c r="B6175" s="76" t="s">
        <v>886</v>
      </c>
      <c r="C6175" s="76" t="s">
        <v>887</v>
      </c>
      <c r="D6175" s="75"/>
    </row>
    <row hidden="true" r="6176">
      <c r="A6176" s="76" t="s">
        <v>1354</v>
      </c>
      <c r="B6176" s="76" t="s">
        <v>888</v>
      </c>
      <c r="C6176" s="76" t="s">
        <v>889</v>
      </c>
      <c r="D6176" s="75"/>
    </row>
    <row hidden="true" r="6177">
      <c r="A6177" s="76" t="s">
        <v>1354</v>
      </c>
      <c r="B6177" s="76" t="s">
        <v>890</v>
      </c>
      <c r="C6177" s="76" t="s">
        <v>891</v>
      </c>
      <c r="D6177" s="75"/>
    </row>
    <row hidden="true" r="6178">
      <c r="A6178" s="76" t="s">
        <v>1354</v>
      </c>
      <c r="B6178" s="76" t="s">
        <v>892</v>
      </c>
      <c r="C6178" s="76" t="s">
        <v>893</v>
      </c>
      <c r="D6178" s="75"/>
    </row>
    <row hidden="true" r="6179">
      <c r="A6179" s="76" t="s">
        <v>1354</v>
      </c>
      <c r="B6179" s="76" t="s">
        <v>894</v>
      </c>
      <c r="C6179" s="76" t="s">
        <v>1217</v>
      </c>
      <c r="D6179" s="75"/>
    </row>
    <row hidden="true" r="6180">
      <c r="A6180" s="76" t="s">
        <v>1354</v>
      </c>
      <c r="B6180" s="76" t="s">
        <v>896</v>
      </c>
      <c r="C6180" s="76" t="s">
        <v>897</v>
      </c>
      <c r="D6180" s="75"/>
    </row>
    <row hidden="true" r="6181">
      <c r="A6181" s="76" t="s">
        <v>1354</v>
      </c>
      <c r="B6181" s="76" t="s">
        <v>898</v>
      </c>
      <c r="C6181" s="76" t="s">
        <v>899</v>
      </c>
      <c r="D6181" s="75"/>
    </row>
    <row hidden="true" r="6182">
      <c r="A6182" s="76" t="s">
        <v>1354</v>
      </c>
      <c r="B6182" s="76" t="s">
        <v>900</v>
      </c>
      <c r="C6182" s="76" t="s">
        <v>1218</v>
      </c>
      <c r="D6182" s="75"/>
    </row>
    <row hidden="true" r="6183">
      <c r="A6183" s="76" t="s">
        <v>1354</v>
      </c>
      <c r="B6183" s="76" t="s">
        <v>902</v>
      </c>
      <c r="C6183" s="76" t="s">
        <v>903</v>
      </c>
      <c r="D6183" s="75"/>
    </row>
    <row hidden="true" r="6184">
      <c r="A6184" s="76" t="s">
        <v>1354</v>
      </c>
      <c r="B6184" s="76" t="s">
        <v>904</v>
      </c>
      <c r="C6184" s="76" t="s">
        <v>905</v>
      </c>
      <c r="D6184" s="75"/>
    </row>
    <row hidden="true" r="6185">
      <c r="A6185" s="76" t="s">
        <v>1354</v>
      </c>
      <c r="B6185" s="76" t="s">
        <v>906</v>
      </c>
      <c r="C6185" s="76" t="s">
        <v>907</v>
      </c>
      <c r="D6185" s="75"/>
    </row>
    <row hidden="true" r="6186">
      <c r="A6186" s="76" t="s">
        <v>1354</v>
      </c>
      <c r="B6186" s="76" t="s">
        <v>908</v>
      </c>
      <c r="C6186" s="76" t="s">
        <v>909</v>
      </c>
      <c r="D6186" s="75"/>
    </row>
    <row hidden="true" r="6187">
      <c r="A6187" s="76" t="s">
        <v>1354</v>
      </c>
      <c r="B6187" s="76" t="s">
        <v>910</v>
      </c>
      <c r="C6187" s="76" t="s">
        <v>911</v>
      </c>
      <c r="D6187" s="75"/>
    </row>
    <row hidden="true" r="6188">
      <c r="A6188" s="76" t="s">
        <v>1354</v>
      </c>
      <c r="B6188" s="76" t="s">
        <v>912</v>
      </c>
      <c r="C6188" s="76" t="s">
        <v>913</v>
      </c>
      <c r="D6188" s="75"/>
    </row>
    <row hidden="true" r="6189">
      <c r="A6189" s="76" t="s">
        <v>1354</v>
      </c>
      <c r="B6189" s="76" t="s">
        <v>914</v>
      </c>
      <c r="C6189" s="76" t="s">
        <v>915</v>
      </c>
      <c r="D6189" s="75"/>
    </row>
    <row hidden="true" r="6190">
      <c r="A6190" s="76" t="s">
        <v>1354</v>
      </c>
      <c r="B6190" s="76" t="s">
        <v>916</v>
      </c>
      <c r="C6190" s="76" t="s">
        <v>917</v>
      </c>
      <c r="D6190" s="75"/>
    </row>
    <row hidden="true" r="6191">
      <c r="A6191" s="76" t="s">
        <v>1354</v>
      </c>
      <c r="B6191" s="76" t="s">
        <v>918</v>
      </c>
      <c r="C6191" s="76" t="s">
        <v>919</v>
      </c>
      <c r="D6191" s="75"/>
    </row>
    <row hidden="true" r="6192">
      <c r="A6192" s="76" t="s">
        <v>1354</v>
      </c>
      <c r="B6192" s="76" t="s">
        <v>920</v>
      </c>
      <c r="C6192" s="76" t="s">
        <v>921</v>
      </c>
      <c r="D6192" s="75"/>
    </row>
    <row hidden="true" r="6193">
      <c r="A6193" s="76" t="s">
        <v>1354</v>
      </c>
      <c r="B6193" s="76" t="s">
        <v>922</v>
      </c>
      <c r="C6193" s="76" t="s">
        <v>1219</v>
      </c>
      <c r="D6193" s="75"/>
    </row>
    <row hidden="true" r="6194">
      <c r="A6194" s="76" t="s">
        <v>1354</v>
      </c>
      <c r="B6194" s="76" t="s">
        <v>924</v>
      </c>
      <c r="C6194" s="76" t="s">
        <v>925</v>
      </c>
      <c r="D6194" s="75"/>
    </row>
    <row hidden="true" r="6195">
      <c r="A6195" s="76" t="s">
        <v>1354</v>
      </c>
      <c r="B6195" s="76" t="s">
        <v>926</v>
      </c>
      <c r="C6195" s="76" t="s">
        <v>927</v>
      </c>
      <c r="D6195" s="75"/>
    </row>
    <row hidden="true" r="6196">
      <c r="A6196" s="76" t="s">
        <v>1354</v>
      </c>
      <c r="B6196" s="76" t="s">
        <v>928</v>
      </c>
      <c r="C6196" s="76" t="s">
        <v>929</v>
      </c>
      <c r="D6196" s="75"/>
    </row>
    <row hidden="true" r="6197">
      <c r="A6197" s="76" t="s">
        <v>1354</v>
      </c>
      <c r="B6197" s="76" t="s">
        <v>930</v>
      </c>
      <c r="C6197" s="76" t="s">
        <v>931</v>
      </c>
      <c r="D6197" s="75"/>
    </row>
    <row hidden="true" r="6198">
      <c r="A6198" s="76" t="s">
        <v>1354</v>
      </c>
      <c r="B6198" s="76" t="s">
        <v>932</v>
      </c>
      <c r="C6198" s="76" t="s">
        <v>933</v>
      </c>
      <c r="D6198" s="75"/>
    </row>
    <row hidden="true" r="6199">
      <c r="A6199" s="76" t="s">
        <v>1354</v>
      </c>
      <c r="B6199" s="76" t="s">
        <v>934</v>
      </c>
      <c r="C6199" s="76" t="s">
        <v>935</v>
      </c>
      <c r="D6199" s="75"/>
    </row>
    <row hidden="true" r="6200">
      <c r="A6200" s="76" t="s">
        <v>1354</v>
      </c>
      <c r="B6200" s="76" t="s">
        <v>936</v>
      </c>
      <c r="C6200" s="76" t="s">
        <v>937</v>
      </c>
      <c r="D6200" s="75"/>
    </row>
    <row hidden="true" r="6201">
      <c r="A6201" s="76" t="s">
        <v>1354</v>
      </c>
      <c r="B6201" s="76" t="s">
        <v>938</v>
      </c>
      <c r="C6201" s="76" t="s">
        <v>1220</v>
      </c>
      <c r="D6201" s="75"/>
    </row>
    <row hidden="true" r="6202">
      <c r="A6202" s="76" t="s">
        <v>1354</v>
      </c>
      <c r="B6202" s="76" t="s">
        <v>940</v>
      </c>
      <c r="C6202" s="76" t="s">
        <v>941</v>
      </c>
      <c r="D6202" s="75"/>
    </row>
    <row hidden="true" r="6203">
      <c r="A6203" s="76" t="s">
        <v>1354</v>
      </c>
      <c r="B6203" s="76" t="s">
        <v>942</v>
      </c>
      <c r="C6203" s="76" t="s">
        <v>943</v>
      </c>
      <c r="D6203" s="75"/>
    </row>
    <row hidden="true" r="6204">
      <c r="A6204" s="76" t="s">
        <v>1354</v>
      </c>
      <c r="B6204" s="76" t="s">
        <v>944</v>
      </c>
      <c r="C6204" s="76" t="s">
        <v>945</v>
      </c>
      <c r="D6204" s="75"/>
    </row>
    <row hidden="true" r="6205">
      <c r="A6205" s="76" t="s">
        <v>1354</v>
      </c>
      <c r="B6205" s="76" t="s">
        <v>1305</v>
      </c>
      <c r="C6205" s="76" t="s">
        <v>1306</v>
      </c>
      <c r="D6205" s="75"/>
    </row>
    <row hidden="true" r="6206">
      <c r="A6206" s="76" t="s">
        <v>1354</v>
      </c>
      <c r="B6206" s="76" t="s">
        <v>1307</v>
      </c>
      <c r="C6206" s="76" t="s">
        <v>1308</v>
      </c>
      <c r="D6206" s="75"/>
    </row>
    <row hidden="true" r="6207">
      <c r="A6207" s="76" t="s">
        <v>1354</v>
      </c>
      <c r="B6207" s="76" t="s">
        <v>946</v>
      </c>
      <c r="C6207" s="76" t="s">
        <v>1221</v>
      </c>
      <c r="D6207" s="75"/>
    </row>
    <row hidden="true" r="6208">
      <c r="A6208" s="76" t="s">
        <v>1354</v>
      </c>
      <c r="B6208" s="76" t="s">
        <v>948</v>
      </c>
      <c r="C6208" s="76" t="s">
        <v>1222</v>
      </c>
      <c r="D6208" s="75"/>
    </row>
    <row hidden="true" r="6209">
      <c r="A6209" s="76" t="s">
        <v>1354</v>
      </c>
      <c r="B6209" s="76" t="s">
        <v>950</v>
      </c>
      <c r="C6209" s="76" t="s">
        <v>951</v>
      </c>
      <c r="D6209" s="75"/>
    </row>
    <row hidden="true" r="6210">
      <c r="A6210" s="76" t="s">
        <v>1354</v>
      </c>
      <c r="B6210" s="76" t="s">
        <v>952</v>
      </c>
      <c r="C6210" s="76" t="s">
        <v>953</v>
      </c>
      <c r="D6210" s="75"/>
    </row>
    <row hidden="true" r="6211">
      <c r="A6211" s="76" t="s">
        <v>1354</v>
      </c>
      <c r="B6211" s="76" t="s">
        <v>954</v>
      </c>
      <c r="C6211" s="76" t="s">
        <v>955</v>
      </c>
      <c r="D6211" s="75"/>
    </row>
    <row hidden="true" r="6212">
      <c r="A6212" s="76" t="s">
        <v>1354</v>
      </c>
      <c r="B6212" s="76" t="s">
        <v>775</v>
      </c>
      <c r="C6212" s="76" t="s">
        <v>776</v>
      </c>
      <c r="D6212" s="75"/>
    </row>
    <row hidden="true" r="6213">
      <c r="A6213" s="76" t="s">
        <v>1354</v>
      </c>
      <c r="B6213" s="76" t="s">
        <v>956</v>
      </c>
      <c r="C6213" s="76" t="s">
        <v>957</v>
      </c>
      <c r="D6213" s="75"/>
    </row>
    <row hidden="true" r="6214">
      <c r="A6214" s="76" t="s">
        <v>1354</v>
      </c>
      <c r="B6214" s="76" t="s">
        <v>958</v>
      </c>
      <c r="C6214" s="76" t="s">
        <v>959</v>
      </c>
      <c r="D6214" s="75"/>
    </row>
    <row hidden="true" r="6215">
      <c r="A6215" s="76" t="s">
        <v>1354</v>
      </c>
      <c r="B6215" s="76" t="s">
        <v>960</v>
      </c>
      <c r="C6215" s="76" t="s">
        <v>961</v>
      </c>
      <c r="D6215" s="75"/>
    </row>
    <row hidden="true" r="6216">
      <c r="A6216" s="76" t="s">
        <v>1354</v>
      </c>
      <c r="B6216" s="76" t="s">
        <v>962</v>
      </c>
      <c r="C6216" s="76" t="s">
        <v>963</v>
      </c>
      <c r="D6216" s="75"/>
    </row>
    <row hidden="true" r="6217">
      <c r="A6217" s="76" t="s">
        <v>1354</v>
      </c>
      <c r="B6217" s="76" t="s">
        <v>964</v>
      </c>
      <c r="C6217" s="76" t="s">
        <v>965</v>
      </c>
      <c r="D6217" s="75"/>
    </row>
    <row hidden="true" r="6218">
      <c r="A6218" s="76" t="s">
        <v>1354</v>
      </c>
      <c r="B6218" s="76" t="s">
        <v>966</v>
      </c>
      <c r="C6218" s="76" t="s">
        <v>967</v>
      </c>
      <c r="D6218" s="75"/>
    </row>
    <row hidden="true" r="6219">
      <c r="A6219" s="76" t="s">
        <v>1354</v>
      </c>
      <c r="B6219" s="76" t="s">
        <v>968</v>
      </c>
      <c r="C6219" s="76" t="s">
        <v>969</v>
      </c>
      <c r="D6219" s="75"/>
    </row>
    <row hidden="true" r="6220">
      <c r="A6220" s="76" t="s">
        <v>1354</v>
      </c>
      <c r="B6220" s="76" t="s">
        <v>970</v>
      </c>
      <c r="C6220" s="76" t="s">
        <v>971</v>
      </c>
      <c r="D6220" s="75"/>
    </row>
    <row hidden="true" r="6221">
      <c r="A6221" s="76" t="s">
        <v>1354</v>
      </c>
      <c r="B6221" s="76" t="s">
        <v>972</v>
      </c>
      <c r="C6221" s="76" t="s">
        <v>973</v>
      </c>
      <c r="D6221" s="75"/>
    </row>
    <row hidden="true" r="6222">
      <c r="A6222" s="76" t="s">
        <v>1354</v>
      </c>
      <c r="B6222" s="76" t="s">
        <v>974</v>
      </c>
      <c r="C6222" s="76" t="s">
        <v>975</v>
      </c>
      <c r="D6222" s="75"/>
    </row>
    <row hidden="true" r="6223">
      <c r="A6223" s="76" t="s">
        <v>1354</v>
      </c>
      <c r="B6223" s="76" t="s">
        <v>976</v>
      </c>
      <c r="C6223" s="76" t="s">
        <v>977</v>
      </c>
      <c r="D6223" s="75"/>
    </row>
    <row hidden="true" r="6224">
      <c r="A6224" s="76" t="s">
        <v>1354</v>
      </c>
      <c r="B6224" s="76" t="s">
        <v>823</v>
      </c>
      <c r="C6224" s="76" t="s">
        <v>824</v>
      </c>
      <c r="D6224" s="75"/>
    </row>
    <row hidden="true" r="6225">
      <c r="A6225" s="76" t="s">
        <v>1354</v>
      </c>
      <c r="B6225" s="76" t="s">
        <v>978</v>
      </c>
      <c r="C6225" s="76" t="s">
        <v>979</v>
      </c>
      <c r="D6225" s="75"/>
    </row>
    <row hidden="true" r="6226">
      <c r="A6226" s="76" t="s">
        <v>1354</v>
      </c>
      <c r="B6226" s="76" t="s">
        <v>980</v>
      </c>
      <c r="C6226" s="76" t="s">
        <v>981</v>
      </c>
      <c r="D6226" s="75"/>
    </row>
    <row hidden="true" r="6227">
      <c r="A6227" s="76" t="s">
        <v>1354</v>
      </c>
      <c r="B6227" s="76" t="s">
        <v>982</v>
      </c>
      <c r="C6227" s="76" t="s">
        <v>983</v>
      </c>
      <c r="D6227" s="75"/>
    </row>
    <row hidden="true" r="6228">
      <c r="A6228" s="76" t="s">
        <v>1354</v>
      </c>
      <c r="B6228" s="76" t="s">
        <v>984</v>
      </c>
      <c r="C6228" s="76" t="s">
        <v>985</v>
      </c>
      <c r="D6228" s="75"/>
    </row>
    <row hidden="true" r="6229">
      <c r="A6229" s="76" t="s">
        <v>1354</v>
      </c>
      <c r="B6229" s="76" t="s">
        <v>986</v>
      </c>
      <c r="C6229" s="76" t="s">
        <v>987</v>
      </c>
      <c r="D6229" s="75"/>
    </row>
    <row hidden="true" r="6230">
      <c r="A6230" s="76" t="s">
        <v>1354</v>
      </c>
      <c r="B6230" s="76" t="s">
        <v>1309</v>
      </c>
      <c r="C6230" s="76" t="s">
        <v>1310</v>
      </c>
      <c r="D6230" s="75"/>
    </row>
    <row hidden="true" r="6231">
      <c r="A6231" s="76" t="s">
        <v>1354</v>
      </c>
      <c r="B6231" s="76" t="s">
        <v>1311</v>
      </c>
      <c r="C6231" s="76" t="s">
        <v>1312</v>
      </c>
      <c r="D6231" s="75"/>
    </row>
    <row hidden="true" r="6232">
      <c r="A6232" s="76" t="s">
        <v>1354</v>
      </c>
      <c r="B6232" s="76" t="s">
        <v>1099</v>
      </c>
      <c r="C6232" s="76" t="s">
        <v>1100</v>
      </c>
      <c r="D6232" s="75"/>
    </row>
    <row hidden="true" r="6233">
      <c r="A6233" s="76" t="s">
        <v>1354</v>
      </c>
      <c r="B6233" s="76" t="s">
        <v>1101</v>
      </c>
      <c r="C6233" s="76" t="s">
        <v>1102</v>
      </c>
      <c r="D6233" s="75"/>
    </row>
    <row hidden="true" r="6234">
      <c r="A6234" s="76" t="s">
        <v>1354</v>
      </c>
      <c r="B6234" s="76" t="s">
        <v>1313</v>
      </c>
      <c r="C6234" s="76" t="s">
        <v>1314</v>
      </c>
      <c r="D6234" s="75"/>
    </row>
    <row hidden="true" r="6235">
      <c r="A6235" s="76" t="s">
        <v>1354</v>
      </c>
      <c r="B6235" s="76" t="s">
        <v>996</v>
      </c>
      <c r="C6235" s="76" t="s">
        <v>997</v>
      </c>
      <c r="D6235" s="75"/>
    </row>
    <row hidden="true" r="6236">
      <c r="A6236" s="76" t="s">
        <v>1354</v>
      </c>
      <c r="B6236" s="76" t="s">
        <v>998</v>
      </c>
      <c r="C6236" s="76" t="s">
        <v>999</v>
      </c>
      <c r="D6236" s="75"/>
    </row>
    <row hidden="true" r="6237">
      <c r="A6237" s="76" t="s">
        <v>1354</v>
      </c>
      <c r="B6237" s="76" t="s">
        <v>1000</v>
      </c>
      <c r="C6237" s="76" t="s">
        <v>1001</v>
      </c>
      <c r="D6237" s="75"/>
    </row>
    <row hidden="true" r="6238">
      <c r="A6238" s="76" t="s">
        <v>1354</v>
      </c>
      <c r="B6238" s="76" t="s">
        <v>1002</v>
      </c>
      <c r="C6238" s="76" t="s">
        <v>1003</v>
      </c>
      <c r="D6238" s="75"/>
    </row>
    <row hidden="true" r="6239">
      <c r="A6239" s="76" t="s">
        <v>1354</v>
      </c>
      <c r="B6239" s="76" t="s">
        <v>1004</v>
      </c>
      <c r="C6239" s="76" t="s">
        <v>1005</v>
      </c>
      <c r="D6239" s="75"/>
    </row>
    <row hidden="true" r="6240">
      <c r="A6240" s="76" t="s">
        <v>1354</v>
      </c>
      <c r="B6240" s="76" t="s">
        <v>1006</v>
      </c>
      <c r="C6240" s="76" t="s">
        <v>1007</v>
      </c>
      <c r="D6240" s="75"/>
    </row>
    <row hidden="true" r="6241">
      <c r="A6241" s="76" t="s">
        <v>1354</v>
      </c>
      <c r="B6241" s="76" t="s">
        <v>1008</v>
      </c>
      <c r="C6241" s="76" t="s">
        <v>1009</v>
      </c>
      <c r="D6241" s="75"/>
    </row>
    <row hidden="true" r="6242">
      <c r="A6242" s="76" t="s">
        <v>1354</v>
      </c>
      <c r="B6242" s="76" t="s">
        <v>1010</v>
      </c>
      <c r="C6242" s="76" t="s">
        <v>1011</v>
      </c>
      <c r="D6242" s="75"/>
    </row>
    <row hidden="true" r="6243">
      <c r="A6243" s="76" t="s">
        <v>1354</v>
      </c>
      <c r="B6243" s="76" t="s">
        <v>1315</v>
      </c>
      <c r="C6243" s="76" t="s">
        <v>1316</v>
      </c>
      <c r="D6243" s="75"/>
    </row>
    <row hidden="true" r="6244">
      <c r="A6244" s="76" t="s">
        <v>1354</v>
      </c>
      <c r="B6244" s="76" t="s">
        <v>1014</v>
      </c>
      <c r="C6244" s="76" t="s">
        <v>1015</v>
      </c>
      <c r="D6244" s="75"/>
    </row>
    <row hidden="true" r="6245">
      <c r="A6245" s="76" t="s">
        <v>1354</v>
      </c>
      <c r="B6245" s="76" t="s">
        <v>1016</v>
      </c>
      <c r="C6245" s="76" t="s">
        <v>1017</v>
      </c>
      <c r="D6245" s="75"/>
    </row>
    <row hidden="true" r="6246">
      <c r="A6246" s="76" t="s">
        <v>1354</v>
      </c>
      <c r="B6246" s="76" t="s">
        <v>1018</v>
      </c>
      <c r="C6246" s="76" t="s">
        <v>1019</v>
      </c>
      <c r="D6246" s="75"/>
    </row>
    <row hidden="true" r="6247">
      <c r="A6247" s="76" t="s">
        <v>1354</v>
      </c>
      <c r="B6247" s="76" t="s">
        <v>1020</v>
      </c>
      <c r="C6247" s="76" t="s">
        <v>1021</v>
      </c>
      <c r="D6247" s="75"/>
    </row>
    <row hidden="true" r="6248">
      <c r="A6248" s="76" t="s">
        <v>1354</v>
      </c>
      <c r="B6248" s="76" t="s">
        <v>1022</v>
      </c>
      <c r="C6248" s="76" t="s">
        <v>1017</v>
      </c>
      <c r="D6248" s="75"/>
    </row>
    <row hidden="true" r="6249">
      <c r="A6249" s="76" t="s">
        <v>1354</v>
      </c>
      <c r="B6249" s="76" t="s">
        <v>1023</v>
      </c>
      <c r="C6249" s="76" t="s">
        <v>1019</v>
      </c>
      <c r="D6249" s="75"/>
    </row>
    <row hidden="true" r="6250">
      <c r="A6250" s="76" t="s">
        <v>1354</v>
      </c>
      <c r="B6250" s="76" t="s">
        <v>1024</v>
      </c>
      <c r="C6250" s="76" t="s">
        <v>1021</v>
      </c>
      <c r="D6250" s="75"/>
    </row>
    <row hidden="true" r="6251">
      <c r="A6251" s="76" t="s">
        <v>1354</v>
      </c>
      <c r="B6251" s="76" t="s">
        <v>1025</v>
      </c>
      <c r="C6251" s="76" t="s">
        <v>1017</v>
      </c>
      <c r="D6251" s="75"/>
    </row>
    <row hidden="true" r="6252">
      <c r="A6252" s="76" t="s">
        <v>1354</v>
      </c>
      <c r="B6252" s="76" t="s">
        <v>1026</v>
      </c>
      <c r="C6252" s="76" t="s">
        <v>1019</v>
      </c>
      <c r="D6252" s="75"/>
    </row>
    <row hidden="true" r="6253">
      <c r="A6253" s="76" t="s">
        <v>1354</v>
      </c>
      <c r="B6253" s="76" t="s">
        <v>1027</v>
      </c>
      <c r="C6253" s="76" t="s">
        <v>1021</v>
      </c>
      <c r="D6253" s="75"/>
    </row>
    <row hidden="true" r="6254">
      <c r="A6254" s="76" t="s">
        <v>1354</v>
      </c>
      <c r="B6254" s="76" t="s">
        <v>1133</v>
      </c>
      <c r="C6254" s="76" t="s">
        <v>1134</v>
      </c>
      <c r="D6254" s="75"/>
    </row>
    <row hidden="true" r="6255">
      <c r="A6255" s="76" t="s">
        <v>1354</v>
      </c>
      <c r="B6255" s="76" t="s">
        <v>1317</v>
      </c>
      <c r="C6255" s="76" t="s">
        <v>1318</v>
      </c>
      <c r="D6255" s="75"/>
    </row>
    <row hidden="true" r="6256">
      <c r="A6256" s="76" t="s">
        <v>1354</v>
      </c>
      <c r="B6256" s="76" t="s">
        <v>1319</v>
      </c>
      <c r="C6256" s="76" t="s">
        <v>1320</v>
      </c>
      <c r="D6256" s="75"/>
    </row>
    <row hidden="true" r="6257">
      <c r="A6257" s="76" t="s">
        <v>1354</v>
      </c>
      <c r="B6257" s="76" t="s">
        <v>1028</v>
      </c>
      <c r="C6257" s="76" t="s">
        <v>1029</v>
      </c>
      <c r="D6257" s="75"/>
    </row>
    <row hidden="true" r="6258">
      <c r="A6258" s="76" t="s">
        <v>1354</v>
      </c>
      <c r="B6258" s="76" t="s">
        <v>988</v>
      </c>
      <c r="C6258" s="76" t="s">
        <v>989</v>
      </c>
      <c r="D6258" s="75"/>
    </row>
    <row hidden="true" r="6259">
      <c r="A6259" s="76" t="s">
        <v>1354</v>
      </c>
      <c r="B6259" s="76" t="s">
        <v>990</v>
      </c>
      <c r="C6259" s="76" t="s">
        <v>991</v>
      </c>
      <c r="D6259" s="75"/>
    </row>
    <row hidden="true" r="6260">
      <c r="A6260" s="76" t="s">
        <v>1354</v>
      </c>
      <c r="B6260" s="76" t="s">
        <v>992</v>
      </c>
      <c r="C6260" s="76" t="s">
        <v>993</v>
      </c>
      <c r="D6260" s="75"/>
    </row>
    <row hidden="true" r="6261">
      <c r="A6261" s="76" t="s">
        <v>1354</v>
      </c>
      <c r="B6261" s="76" t="s">
        <v>530</v>
      </c>
      <c r="C6261" s="76" t="s">
        <v>531</v>
      </c>
      <c r="D6261" s="75"/>
    </row>
    <row hidden="true" r="6262">
      <c r="A6262" s="76" t="s">
        <v>1354</v>
      </c>
      <c r="B6262" s="76" t="s">
        <v>1032</v>
      </c>
      <c r="C6262" s="76" t="s">
        <v>1033</v>
      </c>
      <c r="D6262" s="75"/>
    </row>
    <row hidden="true" r="6263">
      <c r="A6263" s="76" t="s">
        <v>1354</v>
      </c>
      <c r="B6263" s="76" t="s">
        <v>532</v>
      </c>
      <c r="C6263" s="76" t="s">
        <v>533</v>
      </c>
      <c r="D6263" s="75"/>
    </row>
    <row hidden="true" r="6264">
      <c r="A6264" s="76" t="s">
        <v>1354</v>
      </c>
      <c r="B6264" s="76" t="s">
        <v>1036</v>
      </c>
      <c r="C6264" s="76" t="s">
        <v>1037</v>
      </c>
      <c r="D6264" s="75"/>
    </row>
    <row hidden="true" r="6265">
      <c r="A6265" s="76" t="s">
        <v>1354</v>
      </c>
      <c r="B6265" s="76" t="s">
        <v>1038</v>
      </c>
      <c r="C6265" s="76" t="s">
        <v>1039</v>
      </c>
      <c r="D6265" s="75"/>
    </row>
    <row hidden="true" r="6266">
      <c r="A6266" s="76" t="s">
        <v>1354</v>
      </c>
      <c r="B6266" s="76" t="s">
        <v>1321</v>
      </c>
      <c r="C6266" s="76" t="s">
        <v>1322</v>
      </c>
      <c r="D6266" s="75"/>
    </row>
    <row hidden="true" r="6267">
      <c r="A6267" s="76" t="s">
        <v>1354</v>
      </c>
      <c r="B6267" s="76" t="s">
        <v>1323</v>
      </c>
      <c r="C6267" s="76" t="s">
        <v>1324</v>
      </c>
      <c r="D6267" s="75"/>
    </row>
    <row hidden="true" r="6268">
      <c r="A6268" s="76" t="s">
        <v>1354</v>
      </c>
      <c r="B6268" s="76" t="s">
        <v>1012</v>
      </c>
      <c r="C6268" s="76" t="s">
        <v>1013</v>
      </c>
      <c r="D6268" s="75"/>
    </row>
    <row hidden="true" r="6269">
      <c r="A6269" s="76" t="s">
        <v>1354</v>
      </c>
      <c r="B6269" s="76" t="s">
        <v>1052</v>
      </c>
      <c r="C6269" s="76" t="s">
        <v>1053</v>
      </c>
      <c r="D6269" s="75"/>
    </row>
    <row hidden="true" r="6270">
      <c r="A6270" s="76" t="s">
        <v>1354</v>
      </c>
      <c r="B6270" s="76" t="s">
        <v>1054</v>
      </c>
      <c r="C6270" s="76" t="s">
        <v>1055</v>
      </c>
      <c r="D6270" s="75"/>
    </row>
    <row hidden="true" r="6271">
      <c r="A6271" s="76" t="s">
        <v>1354</v>
      </c>
      <c r="B6271" s="76" t="s">
        <v>1056</v>
      </c>
      <c r="C6271" s="76" t="s">
        <v>1057</v>
      </c>
      <c r="D6271" s="75"/>
    </row>
    <row hidden="true" r="6272">
      <c r="A6272" s="76" t="s">
        <v>1354</v>
      </c>
      <c r="B6272" s="76" t="s">
        <v>1058</v>
      </c>
      <c r="C6272" s="76" t="s">
        <v>1059</v>
      </c>
      <c r="D6272" s="75"/>
    </row>
    <row hidden="true" r="6273">
      <c r="A6273" s="76" t="s">
        <v>1354</v>
      </c>
      <c r="B6273" s="76" t="s">
        <v>1060</v>
      </c>
      <c r="C6273" s="76" t="s">
        <v>1061</v>
      </c>
      <c r="D6273" s="75"/>
    </row>
    <row hidden="true" r="6274">
      <c r="A6274" s="76" t="s">
        <v>1354</v>
      </c>
      <c r="B6274" s="76" t="s">
        <v>1062</v>
      </c>
      <c r="C6274" s="76" t="s">
        <v>1063</v>
      </c>
      <c r="D6274" s="75"/>
    </row>
    <row hidden="true" r="6275">
      <c r="A6275" s="76" t="s">
        <v>1354</v>
      </c>
      <c r="B6275" s="76" t="s">
        <v>1064</v>
      </c>
      <c r="C6275" s="76" t="s">
        <v>1065</v>
      </c>
      <c r="D6275" s="75"/>
    </row>
    <row hidden="true" r="6276">
      <c r="A6276" s="76" t="s">
        <v>1354</v>
      </c>
      <c r="B6276" s="76" t="s">
        <v>1066</v>
      </c>
      <c r="C6276" s="76" t="s">
        <v>1067</v>
      </c>
      <c r="D6276" s="75"/>
    </row>
    <row hidden="true" r="6277">
      <c r="A6277" s="76" t="s">
        <v>1354</v>
      </c>
      <c r="B6277" s="76" t="s">
        <v>1068</v>
      </c>
      <c r="C6277" s="76" t="s">
        <v>1069</v>
      </c>
      <c r="D6277" s="75"/>
    </row>
    <row hidden="true" r="6278">
      <c r="A6278" s="76" t="s">
        <v>1354</v>
      </c>
      <c r="B6278" s="76" t="s">
        <v>1070</v>
      </c>
      <c r="C6278" s="76" t="s">
        <v>1069</v>
      </c>
      <c r="D6278" s="75"/>
    </row>
    <row hidden="true" r="6279">
      <c r="A6279" s="76" t="s">
        <v>1354</v>
      </c>
      <c r="B6279" s="76" t="s">
        <v>1071</v>
      </c>
      <c r="C6279" s="76" t="s">
        <v>1069</v>
      </c>
      <c r="D6279" s="75"/>
    </row>
    <row hidden="true" r="6280">
      <c r="A6280" s="76" t="s">
        <v>1354</v>
      </c>
      <c r="B6280" s="76" t="s">
        <v>1072</v>
      </c>
      <c r="C6280" s="76" t="s">
        <v>1073</v>
      </c>
      <c r="D6280" s="75"/>
    </row>
    <row hidden="true" r="6281">
      <c r="A6281" s="76" t="s">
        <v>1354</v>
      </c>
      <c r="B6281" s="76" t="s">
        <v>1074</v>
      </c>
      <c r="C6281" s="76" t="s">
        <v>1073</v>
      </c>
      <c r="D6281" s="75"/>
    </row>
    <row hidden="true" r="6282">
      <c r="A6282" s="76" t="s">
        <v>1354</v>
      </c>
      <c r="B6282" s="76" t="s">
        <v>1075</v>
      </c>
      <c r="C6282" s="76" t="s">
        <v>1073</v>
      </c>
      <c r="D6282" s="75"/>
    </row>
    <row hidden="true" r="6283">
      <c r="A6283" s="76" t="s">
        <v>1354</v>
      </c>
      <c r="B6283" s="76" t="s">
        <v>1082</v>
      </c>
      <c r="C6283" s="76" t="s">
        <v>1083</v>
      </c>
      <c r="D6283" s="75"/>
    </row>
    <row hidden="true" r="6284">
      <c r="A6284" s="76" t="s">
        <v>1354</v>
      </c>
      <c r="B6284" s="76" t="s">
        <v>1084</v>
      </c>
      <c r="C6284" s="76" t="s">
        <v>1085</v>
      </c>
      <c r="D6284" s="75"/>
    </row>
    <row hidden="true" r="6285">
      <c r="A6285" s="76" t="s">
        <v>1354</v>
      </c>
      <c r="B6285" s="76" t="s">
        <v>1086</v>
      </c>
      <c r="C6285" s="76" t="s">
        <v>1087</v>
      </c>
      <c r="D6285" s="75"/>
    </row>
    <row hidden="true" r="6286">
      <c r="A6286" s="76" t="s">
        <v>1354</v>
      </c>
      <c r="B6286" s="76" t="s">
        <v>1088</v>
      </c>
      <c r="C6286" s="76" t="s">
        <v>1089</v>
      </c>
      <c r="D6286" s="75"/>
    </row>
    <row hidden="true" r="6287">
      <c r="A6287" s="76" t="s">
        <v>1354</v>
      </c>
      <c r="B6287" s="76" t="s">
        <v>1076</v>
      </c>
      <c r="C6287" s="76" t="s">
        <v>1077</v>
      </c>
      <c r="D6287" s="75"/>
    </row>
    <row hidden="true" r="6288">
      <c r="A6288" s="76" t="s">
        <v>1354</v>
      </c>
      <c r="B6288" s="76" t="s">
        <v>1078</v>
      </c>
      <c r="C6288" s="76" t="s">
        <v>1079</v>
      </c>
      <c r="D6288" s="75"/>
    </row>
    <row hidden="true" r="6289">
      <c r="A6289" s="76" t="s">
        <v>1354</v>
      </c>
      <c r="B6289" s="76" t="s">
        <v>1040</v>
      </c>
      <c r="C6289" s="76" t="s">
        <v>1041</v>
      </c>
      <c r="D6289" s="75"/>
    </row>
    <row hidden="true" r="6290">
      <c r="A6290" s="76" t="s">
        <v>1354</v>
      </c>
      <c r="B6290" s="76" t="s">
        <v>839</v>
      </c>
      <c r="C6290" s="76" t="s">
        <v>840</v>
      </c>
      <c r="D6290" s="75"/>
    </row>
    <row hidden="true" r="6291">
      <c r="A6291" s="76" t="s">
        <v>1354</v>
      </c>
      <c r="B6291" s="76" t="s">
        <v>1121</v>
      </c>
      <c r="C6291" s="76" t="s">
        <v>1122</v>
      </c>
      <c r="D6291" s="75"/>
    </row>
    <row hidden="true" r="6292">
      <c r="A6292" s="76" t="s">
        <v>1354</v>
      </c>
      <c r="B6292" s="76" t="s">
        <v>1325</v>
      </c>
      <c r="C6292" s="76" t="s">
        <v>1326</v>
      </c>
      <c r="D6292" s="75"/>
    </row>
    <row hidden="true" r="6293">
      <c r="A6293" s="76" t="s">
        <v>1354</v>
      </c>
      <c r="B6293" s="76" t="s">
        <v>1080</v>
      </c>
      <c r="C6293" s="76" t="s">
        <v>1081</v>
      </c>
      <c r="D6293" s="75"/>
    </row>
    <row hidden="true" r="6294">
      <c r="A6294" s="76" t="s">
        <v>1354</v>
      </c>
      <c r="B6294" s="76" t="s">
        <v>1327</v>
      </c>
      <c r="C6294" s="76" t="s">
        <v>1328</v>
      </c>
      <c r="D6294" s="75"/>
    </row>
    <row hidden="true" r="6295">
      <c r="A6295" s="76" t="s">
        <v>1354</v>
      </c>
      <c r="B6295" s="76" t="s">
        <v>1090</v>
      </c>
      <c r="C6295" s="76" t="s">
        <v>1091</v>
      </c>
      <c r="D6295" s="75"/>
    </row>
    <row hidden="true" r="6296">
      <c r="A6296" s="76" t="s">
        <v>1354</v>
      </c>
      <c r="B6296" s="76" t="s">
        <v>1092</v>
      </c>
      <c r="C6296" s="76" t="s">
        <v>1091</v>
      </c>
      <c r="D6296" s="75"/>
    </row>
    <row hidden="true" r="6297">
      <c r="A6297" s="76" t="s">
        <v>1354</v>
      </c>
      <c r="B6297" s="76" t="s">
        <v>1093</v>
      </c>
      <c r="C6297" s="76" t="s">
        <v>1094</v>
      </c>
      <c r="D6297" s="75"/>
    </row>
    <row hidden="true" r="6298">
      <c r="A6298" s="76" t="s">
        <v>1354</v>
      </c>
      <c r="B6298" s="76" t="s">
        <v>1095</v>
      </c>
      <c r="C6298" s="76" t="s">
        <v>1096</v>
      </c>
      <c r="D6298" s="75"/>
    </row>
    <row hidden="true" r="6299">
      <c r="A6299" s="76" t="s">
        <v>1354</v>
      </c>
      <c r="B6299" s="76" t="s">
        <v>1097</v>
      </c>
      <c r="C6299" s="76" t="s">
        <v>1098</v>
      </c>
      <c r="D6299" s="75"/>
    </row>
    <row hidden="true" r="6300">
      <c r="A6300" s="76" t="s">
        <v>1354</v>
      </c>
      <c r="B6300" s="76" t="s">
        <v>1103</v>
      </c>
      <c r="C6300" s="76" t="s">
        <v>1104</v>
      </c>
      <c r="D6300" s="75"/>
    </row>
    <row hidden="true" r="6301">
      <c r="A6301" s="76" t="s">
        <v>1354</v>
      </c>
      <c r="B6301" s="76" t="s">
        <v>1329</v>
      </c>
      <c r="C6301" s="76" t="s">
        <v>1330</v>
      </c>
      <c r="D6301" s="75"/>
    </row>
    <row hidden="true" r="6302">
      <c r="A6302" s="76" t="s">
        <v>1354</v>
      </c>
      <c r="B6302" s="76" t="s">
        <v>1113</v>
      </c>
      <c r="C6302" s="76" t="s">
        <v>1114</v>
      </c>
      <c r="D6302" s="75"/>
    </row>
    <row hidden="true" r="6303">
      <c r="A6303" s="76" t="s">
        <v>1354</v>
      </c>
      <c r="B6303" s="76" t="s">
        <v>1115</v>
      </c>
      <c r="C6303" s="76" t="s">
        <v>1116</v>
      </c>
      <c r="D6303" s="75"/>
    </row>
    <row hidden="true" r="6304">
      <c r="A6304" s="76" t="s">
        <v>1354</v>
      </c>
      <c r="B6304" s="76" t="s">
        <v>1117</v>
      </c>
      <c r="C6304" s="76" t="s">
        <v>1118</v>
      </c>
      <c r="D6304" s="75"/>
    </row>
    <row hidden="true" r="6305">
      <c r="A6305" s="76" t="s">
        <v>1354</v>
      </c>
      <c r="B6305" s="76" t="s">
        <v>1119</v>
      </c>
      <c r="C6305" s="76" t="s">
        <v>1120</v>
      </c>
      <c r="D6305" s="75"/>
    </row>
    <row hidden="true" r="6306">
      <c r="A6306" s="76" t="s">
        <v>1354</v>
      </c>
      <c r="B6306" s="76" t="s">
        <v>1127</v>
      </c>
      <c r="C6306" s="76" t="s">
        <v>1128</v>
      </c>
      <c r="D6306" s="75"/>
    </row>
    <row hidden="true" r="6307">
      <c r="A6307" s="76" t="s">
        <v>1354</v>
      </c>
      <c r="B6307" s="76" t="s">
        <v>1129</v>
      </c>
      <c r="C6307" s="76" t="s">
        <v>1130</v>
      </c>
      <c r="D6307" s="75"/>
    </row>
    <row hidden="true" r="6308">
      <c r="A6308" s="76" t="s">
        <v>1354</v>
      </c>
      <c r="B6308" s="76" t="s">
        <v>1131</v>
      </c>
      <c r="C6308" s="76" t="s">
        <v>1132</v>
      </c>
      <c r="D6308" s="75"/>
    </row>
    <row hidden="true" r="6309">
      <c r="A6309" s="76" t="s">
        <v>1354</v>
      </c>
      <c r="B6309" s="76" t="s">
        <v>1137</v>
      </c>
      <c r="C6309" s="76" t="s">
        <v>1138</v>
      </c>
      <c r="D6309" s="75"/>
    </row>
    <row hidden="true" r="6310">
      <c r="A6310" s="76" t="s">
        <v>1354</v>
      </c>
      <c r="B6310" s="76" t="s">
        <v>1139</v>
      </c>
      <c r="C6310" s="76" t="s">
        <v>1140</v>
      </c>
      <c r="D6310" s="75"/>
    </row>
    <row hidden="true" r="6311">
      <c r="A6311" s="76" t="s">
        <v>1354</v>
      </c>
      <c r="B6311" s="76" t="s">
        <v>1141</v>
      </c>
      <c r="C6311" s="76" t="s">
        <v>1142</v>
      </c>
      <c r="D6311" s="75"/>
    </row>
    <row hidden="true" r="6312">
      <c r="A6312" s="76" t="s">
        <v>1354</v>
      </c>
      <c r="B6312" s="76" t="s">
        <v>1143</v>
      </c>
      <c r="C6312" s="76" t="s">
        <v>1144</v>
      </c>
      <c r="D6312" s="75"/>
    </row>
    <row hidden="true" r="6313">
      <c r="A6313" s="76" t="s">
        <v>1354</v>
      </c>
      <c r="B6313" s="76" t="s">
        <v>1145</v>
      </c>
      <c r="C6313" s="76" t="s">
        <v>1223</v>
      </c>
      <c r="D6313" s="75"/>
    </row>
    <row hidden="true" r="6314">
      <c r="A6314" s="76" t="s">
        <v>1354</v>
      </c>
      <c r="B6314" s="76" t="s">
        <v>1147</v>
      </c>
      <c r="C6314" s="76" t="s">
        <v>1148</v>
      </c>
      <c r="D6314" s="75"/>
    </row>
    <row hidden="true" r="6315">
      <c r="A6315" s="76" t="s">
        <v>1354</v>
      </c>
      <c r="B6315" s="76" t="s">
        <v>1153</v>
      </c>
      <c r="C6315" s="76" t="s">
        <v>1154</v>
      </c>
      <c r="D6315" s="75"/>
    </row>
    <row hidden="true" r="6316">
      <c r="A6316" s="76" t="s">
        <v>1354</v>
      </c>
      <c r="B6316" s="76" t="s">
        <v>1155</v>
      </c>
      <c r="C6316" s="76" t="s">
        <v>1156</v>
      </c>
      <c r="D6316" s="75"/>
    </row>
    <row hidden="true" r="6317">
      <c r="A6317" s="76" t="s">
        <v>1354</v>
      </c>
      <c r="B6317" s="76" t="s">
        <v>1157</v>
      </c>
      <c r="C6317" s="76" t="s">
        <v>1158</v>
      </c>
      <c r="D6317" s="75"/>
    </row>
    <row hidden="true" r="6318">
      <c r="A6318" s="76" t="s">
        <v>1354</v>
      </c>
      <c r="B6318" s="76" t="s">
        <v>1159</v>
      </c>
      <c r="C6318" s="76" t="s">
        <v>1160</v>
      </c>
      <c r="D6318" s="75"/>
    </row>
    <row hidden="true" r="6319">
      <c r="A6319" s="76" t="s">
        <v>1354</v>
      </c>
      <c r="B6319" s="76" t="s">
        <v>1161</v>
      </c>
      <c r="C6319" s="76" t="s">
        <v>1162</v>
      </c>
      <c r="D6319" s="75"/>
    </row>
    <row hidden="true" r="6320">
      <c r="A6320" s="76" t="s">
        <v>1354</v>
      </c>
      <c r="B6320" s="76" t="s">
        <v>1163</v>
      </c>
      <c r="C6320" s="76" t="s">
        <v>1164</v>
      </c>
      <c r="D6320" s="75"/>
    </row>
    <row hidden="true" r="6321">
      <c r="A6321" s="76" t="s">
        <v>1354</v>
      </c>
      <c r="B6321" s="76" t="s">
        <v>1165</v>
      </c>
      <c r="C6321" s="76" t="s">
        <v>1166</v>
      </c>
      <c r="D6321" s="75"/>
    </row>
    <row hidden="true" r="6322">
      <c r="A6322" s="76" t="s">
        <v>1354</v>
      </c>
      <c r="B6322" s="76" t="s">
        <v>1331</v>
      </c>
      <c r="C6322" s="76" t="s">
        <v>1345</v>
      </c>
      <c r="D6322" s="75"/>
    </row>
    <row hidden="true" r="6323">
      <c r="A6323" s="76" t="s">
        <v>1354</v>
      </c>
      <c r="B6323" s="76" t="s">
        <v>1333</v>
      </c>
      <c r="C6323" s="76" t="s">
        <v>1346</v>
      </c>
      <c r="D6323" s="75"/>
    </row>
    <row hidden="true" r="6324">
      <c r="A6324" s="76" t="s">
        <v>1354</v>
      </c>
      <c r="B6324" s="76" t="s">
        <v>1335</v>
      </c>
      <c r="C6324" s="76" t="s">
        <v>1347</v>
      </c>
      <c r="D6324" s="75"/>
    </row>
    <row hidden="true" r="6325">
      <c r="A6325" s="76" t="s">
        <v>1354</v>
      </c>
      <c r="B6325" s="76" t="s">
        <v>1337</v>
      </c>
      <c r="C6325" s="76" t="s">
        <v>1348</v>
      </c>
      <c r="D6325" s="75"/>
    </row>
    <row hidden="true" r="6326">
      <c r="A6326" s="76" t="s">
        <v>1354</v>
      </c>
      <c r="B6326" s="76" t="s">
        <v>1339</v>
      </c>
      <c r="C6326" s="76" t="s">
        <v>1349</v>
      </c>
      <c r="D6326" s="75"/>
    </row>
    <row hidden="true" r="6327">
      <c r="A6327" s="76" t="s">
        <v>1354</v>
      </c>
      <c r="B6327" s="76" t="s">
        <v>1341</v>
      </c>
      <c r="C6327" s="76" t="s">
        <v>1342</v>
      </c>
      <c r="D6327" s="75"/>
    </row>
    <row hidden="true" r="6328">
      <c r="A6328" s="76" t="s">
        <v>1354</v>
      </c>
      <c r="B6328" s="76" t="s">
        <v>1044</v>
      </c>
      <c r="C6328" s="76" t="s">
        <v>1045</v>
      </c>
      <c r="D6328" s="75"/>
    </row>
    <row hidden="true" r="6329">
      <c r="A6329" s="76" t="s">
        <v>1354</v>
      </c>
      <c r="B6329" s="76" t="s">
        <v>1046</v>
      </c>
      <c r="C6329" s="76" t="s">
        <v>1047</v>
      </c>
      <c r="D6329" s="75"/>
    </row>
    <row hidden="true" r="6330">
      <c r="A6330" s="76" t="s">
        <v>1354</v>
      </c>
      <c r="B6330" s="76" t="s">
        <v>1048</v>
      </c>
      <c r="C6330" s="76" t="s">
        <v>1049</v>
      </c>
      <c r="D6330" s="75"/>
    </row>
    <row hidden="true" r="6331">
      <c r="A6331" s="76" t="s">
        <v>1354</v>
      </c>
      <c r="B6331" s="76" t="s">
        <v>1167</v>
      </c>
      <c r="C6331" s="76" t="s">
        <v>1168</v>
      </c>
      <c r="D6331" s="75"/>
    </row>
    <row hidden="true" r="6332">
      <c r="A6332" s="76" t="s">
        <v>1354</v>
      </c>
      <c r="B6332" s="76" t="s">
        <v>1169</v>
      </c>
      <c r="C6332" s="76" t="s">
        <v>1170</v>
      </c>
      <c r="D6332" s="75"/>
    </row>
    <row hidden="true" r="6333">
      <c r="A6333" s="76" t="s">
        <v>1354</v>
      </c>
      <c r="B6333" s="76" t="s">
        <v>1171</v>
      </c>
      <c r="C6333" s="76" t="s">
        <v>1172</v>
      </c>
      <c r="D6333" s="75"/>
    </row>
    <row hidden="true" r="6334">
      <c r="A6334" s="76" t="s">
        <v>1354</v>
      </c>
      <c r="B6334" s="76" t="s">
        <v>1173</v>
      </c>
      <c r="C6334" s="76" t="s">
        <v>1174</v>
      </c>
      <c r="D6334" s="75"/>
    </row>
    <row hidden="true" r="6335">
      <c r="A6335" s="76" t="s">
        <v>1354</v>
      </c>
      <c r="B6335" s="76" t="s">
        <v>1175</v>
      </c>
      <c r="C6335" s="76" t="s">
        <v>1176</v>
      </c>
      <c r="D6335" s="75"/>
    </row>
    <row hidden="true" r="6336">
      <c r="A6336" s="76" t="s">
        <v>1354</v>
      </c>
      <c r="B6336" s="76" t="s">
        <v>1177</v>
      </c>
      <c r="C6336" s="76" t="s">
        <v>1178</v>
      </c>
      <c r="D6336" s="75"/>
    </row>
    <row hidden="true" r="6337">
      <c r="A6337" s="76" t="s">
        <v>1354</v>
      </c>
      <c r="B6337" s="76" t="s">
        <v>1135</v>
      </c>
      <c r="C6337" s="76" t="s">
        <v>1136</v>
      </c>
      <c r="D6337" s="75"/>
    </row>
    <row hidden="true" r="6338">
      <c r="A6338" s="76" t="s">
        <v>1354</v>
      </c>
      <c r="B6338" s="76" t="s">
        <v>1179</v>
      </c>
      <c r="C6338" s="76" t="s">
        <v>1180</v>
      </c>
      <c r="D6338" s="75"/>
    </row>
    <row hidden="true" r="6339">
      <c r="A6339" s="76" t="s">
        <v>1354</v>
      </c>
      <c r="B6339" s="76" t="s">
        <v>1181</v>
      </c>
      <c r="C6339" s="76" t="s">
        <v>1182</v>
      </c>
      <c r="D6339" s="75"/>
    </row>
    <row hidden="true" r="6340">
      <c r="A6340" s="76" t="s">
        <v>1354</v>
      </c>
      <c r="B6340" s="76" t="s">
        <v>1183</v>
      </c>
      <c r="C6340" s="76" t="s">
        <v>1184</v>
      </c>
      <c r="D6340" s="75"/>
    </row>
    <row hidden="true" r="6341">
      <c r="A6341" s="76" t="s">
        <v>1354</v>
      </c>
      <c r="B6341" s="76" t="s">
        <v>1185</v>
      </c>
      <c r="C6341" s="76" t="s">
        <v>1186</v>
      </c>
      <c r="D6341" s="75"/>
    </row>
    <row hidden="true" r="6342">
      <c r="A6342" s="76" t="s">
        <v>1354</v>
      </c>
      <c r="B6342" s="76" t="s">
        <v>1187</v>
      </c>
      <c r="C6342" s="76" t="s">
        <v>1188</v>
      </c>
      <c r="D6342" s="75"/>
    </row>
    <row hidden="true" r="6343">
      <c r="A6343" s="76" t="s">
        <v>1354</v>
      </c>
      <c r="B6343" s="76" t="s">
        <v>1189</v>
      </c>
      <c r="C6343" s="76" t="s">
        <v>1190</v>
      </c>
      <c r="D6343" s="75"/>
    </row>
    <row hidden="true" r="6344">
      <c r="A6344" s="76" t="s">
        <v>1354</v>
      </c>
      <c r="B6344" s="76" t="s">
        <v>1191</v>
      </c>
      <c r="C6344" s="76" t="s">
        <v>1192</v>
      </c>
      <c r="D6344" s="75"/>
    </row>
    <row hidden="true" r="6345">
      <c r="A6345" s="76" t="s">
        <v>1354</v>
      </c>
      <c r="B6345" s="76" t="s">
        <v>1199</v>
      </c>
      <c r="C6345" s="76" t="s">
        <v>1200</v>
      </c>
      <c r="D6345" s="75"/>
    </row>
    <row hidden="true" r="6346">
      <c r="A6346" s="76" t="s">
        <v>1354</v>
      </c>
      <c r="B6346" s="76" t="s">
        <v>1201</v>
      </c>
      <c r="C6346" s="76" t="s">
        <v>1202</v>
      </c>
      <c r="D6346" s="75"/>
    </row>
    <row hidden="true" r="6347">
      <c r="A6347" s="76" t="s">
        <v>1354</v>
      </c>
      <c r="B6347" s="76" t="s">
        <v>1203</v>
      </c>
      <c r="C6347" s="76" t="s">
        <v>1204</v>
      </c>
      <c r="D6347" s="75"/>
    </row>
    <row hidden="true" r="6348">
      <c r="A6348" s="76" t="s">
        <v>1354</v>
      </c>
      <c r="B6348" s="76" t="s">
        <v>1205</v>
      </c>
      <c r="C6348" s="76" t="s">
        <v>1206</v>
      </c>
      <c r="D6348" s="75"/>
    </row>
    <row hidden="true" r="6349">
      <c r="A6349" s="76" t="s">
        <v>1354</v>
      </c>
      <c r="B6349" s="76" t="s">
        <v>1207</v>
      </c>
      <c r="C6349" s="76" t="s">
        <v>1208</v>
      </c>
      <c r="D6349" s="75"/>
    </row>
    <row hidden="true" r="6350">
      <c r="A6350" s="76" t="s">
        <v>1354</v>
      </c>
      <c r="B6350" s="76" t="s">
        <v>1209</v>
      </c>
      <c r="C6350" s="76" t="s">
        <v>1210</v>
      </c>
      <c r="D6350" s="75"/>
    </row>
    <row hidden="true" r="6351">
      <c r="A6351" s="76" t="s">
        <v>1354</v>
      </c>
      <c r="B6351" s="76" t="s">
        <v>1211</v>
      </c>
      <c r="C6351" s="76"/>
      <c r="D6351" s="75"/>
    </row>
    <row hidden="true" r="6352">
      <c r="A6352" s="76" t="s">
        <v>1354</v>
      </c>
      <c r="B6352" s="76" t="s">
        <v>735</v>
      </c>
      <c r="C6352" s="76"/>
      <c r="D6352" s="75"/>
    </row>
    <row hidden="true" r="6353">
      <c r="A6353" s="76" t="s">
        <v>1355</v>
      </c>
      <c r="B6353" s="76" t="s">
        <v>407</v>
      </c>
      <c r="C6353" s="76" t="s">
        <v>408</v>
      </c>
      <c r="D6353" s="75"/>
    </row>
    <row hidden="true" r="6354">
      <c r="A6354" s="76" t="s">
        <v>1355</v>
      </c>
      <c r="B6354" s="76" t="s">
        <v>744</v>
      </c>
      <c r="C6354" s="76" t="s">
        <v>745</v>
      </c>
      <c r="D6354" s="75"/>
    </row>
    <row hidden="true" r="6355">
      <c r="A6355" s="76" t="s">
        <v>1355</v>
      </c>
      <c r="B6355" s="76" t="s">
        <v>480</v>
      </c>
      <c r="C6355" s="76" t="s">
        <v>481</v>
      </c>
      <c r="D6355" s="75"/>
    </row>
    <row hidden="true" r="6356">
      <c r="A6356" s="76" t="s">
        <v>1355</v>
      </c>
      <c r="B6356" s="76" t="s">
        <v>884</v>
      </c>
      <c r="C6356" s="76" t="s">
        <v>885</v>
      </c>
      <c r="D6356" s="75"/>
    </row>
    <row hidden="true" r="6357">
      <c r="A6357" s="76" t="s">
        <v>1355</v>
      </c>
      <c r="B6357" s="76" t="s">
        <v>886</v>
      </c>
      <c r="C6357" s="76" t="s">
        <v>887</v>
      </c>
      <c r="D6357" s="75"/>
    </row>
    <row hidden="true" r="6358">
      <c r="A6358" s="76" t="s">
        <v>1355</v>
      </c>
      <c r="B6358" s="76" t="s">
        <v>888</v>
      </c>
      <c r="C6358" s="76" t="s">
        <v>889</v>
      </c>
      <c r="D6358" s="75"/>
    </row>
    <row hidden="true" r="6359">
      <c r="A6359" s="76" t="s">
        <v>1355</v>
      </c>
      <c r="B6359" s="76" t="s">
        <v>890</v>
      </c>
      <c r="C6359" s="76" t="s">
        <v>891</v>
      </c>
      <c r="D6359" s="75"/>
    </row>
    <row hidden="true" r="6360">
      <c r="A6360" s="76" t="s">
        <v>1355</v>
      </c>
      <c r="B6360" s="76" t="s">
        <v>892</v>
      </c>
      <c r="C6360" s="76" t="s">
        <v>893</v>
      </c>
      <c r="D6360" s="75"/>
    </row>
    <row hidden="true" r="6361">
      <c r="A6361" s="76" t="s">
        <v>1355</v>
      </c>
      <c r="B6361" s="76" t="s">
        <v>894</v>
      </c>
      <c r="C6361" s="76" t="s">
        <v>895</v>
      </c>
      <c r="D6361" s="75"/>
    </row>
    <row hidden="true" r="6362">
      <c r="A6362" s="76" t="s">
        <v>1355</v>
      </c>
      <c r="B6362" s="76" t="s">
        <v>896</v>
      </c>
      <c r="C6362" s="76" t="s">
        <v>897</v>
      </c>
      <c r="D6362" s="75"/>
    </row>
    <row hidden="true" r="6363">
      <c r="A6363" s="76" t="s">
        <v>1355</v>
      </c>
      <c r="B6363" s="76" t="s">
        <v>898</v>
      </c>
      <c r="C6363" s="76" t="s">
        <v>899</v>
      </c>
      <c r="D6363" s="75"/>
    </row>
    <row hidden="true" r="6364">
      <c r="A6364" s="76" t="s">
        <v>1355</v>
      </c>
      <c r="B6364" s="76" t="s">
        <v>900</v>
      </c>
      <c r="C6364" s="76" t="s">
        <v>901</v>
      </c>
      <c r="D6364" s="75"/>
    </row>
    <row hidden="true" r="6365">
      <c r="A6365" s="76" t="s">
        <v>1355</v>
      </c>
      <c r="B6365" s="76" t="s">
        <v>902</v>
      </c>
      <c r="C6365" s="76" t="s">
        <v>903</v>
      </c>
      <c r="D6365" s="75"/>
    </row>
    <row hidden="true" r="6366">
      <c r="A6366" s="76" t="s">
        <v>1355</v>
      </c>
      <c r="B6366" s="76" t="s">
        <v>904</v>
      </c>
      <c r="C6366" s="76" t="s">
        <v>905</v>
      </c>
      <c r="D6366" s="75"/>
    </row>
    <row hidden="true" r="6367">
      <c r="A6367" s="76" t="s">
        <v>1355</v>
      </c>
      <c r="B6367" s="76" t="s">
        <v>906</v>
      </c>
      <c r="C6367" s="76" t="s">
        <v>907</v>
      </c>
      <c r="D6367" s="75"/>
    </row>
    <row hidden="true" r="6368">
      <c r="A6368" s="76" t="s">
        <v>1355</v>
      </c>
      <c r="B6368" s="76" t="s">
        <v>908</v>
      </c>
      <c r="C6368" s="76" t="s">
        <v>909</v>
      </c>
      <c r="D6368" s="75"/>
    </row>
    <row hidden="true" r="6369">
      <c r="A6369" s="76" t="s">
        <v>1355</v>
      </c>
      <c r="B6369" s="76" t="s">
        <v>910</v>
      </c>
      <c r="C6369" s="76" t="s">
        <v>911</v>
      </c>
      <c r="D6369" s="75"/>
    </row>
    <row hidden="true" r="6370">
      <c r="A6370" s="76" t="s">
        <v>1355</v>
      </c>
      <c r="B6370" s="76" t="s">
        <v>912</v>
      </c>
      <c r="C6370" s="76" t="s">
        <v>913</v>
      </c>
      <c r="D6370" s="75"/>
    </row>
    <row hidden="true" r="6371">
      <c r="A6371" s="76" t="s">
        <v>1355</v>
      </c>
      <c r="B6371" s="76" t="s">
        <v>914</v>
      </c>
      <c r="C6371" s="76" t="s">
        <v>915</v>
      </c>
      <c r="D6371" s="75"/>
    </row>
    <row hidden="true" r="6372">
      <c r="A6372" s="76" t="s">
        <v>1355</v>
      </c>
      <c r="B6372" s="76" t="s">
        <v>916</v>
      </c>
      <c r="C6372" s="76" t="s">
        <v>917</v>
      </c>
      <c r="D6372" s="75"/>
    </row>
    <row hidden="true" r="6373">
      <c r="A6373" s="76" t="s">
        <v>1355</v>
      </c>
      <c r="B6373" s="76" t="s">
        <v>918</v>
      </c>
      <c r="C6373" s="76" t="s">
        <v>919</v>
      </c>
      <c r="D6373" s="75"/>
    </row>
    <row hidden="true" r="6374">
      <c r="A6374" s="76" t="s">
        <v>1355</v>
      </c>
      <c r="B6374" s="76" t="s">
        <v>920</v>
      </c>
      <c r="C6374" s="76" t="s">
        <v>921</v>
      </c>
      <c r="D6374" s="75"/>
    </row>
    <row hidden="true" r="6375">
      <c r="A6375" s="76" t="s">
        <v>1355</v>
      </c>
      <c r="B6375" s="76" t="s">
        <v>922</v>
      </c>
      <c r="C6375" s="76" t="s">
        <v>923</v>
      </c>
      <c r="D6375" s="75"/>
    </row>
    <row hidden="true" r="6376">
      <c r="A6376" s="76" t="s">
        <v>1355</v>
      </c>
      <c r="B6376" s="76" t="s">
        <v>924</v>
      </c>
      <c r="C6376" s="76" t="s">
        <v>925</v>
      </c>
      <c r="D6376" s="75"/>
    </row>
    <row hidden="true" r="6377">
      <c r="A6377" s="76" t="s">
        <v>1355</v>
      </c>
      <c r="B6377" s="76" t="s">
        <v>926</v>
      </c>
      <c r="C6377" s="76" t="s">
        <v>927</v>
      </c>
      <c r="D6377" s="75"/>
    </row>
    <row hidden="true" r="6378">
      <c r="A6378" s="76" t="s">
        <v>1355</v>
      </c>
      <c r="B6378" s="76" t="s">
        <v>928</v>
      </c>
      <c r="C6378" s="76" t="s">
        <v>929</v>
      </c>
      <c r="D6378" s="75"/>
    </row>
    <row hidden="true" r="6379">
      <c r="A6379" s="76" t="s">
        <v>1355</v>
      </c>
      <c r="B6379" s="76" t="s">
        <v>930</v>
      </c>
      <c r="C6379" s="76" t="s">
        <v>931</v>
      </c>
      <c r="D6379" s="75"/>
    </row>
    <row hidden="true" r="6380">
      <c r="A6380" s="76" t="s">
        <v>1355</v>
      </c>
      <c r="B6380" s="76" t="s">
        <v>932</v>
      </c>
      <c r="C6380" s="76" t="s">
        <v>933</v>
      </c>
      <c r="D6380" s="75"/>
    </row>
    <row hidden="true" r="6381">
      <c r="A6381" s="76" t="s">
        <v>1355</v>
      </c>
      <c r="B6381" s="76" t="s">
        <v>934</v>
      </c>
      <c r="C6381" s="76" t="s">
        <v>935</v>
      </c>
      <c r="D6381" s="75"/>
    </row>
    <row hidden="true" r="6382">
      <c r="A6382" s="76" t="s">
        <v>1355</v>
      </c>
      <c r="B6382" s="76" t="s">
        <v>936</v>
      </c>
      <c r="C6382" s="76" t="s">
        <v>937</v>
      </c>
      <c r="D6382" s="75"/>
    </row>
    <row hidden="true" r="6383">
      <c r="A6383" s="76" t="s">
        <v>1355</v>
      </c>
      <c r="B6383" s="76" t="s">
        <v>938</v>
      </c>
      <c r="C6383" s="76" t="s">
        <v>939</v>
      </c>
      <c r="D6383" s="75"/>
    </row>
    <row hidden="true" r="6384">
      <c r="A6384" s="76" t="s">
        <v>1355</v>
      </c>
      <c r="B6384" s="76" t="s">
        <v>940</v>
      </c>
      <c r="C6384" s="76" t="s">
        <v>941</v>
      </c>
      <c r="D6384" s="75"/>
    </row>
    <row hidden="true" r="6385">
      <c r="A6385" s="76" t="s">
        <v>1355</v>
      </c>
      <c r="B6385" s="76" t="s">
        <v>942</v>
      </c>
      <c r="C6385" s="76" t="s">
        <v>943</v>
      </c>
      <c r="D6385" s="75"/>
    </row>
    <row hidden="true" r="6386">
      <c r="A6386" s="76" t="s">
        <v>1355</v>
      </c>
      <c r="B6386" s="76" t="s">
        <v>944</v>
      </c>
      <c r="C6386" s="76" t="s">
        <v>945</v>
      </c>
      <c r="D6386" s="75"/>
    </row>
    <row hidden="true" r="6387">
      <c r="A6387" s="76" t="s">
        <v>1355</v>
      </c>
      <c r="B6387" s="76" t="s">
        <v>1305</v>
      </c>
      <c r="C6387" s="76" t="s">
        <v>1306</v>
      </c>
      <c r="D6387" s="75"/>
    </row>
    <row hidden="true" r="6388">
      <c r="A6388" s="76" t="s">
        <v>1355</v>
      </c>
      <c r="B6388" s="76" t="s">
        <v>1307</v>
      </c>
      <c r="C6388" s="76" t="s">
        <v>1308</v>
      </c>
      <c r="D6388" s="75"/>
    </row>
    <row hidden="true" r="6389">
      <c r="A6389" s="76" t="s">
        <v>1355</v>
      </c>
      <c r="B6389" s="76" t="s">
        <v>946</v>
      </c>
      <c r="C6389" s="76" t="s">
        <v>947</v>
      </c>
      <c r="D6389" s="75"/>
    </row>
    <row hidden="true" r="6390">
      <c r="A6390" s="76" t="s">
        <v>1355</v>
      </c>
      <c r="B6390" s="76" t="s">
        <v>948</v>
      </c>
      <c r="C6390" s="76" t="s">
        <v>949</v>
      </c>
      <c r="D6390" s="75"/>
    </row>
    <row hidden="true" r="6391">
      <c r="A6391" s="76" t="s">
        <v>1355</v>
      </c>
      <c r="B6391" s="76" t="s">
        <v>950</v>
      </c>
      <c r="C6391" s="76" t="s">
        <v>951</v>
      </c>
      <c r="D6391" s="75"/>
    </row>
    <row hidden="true" r="6392">
      <c r="A6392" s="76" t="s">
        <v>1355</v>
      </c>
      <c r="B6392" s="76" t="s">
        <v>952</v>
      </c>
      <c r="C6392" s="76" t="s">
        <v>953</v>
      </c>
      <c r="D6392" s="75"/>
    </row>
    <row hidden="true" r="6393">
      <c r="A6393" s="76" t="s">
        <v>1355</v>
      </c>
      <c r="B6393" s="76" t="s">
        <v>954</v>
      </c>
      <c r="C6393" s="76" t="s">
        <v>955</v>
      </c>
      <c r="D6393" s="75"/>
    </row>
    <row hidden="true" r="6394">
      <c r="A6394" s="76" t="s">
        <v>1355</v>
      </c>
      <c r="B6394" s="76" t="s">
        <v>775</v>
      </c>
      <c r="C6394" s="76" t="s">
        <v>776</v>
      </c>
      <c r="D6394" s="75"/>
    </row>
    <row hidden="true" r="6395">
      <c r="A6395" s="76" t="s">
        <v>1355</v>
      </c>
      <c r="B6395" s="76" t="s">
        <v>956</v>
      </c>
      <c r="C6395" s="76" t="s">
        <v>957</v>
      </c>
      <c r="D6395" s="75"/>
    </row>
    <row hidden="true" r="6396">
      <c r="A6396" s="76" t="s">
        <v>1355</v>
      </c>
      <c r="B6396" s="76" t="s">
        <v>958</v>
      </c>
      <c r="C6396" s="76" t="s">
        <v>959</v>
      </c>
      <c r="D6396" s="75"/>
    </row>
    <row hidden="true" r="6397">
      <c r="A6397" s="76" t="s">
        <v>1355</v>
      </c>
      <c r="B6397" s="76" t="s">
        <v>960</v>
      </c>
      <c r="C6397" s="76" t="s">
        <v>961</v>
      </c>
      <c r="D6397" s="75"/>
    </row>
    <row hidden="true" r="6398">
      <c r="A6398" s="76" t="s">
        <v>1355</v>
      </c>
      <c r="B6398" s="76" t="s">
        <v>962</v>
      </c>
      <c r="C6398" s="76" t="s">
        <v>963</v>
      </c>
      <c r="D6398" s="75"/>
    </row>
    <row hidden="true" r="6399">
      <c r="A6399" s="76" t="s">
        <v>1355</v>
      </c>
      <c r="B6399" s="76" t="s">
        <v>964</v>
      </c>
      <c r="C6399" s="76" t="s">
        <v>965</v>
      </c>
      <c r="D6399" s="75"/>
    </row>
    <row hidden="true" r="6400">
      <c r="A6400" s="76" t="s">
        <v>1355</v>
      </c>
      <c r="B6400" s="76" t="s">
        <v>966</v>
      </c>
      <c r="C6400" s="76" t="s">
        <v>967</v>
      </c>
      <c r="D6400" s="75"/>
    </row>
    <row hidden="true" r="6401">
      <c r="A6401" s="76" t="s">
        <v>1355</v>
      </c>
      <c r="B6401" s="76" t="s">
        <v>968</v>
      </c>
      <c r="C6401" s="76" t="s">
        <v>969</v>
      </c>
      <c r="D6401" s="75"/>
    </row>
    <row hidden="true" r="6402">
      <c r="A6402" s="76" t="s">
        <v>1355</v>
      </c>
      <c r="B6402" s="76" t="s">
        <v>970</v>
      </c>
      <c r="C6402" s="76" t="s">
        <v>971</v>
      </c>
      <c r="D6402" s="75"/>
    </row>
    <row hidden="true" r="6403">
      <c r="A6403" s="76" t="s">
        <v>1355</v>
      </c>
      <c r="B6403" s="76" t="s">
        <v>972</v>
      </c>
      <c r="C6403" s="76" t="s">
        <v>973</v>
      </c>
      <c r="D6403" s="75"/>
    </row>
    <row hidden="true" r="6404">
      <c r="A6404" s="76" t="s">
        <v>1355</v>
      </c>
      <c r="B6404" s="76" t="s">
        <v>974</v>
      </c>
      <c r="C6404" s="76" t="s">
        <v>975</v>
      </c>
      <c r="D6404" s="75"/>
    </row>
    <row hidden="true" r="6405">
      <c r="A6405" s="76" t="s">
        <v>1355</v>
      </c>
      <c r="B6405" s="76" t="s">
        <v>976</v>
      </c>
      <c r="C6405" s="76" t="s">
        <v>977</v>
      </c>
      <c r="D6405" s="75"/>
    </row>
    <row hidden="true" r="6406">
      <c r="A6406" s="76" t="s">
        <v>1355</v>
      </c>
      <c r="B6406" s="76" t="s">
        <v>823</v>
      </c>
      <c r="C6406" s="76" t="s">
        <v>824</v>
      </c>
      <c r="D6406" s="75"/>
    </row>
    <row hidden="true" r="6407">
      <c r="A6407" s="76" t="s">
        <v>1355</v>
      </c>
      <c r="B6407" s="76" t="s">
        <v>978</v>
      </c>
      <c r="C6407" s="76" t="s">
        <v>979</v>
      </c>
      <c r="D6407" s="75"/>
    </row>
    <row hidden="true" r="6408">
      <c r="A6408" s="76" t="s">
        <v>1355</v>
      </c>
      <c r="B6408" s="76" t="s">
        <v>980</v>
      </c>
      <c r="C6408" s="76" t="s">
        <v>981</v>
      </c>
      <c r="D6408" s="75"/>
    </row>
    <row hidden="true" r="6409">
      <c r="A6409" s="76" t="s">
        <v>1355</v>
      </c>
      <c r="B6409" s="76" t="s">
        <v>982</v>
      </c>
      <c r="C6409" s="76" t="s">
        <v>983</v>
      </c>
      <c r="D6409" s="75"/>
    </row>
    <row hidden="true" r="6410">
      <c r="A6410" s="76" t="s">
        <v>1355</v>
      </c>
      <c r="B6410" s="76" t="s">
        <v>984</v>
      </c>
      <c r="C6410" s="76" t="s">
        <v>985</v>
      </c>
      <c r="D6410" s="75"/>
    </row>
    <row hidden="true" r="6411">
      <c r="A6411" s="76" t="s">
        <v>1355</v>
      </c>
      <c r="B6411" s="76" t="s">
        <v>986</v>
      </c>
      <c r="C6411" s="76" t="s">
        <v>987</v>
      </c>
      <c r="D6411" s="75"/>
    </row>
    <row hidden="true" r="6412">
      <c r="A6412" s="76" t="s">
        <v>1355</v>
      </c>
      <c r="B6412" s="76" t="s">
        <v>1309</v>
      </c>
      <c r="C6412" s="76" t="s">
        <v>1310</v>
      </c>
      <c r="D6412" s="75"/>
    </row>
    <row hidden="true" r="6413">
      <c r="A6413" s="76" t="s">
        <v>1355</v>
      </c>
      <c r="B6413" s="76" t="s">
        <v>1311</v>
      </c>
      <c r="C6413" s="76" t="s">
        <v>1312</v>
      </c>
      <c r="D6413" s="75"/>
    </row>
    <row hidden="true" r="6414">
      <c r="A6414" s="76" t="s">
        <v>1355</v>
      </c>
      <c r="B6414" s="76" t="s">
        <v>1099</v>
      </c>
      <c r="C6414" s="76" t="s">
        <v>1100</v>
      </c>
      <c r="D6414" s="75"/>
    </row>
    <row hidden="true" r="6415">
      <c r="A6415" s="76" t="s">
        <v>1355</v>
      </c>
      <c r="B6415" s="76" t="s">
        <v>1101</v>
      </c>
      <c r="C6415" s="76" t="s">
        <v>1102</v>
      </c>
      <c r="D6415" s="75"/>
    </row>
    <row hidden="true" r="6416">
      <c r="A6416" s="76" t="s">
        <v>1355</v>
      </c>
      <c r="B6416" s="76" t="s">
        <v>1313</v>
      </c>
      <c r="C6416" s="76" t="s">
        <v>1314</v>
      </c>
      <c r="D6416" s="75"/>
    </row>
    <row hidden="true" r="6417">
      <c r="A6417" s="76" t="s">
        <v>1355</v>
      </c>
      <c r="B6417" s="76" t="s">
        <v>996</v>
      </c>
      <c r="C6417" s="76" t="s">
        <v>997</v>
      </c>
      <c r="D6417" s="75"/>
    </row>
    <row hidden="true" r="6418">
      <c r="A6418" s="76" t="s">
        <v>1355</v>
      </c>
      <c r="B6418" s="76" t="s">
        <v>998</v>
      </c>
      <c r="C6418" s="76" t="s">
        <v>999</v>
      </c>
      <c r="D6418" s="75"/>
    </row>
    <row hidden="true" r="6419">
      <c r="A6419" s="76" t="s">
        <v>1355</v>
      </c>
      <c r="B6419" s="76" t="s">
        <v>1000</v>
      </c>
      <c r="C6419" s="76" t="s">
        <v>1001</v>
      </c>
      <c r="D6419" s="75"/>
    </row>
    <row hidden="true" r="6420">
      <c r="A6420" s="76" t="s">
        <v>1355</v>
      </c>
      <c r="B6420" s="76" t="s">
        <v>1002</v>
      </c>
      <c r="C6420" s="76" t="s">
        <v>1003</v>
      </c>
      <c r="D6420" s="75"/>
    </row>
    <row hidden="true" r="6421">
      <c r="A6421" s="76" t="s">
        <v>1355</v>
      </c>
      <c r="B6421" s="76" t="s">
        <v>1004</v>
      </c>
      <c r="C6421" s="76" t="s">
        <v>1005</v>
      </c>
      <c r="D6421" s="75"/>
    </row>
    <row hidden="true" r="6422">
      <c r="A6422" s="76" t="s">
        <v>1355</v>
      </c>
      <c r="B6422" s="76" t="s">
        <v>1006</v>
      </c>
      <c r="C6422" s="76" t="s">
        <v>1007</v>
      </c>
      <c r="D6422" s="75"/>
    </row>
    <row hidden="true" r="6423">
      <c r="A6423" s="76" t="s">
        <v>1355</v>
      </c>
      <c r="B6423" s="76" t="s">
        <v>1008</v>
      </c>
      <c r="C6423" s="76" t="s">
        <v>1009</v>
      </c>
      <c r="D6423" s="75"/>
    </row>
    <row hidden="true" r="6424">
      <c r="A6424" s="76" t="s">
        <v>1355</v>
      </c>
      <c r="B6424" s="76" t="s">
        <v>1010</v>
      </c>
      <c r="C6424" s="76" t="s">
        <v>1011</v>
      </c>
      <c r="D6424" s="75"/>
    </row>
    <row hidden="true" r="6425">
      <c r="A6425" s="76" t="s">
        <v>1355</v>
      </c>
      <c r="B6425" s="76" t="s">
        <v>1315</v>
      </c>
      <c r="C6425" s="76" t="s">
        <v>1316</v>
      </c>
      <c r="D6425" s="75"/>
    </row>
    <row hidden="true" r="6426">
      <c r="A6426" s="76" t="s">
        <v>1355</v>
      </c>
      <c r="B6426" s="76" t="s">
        <v>1014</v>
      </c>
      <c r="C6426" s="76" t="s">
        <v>1015</v>
      </c>
      <c r="D6426" s="75"/>
    </row>
    <row hidden="true" r="6427">
      <c r="A6427" s="76" t="s">
        <v>1355</v>
      </c>
      <c r="B6427" s="76" t="s">
        <v>1016</v>
      </c>
      <c r="C6427" s="76" t="s">
        <v>1017</v>
      </c>
      <c r="D6427" s="75"/>
    </row>
    <row hidden="true" r="6428">
      <c r="A6428" s="76" t="s">
        <v>1355</v>
      </c>
      <c r="B6428" s="76" t="s">
        <v>1018</v>
      </c>
      <c r="C6428" s="76" t="s">
        <v>1019</v>
      </c>
      <c r="D6428" s="75"/>
    </row>
    <row hidden="true" r="6429">
      <c r="A6429" s="76" t="s">
        <v>1355</v>
      </c>
      <c r="B6429" s="76" t="s">
        <v>1020</v>
      </c>
      <c r="C6429" s="76" t="s">
        <v>1021</v>
      </c>
      <c r="D6429" s="75"/>
    </row>
    <row hidden="true" r="6430">
      <c r="A6430" s="76" t="s">
        <v>1355</v>
      </c>
      <c r="B6430" s="76" t="s">
        <v>1022</v>
      </c>
      <c r="C6430" s="76" t="s">
        <v>1017</v>
      </c>
      <c r="D6430" s="75"/>
    </row>
    <row hidden="true" r="6431">
      <c r="A6431" s="76" t="s">
        <v>1355</v>
      </c>
      <c r="B6431" s="76" t="s">
        <v>1023</v>
      </c>
      <c r="C6431" s="76" t="s">
        <v>1019</v>
      </c>
      <c r="D6431" s="75"/>
    </row>
    <row hidden="true" r="6432">
      <c r="A6432" s="76" t="s">
        <v>1355</v>
      </c>
      <c r="B6432" s="76" t="s">
        <v>1024</v>
      </c>
      <c r="C6432" s="76" t="s">
        <v>1021</v>
      </c>
      <c r="D6432" s="75"/>
    </row>
    <row hidden="true" r="6433">
      <c r="A6433" s="76" t="s">
        <v>1355</v>
      </c>
      <c r="B6433" s="76" t="s">
        <v>1025</v>
      </c>
      <c r="C6433" s="76" t="s">
        <v>1017</v>
      </c>
      <c r="D6433" s="75"/>
    </row>
    <row hidden="true" r="6434">
      <c r="A6434" s="76" t="s">
        <v>1355</v>
      </c>
      <c r="B6434" s="76" t="s">
        <v>1026</v>
      </c>
      <c r="C6434" s="76" t="s">
        <v>1019</v>
      </c>
      <c r="D6434" s="75"/>
    </row>
    <row hidden="true" r="6435">
      <c r="A6435" s="76" t="s">
        <v>1355</v>
      </c>
      <c r="B6435" s="76" t="s">
        <v>1027</v>
      </c>
      <c r="C6435" s="76" t="s">
        <v>1021</v>
      </c>
      <c r="D6435" s="75"/>
    </row>
    <row hidden="true" r="6436">
      <c r="A6436" s="76" t="s">
        <v>1355</v>
      </c>
      <c r="B6436" s="76" t="s">
        <v>1133</v>
      </c>
      <c r="C6436" s="76" t="s">
        <v>1134</v>
      </c>
      <c r="D6436" s="75"/>
    </row>
    <row hidden="true" r="6437">
      <c r="A6437" s="76" t="s">
        <v>1355</v>
      </c>
      <c r="B6437" s="76" t="s">
        <v>1317</v>
      </c>
      <c r="C6437" s="76" t="s">
        <v>1318</v>
      </c>
      <c r="D6437" s="75"/>
    </row>
    <row hidden="true" r="6438">
      <c r="A6438" s="76" t="s">
        <v>1355</v>
      </c>
      <c r="B6438" s="76" t="s">
        <v>1319</v>
      </c>
      <c r="C6438" s="76" t="s">
        <v>1320</v>
      </c>
      <c r="D6438" s="75"/>
    </row>
    <row hidden="true" r="6439">
      <c r="A6439" s="76" t="s">
        <v>1355</v>
      </c>
      <c r="B6439" s="76" t="s">
        <v>1028</v>
      </c>
      <c r="C6439" s="76" t="s">
        <v>1029</v>
      </c>
      <c r="D6439" s="75"/>
    </row>
    <row hidden="true" r="6440">
      <c r="A6440" s="76" t="s">
        <v>1355</v>
      </c>
      <c r="B6440" s="76" t="s">
        <v>988</v>
      </c>
      <c r="C6440" s="76" t="s">
        <v>989</v>
      </c>
      <c r="D6440" s="75"/>
    </row>
    <row hidden="true" r="6441">
      <c r="A6441" s="76" t="s">
        <v>1355</v>
      </c>
      <c r="B6441" s="76" t="s">
        <v>990</v>
      </c>
      <c r="C6441" s="76" t="s">
        <v>991</v>
      </c>
      <c r="D6441" s="75"/>
    </row>
    <row hidden="true" r="6442">
      <c r="A6442" s="76" t="s">
        <v>1355</v>
      </c>
      <c r="B6442" s="76" t="s">
        <v>992</v>
      </c>
      <c r="C6442" s="76" t="s">
        <v>993</v>
      </c>
      <c r="D6442" s="75"/>
    </row>
    <row hidden="true" r="6443">
      <c r="A6443" s="76" t="s">
        <v>1355</v>
      </c>
      <c r="B6443" s="76" t="s">
        <v>530</v>
      </c>
      <c r="C6443" s="76" t="s">
        <v>531</v>
      </c>
      <c r="D6443" s="75"/>
    </row>
    <row hidden="true" r="6444">
      <c r="A6444" s="76" t="s">
        <v>1355</v>
      </c>
      <c r="B6444" s="76" t="s">
        <v>1032</v>
      </c>
      <c r="C6444" s="76" t="s">
        <v>1033</v>
      </c>
      <c r="D6444" s="75"/>
    </row>
    <row hidden="true" r="6445">
      <c r="A6445" s="76" t="s">
        <v>1355</v>
      </c>
      <c r="B6445" s="76" t="s">
        <v>532</v>
      </c>
      <c r="C6445" s="76" t="s">
        <v>533</v>
      </c>
      <c r="D6445" s="75"/>
    </row>
    <row hidden="true" r="6446">
      <c r="A6446" s="76" t="s">
        <v>1355</v>
      </c>
      <c r="B6446" s="76" t="s">
        <v>1036</v>
      </c>
      <c r="C6446" s="76" t="s">
        <v>1037</v>
      </c>
      <c r="D6446" s="75"/>
    </row>
    <row hidden="true" r="6447">
      <c r="A6447" s="76" t="s">
        <v>1355</v>
      </c>
      <c r="B6447" s="76" t="s">
        <v>1038</v>
      </c>
      <c r="C6447" s="76" t="s">
        <v>1039</v>
      </c>
      <c r="D6447" s="75"/>
    </row>
    <row hidden="true" r="6448">
      <c r="A6448" s="76" t="s">
        <v>1355</v>
      </c>
      <c r="B6448" s="76" t="s">
        <v>1321</v>
      </c>
      <c r="C6448" s="76" t="s">
        <v>1322</v>
      </c>
      <c r="D6448" s="75"/>
    </row>
    <row hidden="true" r="6449">
      <c r="A6449" s="76" t="s">
        <v>1355</v>
      </c>
      <c r="B6449" s="76" t="s">
        <v>1323</v>
      </c>
      <c r="C6449" s="76" t="s">
        <v>1324</v>
      </c>
      <c r="D6449" s="75"/>
    </row>
    <row hidden="true" r="6450">
      <c r="A6450" s="76" t="s">
        <v>1355</v>
      </c>
      <c r="B6450" s="76" t="s">
        <v>1012</v>
      </c>
      <c r="C6450" s="76" t="s">
        <v>1013</v>
      </c>
      <c r="D6450" s="75"/>
    </row>
    <row hidden="true" r="6451">
      <c r="A6451" s="76" t="s">
        <v>1355</v>
      </c>
      <c r="B6451" s="76" t="s">
        <v>1052</v>
      </c>
      <c r="C6451" s="76" t="s">
        <v>1053</v>
      </c>
      <c r="D6451" s="75"/>
    </row>
    <row hidden="true" r="6452">
      <c r="A6452" s="76" t="s">
        <v>1355</v>
      </c>
      <c r="B6452" s="76" t="s">
        <v>1054</v>
      </c>
      <c r="C6452" s="76" t="s">
        <v>1055</v>
      </c>
      <c r="D6452" s="75"/>
    </row>
    <row hidden="true" r="6453">
      <c r="A6453" s="76" t="s">
        <v>1355</v>
      </c>
      <c r="B6453" s="76" t="s">
        <v>1056</v>
      </c>
      <c r="C6453" s="76" t="s">
        <v>1057</v>
      </c>
      <c r="D6453" s="75"/>
    </row>
    <row hidden="true" r="6454">
      <c r="A6454" s="76" t="s">
        <v>1355</v>
      </c>
      <c r="B6454" s="76" t="s">
        <v>1058</v>
      </c>
      <c r="C6454" s="76" t="s">
        <v>1059</v>
      </c>
      <c r="D6454" s="75"/>
    </row>
    <row hidden="true" r="6455">
      <c r="A6455" s="76" t="s">
        <v>1355</v>
      </c>
      <c r="B6455" s="76" t="s">
        <v>1060</v>
      </c>
      <c r="C6455" s="76" t="s">
        <v>1061</v>
      </c>
      <c r="D6455" s="75"/>
    </row>
    <row hidden="true" r="6456">
      <c r="A6456" s="76" t="s">
        <v>1355</v>
      </c>
      <c r="B6456" s="76" t="s">
        <v>1062</v>
      </c>
      <c r="C6456" s="76" t="s">
        <v>1063</v>
      </c>
      <c r="D6456" s="75"/>
    </row>
    <row hidden="true" r="6457">
      <c r="A6457" s="76" t="s">
        <v>1355</v>
      </c>
      <c r="B6457" s="76" t="s">
        <v>1064</v>
      </c>
      <c r="C6457" s="76" t="s">
        <v>1065</v>
      </c>
      <c r="D6457" s="75"/>
    </row>
    <row hidden="true" r="6458">
      <c r="A6458" s="76" t="s">
        <v>1355</v>
      </c>
      <c r="B6458" s="76" t="s">
        <v>1066</v>
      </c>
      <c r="C6458" s="76" t="s">
        <v>1067</v>
      </c>
      <c r="D6458" s="75"/>
    </row>
    <row hidden="true" r="6459">
      <c r="A6459" s="76" t="s">
        <v>1355</v>
      </c>
      <c r="B6459" s="76" t="s">
        <v>1068</v>
      </c>
      <c r="C6459" s="76" t="s">
        <v>1069</v>
      </c>
      <c r="D6459" s="75"/>
    </row>
    <row hidden="true" r="6460">
      <c r="A6460" s="76" t="s">
        <v>1355</v>
      </c>
      <c r="B6460" s="76" t="s">
        <v>1070</v>
      </c>
      <c r="C6460" s="76" t="s">
        <v>1069</v>
      </c>
      <c r="D6460" s="75"/>
    </row>
    <row hidden="true" r="6461">
      <c r="A6461" s="76" t="s">
        <v>1355</v>
      </c>
      <c r="B6461" s="76" t="s">
        <v>1071</v>
      </c>
      <c r="C6461" s="76" t="s">
        <v>1069</v>
      </c>
      <c r="D6461" s="75"/>
    </row>
    <row hidden="true" r="6462">
      <c r="A6462" s="76" t="s">
        <v>1355</v>
      </c>
      <c r="B6462" s="76" t="s">
        <v>1072</v>
      </c>
      <c r="C6462" s="76" t="s">
        <v>1073</v>
      </c>
      <c r="D6462" s="75"/>
    </row>
    <row hidden="true" r="6463">
      <c r="A6463" s="76" t="s">
        <v>1355</v>
      </c>
      <c r="B6463" s="76" t="s">
        <v>1074</v>
      </c>
      <c r="C6463" s="76" t="s">
        <v>1073</v>
      </c>
      <c r="D6463" s="75"/>
    </row>
    <row hidden="true" r="6464">
      <c r="A6464" s="76" t="s">
        <v>1355</v>
      </c>
      <c r="B6464" s="76" t="s">
        <v>1075</v>
      </c>
      <c r="C6464" s="76" t="s">
        <v>1073</v>
      </c>
      <c r="D6464" s="75"/>
    </row>
    <row hidden="true" r="6465">
      <c r="A6465" s="76" t="s">
        <v>1355</v>
      </c>
      <c r="B6465" s="76" t="s">
        <v>1082</v>
      </c>
      <c r="C6465" s="76" t="s">
        <v>1083</v>
      </c>
      <c r="D6465" s="75"/>
    </row>
    <row hidden="true" r="6466">
      <c r="A6466" s="76" t="s">
        <v>1355</v>
      </c>
      <c r="B6466" s="76" t="s">
        <v>1084</v>
      </c>
      <c r="C6466" s="76" t="s">
        <v>1085</v>
      </c>
      <c r="D6466" s="75"/>
    </row>
    <row hidden="true" r="6467">
      <c r="A6467" s="76" t="s">
        <v>1355</v>
      </c>
      <c r="B6467" s="76" t="s">
        <v>1086</v>
      </c>
      <c r="C6467" s="76" t="s">
        <v>1087</v>
      </c>
      <c r="D6467" s="75"/>
    </row>
    <row hidden="true" r="6468">
      <c r="A6468" s="76" t="s">
        <v>1355</v>
      </c>
      <c r="B6468" s="76" t="s">
        <v>1088</v>
      </c>
      <c r="C6468" s="76" t="s">
        <v>1089</v>
      </c>
      <c r="D6468" s="75"/>
    </row>
    <row hidden="true" r="6469">
      <c r="A6469" s="76" t="s">
        <v>1355</v>
      </c>
      <c r="B6469" s="76" t="s">
        <v>1076</v>
      </c>
      <c r="C6469" s="76" t="s">
        <v>1077</v>
      </c>
      <c r="D6469" s="75"/>
    </row>
    <row hidden="true" r="6470">
      <c r="A6470" s="76" t="s">
        <v>1355</v>
      </c>
      <c r="B6470" s="76" t="s">
        <v>1078</v>
      </c>
      <c r="C6470" s="76" t="s">
        <v>1079</v>
      </c>
      <c r="D6470" s="75"/>
    </row>
    <row hidden="true" r="6471">
      <c r="A6471" s="76" t="s">
        <v>1355</v>
      </c>
      <c r="B6471" s="76" t="s">
        <v>1040</v>
      </c>
      <c r="C6471" s="76" t="s">
        <v>1041</v>
      </c>
      <c r="D6471" s="75"/>
    </row>
    <row hidden="true" r="6472">
      <c r="A6472" s="76" t="s">
        <v>1355</v>
      </c>
      <c r="B6472" s="76" t="s">
        <v>839</v>
      </c>
      <c r="C6472" s="76" t="s">
        <v>840</v>
      </c>
      <c r="D6472" s="75"/>
    </row>
    <row hidden="true" r="6473">
      <c r="A6473" s="76" t="s">
        <v>1355</v>
      </c>
      <c r="B6473" s="76" t="s">
        <v>1121</v>
      </c>
      <c r="C6473" s="76" t="s">
        <v>1122</v>
      </c>
      <c r="D6473" s="75"/>
    </row>
    <row hidden="true" r="6474">
      <c r="A6474" s="76" t="s">
        <v>1355</v>
      </c>
      <c r="B6474" s="76" t="s">
        <v>1325</v>
      </c>
      <c r="C6474" s="76" t="s">
        <v>1326</v>
      </c>
      <c r="D6474" s="75"/>
    </row>
    <row hidden="true" r="6475">
      <c r="A6475" s="76" t="s">
        <v>1355</v>
      </c>
      <c r="B6475" s="76" t="s">
        <v>1080</v>
      </c>
      <c r="C6475" s="76" t="s">
        <v>1081</v>
      </c>
      <c r="D6475" s="75"/>
    </row>
    <row hidden="true" r="6476">
      <c r="A6476" s="76" t="s">
        <v>1355</v>
      </c>
      <c r="B6476" s="76" t="s">
        <v>1327</v>
      </c>
      <c r="C6476" s="76" t="s">
        <v>1328</v>
      </c>
      <c r="D6476" s="75"/>
    </row>
    <row hidden="true" r="6477">
      <c r="A6477" s="76" t="s">
        <v>1355</v>
      </c>
      <c r="B6477" s="76" t="s">
        <v>1090</v>
      </c>
      <c r="C6477" s="76" t="s">
        <v>1091</v>
      </c>
      <c r="D6477" s="75"/>
    </row>
    <row hidden="true" r="6478">
      <c r="A6478" s="76" t="s">
        <v>1355</v>
      </c>
      <c r="B6478" s="76" t="s">
        <v>1092</v>
      </c>
      <c r="C6478" s="76" t="s">
        <v>1091</v>
      </c>
      <c r="D6478" s="75"/>
    </row>
    <row hidden="true" r="6479">
      <c r="A6479" s="76" t="s">
        <v>1355</v>
      </c>
      <c r="B6479" s="76" t="s">
        <v>1093</v>
      </c>
      <c r="C6479" s="76" t="s">
        <v>1094</v>
      </c>
      <c r="D6479" s="75"/>
    </row>
    <row hidden="true" r="6480">
      <c r="A6480" s="76" t="s">
        <v>1355</v>
      </c>
      <c r="B6480" s="76" t="s">
        <v>1095</v>
      </c>
      <c r="C6480" s="76" t="s">
        <v>1096</v>
      </c>
      <c r="D6480" s="75"/>
    </row>
    <row hidden="true" r="6481">
      <c r="A6481" s="76" t="s">
        <v>1355</v>
      </c>
      <c r="B6481" s="76" t="s">
        <v>1097</v>
      </c>
      <c r="C6481" s="76" t="s">
        <v>1098</v>
      </c>
      <c r="D6481" s="75"/>
    </row>
    <row hidden="true" r="6482">
      <c r="A6482" s="76" t="s">
        <v>1355</v>
      </c>
      <c r="B6482" s="76" t="s">
        <v>1103</v>
      </c>
      <c r="C6482" s="76" t="s">
        <v>1104</v>
      </c>
      <c r="D6482" s="75"/>
    </row>
    <row hidden="true" r="6483">
      <c r="A6483" s="76" t="s">
        <v>1355</v>
      </c>
      <c r="B6483" s="76" t="s">
        <v>1329</v>
      </c>
      <c r="C6483" s="76" t="s">
        <v>1330</v>
      </c>
      <c r="D6483" s="75"/>
    </row>
    <row hidden="true" r="6484">
      <c r="A6484" s="76" t="s">
        <v>1355</v>
      </c>
      <c r="B6484" s="76" t="s">
        <v>1113</v>
      </c>
      <c r="C6484" s="76" t="s">
        <v>1114</v>
      </c>
      <c r="D6484" s="75"/>
    </row>
    <row hidden="true" r="6485">
      <c r="A6485" s="76" t="s">
        <v>1355</v>
      </c>
      <c r="B6485" s="76" t="s">
        <v>1115</v>
      </c>
      <c r="C6485" s="76" t="s">
        <v>1116</v>
      </c>
      <c r="D6485" s="75"/>
    </row>
    <row hidden="true" r="6486">
      <c r="A6486" s="76" t="s">
        <v>1355</v>
      </c>
      <c r="B6486" s="76" t="s">
        <v>1117</v>
      </c>
      <c r="C6486" s="76" t="s">
        <v>1118</v>
      </c>
      <c r="D6486" s="75"/>
    </row>
    <row hidden="true" r="6487">
      <c r="A6487" s="76" t="s">
        <v>1355</v>
      </c>
      <c r="B6487" s="76" t="s">
        <v>1119</v>
      </c>
      <c r="C6487" s="76" t="s">
        <v>1120</v>
      </c>
      <c r="D6487" s="75"/>
    </row>
    <row hidden="true" r="6488">
      <c r="A6488" s="76" t="s">
        <v>1355</v>
      </c>
      <c r="B6488" s="76" t="s">
        <v>1127</v>
      </c>
      <c r="C6488" s="76" t="s">
        <v>1128</v>
      </c>
      <c r="D6488" s="75"/>
    </row>
    <row hidden="true" r="6489">
      <c r="A6489" s="76" t="s">
        <v>1355</v>
      </c>
      <c r="B6489" s="76" t="s">
        <v>1129</v>
      </c>
      <c r="C6489" s="76" t="s">
        <v>1130</v>
      </c>
      <c r="D6489" s="75"/>
    </row>
    <row hidden="true" r="6490">
      <c r="A6490" s="76" t="s">
        <v>1355</v>
      </c>
      <c r="B6490" s="76" t="s">
        <v>1131</v>
      </c>
      <c r="C6490" s="76" t="s">
        <v>1132</v>
      </c>
      <c r="D6490" s="75"/>
    </row>
    <row hidden="true" r="6491">
      <c r="A6491" s="76" t="s">
        <v>1355</v>
      </c>
      <c r="B6491" s="76" t="s">
        <v>1137</v>
      </c>
      <c r="C6491" s="76" t="s">
        <v>1138</v>
      </c>
      <c r="D6491" s="75"/>
    </row>
    <row hidden="true" r="6492">
      <c r="A6492" s="76" t="s">
        <v>1355</v>
      </c>
      <c r="B6492" s="76" t="s">
        <v>1139</v>
      </c>
      <c r="C6492" s="76" t="s">
        <v>1140</v>
      </c>
      <c r="D6492" s="75"/>
    </row>
    <row hidden="true" r="6493">
      <c r="A6493" s="76" t="s">
        <v>1355</v>
      </c>
      <c r="B6493" s="76" t="s">
        <v>1141</v>
      </c>
      <c r="C6493" s="76" t="s">
        <v>1142</v>
      </c>
      <c r="D6493" s="75"/>
    </row>
    <row hidden="true" r="6494">
      <c r="A6494" s="76" t="s">
        <v>1355</v>
      </c>
      <c r="B6494" s="76" t="s">
        <v>1143</v>
      </c>
      <c r="C6494" s="76" t="s">
        <v>1144</v>
      </c>
      <c r="D6494" s="75"/>
    </row>
    <row hidden="true" r="6495">
      <c r="A6495" s="76" t="s">
        <v>1355</v>
      </c>
      <c r="B6495" s="76" t="s">
        <v>1145</v>
      </c>
      <c r="C6495" s="76" t="s">
        <v>1146</v>
      </c>
      <c r="D6495" s="75"/>
    </row>
    <row hidden="true" r="6496">
      <c r="A6496" s="76" t="s">
        <v>1355</v>
      </c>
      <c r="B6496" s="76" t="s">
        <v>1147</v>
      </c>
      <c r="C6496" s="76" t="s">
        <v>1148</v>
      </c>
      <c r="D6496" s="75"/>
    </row>
    <row hidden="true" r="6497">
      <c r="A6497" s="76" t="s">
        <v>1355</v>
      </c>
      <c r="B6497" s="76" t="s">
        <v>1153</v>
      </c>
      <c r="C6497" s="76" t="s">
        <v>1154</v>
      </c>
      <c r="D6497" s="75"/>
    </row>
    <row hidden="true" r="6498">
      <c r="A6498" s="76" t="s">
        <v>1355</v>
      </c>
      <c r="B6498" s="76" t="s">
        <v>1155</v>
      </c>
      <c r="C6498" s="76" t="s">
        <v>1156</v>
      </c>
      <c r="D6498" s="75"/>
    </row>
    <row hidden="true" r="6499">
      <c r="A6499" s="76" t="s">
        <v>1355</v>
      </c>
      <c r="B6499" s="76" t="s">
        <v>1157</v>
      </c>
      <c r="C6499" s="76" t="s">
        <v>1158</v>
      </c>
      <c r="D6499" s="75"/>
    </row>
    <row hidden="true" r="6500">
      <c r="A6500" s="76" t="s">
        <v>1355</v>
      </c>
      <c r="B6500" s="76" t="s">
        <v>1159</v>
      </c>
      <c r="C6500" s="76" t="s">
        <v>1160</v>
      </c>
      <c r="D6500" s="75"/>
    </row>
    <row hidden="true" r="6501">
      <c r="A6501" s="76" t="s">
        <v>1355</v>
      </c>
      <c r="B6501" s="76" t="s">
        <v>1161</v>
      </c>
      <c r="C6501" s="76" t="s">
        <v>1162</v>
      </c>
      <c r="D6501" s="75"/>
    </row>
    <row hidden="true" r="6502">
      <c r="A6502" s="76" t="s">
        <v>1355</v>
      </c>
      <c r="B6502" s="76" t="s">
        <v>1163</v>
      </c>
      <c r="C6502" s="76" t="s">
        <v>1164</v>
      </c>
      <c r="D6502" s="75"/>
    </row>
    <row hidden="true" r="6503">
      <c r="A6503" s="76" t="s">
        <v>1355</v>
      </c>
      <c r="B6503" s="76" t="s">
        <v>1165</v>
      </c>
      <c r="C6503" s="76" t="s">
        <v>1166</v>
      </c>
      <c r="D6503" s="75"/>
    </row>
    <row hidden="true" r="6504">
      <c r="A6504" s="76" t="s">
        <v>1355</v>
      </c>
      <c r="B6504" s="76" t="s">
        <v>1331</v>
      </c>
      <c r="C6504" s="76" t="s">
        <v>1332</v>
      </c>
      <c r="D6504" s="75"/>
    </row>
    <row hidden="true" r="6505">
      <c r="A6505" s="76" t="s">
        <v>1355</v>
      </c>
      <c r="B6505" s="76" t="s">
        <v>1333</v>
      </c>
      <c r="C6505" s="76" t="s">
        <v>1334</v>
      </c>
      <c r="D6505" s="75"/>
    </row>
    <row hidden="true" r="6506">
      <c r="A6506" s="76" t="s">
        <v>1355</v>
      </c>
      <c r="B6506" s="76" t="s">
        <v>1335</v>
      </c>
      <c r="C6506" s="76" t="s">
        <v>1336</v>
      </c>
      <c r="D6506" s="75"/>
    </row>
    <row hidden="true" r="6507">
      <c r="A6507" s="76" t="s">
        <v>1355</v>
      </c>
      <c r="B6507" s="76" t="s">
        <v>1337</v>
      </c>
      <c r="C6507" s="76" t="s">
        <v>1338</v>
      </c>
      <c r="D6507" s="75"/>
    </row>
    <row hidden="true" r="6508">
      <c r="A6508" s="76" t="s">
        <v>1355</v>
      </c>
      <c r="B6508" s="76" t="s">
        <v>1339</v>
      </c>
      <c r="C6508" s="76" t="s">
        <v>1340</v>
      </c>
      <c r="D6508" s="75"/>
    </row>
    <row hidden="true" r="6509">
      <c r="A6509" s="76" t="s">
        <v>1355</v>
      </c>
      <c r="B6509" s="76" t="s">
        <v>1341</v>
      </c>
      <c r="C6509" s="76" t="s">
        <v>1342</v>
      </c>
      <c r="D6509" s="75"/>
    </row>
    <row hidden="true" r="6510">
      <c r="A6510" s="76" t="s">
        <v>1355</v>
      </c>
      <c r="B6510" s="76" t="s">
        <v>1044</v>
      </c>
      <c r="C6510" s="76" t="s">
        <v>1045</v>
      </c>
      <c r="D6510" s="75"/>
    </row>
    <row hidden="true" r="6511">
      <c r="A6511" s="76" t="s">
        <v>1355</v>
      </c>
      <c r="B6511" s="76" t="s">
        <v>1046</v>
      </c>
      <c r="C6511" s="76" t="s">
        <v>1047</v>
      </c>
      <c r="D6511" s="75"/>
    </row>
    <row hidden="true" r="6512">
      <c r="A6512" s="76" t="s">
        <v>1355</v>
      </c>
      <c r="B6512" s="76" t="s">
        <v>1048</v>
      </c>
      <c r="C6512" s="76" t="s">
        <v>1049</v>
      </c>
      <c r="D6512" s="75"/>
    </row>
    <row hidden="true" r="6513">
      <c r="A6513" s="76" t="s">
        <v>1355</v>
      </c>
      <c r="B6513" s="76" t="s">
        <v>1167</v>
      </c>
      <c r="C6513" s="76" t="s">
        <v>1168</v>
      </c>
      <c r="D6513" s="75"/>
    </row>
    <row hidden="true" r="6514">
      <c r="A6514" s="76" t="s">
        <v>1355</v>
      </c>
      <c r="B6514" s="76" t="s">
        <v>1169</v>
      </c>
      <c r="C6514" s="76" t="s">
        <v>1170</v>
      </c>
      <c r="D6514" s="75"/>
    </row>
    <row hidden="true" r="6515">
      <c r="A6515" s="76" t="s">
        <v>1355</v>
      </c>
      <c r="B6515" s="76" t="s">
        <v>1171</v>
      </c>
      <c r="C6515" s="76" t="s">
        <v>1172</v>
      </c>
      <c r="D6515" s="75"/>
    </row>
    <row hidden="true" r="6516">
      <c r="A6516" s="76" t="s">
        <v>1355</v>
      </c>
      <c r="B6516" s="76" t="s">
        <v>1173</v>
      </c>
      <c r="C6516" s="76" t="s">
        <v>1174</v>
      </c>
      <c r="D6516" s="75"/>
    </row>
    <row hidden="true" r="6517">
      <c r="A6517" s="76" t="s">
        <v>1355</v>
      </c>
      <c r="B6517" s="76" t="s">
        <v>1175</v>
      </c>
      <c r="C6517" s="76" t="s">
        <v>1176</v>
      </c>
      <c r="D6517" s="75"/>
    </row>
    <row hidden="true" r="6518">
      <c r="A6518" s="76" t="s">
        <v>1355</v>
      </c>
      <c r="B6518" s="76" t="s">
        <v>1177</v>
      </c>
      <c r="C6518" s="76" t="s">
        <v>1178</v>
      </c>
      <c r="D6518" s="75"/>
    </row>
    <row hidden="true" r="6519">
      <c r="A6519" s="76" t="s">
        <v>1355</v>
      </c>
      <c r="B6519" s="76" t="s">
        <v>1135</v>
      </c>
      <c r="C6519" s="76" t="s">
        <v>1136</v>
      </c>
      <c r="D6519" s="75"/>
    </row>
    <row hidden="true" r="6520">
      <c r="A6520" s="76" t="s">
        <v>1355</v>
      </c>
      <c r="B6520" s="76" t="s">
        <v>1179</v>
      </c>
      <c r="C6520" s="76" t="s">
        <v>1180</v>
      </c>
      <c r="D6520" s="75"/>
    </row>
    <row hidden="true" r="6521">
      <c r="A6521" s="76" t="s">
        <v>1355</v>
      </c>
      <c r="B6521" s="76" t="s">
        <v>1181</v>
      </c>
      <c r="C6521" s="76" t="s">
        <v>1182</v>
      </c>
      <c r="D6521" s="75"/>
    </row>
    <row hidden="true" r="6522">
      <c r="A6522" s="76" t="s">
        <v>1355</v>
      </c>
      <c r="B6522" s="76" t="s">
        <v>1183</v>
      </c>
      <c r="C6522" s="76" t="s">
        <v>1184</v>
      </c>
      <c r="D6522" s="75"/>
    </row>
    <row hidden="true" r="6523">
      <c r="A6523" s="76" t="s">
        <v>1355</v>
      </c>
      <c r="B6523" s="76" t="s">
        <v>1185</v>
      </c>
      <c r="C6523" s="76" t="s">
        <v>1186</v>
      </c>
      <c r="D6523" s="75"/>
    </row>
    <row hidden="true" r="6524">
      <c r="A6524" s="76" t="s">
        <v>1355</v>
      </c>
      <c r="B6524" s="76" t="s">
        <v>1187</v>
      </c>
      <c r="C6524" s="76" t="s">
        <v>1188</v>
      </c>
      <c r="D6524" s="75"/>
    </row>
    <row hidden="true" r="6525">
      <c r="A6525" s="76" t="s">
        <v>1355</v>
      </c>
      <c r="B6525" s="76" t="s">
        <v>1189</v>
      </c>
      <c r="C6525" s="76" t="s">
        <v>1190</v>
      </c>
      <c r="D6525" s="75"/>
    </row>
    <row hidden="true" r="6526">
      <c r="A6526" s="76" t="s">
        <v>1355</v>
      </c>
      <c r="B6526" s="76" t="s">
        <v>1199</v>
      </c>
      <c r="C6526" s="76" t="s">
        <v>1200</v>
      </c>
      <c r="D6526" s="75"/>
    </row>
    <row hidden="true" r="6527">
      <c r="A6527" s="76" t="s">
        <v>1355</v>
      </c>
      <c r="B6527" s="76" t="s">
        <v>1201</v>
      </c>
      <c r="C6527" s="76" t="s">
        <v>1202</v>
      </c>
      <c r="D6527" s="75"/>
    </row>
    <row hidden="true" r="6528">
      <c r="A6528" s="76" t="s">
        <v>1355</v>
      </c>
      <c r="B6528" s="76" t="s">
        <v>1203</v>
      </c>
      <c r="C6528" s="76" t="s">
        <v>1204</v>
      </c>
      <c r="D6528" s="75"/>
    </row>
    <row hidden="true" r="6529">
      <c r="A6529" s="76" t="s">
        <v>1355</v>
      </c>
      <c r="B6529" s="76" t="s">
        <v>1205</v>
      </c>
      <c r="C6529" s="76" t="s">
        <v>1206</v>
      </c>
      <c r="D6529" s="75"/>
    </row>
    <row hidden="true" r="6530">
      <c r="A6530" s="76" t="s">
        <v>1355</v>
      </c>
      <c r="B6530" s="76" t="s">
        <v>1207</v>
      </c>
      <c r="C6530" s="76" t="s">
        <v>1208</v>
      </c>
      <c r="D6530" s="75"/>
    </row>
    <row hidden="true" r="6531">
      <c r="A6531" s="76" t="s">
        <v>1355</v>
      </c>
      <c r="B6531" s="76" t="s">
        <v>1209</v>
      </c>
      <c r="C6531" s="76" t="s">
        <v>1210</v>
      </c>
      <c r="D6531" s="75"/>
    </row>
    <row hidden="true" r="6532">
      <c r="A6532" s="76" t="s">
        <v>1355</v>
      </c>
      <c r="B6532" s="76" t="s">
        <v>1211</v>
      </c>
      <c r="C6532" s="76" t="s">
        <v>1212</v>
      </c>
      <c r="D6532" s="75"/>
    </row>
    <row hidden="true" r="6533">
      <c r="A6533" s="76" t="s">
        <v>1355</v>
      </c>
      <c r="B6533" s="76" t="s">
        <v>735</v>
      </c>
      <c r="C6533" s="76"/>
      <c r="D6533" s="75"/>
    </row>
    <row hidden="true" r="6534">
      <c r="A6534" s="76" t="s">
        <v>1356</v>
      </c>
      <c r="B6534" s="76" t="s">
        <v>407</v>
      </c>
      <c r="C6534" s="76" t="s">
        <v>1226</v>
      </c>
      <c r="D6534" s="75"/>
    </row>
    <row hidden="true" r="6535">
      <c r="A6535" s="76" t="s">
        <v>1356</v>
      </c>
      <c r="B6535" s="76" t="s">
        <v>744</v>
      </c>
      <c r="C6535" s="76" t="s">
        <v>745</v>
      </c>
      <c r="D6535" s="75"/>
    </row>
    <row hidden="true" r="6536">
      <c r="A6536" s="76" t="s">
        <v>1356</v>
      </c>
      <c r="B6536" s="76" t="s">
        <v>480</v>
      </c>
      <c r="C6536" s="76" t="s">
        <v>481</v>
      </c>
      <c r="D6536" s="75"/>
    </row>
    <row hidden="true" r="6537">
      <c r="A6537" s="76" t="s">
        <v>1356</v>
      </c>
      <c r="B6537" s="76" t="s">
        <v>884</v>
      </c>
      <c r="C6537" s="76" t="s">
        <v>1227</v>
      </c>
      <c r="D6537" s="75"/>
    </row>
    <row hidden="true" r="6538">
      <c r="A6538" s="76" t="s">
        <v>1356</v>
      </c>
      <c r="B6538" s="76" t="s">
        <v>886</v>
      </c>
      <c r="C6538" s="76" t="s">
        <v>1228</v>
      </c>
      <c r="D6538" s="75"/>
    </row>
    <row hidden="true" r="6539">
      <c r="A6539" s="76" t="s">
        <v>1356</v>
      </c>
      <c r="B6539" s="76" t="s">
        <v>888</v>
      </c>
      <c r="C6539" s="76" t="s">
        <v>889</v>
      </c>
      <c r="D6539" s="75"/>
    </row>
    <row hidden="true" r="6540">
      <c r="A6540" s="76" t="s">
        <v>1356</v>
      </c>
      <c r="B6540" s="76" t="s">
        <v>890</v>
      </c>
      <c r="C6540" s="76" t="s">
        <v>891</v>
      </c>
      <c r="D6540" s="75"/>
    </row>
    <row hidden="true" r="6541">
      <c r="A6541" s="76" t="s">
        <v>1356</v>
      </c>
      <c r="B6541" s="76" t="s">
        <v>892</v>
      </c>
      <c r="C6541" s="76" t="s">
        <v>893</v>
      </c>
      <c r="D6541" s="75"/>
    </row>
    <row hidden="true" r="6542">
      <c r="A6542" s="76" t="s">
        <v>1356</v>
      </c>
      <c r="B6542" s="76" t="s">
        <v>894</v>
      </c>
      <c r="C6542" s="76" t="s">
        <v>1217</v>
      </c>
      <c r="D6542" s="75"/>
    </row>
    <row hidden="true" r="6543">
      <c r="A6543" s="76" t="s">
        <v>1356</v>
      </c>
      <c r="B6543" s="76" t="s">
        <v>896</v>
      </c>
      <c r="C6543" s="76" t="s">
        <v>1229</v>
      </c>
      <c r="D6543" s="75"/>
    </row>
    <row hidden="true" r="6544">
      <c r="A6544" s="76" t="s">
        <v>1356</v>
      </c>
      <c r="B6544" s="76" t="s">
        <v>898</v>
      </c>
      <c r="C6544" s="76" t="s">
        <v>899</v>
      </c>
      <c r="D6544" s="75"/>
    </row>
    <row hidden="true" r="6545">
      <c r="A6545" s="76" t="s">
        <v>1356</v>
      </c>
      <c r="B6545" s="76" t="s">
        <v>900</v>
      </c>
      <c r="C6545" s="76" t="s">
        <v>1230</v>
      </c>
      <c r="D6545" s="75"/>
    </row>
    <row hidden="true" r="6546">
      <c r="A6546" s="76" t="s">
        <v>1356</v>
      </c>
      <c r="B6546" s="76" t="s">
        <v>902</v>
      </c>
      <c r="C6546" s="76" t="s">
        <v>903</v>
      </c>
      <c r="D6546" s="75"/>
    </row>
    <row hidden="true" r="6547">
      <c r="A6547" s="76" t="s">
        <v>1356</v>
      </c>
      <c r="B6547" s="76" t="s">
        <v>904</v>
      </c>
      <c r="C6547" s="76" t="s">
        <v>905</v>
      </c>
      <c r="D6547" s="75"/>
    </row>
    <row hidden="true" r="6548">
      <c r="A6548" s="76" t="s">
        <v>1356</v>
      </c>
      <c r="B6548" s="76" t="s">
        <v>906</v>
      </c>
      <c r="C6548" s="76" t="s">
        <v>1231</v>
      </c>
      <c r="D6548" s="75"/>
    </row>
    <row hidden="true" r="6549">
      <c r="A6549" s="76" t="s">
        <v>1356</v>
      </c>
      <c r="B6549" s="76" t="s">
        <v>908</v>
      </c>
      <c r="C6549" s="76" t="s">
        <v>909</v>
      </c>
      <c r="D6549" s="75"/>
    </row>
    <row hidden="true" r="6550">
      <c r="A6550" s="76" t="s">
        <v>1356</v>
      </c>
      <c r="B6550" s="76" t="s">
        <v>910</v>
      </c>
      <c r="C6550" s="76" t="s">
        <v>911</v>
      </c>
      <c r="D6550" s="75"/>
    </row>
    <row hidden="true" r="6551">
      <c r="A6551" s="76" t="s">
        <v>1356</v>
      </c>
      <c r="B6551" s="76" t="s">
        <v>912</v>
      </c>
      <c r="C6551" s="76" t="s">
        <v>913</v>
      </c>
      <c r="D6551" s="75"/>
    </row>
    <row hidden="true" r="6552">
      <c r="A6552" s="76" t="s">
        <v>1356</v>
      </c>
      <c r="B6552" s="76" t="s">
        <v>914</v>
      </c>
      <c r="C6552" s="76" t="s">
        <v>915</v>
      </c>
      <c r="D6552" s="75"/>
    </row>
    <row hidden="true" r="6553">
      <c r="A6553" s="76" t="s">
        <v>1356</v>
      </c>
      <c r="B6553" s="76" t="s">
        <v>916</v>
      </c>
      <c r="C6553" s="76" t="s">
        <v>917</v>
      </c>
      <c r="D6553" s="75"/>
    </row>
    <row hidden="true" r="6554">
      <c r="A6554" s="76" t="s">
        <v>1356</v>
      </c>
      <c r="B6554" s="76" t="s">
        <v>918</v>
      </c>
      <c r="C6554" s="76" t="s">
        <v>919</v>
      </c>
      <c r="D6554" s="75"/>
    </row>
    <row hidden="true" r="6555">
      <c r="A6555" s="76" t="s">
        <v>1356</v>
      </c>
      <c r="B6555" s="76" t="s">
        <v>920</v>
      </c>
      <c r="C6555" s="76" t="s">
        <v>921</v>
      </c>
      <c r="D6555" s="75"/>
    </row>
    <row hidden="true" r="6556">
      <c r="A6556" s="76" t="s">
        <v>1356</v>
      </c>
      <c r="B6556" s="76" t="s">
        <v>922</v>
      </c>
      <c r="C6556" s="76" t="s">
        <v>923</v>
      </c>
      <c r="D6556" s="75"/>
    </row>
    <row hidden="true" r="6557">
      <c r="A6557" s="76" t="s">
        <v>1356</v>
      </c>
      <c r="B6557" s="76" t="s">
        <v>924</v>
      </c>
      <c r="C6557" s="76" t="s">
        <v>925</v>
      </c>
      <c r="D6557" s="75"/>
    </row>
    <row hidden="true" r="6558">
      <c r="A6558" s="76" t="s">
        <v>1356</v>
      </c>
      <c r="B6558" s="76" t="s">
        <v>926</v>
      </c>
      <c r="C6558" s="76" t="s">
        <v>927</v>
      </c>
      <c r="D6558" s="75"/>
    </row>
    <row hidden="true" r="6559">
      <c r="A6559" s="76" t="s">
        <v>1356</v>
      </c>
      <c r="B6559" s="76" t="s">
        <v>928</v>
      </c>
      <c r="C6559" s="76" t="s">
        <v>929</v>
      </c>
      <c r="D6559" s="75"/>
    </row>
    <row hidden="true" r="6560">
      <c r="A6560" s="76" t="s">
        <v>1356</v>
      </c>
      <c r="B6560" s="76" t="s">
        <v>930</v>
      </c>
      <c r="C6560" s="76" t="s">
        <v>931</v>
      </c>
      <c r="D6560" s="75"/>
    </row>
    <row hidden="true" r="6561">
      <c r="A6561" s="76" t="s">
        <v>1356</v>
      </c>
      <c r="B6561" s="76" t="s">
        <v>932</v>
      </c>
      <c r="C6561" s="76" t="s">
        <v>933</v>
      </c>
      <c r="D6561" s="75"/>
    </row>
    <row hidden="true" r="6562">
      <c r="A6562" s="76" t="s">
        <v>1356</v>
      </c>
      <c r="B6562" s="76" t="s">
        <v>934</v>
      </c>
      <c r="C6562" s="76" t="s">
        <v>935</v>
      </c>
      <c r="D6562" s="75"/>
    </row>
    <row hidden="true" r="6563">
      <c r="A6563" s="76" t="s">
        <v>1356</v>
      </c>
      <c r="B6563" s="76" t="s">
        <v>936</v>
      </c>
      <c r="C6563" s="76" t="s">
        <v>937</v>
      </c>
      <c r="D6563" s="75"/>
    </row>
    <row hidden="true" r="6564">
      <c r="A6564" s="76" t="s">
        <v>1356</v>
      </c>
      <c r="B6564" s="76" t="s">
        <v>938</v>
      </c>
      <c r="C6564" s="76" t="s">
        <v>939</v>
      </c>
      <c r="D6564" s="75"/>
    </row>
    <row hidden="true" r="6565">
      <c r="A6565" s="76" t="s">
        <v>1356</v>
      </c>
      <c r="B6565" s="76" t="s">
        <v>940</v>
      </c>
      <c r="C6565" s="76" t="s">
        <v>1232</v>
      </c>
      <c r="D6565" s="75"/>
    </row>
    <row hidden="true" r="6566">
      <c r="A6566" s="76" t="s">
        <v>1356</v>
      </c>
      <c r="B6566" s="76" t="s">
        <v>942</v>
      </c>
      <c r="C6566" s="76" t="s">
        <v>943</v>
      </c>
      <c r="D6566" s="75"/>
    </row>
    <row hidden="true" r="6567">
      <c r="A6567" s="76" t="s">
        <v>1356</v>
      </c>
      <c r="B6567" s="76" t="s">
        <v>944</v>
      </c>
      <c r="C6567" s="76" t="s">
        <v>945</v>
      </c>
      <c r="D6567" s="75"/>
    </row>
    <row hidden="true" r="6568">
      <c r="A6568" s="76" t="s">
        <v>1356</v>
      </c>
      <c r="B6568" s="76" t="s">
        <v>1305</v>
      </c>
      <c r="C6568" s="76" t="s">
        <v>1306</v>
      </c>
      <c r="D6568" s="75"/>
    </row>
    <row hidden="true" r="6569">
      <c r="A6569" s="76" t="s">
        <v>1356</v>
      </c>
      <c r="B6569" s="76" t="s">
        <v>1307</v>
      </c>
      <c r="C6569" s="76" t="s">
        <v>1308</v>
      </c>
      <c r="D6569" s="75"/>
    </row>
    <row hidden="true" r="6570">
      <c r="A6570" s="76" t="s">
        <v>1356</v>
      </c>
      <c r="B6570" s="76" t="s">
        <v>946</v>
      </c>
      <c r="C6570" s="76" t="s">
        <v>1233</v>
      </c>
      <c r="D6570" s="75"/>
    </row>
    <row hidden="true" r="6571">
      <c r="A6571" s="76" t="s">
        <v>1356</v>
      </c>
      <c r="B6571" s="76" t="s">
        <v>948</v>
      </c>
      <c r="C6571" s="76" t="s">
        <v>1222</v>
      </c>
      <c r="D6571" s="75"/>
    </row>
    <row hidden="true" r="6572">
      <c r="A6572" s="76" t="s">
        <v>1356</v>
      </c>
      <c r="B6572" s="76" t="s">
        <v>950</v>
      </c>
      <c r="C6572" s="76" t="s">
        <v>951</v>
      </c>
      <c r="D6572" s="75"/>
    </row>
    <row hidden="true" r="6573">
      <c r="A6573" s="76" t="s">
        <v>1356</v>
      </c>
      <c r="B6573" s="76" t="s">
        <v>952</v>
      </c>
      <c r="C6573" s="76" t="s">
        <v>953</v>
      </c>
      <c r="D6573" s="75"/>
    </row>
    <row hidden="true" r="6574">
      <c r="A6574" s="76" t="s">
        <v>1356</v>
      </c>
      <c r="B6574" s="76" t="s">
        <v>954</v>
      </c>
      <c r="C6574" s="76" t="s">
        <v>955</v>
      </c>
      <c r="D6574" s="75"/>
    </row>
    <row hidden="true" r="6575">
      <c r="A6575" s="76" t="s">
        <v>1356</v>
      </c>
      <c r="B6575" s="76" t="s">
        <v>775</v>
      </c>
      <c r="C6575" s="76" t="s">
        <v>1234</v>
      </c>
      <c r="D6575" s="75"/>
    </row>
    <row hidden="true" r="6576">
      <c r="A6576" s="76" t="s">
        <v>1356</v>
      </c>
      <c r="B6576" s="76" t="s">
        <v>956</v>
      </c>
      <c r="C6576" s="76" t="s">
        <v>957</v>
      </c>
      <c r="D6576" s="75"/>
    </row>
    <row hidden="true" r="6577">
      <c r="A6577" s="76" t="s">
        <v>1356</v>
      </c>
      <c r="B6577" s="76" t="s">
        <v>958</v>
      </c>
      <c r="C6577" s="76" t="s">
        <v>959</v>
      </c>
      <c r="D6577" s="75"/>
    </row>
    <row hidden="true" r="6578">
      <c r="A6578" s="76" t="s">
        <v>1356</v>
      </c>
      <c r="B6578" s="76" t="s">
        <v>960</v>
      </c>
      <c r="C6578" s="76" t="s">
        <v>961</v>
      </c>
      <c r="D6578" s="75"/>
    </row>
    <row hidden="true" r="6579">
      <c r="A6579" s="76" t="s">
        <v>1356</v>
      </c>
      <c r="B6579" s="76" t="s">
        <v>962</v>
      </c>
      <c r="C6579" s="76" t="s">
        <v>1235</v>
      </c>
      <c r="D6579" s="75"/>
    </row>
    <row hidden="true" r="6580">
      <c r="A6580" s="76" t="s">
        <v>1356</v>
      </c>
      <c r="B6580" s="76" t="s">
        <v>964</v>
      </c>
      <c r="C6580" s="76" t="s">
        <v>1236</v>
      </c>
      <c r="D6580" s="75"/>
    </row>
    <row hidden="true" r="6581">
      <c r="A6581" s="76" t="s">
        <v>1356</v>
      </c>
      <c r="B6581" s="76" t="s">
        <v>966</v>
      </c>
      <c r="C6581" s="76" t="s">
        <v>967</v>
      </c>
      <c r="D6581" s="75"/>
    </row>
    <row hidden="true" r="6582">
      <c r="A6582" s="76" t="s">
        <v>1356</v>
      </c>
      <c r="B6582" s="76" t="s">
        <v>968</v>
      </c>
      <c r="C6582" s="76" t="s">
        <v>969</v>
      </c>
      <c r="D6582" s="75"/>
    </row>
    <row hidden="true" r="6583">
      <c r="A6583" s="76" t="s">
        <v>1356</v>
      </c>
      <c r="B6583" s="76" t="s">
        <v>970</v>
      </c>
      <c r="C6583" s="76" t="s">
        <v>971</v>
      </c>
      <c r="D6583" s="75"/>
    </row>
    <row hidden="true" r="6584">
      <c r="A6584" s="76" t="s">
        <v>1356</v>
      </c>
      <c r="B6584" s="76" t="s">
        <v>972</v>
      </c>
      <c r="C6584" s="76" t="s">
        <v>1237</v>
      </c>
      <c r="D6584" s="75"/>
    </row>
    <row hidden="true" r="6585">
      <c r="A6585" s="76" t="s">
        <v>1356</v>
      </c>
      <c r="B6585" s="76" t="s">
        <v>974</v>
      </c>
      <c r="C6585" s="76" t="s">
        <v>975</v>
      </c>
      <c r="D6585" s="75"/>
    </row>
    <row hidden="true" r="6586">
      <c r="A6586" s="76" t="s">
        <v>1356</v>
      </c>
      <c r="B6586" s="76" t="s">
        <v>976</v>
      </c>
      <c r="C6586" s="76" t="s">
        <v>977</v>
      </c>
      <c r="D6586" s="75"/>
    </row>
    <row hidden="true" r="6587">
      <c r="A6587" s="76" t="s">
        <v>1356</v>
      </c>
      <c r="B6587" s="76" t="s">
        <v>823</v>
      </c>
      <c r="C6587" s="76" t="s">
        <v>824</v>
      </c>
      <c r="D6587" s="75"/>
    </row>
    <row hidden="true" r="6588">
      <c r="A6588" s="76" t="s">
        <v>1356</v>
      </c>
      <c r="B6588" s="76" t="s">
        <v>978</v>
      </c>
      <c r="C6588" s="76" t="s">
        <v>1238</v>
      </c>
      <c r="D6588" s="75"/>
    </row>
    <row hidden="true" r="6589">
      <c r="A6589" s="76" t="s">
        <v>1356</v>
      </c>
      <c r="B6589" s="76" t="s">
        <v>980</v>
      </c>
      <c r="C6589" s="76" t="s">
        <v>981</v>
      </c>
      <c r="D6589" s="75"/>
    </row>
    <row hidden="true" r="6590">
      <c r="A6590" s="76" t="s">
        <v>1356</v>
      </c>
      <c r="B6590" s="76" t="s">
        <v>982</v>
      </c>
      <c r="C6590" s="76" t="s">
        <v>983</v>
      </c>
      <c r="D6590" s="75"/>
    </row>
    <row hidden="true" r="6591">
      <c r="A6591" s="76" t="s">
        <v>1356</v>
      </c>
      <c r="B6591" s="76" t="s">
        <v>984</v>
      </c>
      <c r="C6591" s="76" t="s">
        <v>985</v>
      </c>
      <c r="D6591" s="75"/>
    </row>
    <row hidden="true" r="6592">
      <c r="A6592" s="76" t="s">
        <v>1356</v>
      </c>
      <c r="B6592" s="76" t="s">
        <v>1309</v>
      </c>
      <c r="C6592" s="76" t="s">
        <v>1310</v>
      </c>
      <c r="D6592" s="75"/>
    </row>
    <row hidden="true" r="6593">
      <c r="A6593" s="76" t="s">
        <v>1356</v>
      </c>
      <c r="B6593" s="76" t="s">
        <v>1311</v>
      </c>
      <c r="C6593" s="76" t="s">
        <v>1312</v>
      </c>
      <c r="D6593" s="75"/>
    </row>
    <row hidden="true" r="6594">
      <c r="A6594" s="76" t="s">
        <v>1356</v>
      </c>
      <c r="B6594" s="76" t="s">
        <v>1099</v>
      </c>
      <c r="C6594" s="76" t="s">
        <v>1242</v>
      </c>
      <c r="D6594" s="75"/>
    </row>
    <row hidden="true" r="6595">
      <c r="A6595" s="76" t="s">
        <v>1356</v>
      </c>
      <c r="B6595" s="76" t="s">
        <v>1101</v>
      </c>
      <c r="C6595" s="76" t="s">
        <v>1102</v>
      </c>
      <c r="D6595" s="75"/>
    </row>
    <row hidden="true" r="6596">
      <c r="A6596" s="76" t="s">
        <v>1356</v>
      </c>
      <c r="B6596" s="76" t="s">
        <v>1313</v>
      </c>
      <c r="C6596" s="76" t="s">
        <v>1351</v>
      </c>
      <c r="D6596" s="75"/>
    </row>
    <row hidden="true" r="6597">
      <c r="A6597" s="76" t="s">
        <v>1356</v>
      </c>
      <c r="B6597" s="76" t="s">
        <v>996</v>
      </c>
      <c r="C6597" s="76" t="s">
        <v>997</v>
      </c>
      <c r="D6597" s="75"/>
    </row>
    <row hidden="true" r="6598">
      <c r="A6598" s="76" t="s">
        <v>1356</v>
      </c>
      <c r="B6598" s="76" t="s">
        <v>998</v>
      </c>
      <c r="C6598" s="76" t="s">
        <v>1239</v>
      </c>
      <c r="D6598" s="75"/>
    </row>
    <row hidden="true" r="6599">
      <c r="A6599" s="76" t="s">
        <v>1356</v>
      </c>
      <c r="B6599" s="76" t="s">
        <v>1000</v>
      </c>
      <c r="C6599" s="76" t="s">
        <v>1001</v>
      </c>
      <c r="D6599" s="75"/>
    </row>
    <row hidden="true" r="6600">
      <c r="A6600" s="76" t="s">
        <v>1356</v>
      </c>
      <c r="B6600" s="76" t="s">
        <v>1002</v>
      </c>
      <c r="C6600" s="76" t="s">
        <v>1003</v>
      </c>
      <c r="D6600" s="75"/>
    </row>
    <row hidden="true" r="6601">
      <c r="A6601" s="76" t="s">
        <v>1356</v>
      </c>
      <c r="B6601" s="76" t="s">
        <v>1004</v>
      </c>
      <c r="C6601" s="76" t="s">
        <v>1005</v>
      </c>
      <c r="D6601" s="75"/>
    </row>
    <row hidden="true" r="6602">
      <c r="A6602" s="76" t="s">
        <v>1356</v>
      </c>
      <c r="B6602" s="76" t="s">
        <v>1006</v>
      </c>
      <c r="C6602" s="76" t="s">
        <v>1007</v>
      </c>
      <c r="D6602" s="75"/>
    </row>
    <row hidden="true" r="6603">
      <c r="A6603" s="76" t="s">
        <v>1356</v>
      </c>
      <c r="B6603" s="76" t="s">
        <v>1008</v>
      </c>
      <c r="C6603" s="76" t="s">
        <v>1009</v>
      </c>
      <c r="D6603" s="75"/>
    </row>
    <row hidden="true" r="6604">
      <c r="A6604" s="76" t="s">
        <v>1356</v>
      </c>
      <c r="B6604" s="76" t="s">
        <v>1010</v>
      </c>
      <c r="C6604" s="76" t="s">
        <v>1011</v>
      </c>
      <c r="D6604" s="75"/>
    </row>
    <row hidden="true" r="6605">
      <c r="A6605" s="76" t="s">
        <v>1356</v>
      </c>
      <c r="B6605" s="76" t="s">
        <v>1315</v>
      </c>
      <c r="C6605" s="76" t="s">
        <v>1352</v>
      </c>
      <c r="D6605" s="75"/>
    </row>
    <row hidden="true" r="6606">
      <c r="A6606" s="76" t="s">
        <v>1356</v>
      </c>
      <c r="B6606" s="76" t="s">
        <v>1014</v>
      </c>
      <c r="C6606" s="76" t="s">
        <v>1015</v>
      </c>
      <c r="D6606" s="75"/>
    </row>
    <row hidden="true" r="6607">
      <c r="A6607" s="76" t="s">
        <v>1356</v>
      </c>
      <c r="B6607" s="76" t="s">
        <v>1016</v>
      </c>
      <c r="C6607" s="76" t="s">
        <v>1017</v>
      </c>
      <c r="D6607" s="75"/>
    </row>
    <row hidden="true" r="6608">
      <c r="A6608" s="76" t="s">
        <v>1356</v>
      </c>
      <c r="B6608" s="76" t="s">
        <v>1018</v>
      </c>
      <c r="C6608" s="76" t="s">
        <v>1019</v>
      </c>
      <c r="D6608" s="75"/>
    </row>
    <row hidden="true" r="6609">
      <c r="A6609" s="76" t="s">
        <v>1356</v>
      </c>
      <c r="B6609" s="76" t="s">
        <v>1020</v>
      </c>
      <c r="C6609" s="76" t="s">
        <v>1021</v>
      </c>
      <c r="D6609" s="75"/>
    </row>
    <row hidden="true" r="6610">
      <c r="A6610" s="76" t="s">
        <v>1356</v>
      </c>
      <c r="B6610" s="76" t="s">
        <v>1022</v>
      </c>
      <c r="C6610" s="76" t="s">
        <v>1017</v>
      </c>
      <c r="D6610" s="75"/>
    </row>
    <row hidden="true" r="6611">
      <c r="A6611" s="76" t="s">
        <v>1356</v>
      </c>
      <c r="B6611" s="76" t="s">
        <v>1023</v>
      </c>
      <c r="C6611" s="76" t="s">
        <v>1019</v>
      </c>
      <c r="D6611" s="75"/>
    </row>
    <row hidden="true" r="6612">
      <c r="A6612" s="76" t="s">
        <v>1356</v>
      </c>
      <c r="B6612" s="76" t="s">
        <v>1024</v>
      </c>
      <c r="C6612" s="76" t="s">
        <v>1021</v>
      </c>
      <c r="D6612" s="75"/>
    </row>
    <row hidden="true" r="6613">
      <c r="A6613" s="76" t="s">
        <v>1356</v>
      </c>
      <c r="B6613" s="76" t="s">
        <v>1025</v>
      </c>
      <c r="C6613" s="76" t="s">
        <v>1017</v>
      </c>
      <c r="D6613" s="75"/>
    </row>
    <row hidden="true" r="6614">
      <c r="A6614" s="76" t="s">
        <v>1356</v>
      </c>
      <c r="B6614" s="76" t="s">
        <v>1026</v>
      </c>
      <c r="C6614" s="76" t="s">
        <v>1019</v>
      </c>
      <c r="D6614" s="75"/>
    </row>
    <row hidden="true" r="6615">
      <c r="A6615" s="76" t="s">
        <v>1356</v>
      </c>
      <c r="B6615" s="76" t="s">
        <v>1027</v>
      </c>
      <c r="C6615" s="76" t="s">
        <v>1021</v>
      </c>
      <c r="D6615" s="75"/>
    </row>
    <row hidden="true" r="6616">
      <c r="A6616" s="76" t="s">
        <v>1356</v>
      </c>
      <c r="B6616" s="76" t="s">
        <v>1133</v>
      </c>
      <c r="C6616" s="76" t="s">
        <v>1134</v>
      </c>
      <c r="D6616" s="75"/>
    </row>
    <row hidden="true" r="6617">
      <c r="A6617" s="76" t="s">
        <v>1356</v>
      </c>
      <c r="B6617" s="76" t="s">
        <v>1317</v>
      </c>
      <c r="C6617" s="76" t="s">
        <v>1318</v>
      </c>
      <c r="D6617" s="75"/>
    </row>
    <row hidden="true" r="6618">
      <c r="A6618" s="76" t="s">
        <v>1356</v>
      </c>
      <c r="B6618" s="76" t="s">
        <v>1319</v>
      </c>
      <c r="C6618" s="76" t="s">
        <v>1320</v>
      </c>
      <c r="D6618" s="75"/>
    </row>
    <row hidden="true" r="6619">
      <c r="A6619" s="76" t="s">
        <v>1356</v>
      </c>
      <c r="B6619" s="76" t="s">
        <v>1028</v>
      </c>
      <c r="C6619" s="76" t="s">
        <v>1029</v>
      </c>
      <c r="D6619" s="75"/>
    </row>
    <row hidden="true" r="6620">
      <c r="A6620" s="76" t="s">
        <v>1356</v>
      </c>
      <c r="B6620" s="76" t="s">
        <v>988</v>
      </c>
      <c r="C6620" s="76" t="s">
        <v>989</v>
      </c>
      <c r="D6620" s="75"/>
    </row>
    <row hidden="true" r="6621">
      <c r="A6621" s="76" t="s">
        <v>1356</v>
      </c>
      <c r="B6621" s="76" t="s">
        <v>990</v>
      </c>
      <c r="C6621" s="76" t="s">
        <v>991</v>
      </c>
      <c r="D6621" s="75"/>
    </row>
    <row hidden="true" r="6622">
      <c r="A6622" s="76" t="s">
        <v>1356</v>
      </c>
      <c r="B6622" s="76" t="s">
        <v>992</v>
      </c>
      <c r="C6622" s="76" t="s">
        <v>993</v>
      </c>
      <c r="D6622" s="75"/>
    </row>
    <row hidden="true" r="6623">
      <c r="A6623" s="76" t="s">
        <v>1356</v>
      </c>
      <c r="B6623" s="76" t="s">
        <v>530</v>
      </c>
      <c r="C6623" s="76" t="s">
        <v>1240</v>
      </c>
      <c r="D6623" s="75"/>
    </row>
    <row hidden="true" r="6624">
      <c r="A6624" s="76" t="s">
        <v>1356</v>
      </c>
      <c r="B6624" s="76" t="s">
        <v>1032</v>
      </c>
      <c r="C6624" s="76" t="s">
        <v>1033</v>
      </c>
      <c r="D6624" s="75"/>
    </row>
    <row hidden="true" r="6625">
      <c r="A6625" s="76" t="s">
        <v>1356</v>
      </c>
      <c r="B6625" s="76" t="s">
        <v>532</v>
      </c>
      <c r="C6625" s="76" t="s">
        <v>533</v>
      </c>
      <c r="D6625" s="75"/>
    </row>
    <row hidden="true" r="6626">
      <c r="A6626" s="76" t="s">
        <v>1356</v>
      </c>
      <c r="B6626" s="76" t="s">
        <v>1036</v>
      </c>
      <c r="C6626" s="76" t="s">
        <v>1037</v>
      </c>
      <c r="D6626" s="75"/>
    </row>
    <row hidden="true" r="6627">
      <c r="A6627" s="76" t="s">
        <v>1356</v>
      </c>
      <c r="B6627" s="76" t="s">
        <v>1038</v>
      </c>
      <c r="C6627" s="76" t="s">
        <v>1039</v>
      </c>
      <c r="D6627" s="75"/>
    </row>
    <row hidden="true" r="6628">
      <c r="A6628" s="76" t="s">
        <v>1356</v>
      </c>
      <c r="B6628" s="76" t="s">
        <v>1321</v>
      </c>
      <c r="C6628" s="76" t="s">
        <v>1322</v>
      </c>
      <c r="D6628" s="75"/>
    </row>
    <row hidden="true" r="6629">
      <c r="A6629" s="76" t="s">
        <v>1356</v>
      </c>
      <c r="B6629" s="76" t="s">
        <v>1323</v>
      </c>
      <c r="C6629" s="76" t="s">
        <v>1324</v>
      </c>
      <c r="D6629" s="75"/>
    </row>
    <row hidden="true" r="6630">
      <c r="A6630" s="76" t="s">
        <v>1356</v>
      </c>
      <c r="B6630" s="76" t="s">
        <v>1012</v>
      </c>
      <c r="C6630" s="76" t="s">
        <v>1013</v>
      </c>
      <c r="D6630" s="75"/>
    </row>
    <row hidden="true" r="6631">
      <c r="A6631" s="76" t="s">
        <v>1356</v>
      </c>
      <c r="B6631" s="76" t="s">
        <v>1052</v>
      </c>
      <c r="C6631" s="76" t="s">
        <v>1053</v>
      </c>
      <c r="D6631" s="75"/>
    </row>
    <row hidden="true" r="6632">
      <c r="A6632" s="76" t="s">
        <v>1356</v>
      </c>
      <c r="B6632" s="76" t="s">
        <v>1054</v>
      </c>
      <c r="C6632" s="76" t="s">
        <v>1055</v>
      </c>
      <c r="D6632" s="75"/>
    </row>
    <row hidden="true" r="6633">
      <c r="A6633" s="76" t="s">
        <v>1356</v>
      </c>
      <c r="B6633" s="76" t="s">
        <v>1056</v>
      </c>
      <c r="C6633" s="76" t="s">
        <v>1057</v>
      </c>
      <c r="D6633" s="75"/>
    </row>
    <row hidden="true" r="6634">
      <c r="A6634" s="76" t="s">
        <v>1356</v>
      </c>
      <c r="B6634" s="76" t="s">
        <v>1058</v>
      </c>
      <c r="C6634" s="76" t="s">
        <v>1059</v>
      </c>
      <c r="D6634" s="75"/>
    </row>
    <row hidden="true" r="6635">
      <c r="A6635" s="76" t="s">
        <v>1356</v>
      </c>
      <c r="B6635" s="76" t="s">
        <v>1060</v>
      </c>
      <c r="C6635" s="76" t="s">
        <v>1061</v>
      </c>
      <c r="D6635" s="75"/>
    </row>
    <row hidden="true" r="6636">
      <c r="A6636" s="76" t="s">
        <v>1356</v>
      </c>
      <c r="B6636" s="76" t="s">
        <v>1062</v>
      </c>
      <c r="C6636" s="76" t="s">
        <v>1063</v>
      </c>
      <c r="D6636" s="75"/>
    </row>
    <row hidden="true" r="6637">
      <c r="A6637" s="76" t="s">
        <v>1356</v>
      </c>
      <c r="B6637" s="76" t="s">
        <v>1064</v>
      </c>
      <c r="C6637" s="76" t="s">
        <v>1065</v>
      </c>
      <c r="D6637" s="75"/>
    </row>
    <row hidden="true" r="6638">
      <c r="A6638" s="76" t="s">
        <v>1356</v>
      </c>
      <c r="B6638" s="76" t="s">
        <v>1066</v>
      </c>
      <c r="C6638" s="76" t="s">
        <v>1067</v>
      </c>
      <c r="D6638" s="75"/>
    </row>
    <row hidden="true" r="6639">
      <c r="A6639" s="76" t="s">
        <v>1356</v>
      </c>
      <c r="B6639" s="76" t="s">
        <v>1068</v>
      </c>
      <c r="C6639" s="76" t="s">
        <v>1069</v>
      </c>
      <c r="D6639" s="75"/>
    </row>
    <row hidden="true" r="6640">
      <c r="A6640" s="76" t="s">
        <v>1356</v>
      </c>
      <c r="B6640" s="76" t="s">
        <v>1070</v>
      </c>
      <c r="C6640" s="76" t="s">
        <v>1069</v>
      </c>
      <c r="D6640" s="75"/>
    </row>
    <row hidden="true" r="6641">
      <c r="A6641" s="76" t="s">
        <v>1356</v>
      </c>
      <c r="B6641" s="76" t="s">
        <v>1071</v>
      </c>
      <c r="C6641" s="76" t="s">
        <v>1069</v>
      </c>
      <c r="D6641" s="75"/>
    </row>
    <row hidden="true" r="6642">
      <c r="A6642" s="76" t="s">
        <v>1356</v>
      </c>
      <c r="B6642" s="76" t="s">
        <v>1072</v>
      </c>
      <c r="C6642" s="76" t="s">
        <v>1073</v>
      </c>
      <c r="D6642" s="75"/>
    </row>
    <row hidden="true" r="6643">
      <c r="A6643" s="76" t="s">
        <v>1356</v>
      </c>
      <c r="B6643" s="76" t="s">
        <v>1074</v>
      </c>
      <c r="C6643" s="76" t="s">
        <v>1073</v>
      </c>
      <c r="D6643" s="75"/>
    </row>
    <row hidden="true" r="6644">
      <c r="A6644" s="76" t="s">
        <v>1356</v>
      </c>
      <c r="B6644" s="76" t="s">
        <v>1075</v>
      </c>
      <c r="C6644" s="76" t="s">
        <v>1073</v>
      </c>
      <c r="D6644" s="75"/>
    </row>
    <row hidden="true" r="6645">
      <c r="A6645" s="76" t="s">
        <v>1356</v>
      </c>
      <c r="B6645" s="76" t="s">
        <v>1082</v>
      </c>
      <c r="C6645" s="76" t="s">
        <v>1083</v>
      </c>
      <c r="D6645" s="75"/>
    </row>
    <row hidden="true" r="6646">
      <c r="A6646" s="76" t="s">
        <v>1356</v>
      </c>
      <c r="B6646" s="76" t="s">
        <v>1084</v>
      </c>
      <c r="C6646" s="76" t="s">
        <v>1085</v>
      </c>
      <c r="D6646" s="75"/>
    </row>
    <row hidden="true" r="6647">
      <c r="A6647" s="76" t="s">
        <v>1356</v>
      </c>
      <c r="B6647" s="76" t="s">
        <v>1086</v>
      </c>
      <c r="C6647" s="76" t="s">
        <v>1087</v>
      </c>
      <c r="D6647" s="75"/>
    </row>
    <row hidden="true" r="6648">
      <c r="A6648" s="76" t="s">
        <v>1356</v>
      </c>
      <c r="B6648" s="76" t="s">
        <v>1088</v>
      </c>
      <c r="C6648" s="76" t="s">
        <v>1089</v>
      </c>
      <c r="D6648" s="75"/>
    </row>
    <row hidden="true" r="6649">
      <c r="A6649" s="76" t="s">
        <v>1356</v>
      </c>
      <c r="B6649" s="76" t="s">
        <v>1076</v>
      </c>
      <c r="C6649" s="76" t="s">
        <v>1077</v>
      </c>
      <c r="D6649" s="75"/>
    </row>
    <row hidden="true" r="6650">
      <c r="A6650" s="76" t="s">
        <v>1356</v>
      </c>
      <c r="B6650" s="76" t="s">
        <v>1078</v>
      </c>
      <c r="C6650" s="76" t="s">
        <v>1079</v>
      </c>
      <c r="D6650" s="75"/>
    </row>
    <row hidden="true" r="6651">
      <c r="A6651" s="76" t="s">
        <v>1356</v>
      </c>
      <c r="B6651" s="76" t="s">
        <v>1040</v>
      </c>
      <c r="C6651" s="76" t="s">
        <v>1041</v>
      </c>
      <c r="D6651" s="75"/>
    </row>
    <row hidden="true" r="6652">
      <c r="A6652" s="76" t="s">
        <v>1356</v>
      </c>
      <c r="B6652" s="76" t="s">
        <v>839</v>
      </c>
      <c r="C6652" s="76" t="s">
        <v>840</v>
      </c>
      <c r="D6652" s="75"/>
    </row>
    <row hidden="true" r="6653">
      <c r="A6653" s="76" t="s">
        <v>1356</v>
      </c>
      <c r="B6653" s="76" t="s">
        <v>1121</v>
      </c>
      <c r="C6653" s="76" t="s">
        <v>1122</v>
      </c>
      <c r="D6653" s="75"/>
    </row>
    <row hidden="true" r="6654">
      <c r="A6654" s="76" t="s">
        <v>1356</v>
      </c>
      <c r="B6654" s="76" t="s">
        <v>1325</v>
      </c>
      <c r="C6654" s="76" t="s">
        <v>1326</v>
      </c>
      <c r="D6654" s="75"/>
    </row>
    <row hidden="true" r="6655">
      <c r="A6655" s="76" t="s">
        <v>1356</v>
      </c>
      <c r="B6655" s="76" t="s">
        <v>1080</v>
      </c>
      <c r="C6655" s="76" t="s">
        <v>1081</v>
      </c>
      <c r="D6655" s="75"/>
    </row>
    <row hidden="true" r="6656">
      <c r="A6656" s="76" t="s">
        <v>1356</v>
      </c>
      <c r="B6656" s="76" t="s">
        <v>1327</v>
      </c>
      <c r="C6656" s="76" t="s">
        <v>1328</v>
      </c>
      <c r="D6656" s="75"/>
    </row>
    <row hidden="true" r="6657">
      <c r="A6657" s="76" t="s">
        <v>1356</v>
      </c>
      <c r="B6657" s="76" t="s">
        <v>1090</v>
      </c>
      <c r="C6657" s="76" t="s">
        <v>1091</v>
      </c>
      <c r="D6657" s="75"/>
    </row>
    <row hidden="true" r="6658">
      <c r="A6658" s="76" t="s">
        <v>1356</v>
      </c>
      <c r="B6658" s="76" t="s">
        <v>1092</v>
      </c>
      <c r="C6658" s="76" t="s">
        <v>1091</v>
      </c>
      <c r="D6658" s="75"/>
    </row>
    <row hidden="true" r="6659">
      <c r="A6659" s="76" t="s">
        <v>1356</v>
      </c>
      <c r="B6659" s="76" t="s">
        <v>1093</v>
      </c>
      <c r="C6659" s="76" t="s">
        <v>1094</v>
      </c>
      <c r="D6659" s="75"/>
    </row>
    <row hidden="true" r="6660">
      <c r="A6660" s="76" t="s">
        <v>1356</v>
      </c>
      <c r="B6660" s="76" t="s">
        <v>1095</v>
      </c>
      <c r="C6660" s="76" t="s">
        <v>1096</v>
      </c>
      <c r="D6660" s="75"/>
    </row>
    <row hidden="true" r="6661">
      <c r="A6661" s="76" t="s">
        <v>1356</v>
      </c>
      <c r="B6661" s="76" t="s">
        <v>1097</v>
      </c>
      <c r="C6661" s="76" t="s">
        <v>1098</v>
      </c>
      <c r="D6661" s="75"/>
    </row>
    <row hidden="true" r="6662">
      <c r="A6662" s="76" t="s">
        <v>1356</v>
      </c>
      <c r="B6662" s="76" t="s">
        <v>1103</v>
      </c>
      <c r="C6662" s="76" t="s">
        <v>1104</v>
      </c>
      <c r="D6662" s="75"/>
    </row>
    <row hidden="true" r="6663">
      <c r="A6663" s="76" t="s">
        <v>1356</v>
      </c>
      <c r="B6663" s="76" t="s">
        <v>1329</v>
      </c>
      <c r="C6663" s="76" t="s">
        <v>1353</v>
      </c>
      <c r="D6663" s="75"/>
    </row>
    <row hidden="true" r="6664">
      <c r="A6664" s="76" t="s">
        <v>1356</v>
      </c>
      <c r="B6664" s="76" t="s">
        <v>1113</v>
      </c>
      <c r="C6664" s="76" t="s">
        <v>1114</v>
      </c>
      <c r="D6664" s="75"/>
    </row>
    <row hidden="true" r="6665">
      <c r="A6665" s="76" t="s">
        <v>1356</v>
      </c>
      <c r="B6665" s="76" t="s">
        <v>1115</v>
      </c>
      <c r="C6665" s="76" t="s">
        <v>1116</v>
      </c>
      <c r="D6665" s="75"/>
    </row>
    <row hidden="true" r="6666">
      <c r="A6666" s="76" t="s">
        <v>1356</v>
      </c>
      <c r="B6666" s="76" t="s">
        <v>1117</v>
      </c>
      <c r="C6666" s="76" t="s">
        <v>1244</v>
      </c>
      <c r="D6666" s="75"/>
    </row>
    <row hidden="true" r="6667">
      <c r="A6667" s="76" t="s">
        <v>1356</v>
      </c>
      <c r="B6667" s="76" t="s">
        <v>1119</v>
      </c>
      <c r="C6667" s="76" t="s">
        <v>1120</v>
      </c>
      <c r="D6667" s="75"/>
    </row>
    <row hidden="true" r="6668">
      <c r="A6668" s="76" t="s">
        <v>1356</v>
      </c>
      <c r="B6668" s="76" t="s">
        <v>1127</v>
      </c>
      <c r="C6668" s="76" t="s">
        <v>1128</v>
      </c>
      <c r="D6668" s="75"/>
    </row>
    <row hidden="true" r="6669">
      <c r="A6669" s="76" t="s">
        <v>1356</v>
      </c>
      <c r="B6669" s="76" t="s">
        <v>1129</v>
      </c>
      <c r="C6669" s="76" t="s">
        <v>1130</v>
      </c>
      <c r="D6669" s="75"/>
    </row>
    <row hidden="true" r="6670">
      <c r="A6670" s="76" t="s">
        <v>1356</v>
      </c>
      <c r="B6670" s="76" t="s">
        <v>1131</v>
      </c>
      <c r="C6670" s="76" t="s">
        <v>1132</v>
      </c>
      <c r="D6670" s="75"/>
    </row>
    <row hidden="true" r="6671">
      <c r="A6671" s="76" t="s">
        <v>1356</v>
      </c>
      <c r="B6671" s="76" t="s">
        <v>1137</v>
      </c>
      <c r="C6671" s="76" t="s">
        <v>1138</v>
      </c>
      <c r="D6671" s="75"/>
    </row>
    <row hidden="true" r="6672">
      <c r="A6672" s="76" t="s">
        <v>1356</v>
      </c>
      <c r="B6672" s="76" t="s">
        <v>1139</v>
      </c>
      <c r="C6672" s="76" t="s">
        <v>1140</v>
      </c>
      <c r="D6672" s="75"/>
    </row>
    <row hidden="true" r="6673">
      <c r="A6673" s="76" t="s">
        <v>1356</v>
      </c>
      <c r="B6673" s="76" t="s">
        <v>1141</v>
      </c>
      <c r="C6673" s="76" t="s">
        <v>1142</v>
      </c>
      <c r="D6673" s="75"/>
    </row>
    <row hidden="true" r="6674">
      <c r="A6674" s="76" t="s">
        <v>1356</v>
      </c>
      <c r="B6674" s="76" t="s">
        <v>1143</v>
      </c>
      <c r="C6674" s="76" t="s">
        <v>1144</v>
      </c>
      <c r="D6674" s="75"/>
    </row>
    <row hidden="true" r="6675">
      <c r="A6675" s="76" t="s">
        <v>1356</v>
      </c>
      <c r="B6675" s="76" t="s">
        <v>1145</v>
      </c>
      <c r="C6675" s="76" t="s">
        <v>1223</v>
      </c>
      <c r="D6675" s="75"/>
    </row>
    <row hidden="true" r="6676">
      <c r="A6676" s="76" t="s">
        <v>1356</v>
      </c>
      <c r="B6676" s="76" t="s">
        <v>1147</v>
      </c>
      <c r="C6676" s="76" t="s">
        <v>1148</v>
      </c>
      <c r="D6676" s="75"/>
    </row>
    <row hidden="true" r="6677">
      <c r="A6677" s="76" t="s">
        <v>1356</v>
      </c>
      <c r="B6677" s="76" t="s">
        <v>1153</v>
      </c>
      <c r="C6677" s="76" t="s">
        <v>1154</v>
      </c>
      <c r="D6677" s="75"/>
    </row>
    <row hidden="true" r="6678">
      <c r="A6678" s="76" t="s">
        <v>1356</v>
      </c>
      <c r="B6678" s="76" t="s">
        <v>1155</v>
      </c>
      <c r="C6678" s="76" t="s">
        <v>1156</v>
      </c>
      <c r="D6678" s="75"/>
    </row>
    <row hidden="true" r="6679">
      <c r="A6679" s="76" t="s">
        <v>1356</v>
      </c>
      <c r="B6679" s="76" t="s">
        <v>1157</v>
      </c>
      <c r="C6679" s="76" t="s">
        <v>1158</v>
      </c>
      <c r="D6679" s="75"/>
    </row>
    <row hidden="true" r="6680">
      <c r="A6680" s="76" t="s">
        <v>1356</v>
      </c>
      <c r="B6680" s="76" t="s">
        <v>1159</v>
      </c>
      <c r="C6680" s="76" t="s">
        <v>1160</v>
      </c>
      <c r="D6680" s="75"/>
    </row>
    <row hidden="true" r="6681">
      <c r="A6681" s="76" t="s">
        <v>1356</v>
      </c>
      <c r="B6681" s="76" t="s">
        <v>1161</v>
      </c>
      <c r="C6681" s="76" t="s">
        <v>1162</v>
      </c>
      <c r="D6681" s="75"/>
    </row>
    <row hidden="true" r="6682">
      <c r="A6682" s="76" t="s">
        <v>1356</v>
      </c>
      <c r="B6682" s="76" t="s">
        <v>1163</v>
      </c>
      <c r="C6682" s="76" t="s">
        <v>1164</v>
      </c>
      <c r="D6682" s="75"/>
    </row>
    <row hidden="true" r="6683">
      <c r="A6683" s="76" t="s">
        <v>1356</v>
      </c>
      <c r="B6683" s="76" t="s">
        <v>1165</v>
      </c>
      <c r="C6683" s="76" t="s">
        <v>1166</v>
      </c>
      <c r="D6683" s="75"/>
    </row>
    <row hidden="true" r="6684">
      <c r="A6684" s="76" t="s">
        <v>1356</v>
      </c>
      <c r="B6684" s="76" t="s">
        <v>1331</v>
      </c>
      <c r="C6684" s="76" t="s">
        <v>1345</v>
      </c>
      <c r="D6684" s="75"/>
    </row>
    <row hidden="true" r="6685">
      <c r="A6685" s="76" t="s">
        <v>1356</v>
      </c>
      <c r="B6685" s="76" t="s">
        <v>1333</v>
      </c>
      <c r="C6685" s="76" t="s">
        <v>1346</v>
      </c>
      <c r="D6685" s="75"/>
    </row>
    <row hidden="true" r="6686">
      <c r="A6686" s="76" t="s">
        <v>1356</v>
      </c>
      <c r="B6686" s="76" t="s">
        <v>1335</v>
      </c>
      <c r="C6686" s="76" t="s">
        <v>1347</v>
      </c>
      <c r="D6686" s="75"/>
    </row>
    <row hidden="true" r="6687">
      <c r="A6687" s="76" t="s">
        <v>1356</v>
      </c>
      <c r="B6687" s="76" t="s">
        <v>1337</v>
      </c>
      <c r="C6687" s="76" t="s">
        <v>1348</v>
      </c>
      <c r="D6687" s="75"/>
    </row>
    <row hidden="true" r="6688">
      <c r="A6688" s="76" t="s">
        <v>1356</v>
      </c>
      <c r="B6688" s="76" t="s">
        <v>1339</v>
      </c>
      <c r="C6688" s="76" t="s">
        <v>1349</v>
      </c>
      <c r="D6688" s="75"/>
    </row>
    <row hidden="true" r="6689">
      <c r="A6689" s="76" t="s">
        <v>1356</v>
      </c>
      <c r="B6689" s="76" t="s">
        <v>1341</v>
      </c>
      <c r="C6689" s="76" t="s">
        <v>1342</v>
      </c>
      <c r="D6689" s="75"/>
    </row>
    <row hidden="true" r="6690">
      <c r="A6690" s="76" t="s">
        <v>1356</v>
      </c>
      <c r="B6690" s="76" t="s">
        <v>1044</v>
      </c>
      <c r="C6690" s="76" t="s">
        <v>1045</v>
      </c>
      <c r="D6690" s="75"/>
    </row>
    <row hidden="true" r="6691">
      <c r="A6691" s="76" t="s">
        <v>1356</v>
      </c>
      <c r="B6691" s="76" t="s">
        <v>1046</v>
      </c>
      <c r="C6691" s="76" t="s">
        <v>1047</v>
      </c>
      <c r="D6691" s="75"/>
    </row>
    <row hidden="true" r="6692">
      <c r="A6692" s="76" t="s">
        <v>1356</v>
      </c>
      <c r="B6692" s="76" t="s">
        <v>1048</v>
      </c>
      <c r="C6692" s="76" t="s">
        <v>1241</v>
      </c>
      <c r="D6692" s="75"/>
    </row>
    <row hidden="true" r="6693">
      <c r="A6693" s="76" t="s">
        <v>1356</v>
      </c>
      <c r="B6693" s="76" t="s">
        <v>1167</v>
      </c>
      <c r="C6693" s="76" t="s">
        <v>1246</v>
      </c>
      <c r="D6693" s="75"/>
    </row>
    <row hidden="true" r="6694">
      <c r="A6694" s="76" t="s">
        <v>1356</v>
      </c>
      <c r="B6694" s="76" t="s">
        <v>1169</v>
      </c>
      <c r="C6694" s="76" t="s">
        <v>1170</v>
      </c>
      <c r="D6694" s="75"/>
    </row>
    <row hidden="true" r="6695">
      <c r="A6695" s="76" t="s">
        <v>1356</v>
      </c>
      <c r="B6695" s="76" t="s">
        <v>1171</v>
      </c>
      <c r="C6695" s="76" t="s">
        <v>1172</v>
      </c>
      <c r="D6695" s="75"/>
    </row>
    <row hidden="true" r="6696">
      <c r="A6696" s="76" t="s">
        <v>1356</v>
      </c>
      <c r="B6696" s="76" t="s">
        <v>1173</v>
      </c>
      <c r="C6696" s="76" t="s">
        <v>1247</v>
      </c>
      <c r="D6696" s="75"/>
    </row>
    <row hidden="true" r="6697">
      <c r="A6697" s="76" t="s">
        <v>1356</v>
      </c>
      <c r="B6697" s="76" t="s">
        <v>1175</v>
      </c>
      <c r="C6697" s="76" t="s">
        <v>1176</v>
      </c>
      <c r="D6697" s="75"/>
    </row>
    <row hidden="true" r="6698">
      <c r="A6698" s="76" t="s">
        <v>1356</v>
      </c>
      <c r="B6698" s="76" t="s">
        <v>1177</v>
      </c>
      <c r="C6698" s="76" t="s">
        <v>1178</v>
      </c>
      <c r="D6698" s="75"/>
    </row>
    <row hidden="true" r="6699">
      <c r="A6699" s="76" t="s">
        <v>1356</v>
      </c>
      <c r="B6699" s="76" t="s">
        <v>1135</v>
      </c>
      <c r="C6699" s="76" t="s">
        <v>1136</v>
      </c>
      <c r="D6699" s="75"/>
    </row>
    <row hidden="true" r="6700">
      <c r="A6700" s="76" t="s">
        <v>1356</v>
      </c>
      <c r="B6700" s="76" t="s">
        <v>1179</v>
      </c>
      <c r="C6700" s="76" t="s">
        <v>1180</v>
      </c>
      <c r="D6700" s="75"/>
    </row>
    <row hidden="true" r="6701">
      <c r="A6701" s="76" t="s">
        <v>1356</v>
      </c>
      <c r="B6701" s="76" t="s">
        <v>1181</v>
      </c>
      <c r="C6701" s="76" t="s">
        <v>1182</v>
      </c>
      <c r="D6701" s="75"/>
    </row>
    <row hidden="true" r="6702">
      <c r="A6702" s="76" t="s">
        <v>1356</v>
      </c>
      <c r="B6702" s="76" t="s">
        <v>1183</v>
      </c>
      <c r="C6702" s="76" t="s">
        <v>1184</v>
      </c>
      <c r="D6702" s="75"/>
    </row>
    <row hidden="true" r="6703">
      <c r="A6703" s="76" t="s">
        <v>1356</v>
      </c>
      <c r="B6703" s="76" t="s">
        <v>1185</v>
      </c>
      <c r="C6703" s="76" t="s">
        <v>1186</v>
      </c>
      <c r="D6703" s="75"/>
    </row>
    <row hidden="true" r="6704">
      <c r="A6704" s="76" t="s">
        <v>1356</v>
      </c>
      <c r="B6704" s="76" t="s">
        <v>1187</v>
      </c>
      <c r="C6704" s="76" t="s">
        <v>1188</v>
      </c>
      <c r="D6704" s="75"/>
    </row>
    <row hidden="true" r="6705">
      <c r="A6705" s="76" t="s">
        <v>1356</v>
      </c>
      <c r="B6705" s="76" t="s">
        <v>1199</v>
      </c>
      <c r="C6705" s="76" t="s">
        <v>1200</v>
      </c>
      <c r="D6705" s="75"/>
    </row>
    <row hidden="true" r="6706">
      <c r="A6706" s="76" t="s">
        <v>1356</v>
      </c>
      <c r="B6706" s="76" t="s">
        <v>1201</v>
      </c>
      <c r="C6706" s="76" t="s">
        <v>1202</v>
      </c>
      <c r="D6706" s="75"/>
    </row>
    <row hidden="true" r="6707">
      <c r="A6707" s="76" t="s">
        <v>1356</v>
      </c>
      <c r="B6707" s="76" t="s">
        <v>1203</v>
      </c>
      <c r="C6707" s="76" t="s">
        <v>1204</v>
      </c>
      <c r="D6707" s="75"/>
    </row>
    <row hidden="true" r="6708">
      <c r="A6708" s="76" t="s">
        <v>1356</v>
      </c>
      <c r="B6708" s="76" t="s">
        <v>1205</v>
      </c>
      <c r="C6708" s="76" t="s">
        <v>1206</v>
      </c>
      <c r="D6708" s="75"/>
    </row>
    <row hidden="true" r="6709">
      <c r="A6709" s="76" t="s">
        <v>1356</v>
      </c>
      <c r="B6709" s="76" t="s">
        <v>1207</v>
      </c>
      <c r="C6709" s="76" t="s">
        <v>1208</v>
      </c>
      <c r="D6709" s="75"/>
    </row>
    <row hidden="true" r="6710">
      <c r="A6710" s="76" t="s">
        <v>1356</v>
      </c>
      <c r="B6710" s="76" t="s">
        <v>1209</v>
      </c>
      <c r="C6710" s="76" t="s">
        <v>1210</v>
      </c>
      <c r="D6710" s="75"/>
    </row>
    <row hidden="true" r="6711">
      <c r="A6711" s="76" t="s">
        <v>1356</v>
      </c>
      <c r="B6711" s="76" t="s">
        <v>735</v>
      </c>
      <c r="C6711" s="76"/>
      <c r="D6711" s="75"/>
    </row>
    <row hidden="true" r="6712">
      <c r="A6712" s="76" t="s">
        <v>1357</v>
      </c>
      <c r="B6712" s="76" t="s">
        <v>407</v>
      </c>
      <c r="C6712" s="76" t="s">
        <v>1281</v>
      </c>
      <c r="D6712" s="75"/>
    </row>
    <row hidden="true" r="6713">
      <c r="A6713" s="76" t="s">
        <v>1357</v>
      </c>
      <c r="B6713" s="76" t="s">
        <v>744</v>
      </c>
      <c r="C6713" s="76" t="s">
        <v>1281</v>
      </c>
      <c r="D6713" s="75"/>
    </row>
    <row hidden="true" r="6714">
      <c r="A6714" s="76" t="s">
        <v>1357</v>
      </c>
      <c r="B6714" s="76" t="s">
        <v>480</v>
      </c>
      <c r="C6714" s="76" t="s">
        <v>1281</v>
      </c>
      <c r="D6714" s="75"/>
    </row>
    <row hidden="true" r="6715">
      <c r="A6715" s="76" t="s">
        <v>1357</v>
      </c>
      <c r="B6715" s="76" t="s">
        <v>884</v>
      </c>
      <c r="C6715" s="76" t="s">
        <v>1281</v>
      </c>
      <c r="D6715" s="75"/>
    </row>
    <row hidden="true" r="6716">
      <c r="A6716" s="76" t="s">
        <v>1357</v>
      </c>
      <c r="B6716" s="76" t="s">
        <v>886</v>
      </c>
      <c r="C6716" s="76" t="s">
        <v>1281</v>
      </c>
      <c r="D6716" s="75"/>
    </row>
    <row hidden="true" r="6717">
      <c r="A6717" s="76" t="s">
        <v>1357</v>
      </c>
      <c r="B6717" s="76" t="s">
        <v>888</v>
      </c>
      <c r="C6717" s="76" t="s">
        <v>1281</v>
      </c>
      <c r="D6717" s="75"/>
    </row>
    <row hidden="true" r="6718">
      <c r="A6718" s="76" t="s">
        <v>1357</v>
      </c>
      <c r="B6718" s="76" t="s">
        <v>890</v>
      </c>
      <c r="C6718" s="76" t="s">
        <v>1281</v>
      </c>
      <c r="D6718" s="75"/>
    </row>
    <row hidden="true" r="6719">
      <c r="A6719" s="76" t="s">
        <v>1357</v>
      </c>
      <c r="B6719" s="76" t="s">
        <v>892</v>
      </c>
      <c r="C6719" s="76" t="s">
        <v>1281</v>
      </c>
      <c r="D6719" s="75"/>
    </row>
    <row hidden="true" r="6720">
      <c r="A6720" s="76" t="s">
        <v>1357</v>
      </c>
      <c r="B6720" s="76" t="s">
        <v>894</v>
      </c>
      <c r="C6720" s="76" t="s">
        <v>1281</v>
      </c>
      <c r="D6720" s="75"/>
    </row>
    <row hidden="true" r="6721">
      <c r="A6721" s="76" t="s">
        <v>1357</v>
      </c>
      <c r="B6721" s="76" t="s">
        <v>896</v>
      </c>
      <c r="C6721" s="76" t="s">
        <v>1281</v>
      </c>
      <c r="D6721" s="75"/>
    </row>
    <row hidden="true" r="6722">
      <c r="A6722" s="76" t="s">
        <v>1357</v>
      </c>
      <c r="B6722" s="76" t="s">
        <v>898</v>
      </c>
      <c r="C6722" s="76" t="s">
        <v>1281</v>
      </c>
      <c r="D6722" s="75"/>
    </row>
    <row hidden="true" r="6723">
      <c r="A6723" s="76" t="s">
        <v>1357</v>
      </c>
      <c r="B6723" s="76" t="s">
        <v>900</v>
      </c>
      <c r="C6723" s="76" t="s">
        <v>1281</v>
      </c>
      <c r="D6723" s="75"/>
    </row>
    <row hidden="true" r="6724">
      <c r="A6724" s="76" t="s">
        <v>1357</v>
      </c>
      <c r="B6724" s="76" t="s">
        <v>902</v>
      </c>
      <c r="C6724" s="76" t="s">
        <v>1281</v>
      </c>
      <c r="D6724" s="75"/>
    </row>
    <row hidden="true" r="6725">
      <c r="A6725" s="76" t="s">
        <v>1357</v>
      </c>
      <c r="B6725" s="76" t="s">
        <v>904</v>
      </c>
      <c r="C6725" s="76" t="s">
        <v>1281</v>
      </c>
      <c r="D6725" s="75"/>
    </row>
    <row hidden="true" r="6726">
      <c r="A6726" s="76" t="s">
        <v>1357</v>
      </c>
      <c r="B6726" s="76" t="s">
        <v>906</v>
      </c>
      <c r="C6726" s="76" t="s">
        <v>1281</v>
      </c>
      <c r="D6726" s="75"/>
    </row>
    <row hidden="true" r="6727">
      <c r="A6727" s="76" t="s">
        <v>1357</v>
      </c>
      <c r="B6727" s="76" t="s">
        <v>908</v>
      </c>
      <c r="C6727" s="76" t="s">
        <v>1281</v>
      </c>
      <c r="D6727" s="75"/>
    </row>
    <row hidden="true" r="6728">
      <c r="A6728" s="76" t="s">
        <v>1357</v>
      </c>
      <c r="B6728" s="76" t="s">
        <v>910</v>
      </c>
      <c r="C6728" s="76" t="s">
        <v>1281</v>
      </c>
      <c r="D6728" s="75"/>
    </row>
    <row hidden="true" r="6729">
      <c r="A6729" s="76" t="s">
        <v>1357</v>
      </c>
      <c r="B6729" s="76" t="s">
        <v>912</v>
      </c>
      <c r="C6729" s="76" t="s">
        <v>1281</v>
      </c>
      <c r="D6729" s="75"/>
    </row>
    <row hidden="true" r="6730">
      <c r="A6730" s="76" t="s">
        <v>1357</v>
      </c>
      <c r="B6730" s="76" t="s">
        <v>914</v>
      </c>
      <c r="C6730" s="76" t="s">
        <v>1281</v>
      </c>
      <c r="D6730" s="75"/>
    </row>
    <row hidden="true" r="6731">
      <c r="A6731" s="76" t="s">
        <v>1357</v>
      </c>
      <c r="B6731" s="76" t="s">
        <v>916</v>
      </c>
      <c r="C6731" s="76" t="s">
        <v>1281</v>
      </c>
      <c r="D6731" s="75"/>
    </row>
    <row hidden="true" r="6732">
      <c r="A6732" s="76" t="s">
        <v>1357</v>
      </c>
      <c r="B6732" s="76" t="s">
        <v>918</v>
      </c>
      <c r="C6732" s="76" t="s">
        <v>1281</v>
      </c>
      <c r="D6732" s="75"/>
    </row>
    <row hidden="true" r="6733">
      <c r="A6733" s="76" t="s">
        <v>1357</v>
      </c>
      <c r="B6733" s="76" t="s">
        <v>920</v>
      </c>
      <c r="C6733" s="76" t="s">
        <v>1281</v>
      </c>
      <c r="D6733" s="75"/>
    </row>
    <row hidden="true" r="6734">
      <c r="A6734" s="76" t="s">
        <v>1357</v>
      </c>
      <c r="B6734" s="76" t="s">
        <v>922</v>
      </c>
      <c r="C6734" s="76" t="s">
        <v>1281</v>
      </c>
      <c r="D6734" s="75"/>
    </row>
    <row hidden="true" r="6735">
      <c r="A6735" s="76" t="s">
        <v>1357</v>
      </c>
      <c r="B6735" s="76" t="s">
        <v>924</v>
      </c>
      <c r="C6735" s="76" t="s">
        <v>1281</v>
      </c>
      <c r="D6735" s="75"/>
    </row>
    <row hidden="true" r="6736">
      <c r="A6736" s="76" t="s">
        <v>1357</v>
      </c>
      <c r="B6736" s="76" t="s">
        <v>926</v>
      </c>
      <c r="C6736" s="76" t="s">
        <v>1281</v>
      </c>
      <c r="D6736" s="75"/>
    </row>
    <row hidden="true" r="6737">
      <c r="A6737" s="76" t="s">
        <v>1357</v>
      </c>
      <c r="B6737" s="76" t="s">
        <v>928</v>
      </c>
      <c r="C6737" s="76" t="s">
        <v>1281</v>
      </c>
      <c r="D6737" s="75"/>
    </row>
    <row hidden="true" r="6738">
      <c r="A6738" s="76" t="s">
        <v>1357</v>
      </c>
      <c r="B6738" s="76" t="s">
        <v>930</v>
      </c>
      <c r="C6738" s="76" t="s">
        <v>1281</v>
      </c>
      <c r="D6738" s="75"/>
    </row>
    <row hidden="true" r="6739">
      <c r="A6739" s="76" t="s">
        <v>1357</v>
      </c>
      <c r="B6739" s="76" t="s">
        <v>932</v>
      </c>
      <c r="C6739" s="76" t="s">
        <v>1281</v>
      </c>
      <c r="D6739" s="75"/>
    </row>
    <row hidden="true" r="6740">
      <c r="A6740" s="76" t="s">
        <v>1357</v>
      </c>
      <c r="B6740" s="76" t="s">
        <v>934</v>
      </c>
      <c r="C6740" s="76" t="s">
        <v>1281</v>
      </c>
      <c r="D6740" s="75"/>
    </row>
    <row hidden="true" r="6741">
      <c r="A6741" s="76" t="s">
        <v>1357</v>
      </c>
      <c r="B6741" s="76" t="s">
        <v>936</v>
      </c>
      <c r="C6741" s="76" t="s">
        <v>1281</v>
      </c>
      <c r="D6741" s="75"/>
    </row>
    <row hidden="true" r="6742">
      <c r="A6742" s="76" t="s">
        <v>1357</v>
      </c>
      <c r="B6742" s="76" t="s">
        <v>938</v>
      </c>
      <c r="C6742" s="76" t="s">
        <v>1281</v>
      </c>
      <c r="D6742" s="75"/>
    </row>
    <row hidden="true" r="6743">
      <c r="A6743" s="76" t="s">
        <v>1357</v>
      </c>
      <c r="B6743" s="76" t="s">
        <v>940</v>
      </c>
      <c r="C6743" s="76" t="s">
        <v>1281</v>
      </c>
      <c r="D6743" s="75"/>
    </row>
    <row hidden="true" r="6744">
      <c r="A6744" s="76" t="s">
        <v>1357</v>
      </c>
      <c r="B6744" s="76" t="s">
        <v>942</v>
      </c>
      <c r="C6744" s="76" t="s">
        <v>1281</v>
      </c>
      <c r="D6744" s="75"/>
    </row>
    <row hidden="true" r="6745">
      <c r="A6745" s="76" t="s">
        <v>1357</v>
      </c>
      <c r="B6745" s="76" t="s">
        <v>944</v>
      </c>
      <c r="C6745" s="76" t="s">
        <v>1281</v>
      </c>
      <c r="D6745" s="75"/>
    </row>
    <row hidden="true" r="6746">
      <c r="A6746" s="76" t="s">
        <v>1357</v>
      </c>
      <c r="B6746" s="76" t="s">
        <v>1305</v>
      </c>
      <c r="C6746" s="76" t="s">
        <v>1281</v>
      </c>
      <c r="D6746" s="75"/>
    </row>
    <row hidden="true" r="6747">
      <c r="A6747" s="76" t="s">
        <v>1357</v>
      </c>
      <c r="B6747" s="76" t="s">
        <v>1307</v>
      </c>
      <c r="C6747" s="76" t="s">
        <v>1281</v>
      </c>
      <c r="D6747" s="75"/>
    </row>
    <row hidden="true" r="6748">
      <c r="A6748" s="76" t="s">
        <v>1357</v>
      </c>
      <c r="B6748" s="76" t="s">
        <v>946</v>
      </c>
      <c r="C6748" s="76" t="s">
        <v>1281</v>
      </c>
      <c r="D6748" s="75"/>
    </row>
    <row hidden="true" r="6749">
      <c r="A6749" s="76" t="s">
        <v>1357</v>
      </c>
      <c r="B6749" s="76" t="s">
        <v>948</v>
      </c>
      <c r="C6749" s="76" t="s">
        <v>1281</v>
      </c>
      <c r="D6749" s="75"/>
    </row>
    <row hidden="true" r="6750">
      <c r="A6750" s="76" t="s">
        <v>1357</v>
      </c>
      <c r="B6750" s="76" t="s">
        <v>950</v>
      </c>
      <c r="C6750" s="76" t="s">
        <v>1281</v>
      </c>
      <c r="D6750" s="75"/>
    </row>
    <row hidden="true" r="6751">
      <c r="A6751" s="76" t="s">
        <v>1357</v>
      </c>
      <c r="B6751" s="76" t="s">
        <v>952</v>
      </c>
      <c r="C6751" s="76" t="s">
        <v>1281</v>
      </c>
      <c r="D6751" s="75"/>
    </row>
    <row hidden="true" r="6752">
      <c r="A6752" s="76" t="s">
        <v>1357</v>
      </c>
      <c r="B6752" s="76" t="s">
        <v>954</v>
      </c>
      <c r="C6752" s="76" t="s">
        <v>1281</v>
      </c>
      <c r="D6752" s="75"/>
    </row>
    <row hidden="true" r="6753">
      <c r="A6753" s="76" t="s">
        <v>1357</v>
      </c>
      <c r="B6753" s="76" t="s">
        <v>775</v>
      </c>
      <c r="C6753" s="76" t="s">
        <v>1281</v>
      </c>
      <c r="D6753" s="75"/>
    </row>
    <row hidden="true" r="6754">
      <c r="A6754" s="76" t="s">
        <v>1357</v>
      </c>
      <c r="B6754" s="76" t="s">
        <v>956</v>
      </c>
      <c r="C6754" s="76" t="s">
        <v>1281</v>
      </c>
      <c r="D6754" s="75"/>
    </row>
    <row hidden="true" r="6755">
      <c r="A6755" s="76" t="s">
        <v>1357</v>
      </c>
      <c r="B6755" s="76" t="s">
        <v>958</v>
      </c>
      <c r="C6755" s="76" t="s">
        <v>1281</v>
      </c>
      <c r="D6755" s="75"/>
    </row>
    <row hidden="true" r="6756">
      <c r="A6756" s="76" t="s">
        <v>1357</v>
      </c>
      <c r="B6756" s="76" t="s">
        <v>960</v>
      </c>
      <c r="C6756" s="76" t="s">
        <v>1281</v>
      </c>
      <c r="D6756" s="75"/>
    </row>
    <row hidden="true" r="6757">
      <c r="A6757" s="76" t="s">
        <v>1357</v>
      </c>
      <c r="B6757" s="76" t="s">
        <v>962</v>
      </c>
      <c r="C6757" s="76" t="s">
        <v>1281</v>
      </c>
      <c r="D6757" s="75"/>
    </row>
    <row hidden="true" r="6758">
      <c r="A6758" s="76" t="s">
        <v>1357</v>
      </c>
      <c r="B6758" s="76" t="s">
        <v>964</v>
      </c>
      <c r="C6758" s="76" t="s">
        <v>1281</v>
      </c>
      <c r="D6758" s="75"/>
    </row>
    <row hidden="true" r="6759">
      <c r="A6759" s="76" t="s">
        <v>1357</v>
      </c>
      <c r="B6759" s="76" t="s">
        <v>966</v>
      </c>
      <c r="C6759" s="76" t="s">
        <v>1281</v>
      </c>
      <c r="D6759" s="75"/>
    </row>
    <row hidden="true" r="6760">
      <c r="A6760" s="76" t="s">
        <v>1357</v>
      </c>
      <c r="B6760" s="76" t="s">
        <v>968</v>
      </c>
      <c r="C6760" s="76" t="s">
        <v>1281</v>
      </c>
      <c r="D6760" s="75"/>
    </row>
    <row hidden="true" r="6761">
      <c r="A6761" s="76" t="s">
        <v>1357</v>
      </c>
      <c r="B6761" s="76" t="s">
        <v>970</v>
      </c>
      <c r="C6761" s="76" t="s">
        <v>1281</v>
      </c>
      <c r="D6761" s="75"/>
    </row>
    <row hidden="true" r="6762">
      <c r="A6762" s="76" t="s">
        <v>1357</v>
      </c>
      <c r="B6762" s="76" t="s">
        <v>972</v>
      </c>
      <c r="C6762" s="76" t="s">
        <v>1281</v>
      </c>
      <c r="D6762" s="75"/>
    </row>
    <row hidden="true" r="6763">
      <c r="A6763" s="76" t="s">
        <v>1357</v>
      </c>
      <c r="B6763" s="76" t="s">
        <v>974</v>
      </c>
      <c r="C6763" s="76" t="s">
        <v>1281</v>
      </c>
      <c r="D6763" s="75"/>
    </row>
    <row hidden="true" r="6764">
      <c r="A6764" s="76" t="s">
        <v>1357</v>
      </c>
      <c r="B6764" s="76" t="s">
        <v>976</v>
      </c>
      <c r="C6764" s="76" t="s">
        <v>1281</v>
      </c>
      <c r="D6764" s="75"/>
    </row>
    <row hidden="true" r="6765">
      <c r="A6765" s="76" t="s">
        <v>1357</v>
      </c>
      <c r="B6765" s="76" t="s">
        <v>823</v>
      </c>
      <c r="C6765" s="76" t="s">
        <v>1281</v>
      </c>
      <c r="D6765" s="75"/>
    </row>
    <row hidden="true" r="6766">
      <c r="A6766" s="76" t="s">
        <v>1357</v>
      </c>
      <c r="B6766" s="76" t="s">
        <v>978</v>
      </c>
      <c r="C6766" s="76" t="s">
        <v>1281</v>
      </c>
      <c r="D6766" s="75"/>
    </row>
    <row hidden="true" r="6767">
      <c r="A6767" s="76" t="s">
        <v>1357</v>
      </c>
      <c r="B6767" s="76" t="s">
        <v>980</v>
      </c>
      <c r="C6767" s="76" t="s">
        <v>1281</v>
      </c>
      <c r="D6767" s="75"/>
    </row>
    <row hidden="true" r="6768">
      <c r="A6768" s="76" t="s">
        <v>1357</v>
      </c>
      <c r="B6768" s="76" t="s">
        <v>982</v>
      </c>
      <c r="C6768" s="76" t="s">
        <v>1281</v>
      </c>
      <c r="D6768" s="75"/>
    </row>
    <row hidden="true" r="6769">
      <c r="A6769" s="76" t="s">
        <v>1357</v>
      </c>
      <c r="B6769" s="76" t="s">
        <v>984</v>
      </c>
      <c r="C6769" s="76" t="s">
        <v>1281</v>
      </c>
      <c r="D6769" s="75"/>
    </row>
    <row hidden="true" r="6770">
      <c r="A6770" s="76" t="s">
        <v>1357</v>
      </c>
      <c r="B6770" s="76" t="s">
        <v>986</v>
      </c>
      <c r="C6770" s="76" t="s">
        <v>1281</v>
      </c>
      <c r="D6770" s="75"/>
    </row>
    <row hidden="true" r="6771">
      <c r="A6771" s="76" t="s">
        <v>1357</v>
      </c>
      <c r="B6771" s="76" t="s">
        <v>1309</v>
      </c>
      <c r="C6771" s="76" t="s">
        <v>1281</v>
      </c>
      <c r="D6771" s="75"/>
    </row>
    <row hidden="true" r="6772">
      <c r="A6772" s="76" t="s">
        <v>1357</v>
      </c>
      <c r="B6772" s="76" t="s">
        <v>1311</v>
      </c>
      <c r="C6772" s="76" t="s">
        <v>1281</v>
      </c>
      <c r="D6772" s="75"/>
    </row>
    <row hidden="true" r="6773">
      <c r="A6773" s="76" t="s">
        <v>1357</v>
      </c>
      <c r="B6773" s="76" t="s">
        <v>1099</v>
      </c>
      <c r="C6773" s="76" t="s">
        <v>1281</v>
      </c>
      <c r="D6773" s="75"/>
    </row>
    <row hidden="true" r="6774">
      <c r="A6774" s="76" t="s">
        <v>1357</v>
      </c>
      <c r="B6774" s="76" t="s">
        <v>1101</v>
      </c>
      <c r="C6774" s="76" t="s">
        <v>1281</v>
      </c>
      <c r="D6774" s="75"/>
    </row>
    <row hidden="true" r="6775">
      <c r="A6775" s="76" t="s">
        <v>1357</v>
      </c>
      <c r="B6775" s="76" t="s">
        <v>1313</v>
      </c>
      <c r="C6775" s="76" t="s">
        <v>1281</v>
      </c>
      <c r="D6775" s="75"/>
    </row>
    <row hidden="true" r="6776">
      <c r="A6776" s="76" t="s">
        <v>1357</v>
      </c>
      <c r="B6776" s="76" t="s">
        <v>996</v>
      </c>
      <c r="C6776" s="76" t="s">
        <v>1281</v>
      </c>
      <c r="D6776" s="75"/>
    </row>
    <row hidden="true" r="6777">
      <c r="A6777" s="76" t="s">
        <v>1357</v>
      </c>
      <c r="B6777" s="76" t="s">
        <v>998</v>
      </c>
      <c r="C6777" s="76" t="s">
        <v>1281</v>
      </c>
      <c r="D6777" s="75"/>
    </row>
    <row hidden="true" r="6778">
      <c r="A6778" s="76" t="s">
        <v>1357</v>
      </c>
      <c r="B6778" s="76" t="s">
        <v>1000</v>
      </c>
      <c r="C6778" s="76" t="s">
        <v>1281</v>
      </c>
      <c r="D6778" s="75"/>
    </row>
    <row hidden="true" r="6779">
      <c r="A6779" s="76" t="s">
        <v>1357</v>
      </c>
      <c r="B6779" s="76" t="s">
        <v>1002</v>
      </c>
      <c r="C6779" s="76" t="s">
        <v>1281</v>
      </c>
      <c r="D6779" s="75"/>
    </row>
    <row hidden="true" r="6780">
      <c r="A6780" s="76" t="s">
        <v>1357</v>
      </c>
      <c r="B6780" s="76" t="s">
        <v>1004</v>
      </c>
      <c r="C6780" s="76" t="s">
        <v>1281</v>
      </c>
      <c r="D6780" s="75"/>
    </row>
    <row hidden="true" r="6781">
      <c r="A6781" s="76" t="s">
        <v>1357</v>
      </c>
      <c r="B6781" s="76" t="s">
        <v>1006</v>
      </c>
      <c r="C6781" s="76" t="s">
        <v>1281</v>
      </c>
      <c r="D6781" s="75"/>
    </row>
    <row hidden="true" r="6782">
      <c r="A6782" s="76" t="s">
        <v>1357</v>
      </c>
      <c r="B6782" s="76" t="s">
        <v>1008</v>
      </c>
      <c r="C6782" s="76" t="s">
        <v>1281</v>
      </c>
      <c r="D6782" s="75"/>
    </row>
    <row hidden="true" r="6783">
      <c r="A6783" s="76" t="s">
        <v>1357</v>
      </c>
      <c r="B6783" s="76" t="s">
        <v>1010</v>
      </c>
      <c r="C6783" s="76" t="s">
        <v>1281</v>
      </c>
      <c r="D6783" s="75"/>
    </row>
    <row hidden="true" r="6784">
      <c r="A6784" s="76" t="s">
        <v>1357</v>
      </c>
      <c r="B6784" s="76" t="s">
        <v>1315</v>
      </c>
      <c r="C6784" s="76" t="s">
        <v>1281</v>
      </c>
      <c r="D6784" s="75"/>
    </row>
    <row hidden="true" r="6785">
      <c r="A6785" s="76" t="s">
        <v>1357</v>
      </c>
      <c r="B6785" s="76" t="s">
        <v>1014</v>
      </c>
      <c r="C6785" s="76" t="s">
        <v>1281</v>
      </c>
      <c r="D6785" s="75"/>
    </row>
    <row hidden="true" r="6786">
      <c r="A6786" s="76" t="s">
        <v>1357</v>
      </c>
      <c r="B6786" s="76" t="s">
        <v>1016</v>
      </c>
      <c r="C6786" s="76" t="s">
        <v>1281</v>
      </c>
      <c r="D6786" s="75"/>
    </row>
    <row hidden="true" r="6787">
      <c r="A6787" s="76" t="s">
        <v>1357</v>
      </c>
      <c r="B6787" s="76" t="s">
        <v>1018</v>
      </c>
      <c r="C6787" s="76" t="s">
        <v>1281</v>
      </c>
      <c r="D6787" s="75"/>
    </row>
    <row hidden="true" r="6788">
      <c r="A6788" s="76" t="s">
        <v>1357</v>
      </c>
      <c r="B6788" s="76" t="s">
        <v>1020</v>
      </c>
      <c r="C6788" s="76" t="s">
        <v>1281</v>
      </c>
      <c r="D6788" s="75"/>
    </row>
    <row hidden="true" r="6789">
      <c r="A6789" s="76" t="s">
        <v>1357</v>
      </c>
      <c r="B6789" s="76" t="s">
        <v>1022</v>
      </c>
      <c r="C6789" s="76" t="s">
        <v>1281</v>
      </c>
      <c r="D6789" s="75"/>
    </row>
    <row hidden="true" r="6790">
      <c r="A6790" s="76" t="s">
        <v>1357</v>
      </c>
      <c r="B6790" s="76" t="s">
        <v>1023</v>
      </c>
      <c r="C6790" s="76" t="s">
        <v>1281</v>
      </c>
      <c r="D6790" s="75"/>
    </row>
    <row hidden="true" r="6791">
      <c r="A6791" s="76" t="s">
        <v>1357</v>
      </c>
      <c r="B6791" s="76" t="s">
        <v>1024</v>
      </c>
      <c r="C6791" s="76" t="s">
        <v>1281</v>
      </c>
      <c r="D6791" s="75"/>
    </row>
    <row hidden="true" r="6792">
      <c r="A6792" s="76" t="s">
        <v>1357</v>
      </c>
      <c r="B6792" s="76" t="s">
        <v>1025</v>
      </c>
      <c r="C6792" s="76" t="s">
        <v>1281</v>
      </c>
      <c r="D6792" s="75"/>
    </row>
    <row hidden="true" r="6793">
      <c r="A6793" s="76" t="s">
        <v>1357</v>
      </c>
      <c r="B6793" s="76" t="s">
        <v>1026</v>
      </c>
      <c r="C6793" s="76" t="s">
        <v>1281</v>
      </c>
      <c r="D6793" s="75"/>
    </row>
    <row hidden="true" r="6794">
      <c r="A6794" s="76" t="s">
        <v>1357</v>
      </c>
      <c r="B6794" s="76" t="s">
        <v>1027</v>
      </c>
      <c r="C6794" s="76" t="s">
        <v>1281</v>
      </c>
      <c r="D6794" s="75"/>
    </row>
    <row hidden="true" r="6795">
      <c r="A6795" s="76" t="s">
        <v>1357</v>
      </c>
      <c r="B6795" s="76" t="s">
        <v>1133</v>
      </c>
      <c r="C6795" s="76" t="s">
        <v>1281</v>
      </c>
      <c r="D6795" s="75"/>
    </row>
    <row hidden="true" r="6796">
      <c r="A6796" s="76" t="s">
        <v>1357</v>
      </c>
      <c r="B6796" s="76" t="s">
        <v>1317</v>
      </c>
      <c r="C6796" s="76" t="s">
        <v>1281</v>
      </c>
      <c r="D6796" s="75"/>
    </row>
    <row hidden="true" r="6797">
      <c r="A6797" s="76" t="s">
        <v>1357</v>
      </c>
      <c r="B6797" s="76" t="s">
        <v>1319</v>
      </c>
      <c r="C6797" s="76" t="s">
        <v>1281</v>
      </c>
      <c r="D6797" s="75"/>
    </row>
    <row hidden="true" r="6798">
      <c r="A6798" s="76" t="s">
        <v>1357</v>
      </c>
      <c r="B6798" s="76" t="s">
        <v>1028</v>
      </c>
      <c r="C6798" s="76" t="s">
        <v>1281</v>
      </c>
      <c r="D6798" s="75"/>
    </row>
    <row hidden="true" r="6799">
      <c r="A6799" s="76" t="s">
        <v>1357</v>
      </c>
      <c r="B6799" s="76" t="s">
        <v>988</v>
      </c>
      <c r="C6799" s="76" t="s">
        <v>1281</v>
      </c>
      <c r="D6799" s="75"/>
    </row>
    <row hidden="true" r="6800">
      <c r="A6800" s="76" t="s">
        <v>1357</v>
      </c>
      <c r="B6800" s="76" t="s">
        <v>990</v>
      </c>
      <c r="C6800" s="76" t="s">
        <v>1281</v>
      </c>
      <c r="D6800" s="75"/>
    </row>
    <row hidden="true" r="6801">
      <c r="A6801" s="76" t="s">
        <v>1357</v>
      </c>
      <c r="B6801" s="76" t="s">
        <v>992</v>
      </c>
      <c r="C6801" s="76" t="s">
        <v>1281</v>
      </c>
      <c r="D6801" s="75"/>
    </row>
    <row hidden="true" r="6802">
      <c r="A6802" s="76" t="s">
        <v>1357</v>
      </c>
      <c r="B6802" s="76" t="s">
        <v>530</v>
      </c>
      <c r="C6802" s="76" t="s">
        <v>1281</v>
      </c>
      <c r="D6802" s="75"/>
    </row>
    <row hidden="true" r="6803">
      <c r="A6803" s="76" t="s">
        <v>1357</v>
      </c>
      <c r="B6803" s="76" t="s">
        <v>1032</v>
      </c>
      <c r="C6803" s="76" t="s">
        <v>1281</v>
      </c>
      <c r="D6803" s="75"/>
    </row>
    <row hidden="true" r="6804">
      <c r="A6804" s="76" t="s">
        <v>1357</v>
      </c>
      <c r="B6804" s="76" t="s">
        <v>532</v>
      </c>
      <c r="C6804" s="76" t="s">
        <v>1281</v>
      </c>
      <c r="D6804" s="75"/>
    </row>
    <row hidden="true" r="6805">
      <c r="A6805" s="76" t="s">
        <v>1357</v>
      </c>
      <c r="B6805" s="76" t="s">
        <v>1036</v>
      </c>
      <c r="C6805" s="76" t="s">
        <v>1281</v>
      </c>
      <c r="D6805" s="75"/>
    </row>
    <row hidden="true" r="6806">
      <c r="A6806" s="76" t="s">
        <v>1357</v>
      </c>
      <c r="B6806" s="76" t="s">
        <v>1038</v>
      </c>
      <c r="C6806" s="76" t="s">
        <v>1281</v>
      </c>
      <c r="D6806" s="75"/>
    </row>
    <row hidden="true" r="6807">
      <c r="A6807" s="76" t="s">
        <v>1357</v>
      </c>
      <c r="B6807" s="76" t="s">
        <v>1321</v>
      </c>
      <c r="C6807" s="76" t="s">
        <v>1281</v>
      </c>
      <c r="D6807" s="75"/>
    </row>
    <row hidden="true" r="6808">
      <c r="A6808" s="76" t="s">
        <v>1357</v>
      </c>
      <c r="B6808" s="76" t="s">
        <v>1323</v>
      </c>
      <c r="C6808" s="76" t="s">
        <v>1281</v>
      </c>
      <c r="D6808" s="75"/>
    </row>
    <row hidden="true" r="6809">
      <c r="A6809" s="76" t="s">
        <v>1357</v>
      </c>
      <c r="B6809" s="76" t="s">
        <v>1012</v>
      </c>
      <c r="C6809" s="76" t="s">
        <v>1281</v>
      </c>
      <c r="D6809" s="75"/>
    </row>
    <row hidden="true" r="6810">
      <c r="A6810" s="76" t="s">
        <v>1357</v>
      </c>
      <c r="B6810" s="76" t="s">
        <v>1052</v>
      </c>
      <c r="C6810" s="76" t="s">
        <v>1281</v>
      </c>
      <c r="D6810" s="75"/>
    </row>
    <row hidden="true" r="6811">
      <c r="A6811" s="76" t="s">
        <v>1357</v>
      </c>
      <c r="B6811" s="76" t="s">
        <v>1054</v>
      </c>
      <c r="C6811" s="76" t="s">
        <v>1281</v>
      </c>
      <c r="D6811" s="75"/>
    </row>
    <row hidden="true" r="6812">
      <c r="A6812" s="76" t="s">
        <v>1357</v>
      </c>
      <c r="B6812" s="76" t="s">
        <v>1056</v>
      </c>
      <c r="C6812" s="76" t="s">
        <v>1281</v>
      </c>
      <c r="D6812" s="75"/>
    </row>
    <row hidden="true" r="6813">
      <c r="A6813" s="76" t="s">
        <v>1357</v>
      </c>
      <c r="B6813" s="76" t="s">
        <v>1058</v>
      </c>
      <c r="C6813" s="76" t="s">
        <v>1281</v>
      </c>
      <c r="D6813" s="75"/>
    </row>
    <row hidden="true" r="6814">
      <c r="A6814" s="76" t="s">
        <v>1357</v>
      </c>
      <c r="B6814" s="76" t="s">
        <v>1060</v>
      </c>
      <c r="C6814" s="76" t="s">
        <v>1281</v>
      </c>
      <c r="D6814" s="75"/>
    </row>
    <row hidden="true" r="6815">
      <c r="A6815" s="76" t="s">
        <v>1357</v>
      </c>
      <c r="B6815" s="76" t="s">
        <v>1062</v>
      </c>
      <c r="C6815" s="76" t="s">
        <v>1281</v>
      </c>
      <c r="D6815" s="75"/>
    </row>
    <row hidden="true" r="6816">
      <c r="A6816" s="76" t="s">
        <v>1357</v>
      </c>
      <c r="B6816" s="76" t="s">
        <v>1064</v>
      </c>
      <c r="C6816" s="76" t="s">
        <v>1281</v>
      </c>
      <c r="D6816" s="75"/>
    </row>
    <row hidden="true" r="6817">
      <c r="A6817" s="76" t="s">
        <v>1357</v>
      </c>
      <c r="B6817" s="76" t="s">
        <v>1066</v>
      </c>
      <c r="C6817" s="76" t="s">
        <v>1281</v>
      </c>
      <c r="D6817" s="75"/>
    </row>
    <row hidden="true" r="6818">
      <c r="A6818" s="76" t="s">
        <v>1357</v>
      </c>
      <c r="B6818" s="76" t="s">
        <v>1068</v>
      </c>
      <c r="C6818" s="76" t="s">
        <v>1281</v>
      </c>
      <c r="D6818" s="75"/>
    </row>
    <row hidden="true" r="6819">
      <c r="A6819" s="76" t="s">
        <v>1357</v>
      </c>
      <c r="B6819" s="76" t="s">
        <v>1070</v>
      </c>
      <c r="C6819" s="76" t="s">
        <v>1281</v>
      </c>
      <c r="D6819" s="75"/>
    </row>
    <row hidden="true" r="6820">
      <c r="A6820" s="76" t="s">
        <v>1357</v>
      </c>
      <c r="B6820" s="76" t="s">
        <v>1071</v>
      </c>
      <c r="C6820" s="76" t="s">
        <v>1281</v>
      </c>
      <c r="D6820" s="75"/>
    </row>
    <row hidden="true" r="6821">
      <c r="A6821" s="76" t="s">
        <v>1357</v>
      </c>
      <c r="B6821" s="76" t="s">
        <v>1072</v>
      </c>
      <c r="C6821" s="76" t="s">
        <v>1281</v>
      </c>
      <c r="D6821" s="75"/>
    </row>
    <row hidden="true" r="6822">
      <c r="A6822" s="76" t="s">
        <v>1357</v>
      </c>
      <c r="B6822" s="76" t="s">
        <v>1074</v>
      </c>
      <c r="C6822" s="76" t="s">
        <v>1281</v>
      </c>
      <c r="D6822" s="75"/>
    </row>
    <row hidden="true" r="6823">
      <c r="A6823" s="76" t="s">
        <v>1357</v>
      </c>
      <c r="B6823" s="76" t="s">
        <v>1075</v>
      </c>
      <c r="C6823" s="76" t="s">
        <v>1281</v>
      </c>
      <c r="D6823" s="75"/>
    </row>
    <row hidden="true" r="6824">
      <c r="A6824" s="76" t="s">
        <v>1357</v>
      </c>
      <c r="B6824" s="76" t="s">
        <v>1082</v>
      </c>
      <c r="C6824" s="76" t="s">
        <v>1281</v>
      </c>
      <c r="D6824" s="75"/>
    </row>
    <row hidden="true" r="6825">
      <c r="A6825" s="76" t="s">
        <v>1357</v>
      </c>
      <c r="B6825" s="76" t="s">
        <v>1084</v>
      </c>
      <c r="C6825" s="76" t="s">
        <v>1281</v>
      </c>
      <c r="D6825" s="75"/>
    </row>
    <row hidden="true" r="6826">
      <c r="A6826" s="76" t="s">
        <v>1357</v>
      </c>
      <c r="B6826" s="76" t="s">
        <v>1086</v>
      </c>
      <c r="C6826" s="76" t="s">
        <v>1281</v>
      </c>
      <c r="D6826" s="75"/>
    </row>
    <row hidden="true" r="6827">
      <c r="A6827" s="76" t="s">
        <v>1357</v>
      </c>
      <c r="B6827" s="76" t="s">
        <v>1088</v>
      </c>
      <c r="C6827" s="76" t="s">
        <v>1281</v>
      </c>
      <c r="D6827" s="75"/>
    </row>
    <row hidden="true" r="6828">
      <c r="A6828" s="76" t="s">
        <v>1357</v>
      </c>
      <c r="B6828" s="76" t="s">
        <v>1076</v>
      </c>
      <c r="C6828" s="76" t="s">
        <v>1281</v>
      </c>
      <c r="D6828" s="75"/>
    </row>
    <row hidden="true" r="6829">
      <c r="A6829" s="76" t="s">
        <v>1357</v>
      </c>
      <c r="B6829" s="76" t="s">
        <v>1078</v>
      </c>
      <c r="C6829" s="76" t="s">
        <v>1281</v>
      </c>
      <c r="D6829" s="75"/>
    </row>
    <row hidden="true" r="6830">
      <c r="A6830" s="76" t="s">
        <v>1357</v>
      </c>
      <c r="B6830" s="76" t="s">
        <v>1040</v>
      </c>
      <c r="C6830" s="76" t="s">
        <v>1281</v>
      </c>
      <c r="D6830" s="75"/>
    </row>
    <row hidden="true" r="6831">
      <c r="A6831" s="76" t="s">
        <v>1357</v>
      </c>
      <c r="B6831" s="76" t="s">
        <v>839</v>
      </c>
      <c r="C6831" s="76" t="s">
        <v>1281</v>
      </c>
      <c r="D6831" s="75"/>
    </row>
    <row hidden="true" r="6832">
      <c r="A6832" s="76" t="s">
        <v>1357</v>
      </c>
      <c r="B6832" s="76" t="s">
        <v>1121</v>
      </c>
      <c r="C6832" s="76" t="s">
        <v>1281</v>
      </c>
      <c r="D6832" s="75"/>
    </row>
    <row hidden="true" r="6833">
      <c r="A6833" s="76" t="s">
        <v>1357</v>
      </c>
      <c r="B6833" s="76" t="s">
        <v>1325</v>
      </c>
      <c r="C6833" s="76" t="s">
        <v>1281</v>
      </c>
      <c r="D6833" s="75"/>
    </row>
    <row hidden="true" r="6834">
      <c r="A6834" s="76" t="s">
        <v>1357</v>
      </c>
      <c r="B6834" s="76" t="s">
        <v>1080</v>
      </c>
      <c r="C6834" s="76" t="s">
        <v>1281</v>
      </c>
      <c r="D6834" s="75"/>
    </row>
    <row hidden="true" r="6835">
      <c r="A6835" s="76" t="s">
        <v>1357</v>
      </c>
      <c r="B6835" s="76" t="s">
        <v>1327</v>
      </c>
      <c r="C6835" s="76" t="s">
        <v>1281</v>
      </c>
      <c r="D6835" s="75"/>
    </row>
    <row hidden="true" r="6836">
      <c r="A6836" s="76" t="s">
        <v>1357</v>
      </c>
      <c r="B6836" s="76" t="s">
        <v>1090</v>
      </c>
      <c r="C6836" s="76" t="s">
        <v>1281</v>
      </c>
      <c r="D6836" s="75"/>
    </row>
    <row hidden="true" r="6837">
      <c r="A6837" s="76" t="s">
        <v>1357</v>
      </c>
      <c r="B6837" s="76" t="s">
        <v>1092</v>
      </c>
      <c r="C6837" s="76" t="s">
        <v>1281</v>
      </c>
      <c r="D6837" s="75"/>
    </row>
    <row hidden="true" r="6838">
      <c r="A6838" s="76" t="s">
        <v>1357</v>
      </c>
      <c r="B6838" s="76" t="s">
        <v>1093</v>
      </c>
      <c r="C6838" s="76" t="s">
        <v>1281</v>
      </c>
      <c r="D6838" s="75"/>
    </row>
    <row hidden="true" r="6839">
      <c r="A6839" s="76" t="s">
        <v>1357</v>
      </c>
      <c r="B6839" s="76" t="s">
        <v>1095</v>
      </c>
      <c r="C6839" s="76" t="s">
        <v>1281</v>
      </c>
      <c r="D6839" s="75"/>
    </row>
    <row hidden="true" r="6840">
      <c r="A6840" s="76" t="s">
        <v>1357</v>
      </c>
      <c r="B6840" s="76" t="s">
        <v>1097</v>
      </c>
      <c r="C6840" s="76" t="s">
        <v>1281</v>
      </c>
      <c r="D6840" s="75"/>
    </row>
    <row hidden="true" r="6841">
      <c r="A6841" s="76" t="s">
        <v>1357</v>
      </c>
      <c r="B6841" s="76" t="s">
        <v>1103</v>
      </c>
      <c r="C6841" s="76" t="s">
        <v>1281</v>
      </c>
      <c r="D6841" s="75"/>
    </row>
    <row hidden="true" r="6842">
      <c r="A6842" s="76" t="s">
        <v>1357</v>
      </c>
      <c r="B6842" s="76" t="s">
        <v>1329</v>
      </c>
      <c r="C6842" s="76" t="s">
        <v>1281</v>
      </c>
      <c r="D6842" s="75"/>
    </row>
    <row hidden="true" r="6843">
      <c r="A6843" s="76" t="s">
        <v>1357</v>
      </c>
      <c r="B6843" s="76" t="s">
        <v>1113</v>
      </c>
      <c r="C6843" s="76" t="s">
        <v>1281</v>
      </c>
      <c r="D6843" s="75"/>
    </row>
    <row hidden="true" r="6844">
      <c r="A6844" s="76" t="s">
        <v>1357</v>
      </c>
      <c r="B6844" s="76" t="s">
        <v>1115</v>
      </c>
      <c r="C6844" s="76" t="s">
        <v>1281</v>
      </c>
      <c r="D6844" s="75"/>
    </row>
    <row hidden="true" r="6845">
      <c r="A6845" s="76" t="s">
        <v>1357</v>
      </c>
      <c r="B6845" s="76" t="s">
        <v>1117</v>
      </c>
      <c r="C6845" s="76" t="s">
        <v>1281</v>
      </c>
      <c r="D6845" s="75"/>
    </row>
    <row hidden="true" r="6846">
      <c r="A6846" s="76" t="s">
        <v>1357</v>
      </c>
      <c r="B6846" s="76" t="s">
        <v>1119</v>
      </c>
      <c r="C6846" s="76" t="s">
        <v>1281</v>
      </c>
      <c r="D6846" s="75"/>
    </row>
    <row hidden="true" r="6847">
      <c r="A6847" s="76" t="s">
        <v>1357</v>
      </c>
      <c r="B6847" s="76" t="s">
        <v>1127</v>
      </c>
      <c r="C6847" s="76" t="s">
        <v>1281</v>
      </c>
      <c r="D6847" s="75"/>
    </row>
    <row hidden="true" r="6848">
      <c r="A6848" s="76" t="s">
        <v>1357</v>
      </c>
      <c r="B6848" s="76" t="s">
        <v>1129</v>
      </c>
      <c r="C6848" s="76" t="s">
        <v>1281</v>
      </c>
      <c r="D6848" s="75"/>
    </row>
    <row hidden="true" r="6849">
      <c r="A6849" s="76" t="s">
        <v>1357</v>
      </c>
      <c r="B6849" s="76" t="s">
        <v>1131</v>
      </c>
      <c r="C6849" s="76" t="s">
        <v>1281</v>
      </c>
      <c r="D6849" s="75"/>
    </row>
    <row hidden="true" r="6850">
      <c r="A6850" s="76" t="s">
        <v>1357</v>
      </c>
      <c r="B6850" s="76" t="s">
        <v>1137</v>
      </c>
      <c r="C6850" s="76" t="s">
        <v>1281</v>
      </c>
      <c r="D6850" s="75"/>
    </row>
    <row hidden="true" r="6851">
      <c r="A6851" s="76" t="s">
        <v>1357</v>
      </c>
      <c r="B6851" s="76" t="s">
        <v>1139</v>
      </c>
      <c r="C6851" s="76" t="s">
        <v>1281</v>
      </c>
      <c r="D6851" s="75"/>
    </row>
    <row hidden="true" r="6852">
      <c r="A6852" s="76" t="s">
        <v>1357</v>
      </c>
      <c r="B6852" s="76" t="s">
        <v>1141</v>
      </c>
      <c r="C6852" s="76" t="s">
        <v>1281</v>
      </c>
      <c r="D6852" s="75"/>
    </row>
    <row hidden="true" r="6853">
      <c r="A6853" s="76" t="s">
        <v>1357</v>
      </c>
      <c r="B6853" s="76" t="s">
        <v>1143</v>
      </c>
      <c r="C6853" s="76" t="s">
        <v>1281</v>
      </c>
      <c r="D6853" s="75"/>
    </row>
    <row hidden="true" r="6854">
      <c r="A6854" s="76" t="s">
        <v>1357</v>
      </c>
      <c r="B6854" s="76" t="s">
        <v>1145</v>
      </c>
      <c r="C6854" s="76" t="s">
        <v>1281</v>
      </c>
      <c r="D6854" s="75"/>
    </row>
    <row hidden="true" r="6855">
      <c r="A6855" s="76" t="s">
        <v>1357</v>
      </c>
      <c r="B6855" s="76" t="s">
        <v>1147</v>
      </c>
      <c r="C6855" s="76" t="s">
        <v>1281</v>
      </c>
      <c r="D6855" s="75"/>
    </row>
    <row hidden="true" r="6856">
      <c r="A6856" s="76" t="s">
        <v>1357</v>
      </c>
      <c r="B6856" s="76" t="s">
        <v>1153</v>
      </c>
      <c r="C6856" s="76" t="s">
        <v>1281</v>
      </c>
      <c r="D6856" s="75"/>
    </row>
    <row hidden="true" r="6857">
      <c r="A6857" s="76" t="s">
        <v>1357</v>
      </c>
      <c r="B6857" s="76" t="s">
        <v>1155</v>
      </c>
      <c r="C6857" s="76" t="s">
        <v>1281</v>
      </c>
      <c r="D6857" s="75"/>
    </row>
    <row hidden="true" r="6858">
      <c r="A6858" s="76" t="s">
        <v>1357</v>
      </c>
      <c r="B6858" s="76" t="s">
        <v>1157</v>
      </c>
      <c r="C6858" s="76" t="s">
        <v>1281</v>
      </c>
      <c r="D6858" s="75"/>
    </row>
    <row hidden="true" r="6859">
      <c r="A6859" s="76" t="s">
        <v>1357</v>
      </c>
      <c r="B6859" s="76" t="s">
        <v>1159</v>
      </c>
      <c r="C6859" s="76" t="s">
        <v>1281</v>
      </c>
      <c r="D6859" s="75"/>
    </row>
    <row hidden="true" r="6860">
      <c r="A6860" s="76" t="s">
        <v>1357</v>
      </c>
      <c r="B6860" s="76" t="s">
        <v>1161</v>
      </c>
      <c r="C6860" s="76" t="s">
        <v>1281</v>
      </c>
      <c r="D6860" s="75"/>
    </row>
    <row hidden="true" r="6861">
      <c r="A6861" s="76" t="s">
        <v>1357</v>
      </c>
      <c r="B6861" s="76" t="s">
        <v>1163</v>
      </c>
      <c r="C6861" s="76" t="s">
        <v>1281</v>
      </c>
      <c r="D6861" s="75"/>
    </row>
    <row hidden="true" r="6862">
      <c r="A6862" s="76" t="s">
        <v>1357</v>
      </c>
      <c r="B6862" s="76" t="s">
        <v>1165</v>
      </c>
      <c r="C6862" s="76" t="s">
        <v>1281</v>
      </c>
      <c r="D6862" s="75"/>
    </row>
    <row hidden="true" r="6863">
      <c r="A6863" s="76" t="s">
        <v>1357</v>
      </c>
      <c r="B6863" s="76" t="s">
        <v>1331</v>
      </c>
      <c r="C6863" s="76" t="s">
        <v>1281</v>
      </c>
      <c r="D6863" s="75"/>
    </row>
    <row hidden="true" r="6864">
      <c r="A6864" s="76" t="s">
        <v>1357</v>
      </c>
      <c r="B6864" s="76" t="s">
        <v>1333</v>
      </c>
      <c r="C6864" s="76" t="s">
        <v>1281</v>
      </c>
      <c r="D6864" s="75"/>
    </row>
    <row hidden="true" r="6865">
      <c r="A6865" s="76" t="s">
        <v>1357</v>
      </c>
      <c r="B6865" s="76" t="s">
        <v>1335</v>
      </c>
      <c r="C6865" s="76" t="s">
        <v>1281</v>
      </c>
      <c r="D6865" s="75"/>
    </row>
    <row hidden="true" r="6866">
      <c r="A6866" s="76" t="s">
        <v>1357</v>
      </c>
      <c r="B6866" s="76" t="s">
        <v>1337</v>
      </c>
      <c r="C6866" s="76" t="s">
        <v>1281</v>
      </c>
      <c r="D6866" s="75"/>
    </row>
    <row hidden="true" r="6867">
      <c r="A6867" s="76" t="s">
        <v>1357</v>
      </c>
      <c r="B6867" s="76" t="s">
        <v>1339</v>
      </c>
      <c r="C6867" s="76" t="s">
        <v>1281</v>
      </c>
      <c r="D6867" s="75"/>
    </row>
    <row hidden="true" r="6868">
      <c r="A6868" s="76" t="s">
        <v>1357</v>
      </c>
      <c r="B6868" s="76" t="s">
        <v>1341</v>
      </c>
      <c r="C6868" s="76" t="s">
        <v>1281</v>
      </c>
      <c r="D6868" s="75"/>
    </row>
    <row hidden="true" r="6869">
      <c r="A6869" s="76" t="s">
        <v>1357</v>
      </c>
      <c r="B6869" s="76" t="s">
        <v>1044</v>
      </c>
      <c r="C6869" s="76" t="s">
        <v>1281</v>
      </c>
      <c r="D6869" s="75"/>
    </row>
    <row hidden="true" r="6870">
      <c r="A6870" s="76" t="s">
        <v>1357</v>
      </c>
      <c r="B6870" s="76" t="s">
        <v>1046</v>
      </c>
      <c r="C6870" s="76" t="s">
        <v>1281</v>
      </c>
      <c r="D6870" s="75"/>
    </row>
    <row hidden="true" r="6871">
      <c r="A6871" s="76" t="s">
        <v>1357</v>
      </c>
      <c r="B6871" s="76" t="s">
        <v>1048</v>
      </c>
      <c r="C6871" s="76" t="s">
        <v>1281</v>
      </c>
      <c r="D6871" s="75"/>
    </row>
    <row hidden="true" r="6872">
      <c r="A6872" s="76" t="s">
        <v>1357</v>
      </c>
      <c r="B6872" s="76" t="s">
        <v>1167</v>
      </c>
      <c r="C6872" s="76" t="s">
        <v>1281</v>
      </c>
      <c r="D6872" s="75"/>
    </row>
    <row hidden="true" r="6873">
      <c r="A6873" s="76" t="s">
        <v>1357</v>
      </c>
      <c r="B6873" s="76" t="s">
        <v>1169</v>
      </c>
      <c r="C6873" s="76" t="s">
        <v>1281</v>
      </c>
      <c r="D6873" s="75"/>
    </row>
    <row hidden="true" r="6874">
      <c r="A6874" s="76" t="s">
        <v>1357</v>
      </c>
      <c r="B6874" s="76" t="s">
        <v>1171</v>
      </c>
      <c r="C6874" s="76" t="s">
        <v>1281</v>
      </c>
      <c r="D6874" s="75"/>
    </row>
    <row hidden="true" r="6875">
      <c r="A6875" s="76" t="s">
        <v>1357</v>
      </c>
      <c r="B6875" s="76" t="s">
        <v>1173</v>
      </c>
      <c r="C6875" s="76" t="s">
        <v>1281</v>
      </c>
      <c r="D6875" s="75"/>
    </row>
    <row hidden="true" r="6876">
      <c r="A6876" s="76" t="s">
        <v>1357</v>
      </c>
      <c r="B6876" s="76" t="s">
        <v>1175</v>
      </c>
      <c r="C6876" s="76" t="s">
        <v>1281</v>
      </c>
      <c r="D6876" s="75"/>
    </row>
    <row hidden="true" r="6877">
      <c r="A6877" s="76" t="s">
        <v>1357</v>
      </c>
      <c r="B6877" s="76" t="s">
        <v>1177</v>
      </c>
      <c r="C6877" s="76" t="s">
        <v>1281</v>
      </c>
      <c r="D6877" s="75"/>
    </row>
    <row hidden="true" r="6878">
      <c r="A6878" s="76" t="s">
        <v>1357</v>
      </c>
      <c r="B6878" s="76" t="s">
        <v>1135</v>
      </c>
      <c r="C6878" s="76" t="s">
        <v>1281</v>
      </c>
      <c r="D6878" s="75"/>
    </row>
    <row hidden="true" r="6879">
      <c r="A6879" s="76" t="s">
        <v>1357</v>
      </c>
      <c r="B6879" s="76" t="s">
        <v>1179</v>
      </c>
      <c r="C6879" s="76" t="s">
        <v>1281</v>
      </c>
      <c r="D6879" s="75"/>
    </row>
    <row hidden="true" r="6880">
      <c r="A6880" s="76" t="s">
        <v>1357</v>
      </c>
      <c r="B6880" s="76" t="s">
        <v>1181</v>
      </c>
      <c r="C6880" s="76" t="s">
        <v>1281</v>
      </c>
      <c r="D6880" s="75"/>
    </row>
    <row hidden="true" r="6881">
      <c r="A6881" s="76" t="s">
        <v>1357</v>
      </c>
      <c r="B6881" s="76" t="s">
        <v>1183</v>
      </c>
      <c r="C6881" s="76" t="s">
        <v>1281</v>
      </c>
      <c r="D6881" s="75"/>
    </row>
    <row hidden="true" r="6882">
      <c r="A6882" s="76" t="s">
        <v>1357</v>
      </c>
      <c r="B6882" s="76" t="s">
        <v>1185</v>
      </c>
      <c r="C6882" s="76" t="s">
        <v>1281</v>
      </c>
      <c r="D6882" s="75"/>
    </row>
    <row hidden="true" r="6883">
      <c r="A6883" s="76" t="s">
        <v>1357</v>
      </c>
      <c r="B6883" s="76" t="s">
        <v>1187</v>
      </c>
      <c r="C6883" s="76" t="s">
        <v>1281</v>
      </c>
      <c r="D6883" s="75"/>
    </row>
    <row hidden="true" r="6884">
      <c r="A6884" s="76" t="s">
        <v>1357</v>
      </c>
      <c r="B6884" s="76" t="s">
        <v>1189</v>
      </c>
      <c r="C6884" s="76" t="s">
        <v>1281</v>
      </c>
      <c r="D6884" s="75"/>
    </row>
    <row hidden="true" r="6885">
      <c r="A6885" s="76" t="s">
        <v>1357</v>
      </c>
      <c r="B6885" s="76" t="s">
        <v>1191</v>
      </c>
      <c r="C6885" s="76" t="s">
        <v>1281</v>
      </c>
      <c r="D6885" s="75"/>
    </row>
    <row hidden="true" r="6886">
      <c r="A6886" s="76" t="s">
        <v>1357</v>
      </c>
      <c r="B6886" s="76" t="s">
        <v>1199</v>
      </c>
      <c r="C6886" s="76" t="s">
        <v>1281</v>
      </c>
      <c r="D6886" s="75"/>
    </row>
    <row hidden="true" r="6887">
      <c r="A6887" s="76" t="s">
        <v>1357</v>
      </c>
      <c r="B6887" s="76" t="s">
        <v>1201</v>
      </c>
      <c r="C6887" s="76" t="s">
        <v>1281</v>
      </c>
      <c r="D6887" s="75"/>
    </row>
    <row hidden="true" r="6888">
      <c r="A6888" s="76" t="s">
        <v>1357</v>
      </c>
      <c r="B6888" s="76" t="s">
        <v>1203</v>
      </c>
      <c r="C6888" s="76" t="s">
        <v>1281</v>
      </c>
      <c r="D6888" s="75"/>
    </row>
    <row hidden="true" r="6889">
      <c r="A6889" s="76" t="s">
        <v>1357</v>
      </c>
      <c r="B6889" s="76" t="s">
        <v>1205</v>
      </c>
      <c r="C6889" s="76" t="s">
        <v>1281</v>
      </c>
      <c r="D6889" s="75"/>
    </row>
    <row hidden="true" r="6890">
      <c r="A6890" s="76" t="s">
        <v>1357</v>
      </c>
      <c r="B6890" s="76" t="s">
        <v>1207</v>
      </c>
      <c r="C6890" s="76" t="s">
        <v>1281</v>
      </c>
      <c r="D6890" s="75"/>
    </row>
    <row hidden="true" r="6891">
      <c r="A6891" s="76" t="s">
        <v>1357</v>
      </c>
      <c r="B6891" s="76" t="s">
        <v>1209</v>
      </c>
      <c r="C6891" s="76" t="s">
        <v>1281</v>
      </c>
      <c r="D6891" s="75"/>
    </row>
    <row hidden="true" r="6892">
      <c r="A6892" s="76" t="s">
        <v>1357</v>
      </c>
      <c r="B6892" s="76" t="s">
        <v>1211</v>
      </c>
      <c r="C6892" s="76" t="s">
        <v>1281</v>
      </c>
      <c r="D6892" s="75"/>
    </row>
    <row hidden="true" r="6893">
      <c r="A6893" s="76" t="s">
        <v>1357</v>
      </c>
      <c r="B6893" s="76" t="s">
        <v>1282</v>
      </c>
      <c r="C6893" s="76" t="s">
        <v>1281</v>
      </c>
      <c r="D6893" s="75"/>
    </row>
    <row hidden="true" r="6894">
      <c r="A6894" s="76" t="s">
        <v>1357</v>
      </c>
      <c r="B6894" s="76" t="s">
        <v>735</v>
      </c>
      <c r="C6894" s="76" t="s">
        <v>1283</v>
      </c>
      <c r="D6894" s="75"/>
    </row>
    <row hidden="true" r="6895">
      <c r="A6895" s="76" t="s">
        <v>1358</v>
      </c>
      <c r="B6895" s="76" t="s">
        <v>407</v>
      </c>
      <c r="C6895" s="76" t="s">
        <v>1281</v>
      </c>
      <c r="D6895" s="75"/>
    </row>
    <row hidden="true" r="6896">
      <c r="A6896" s="76" t="s">
        <v>1358</v>
      </c>
      <c r="B6896" s="76" t="s">
        <v>744</v>
      </c>
      <c r="C6896" s="76" t="s">
        <v>1281</v>
      </c>
      <c r="D6896" s="75"/>
    </row>
    <row hidden="true" r="6897">
      <c r="A6897" s="76" t="s">
        <v>1358</v>
      </c>
      <c r="B6897" s="76" t="s">
        <v>480</v>
      </c>
      <c r="C6897" s="76" t="s">
        <v>1281</v>
      </c>
      <c r="D6897" s="75"/>
    </row>
    <row hidden="true" r="6898">
      <c r="A6898" s="76" t="s">
        <v>1358</v>
      </c>
      <c r="B6898" s="76" t="s">
        <v>884</v>
      </c>
      <c r="C6898" s="76" t="s">
        <v>1281</v>
      </c>
      <c r="D6898" s="75"/>
    </row>
    <row hidden="true" r="6899">
      <c r="A6899" s="76" t="s">
        <v>1358</v>
      </c>
      <c r="B6899" s="76" t="s">
        <v>886</v>
      </c>
      <c r="C6899" s="76" t="s">
        <v>1281</v>
      </c>
      <c r="D6899" s="75"/>
    </row>
    <row hidden="true" r="6900">
      <c r="A6900" s="76" t="s">
        <v>1358</v>
      </c>
      <c r="B6900" s="76" t="s">
        <v>888</v>
      </c>
      <c r="C6900" s="76" t="s">
        <v>1281</v>
      </c>
      <c r="D6900" s="75"/>
    </row>
    <row hidden="true" r="6901">
      <c r="A6901" s="76" t="s">
        <v>1358</v>
      </c>
      <c r="B6901" s="76" t="s">
        <v>890</v>
      </c>
      <c r="C6901" s="76" t="s">
        <v>1281</v>
      </c>
      <c r="D6901" s="75"/>
    </row>
    <row hidden="true" r="6902">
      <c r="A6902" s="76" t="s">
        <v>1358</v>
      </c>
      <c r="B6902" s="76" t="s">
        <v>892</v>
      </c>
      <c r="C6902" s="76" t="s">
        <v>1281</v>
      </c>
      <c r="D6902" s="75"/>
    </row>
    <row hidden="true" r="6903">
      <c r="A6903" s="76" t="s">
        <v>1358</v>
      </c>
      <c r="B6903" s="76" t="s">
        <v>894</v>
      </c>
      <c r="C6903" s="76" t="s">
        <v>1281</v>
      </c>
      <c r="D6903" s="75"/>
    </row>
    <row hidden="true" r="6904">
      <c r="A6904" s="76" t="s">
        <v>1358</v>
      </c>
      <c r="B6904" s="76" t="s">
        <v>896</v>
      </c>
      <c r="C6904" s="76" t="s">
        <v>1281</v>
      </c>
      <c r="D6904" s="75"/>
    </row>
    <row hidden="true" r="6905">
      <c r="A6905" s="76" t="s">
        <v>1358</v>
      </c>
      <c r="B6905" s="76" t="s">
        <v>898</v>
      </c>
      <c r="C6905" s="76" t="s">
        <v>1281</v>
      </c>
      <c r="D6905" s="75"/>
    </row>
    <row hidden="true" r="6906">
      <c r="A6906" s="76" t="s">
        <v>1358</v>
      </c>
      <c r="B6906" s="76" t="s">
        <v>900</v>
      </c>
      <c r="C6906" s="76" t="s">
        <v>1281</v>
      </c>
      <c r="D6906" s="75"/>
    </row>
    <row hidden="true" r="6907">
      <c r="A6907" s="76" t="s">
        <v>1358</v>
      </c>
      <c r="B6907" s="76" t="s">
        <v>902</v>
      </c>
      <c r="C6907" s="76" t="s">
        <v>1281</v>
      </c>
      <c r="D6907" s="75"/>
    </row>
    <row hidden="true" r="6908">
      <c r="A6908" s="76" t="s">
        <v>1358</v>
      </c>
      <c r="B6908" s="76" t="s">
        <v>904</v>
      </c>
      <c r="C6908" s="76" t="s">
        <v>1281</v>
      </c>
      <c r="D6908" s="75"/>
    </row>
    <row hidden="true" r="6909">
      <c r="A6909" s="76" t="s">
        <v>1358</v>
      </c>
      <c r="B6909" s="76" t="s">
        <v>906</v>
      </c>
      <c r="C6909" s="76" t="s">
        <v>1281</v>
      </c>
      <c r="D6909" s="75"/>
    </row>
    <row hidden="true" r="6910">
      <c r="A6910" s="76" t="s">
        <v>1358</v>
      </c>
      <c r="B6910" s="76" t="s">
        <v>908</v>
      </c>
      <c r="C6910" s="76" t="s">
        <v>1281</v>
      </c>
      <c r="D6910" s="75"/>
    </row>
    <row hidden="true" r="6911">
      <c r="A6911" s="76" t="s">
        <v>1358</v>
      </c>
      <c r="B6911" s="76" t="s">
        <v>910</v>
      </c>
      <c r="C6911" s="76" t="s">
        <v>1281</v>
      </c>
      <c r="D6911" s="75"/>
    </row>
    <row hidden="true" r="6912">
      <c r="A6912" s="76" t="s">
        <v>1358</v>
      </c>
      <c r="B6912" s="76" t="s">
        <v>912</v>
      </c>
      <c r="C6912" s="76" t="s">
        <v>1281</v>
      </c>
      <c r="D6912" s="75"/>
    </row>
    <row hidden="true" r="6913">
      <c r="A6913" s="76" t="s">
        <v>1358</v>
      </c>
      <c r="B6913" s="76" t="s">
        <v>914</v>
      </c>
      <c r="C6913" s="76" t="s">
        <v>1281</v>
      </c>
      <c r="D6913" s="75"/>
    </row>
    <row hidden="true" r="6914">
      <c r="A6914" s="76" t="s">
        <v>1358</v>
      </c>
      <c r="B6914" s="76" t="s">
        <v>916</v>
      </c>
      <c r="C6914" s="76" t="s">
        <v>1281</v>
      </c>
      <c r="D6914" s="75"/>
    </row>
    <row hidden="true" r="6915">
      <c r="A6915" s="76" t="s">
        <v>1358</v>
      </c>
      <c r="B6915" s="76" t="s">
        <v>918</v>
      </c>
      <c r="C6915" s="76" t="s">
        <v>1281</v>
      </c>
      <c r="D6915" s="75"/>
    </row>
    <row hidden="true" r="6916">
      <c r="A6916" s="76" t="s">
        <v>1358</v>
      </c>
      <c r="B6916" s="76" t="s">
        <v>920</v>
      </c>
      <c r="C6916" s="76" t="s">
        <v>1281</v>
      </c>
      <c r="D6916" s="75"/>
    </row>
    <row hidden="true" r="6917">
      <c r="A6917" s="76" t="s">
        <v>1358</v>
      </c>
      <c r="B6917" s="76" t="s">
        <v>922</v>
      </c>
      <c r="C6917" s="76" t="s">
        <v>1281</v>
      </c>
      <c r="D6917" s="75"/>
    </row>
    <row hidden="true" r="6918">
      <c r="A6918" s="76" t="s">
        <v>1358</v>
      </c>
      <c r="B6918" s="76" t="s">
        <v>924</v>
      </c>
      <c r="C6918" s="76" t="s">
        <v>1281</v>
      </c>
      <c r="D6918" s="75"/>
    </row>
    <row hidden="true" r="6919">
      <c r="A6919" s="76" t="s">
        <v>1358</v>
      </c>
      <c r="B6919" s="76" t="s">
        <v>926</v>
      </c>
      <c r="C6919" s="76" t="s">
        <v>1281</v>
      </c>
      <c r="D6919" s="75"/>
    </row>
    <row hidden="true" r="6920">
      <c r="A6920" s="76" t="s">
        <v>1358</v>
      </c>
      <c r="B6920" s="76" t="s">
        <v>928</v>
      </c>
      <c r="C6920" s="76" t="s">
        <v>1281</v>
      </c>
      <c r="D6920" s="75"/>
    </row>
    <row hidden="true" r="6921">
      <c r="A6921" s="76" t="s">
        <v>1358</v>
      </c>
      <c r="B6921" s="76" t="s">
        <v>930</v>
      </c>
      <c r="C6921" s="76" t="s">
        <v>1281</v>
      </c>
      <c r="D6921" s="75"/>
    </row>
    <row hidden="true" r="6922">
      <c r="A6922" s="76" t="s">
        <v>1358</v>
      </c>
      <c r="B6922" s="76" t="s">
        <v>932</v>
      </c>
      <c r="C6922" s="76" t="s">
        <v>1281</v>
      </c>
      <c r="D6922" s="75"/>
    </row>
    <row hidden="true" r="6923">
      <c r="A6923" s="76" t="s">
        <v>1358</v>
      </c>
      <c r="B6923" s="76" t="s">
        <v>934</v>
      </c>
      <c r="C6923" s="76" t="s">
        <v>1281</v>
      </c>
      <c r="D6923" s="75"/>
    </row>
    <row hidden="true" r="6924">
      <c r="A6924" s="76" t="s">
        <v>1358</v>
      </c>
      <c r="B6924" s="76" t="s">
        <v>936</v>
      </c>
      <c r="C6924" s="76" t="s">
        <v>1281</v>
      </c>
      <c r="D6924" s="75"/>
    </row>
    <row hidden="true" r="6925">
      <c r="A6925" s="76" t="s">
        <v>1358</v>
      </c>
      <c r="B6925" s="76" t="s">
        <v>938</v>
      </c>
      <c r="C6925" s="76" t="s">
        <v>1281</v>
      </c>
      <c r="D6925" s="75"/>
    </row>
    <row hidden="true" r="6926">
      <c r="A6926" s="76" t="s">
        <v>1358</v>
      </c>
      <c r="B6926" s="76" t="s">
        <v>940</v>
      </c>
      <c r="C6926" s="76" t="s">
        <v>1281</v>
      </c>
      <c r="D6926" s="75"/>
    </row>
    <row hidden="true" r="6927">
      <c r="A6927" s="76" t="s">
        <v>1358</v>
      </c>
      <c r="B6927" s="76" t="s">
        <v>942</v>
      </c>
      <c r="C6927" s="76" t="s">
        <v>1281</v>
      </c>
      <c r="D6927" s="75"/>
    </row>
    <row hidden="true" r="6928">
      <c r="A6928" s="76" t="s">
        <v>1358</v>
      </c>
      <c r="B6928" s="76" t="s">
        <v>944</v>
      </c>
      <c r="C6928" s="76" t="s">
        <v>1281</v>
      </c>
      <c r="D6928" s="75"/>
    </row>
    <row hidden="true" r="6929">
      <c r="A6929" s="76" t="s">
        <v>1358</v>
      </c>
      <c r="B6929" s="76" t="s">
        <v>1305</v>
      </c>
      <c r="C6929" s="76" t="s">
        <v>1281</v>
      </c>
      <c r="D6929" s="75"/>
    </row>
    <row hidden="true" r="6930">
      <c r="A6930" s="76" t="s">
        <v>1358</v>
      </c>
      <c r="B6930" s="76" t="s">
        <v>1307</v>
      </c>
      <c r="C6930" s="76" t="s">
        <v>1281</v>
      </c>
      <c r="D6930" s="75"/>
    </row>
    <row hidden="true" r="6931">
      <c r="A6931" s="76" t="s">
        <v>1358</v>
      </c>
      <c r="B6931" s="76" t="s">
        <v>946</v>
      </c>
      <c r="C6931" s="76" t="s">
        <v>1281</v>
      </c>
      <c r="D6931" s="75"/>
    </row>
    <row hidden="true" r="6932">
      <c r="A6932" s="76" t="s">
        <v>1358</v>
      </c>
      <c r="B6932" s="76" t="s">
        <v>948</v>
      </c>
      <c r="C6932" s="76" t="s">
        <v>1281</v>
      </c>
      <c r="D6932" s="75"/>
    </row>
    <row hidden="true" r="6933">
      <c r="A6933" s="76" t="s">
        <v>1358</v>
      </c>
      <c r="B6933" s="76" t="s">
        <v>950</v>
      </c>
      <c r="C6933" s="76" t="s">
        <v>1281</v>
      </c>
      <c r="D6933" s="75"/>
    </row>
    <row hidden="true" r="6934">
      <c r="A6934" s="76" t="s">
        <v>1358</v>
      </c>
      <c r="B6934" s="76" t="s">
        <v>952</v>
      </c>
      <c r="C6934" s="76" t="s">
        <v>1281</v>
      </c>
      <c r="D6934" s="75"/>
    </row>
    <row hidden="true" r="6935">
      <c r="A6935" s="76" t="s">
        <v>1358</v>
      </c>
      <c r="B6935" s="76" t="s">
        <v>954</v>
      </c>
      <c r="C6935" s="76" t="s">
        <v>1281</v>
      </c>
      <c r="D6935" s="75"/>
    </row>
    <row hidden="true" r="6936">
      <c r="A6936" s="76" t="s">
        <v>1358</v>
      </c>
      <c r="B6936" s="76" t="s">
        <v>775</v>
      </c>
      <c r="C6936" s="76" t="s">
        <v>1281</v>
      </c>
      <c r="D6936" s="75"/>
    </row>
    <row hidden="true" r="6937">
      <c r="A6937" s="76" t="s">
        <v>1358</v>
      </c>
      <c r="B6937" s="76" t="s">
        <v>956</v>
      </c>
      <c r="C6937" s="76" t="s">
        <v>1281</v>
      </c>
      <c r="D6937" s="75"/>
    </row>
    <row hidden="true" r="6938">
      <c r="A6938" s="76" t="s">
        <v>1358</v>
      </c>
      <c r="B6938" s="76" t="s">
        <v>958</v>
      </c>
      <c r="C6938" s="76" t="s">
        <v>1281</v>
      </c>
      <c r="D6938" s="75"/>
    </row>
    <row hidden="true" r="6939">
      <c r="A6939" s="76" t="s">
        <v>1358</v>
      </c>
      <c r="B6939" s="76" t="s">
        <v>960</v>
      </c>
      <c r="C6939" s="76" t="s">
        <v>1281</v>
      </c>
      <c r="D6939" s="75"/>
    </row>
    <row hidden="true" r="6940">
      <c r="A6940" s="76" t="s">
        <v>1358</v>
      </c>
      <c r="B6940" s="76" t="s">
        <v>962</v>
      </c>
      <c r="C6940" s="76" t="s">
        <v>1281</v>
      </c>
      <c r="D6940" s="75"/>
    </row>
    <row hidden="true" r="6941">
      <c r="A6941" s="76" t="s">
        <v>1358</v>
      </c>
      <c r="B6941" s="76" t="s">
        <v>964</v>
      </c>
      <c r="C6941" s="76" t="s">
        <v>1281</v>
      </c>
      <c r="D6941" s="75"/>
    </row>
    <row hidden="true" r="6942">
      <c r="A6942" s="76" t="s">
        <v>1358</v>
      </c>
      <c r="B6942" s="76" t="s">
        <v>966</v>
      </c>
      <c r="C6942" s="76" t="s">
        <v>1281</v>
      </c>
      <c r="D6942" s="75"/>
    </row>
    <row hidden="true" r="6943">
      <c r="A6943" s="76" t="s">
        <v>1358</v>
      </c>
      <c r="B6943" s="76" t="s">
        <v>968</v>
      </c>
      <c r="C6943" s="76" t="s">
        <v>1281</v>
      </c>
      <c r="D6943" s="75"/>
    </row>
    <row hidden="true" r="6944">
      <c r="A6944" s="76" t="s">
        <v>1358</v>
      </c>
      <c r="B6944" s="76" t="s">
        <v>970</v>
      </c>
      <c r="C6944" s="76" t="s">
        <v>1281</v>
      </c>
      <c r="D6944" s="75"/>
    </row>
    <row hidden="true" r="6945">
      <c r="A6945" s="76" t="s">
        <v>1358</v>
      </c>
      <c r="B6945" s="76" t="s">
        <v>972</v>
      </c>
      <c r="C6945" s="76" t="s">
        <v>1281</v>
      </c>
      <c r="D6945" s="75"/>
    </row>
    <row hidden="true" r="6946">
      <c r="A6946" s="76" t="s">
        <v>1358</v>
      </c>
      <c r="B6946" s="76" t="s">
        <v>974</v>
      </c>
      <c r="C6946" s="76" t="s">
        <v>1281</v>
      </c>
      <c r="D6946" s="75"/>
    </row>
    <row hidden="true" r="6947">
      <c r="A6947" s="76" t="s">
        <v>1358</v>
      </c>
      <c r="B6947" s="76" t="s">
        <v>976</v>
      </c>
      <c r="C6947" s="76" t="s">
        <v>1281</v>
      </c>
      <c r="D6947" s="75"/>
    </row>
    <row hidden="true" r="6948">
      <c r="A6948" s="76" t="s">
        <v>1358</v>
      </c>
      <c r="B6948" s="76" t="s">
        <v>823</v>
      </c>
      <c r="C6948" s="76" t="s">
        <v>1281</v>
      </c>
      <c r="D6948" s="75"/>
    </row>
    <row hidden="true" r="6949">
      <c r="A6949" s="76" t="s">
        <v>1358</v>
      </c>
      <c r="B6949" s="76" t="s">
        <v>978</v>
      </c>
      <c r="C6949" s="76" t="s">
        <v>1281</v>
      </c>
      <c r="D6949" s="75"/>
    </row>
    <row hidden="true" r="6950">
      <c r="A6950" s="76" t="s">
        <v>1358</v>
      </c>
      <c r="B6950" s="76" t="s">
        <v>980</v>
      </c>
      <c r="C6950" s="76" t="s">
        <v>1281</v>
      </c>
      <c r="D6950" s="75"/>
    </row>
    <row hidden="true" r="6951">
      <c r="A6951" s="76" t="s">
        <v>1358</v>
      </c>
      <c r="B6951" s="76" t="s">
        <v>982</v>
      </c>
      <c r="C6951" s="76" t="s">
        <v>1281</v>
      </c>
      <c r="D6951" s="75"/>
    </row>
    <row hidden="true" r="6952">
      <c r="A6952" s="76" t="s">
        <v>1358</v>
      </c>
      <c r="B6952" s="76" t="s">
        <v>984</v>
      </c>
      <c r="C6952" s="76" t="s">
        <v>1281</v>
      </c>
      <c r="D6952" s="75"/>
    </row>
    <row hidden="true" r="6953">
      <c r="A6953" s="76" t="s">
        <v>1358</v>
      </c>
      <c r="B6953" s="76" t="s">
        <v>986</v>
      </c>
      <c r="C6953" s="76" t="s">
        <v>1281</v>
      </c>
      <c r="D6953" s="75"/>
    </row>
    <row hidden="true" r="6954">
      <c r="A6954" s="76" t="s">
        <v>1358</v>
      </c>
      <c r="B6954" s="76" t="s">
        <v>1309</v>
      </c>
      <c r="C6954" s="76" t="s">
        <v>1281</v>
      </c>
      <c r="D6954" s="75"/>
    </row>
    <row hidden="true" r="6955">
      <c r="A6955" s="76" t="s">
        <v>1358</v>
      </c>
      <c r="B6955" s="76" t="s">
        <v>1311</v>
      </c>
      <c r="C6955" s="76" t="s">
        <v>1281</v>
      </c>
      <c r="D6955" s="75"/>
    </row>
    <row hidden="true" r="6956">
      <c r="A6956" s="76" t="s">
        <v>1358</v>
      </c>
      <c r="B6956" s="76" t="s">
        <v>1099</v>
      </c>
      <c r="C6956" s="76" t="s">
        <v>1281</v>
      </c>
      <c r="D6956" s="75"/>
    </row>
    <row hidden="true" r="6957">
      <c r="A6957" s="76" t="s">
        <v>1358</v>
      </c>
      <c r="B6957" s="76" t="s">
        <v>1101</v>
      </c>
      <c r="C6957" s="76" t="s">
        <v>1281</v>
      </c>
      <c r="D6957" s="75"/>
    </row>
    <row hidden="true" r="6958">
      <c r="A6958" s="76" t="s">
        <v>1358</v>
      </c>
      <c r="B6958" s="76" t="s">
        <v>1313</v>
      </c>
      <c r="C6958" s="76" t="s">
        <v>1281</v>
      </c>
      <c r="D6958" s="75"/>
    </row>
    <row hidden="true" r="6959">
      <c r="A6959" s="76" t="s">
        <v>1358</v>
      </c>
      <c r="B6959" s="76" t="s">
        <v>996</v>
      </c>
      <c r="C6959" s="76" t="s">
        <v>1281</v>
      </c>
      <c r="D6959" s="75"/>
    </row>
    <row hidden="true" r="6960">
      <c r="A6960" s="76" t="s">
        <v>1358</v>
      </c>
      <c r="B6960" s="76" t="s">
        <v>998</v>
      </c>
      <c r="C6960" s="76" t="s">
        <v>1281</v>
      </c>
      <c r="D6960" s="75"/>
    </row>
    <row hidden="true" r="6961">
      <c r="A6961" s="76" t="s">
        <v>1358</v>
      </c>
      <c r="B6961" s="76" t="s">
        <v>1000</v>
      </c>
      <c r="C6961" s="76" t="s">
        <v>1281</v>
      </c>
      <c r="D6961" s="75"/>
    </row>
    <row hidden="true" r="6962">
      <c r="A6962" s="76" t="s">
        <v>1358</v>
      </c>
      <c r="B6962" s="76" t="s">
        <v>1002</v>
      </c>
      <c r="C6962" s="76" t="s">
        <v>1281</v>
      </c>
      <c r="D6962" s="75"/>
    </row>
    <row hidden="true" r="6963">
      <c r="A6963" s="76" t="s">
        <v>1358</v>
      </c>
      <c r="B6963" s="76" t="s">
        <v>1004</v>
      </c>
      <c r="C6963" s="76" t="s">
        <v>1281</v>
      </c>
      <c r="D6963" s="75"/>
    </row>
    <row hidden="true" r="6964">
      <c r="A6964" s="76" t="s">
        <v>1358</v>
      </c>
      <c r="B6964" s="76" t="s">
        <v>1006</v>
      </c>
      <c r="C6964" s="76" t="s">
        <v>1281</v>
      </c>
      <c r="D6964" s="75"/>
    </row>
    <row hidden="true" r="6965">
      <c r="A6965" s="76" t="s">
        <v>1358</v>
      </c>
      <c r="B6965" s="76" t="s">
        <v>1008</v>
      </c>
      <c r="C6965" s="76" t="s">
        <v>1281</v>
      </c>
      <c r="D6965" s="75"/>
    </row>
    <row hidden="true" r="6966">
      <c r="A6966" s="76" t="s">
        <v>1358</v>
      </c>
      <c r="B6966" s="76" t="s">
        <v>1010</v>
      </c>
      <c r="C6966" s="76" t="s">
        <v>1281</v>
      </c>
      <c r="D6966" s="75"/>
    </row>
    <row hidden="true" r="6967">
      <c r="A6967" s="76" t="s">
        <v>1358</v>
      </c>
      <c r="B6967" s="76" t="s">
        <v>1315</v>
      </c>
      <c r="C6967" s="76" t="s">
        <v>1281</v>
      </c>
      <c r="D6967" s="75"/>
    </row>
    <row hidden="true" r="6968">
      <c r="A6968" s="76" t="s">
        <v>1358</v>
      </c>
      <c r="B6968" s="76" t="s">
        <v>1014</v>
      </c>
      <c r="C6968" s="76" t="s">
        <v>1281</v>
      </c>
      <c r="D6968" s="75"/>
    </row>
    <row hidden="true" r="6969">
      <c r="A6969" s="76" t="s">
        <v>1358</v>
      </c>
      <c r="B6969" s="76" t="s">
        <v>1016</v>
      </c>
      <c r="C6969" s="76" t="s">
        <v>1281</v>
      </c>
      <c r="D6969" s="75"/>
    </row>
    <row hidden="true" r="6970">
      <c r="A6970" s="76" t="s">
        <v>1358</v>
      </c>
      <c r="B6970" s="76" t="s">
        <v>1018</v>
      </c>
      <c r="C6970" s="76" t="s">
        <v>1281</v>
      </c>
      <c r="D6970" s="75"/>
    </row>
    <row hidden="true" r="6971">
      <c r="A6971" s="76" t="s">
        <v>1358</v>
      </c>
      <c r="B6971" s="76" t="s">
        <v>1020</v>
      </c>
      <c r="C6971" s="76" t="s">
        <v>1281</v>
      </c>
      <c r="D6971" s="75"/>
    </row>
    <row hidden="true" r="6972">
      <c r="A6972" s="76" t="s">
        <v>1358</v>
      </c>
      <c r="B6972" s="76" t="s">
        <v>1022</v>
      </c>
      <c r="C6972" s="76" t="s">
        <v>1281</v>
      </c>
      <c r="D6972" s="75"/>
    </row>
    <row hidden="true" r="6973">
      <c r="A6973" s="76" t="s">
        <v>1358</v>
      </c>
      <c r="B6973" s="76" t="s">
        <v>1023</v>
      </c>
      <c r="C6973" s="76" t="s">
        <v>1281</v>
      </c>
      <c r="D6973" s="75"/>
    </row>
    <row hidden="true" r="6974">
      <c r="A6974" s="76" t="s">
        <v>1358</v>
      </c>
      <c r="B6974" s="76" t="s">
        <v>1024</v>
      </c>
      <c r="C6974" s="76" t="s">
        <v>1281</v>
      </c>
      <c r="D6974" s="75"/>
    </row>
    <row hidden="true" r="6975">
      <c r="A6975" s="76" t="s">
        <v>1358</v>
      </c>
      <c r="B6975" s="76" t="s">
        <v>1025</v>
      </c>
      <c r="C6975" s="76" t="s">
        <v>1281</v>
      </c>
      <c r="D6975" s="75"/>
    </row>
    <row hidden="true" r="6976">
      <c r="A6976" s="76" t="s">
        <v>1358</v>
      </c>
      <c r="B6976" s="76" t="s">
        <v>1026</v>
      </c>
      <c r="C6976" s="76" t="s">
        <v>1281</v>
      </c>
      <c r="D6976" s="75"/>
    </row>
    <row hidden="true" r="6977">
      <c r="A6977" s="76" t="s">
        <v>1358</v>
      </c>
      <c r="B6977" s="76" t="s">
        <v>1027</v>
      </c>
      <c r="C6977" s="76" t="s">
        <v>1281</v>
      </c>
      <c r="D6977" s="75"/>
    </row>
    <row hidden="true" r="6978">
      <c r="A6978" s="76" t="s">
        <v>1358</v>
      </c>
      <c r="B6978" s="76" t="s">
        <v>1133</v>
      </c>
      <c r="C6978" s="76" t="s">
        <v>1281</v>
      </c>
      <c r="D6978" s="75"/>
    </row>
    <row hidden="true" r="6979">
      <c r="A6979" s="76" t="s">
        <v>1358</v>
      </c>
      <c r="B6979" s="76" t="s">
        <v>1317</v>
      </c>
      <c r="C6979" s="76" t="s">
        <v>1281</v>
      </c>
      <c r="D6979" s="75"/>
    </row>
    <row hidden="true" r="6980">
      <c r="A6980" s="76" t="s">
        <v>1358</v>
      </c>
      <c r="B6980" s="76" t="s">
        <v>1319</v>
      </c>
      <c r="C6980" s="76" t="s">
        <v>1281</v>
      </c>
      <c r="D6980" s="75"/>
    </row>
    <row hidden="true" r="6981">
      <c r="A6981" s="76" t="s">
        <v>1358</v>
      </c>
      <c r="B6981" s="76" t="s">
        <v>1028</v>
      </c>
      <c r="C6981" s="76" t="s">
        <v>1281</v>
      </c>
      <c r="D6981" s="75"/>
    </row>
    <row hidden="true" r="6982">
      <c r="A6982" s="76" t="s">
        <v>1358</v>
      </c>
      <c r="B6982" s="76" t="s">
        <v>988</v>
      </c>
      <c r="C6982" s="76" t="s">
        <v>1281</v>
      </c>
      <c r="D6982" s="75"/>
    </row>
    <row hidden="true" r="6983">
      <c r="A6983" s="76" t="s">
        <v>1358</v>
      </c>
      <c r="B6983" s="76" t="s">
        <v>990</v>
      </c>
      <c r="C6983" s="76" t="s">
        <v>1281</v>
      </c>
      <c r="D6983" s="75"/>
    </row>
    <row hidden="true" r="6984">
      <c r="A6984" s="76" t="s">
        <v>1358</v>
      </c>
      <c r="B6984" s="76" t="s">
        <v>992</v>
      </c>
      <c r="C6984" s="76" t="s">
        <v>1281</v>
      </c>
      <c r="D6984" s="75"/>
    </row>
    <row hidden="true" r="6985">
      <c r="A6985" s="76" t="s">
        <v>1358</v>
      </c>
      <c r="B6985" s="76" t="s">
        <v>530</v>
      </c>
      <c r="C6985" s="76" t="s">
        <v>1281</v>
      </c>
      <c r="D6985" s="75"/>
    </row>
    <row hidden="true" r="6986">
      <c r="A6986" s="76" t="s">
        <v>1358</v>
      </c>
      <c r="B6986" s="76" t="s">
        <v>1032</v>
      </c>
      <c r="C6986" s="76" t="s">
        <v>1281</v>
      </c>
      <c r="D6986" s="75"/>
    </row>
    <row hidden="true" r="6987">
      <c r="A6987" s="76" t="s">
        <v>1358</v>
      </c>
      <c r="B6987" s="76" t="s">
        <v>532</v>
      </c>
      <c r="C6987" s="76" t="s">
        <v>1281</v>
      </c>
      <c r="D6987" s="75"/>
    </row>
    <row hidden="true" r="6988">
      <c r="A6988" s="76" t="s">
        <v>1358</v>
      </c>
      <c r="B6988" s="76" t="s">
        <v>1036</v>
      </c>
      <c r="C6988" s="76" t="s">
        <v>1281</v>
      </c>
      <c r="D6988" s="75"/>
    </row>
    <row hidden="true" r="6989">
      <c r="A6989" s="76" t="s">
        <v>1358</v>
      </c>
      <c r="B6989" s="76" t="s">
        <v>1038</v>
      </c>
      <c r="C6989" s="76" t="s">
        <v>1281</v>
      </c>
      <c r="D6989" s="75"/>
    </row>
    <row hidden="true" r="6990">
      <c r="A6990" s="76" t="s">
        <v>1358</v>
      </c>
      <c r="B6990" s="76" t="s">
        <v>1321</v>
      </c>
      <c r="C6990" s="76" t="s">
        <v>1281</v>
      </c>
      <c r="D6990" s="75"/>
    </row>
    <row hidden="true" r="6991">
      <c r="A6991" s="76" t="s">
        <v>1358</v>
      </c>
      <c r="B6991" s="76" t="s">
        <v>1323</v>
      </c>
      <c r="C6991" s="76" t="s">
        <v>1281</v>
      </c>
      <c r="D6991" s="75"/>
    </row>
    <row hidden="true" r="6992">
      <c r="A6992" s="76" t="s">
        <v>1358</v>
      </c>
      <c r="B6992" s="76" t="s">
        <v>1012</v>
      </c>
      <c r="C6992" s="76" t="s">
        <v>1281</v>
      </c>
      <c r="D6992" s="75"/>
    </row>
    <row hidden="true" r="6993">
      <c r="A6993" s="76" t="s">
        <v>1358</v>
      </c>
      <c r="B6993" s="76" t="s">
        <v>1052</v>
      </c>
      <c r="C6993" s="76" t="s">
        <v>1281</v>
      </c>
      <c r="D6993" s="75"/>
    </row>
    <row hidden="true" r="6994">
      <c r="A6994" s="76" t="s">
        <v>1358</v>
      </c>
      <c r="B6994" s="76" t="s">
        <v>1054</v>
      </c>
      <c r="C6994" s="76" t="s">
        <v>1281</v>
      </c>
      <c r="D6994" s="75"/>
    </row>
    <row hidden="true" r="6995">
      <c r="A6995" s="76" t="s">
        <v>1358</v>
      </c>
      <c r="B6995" s="76" t="s">
        <v>1056</v>
      </c>
      <c r="C6995" s="76" t="s">
        <v>1281</v>
      </c>
      <c r="D6995" s="75"/>
    </row>
    <row hidden="true" r="6996">
      <c r="A6996" s="76" t="s">
        <v>1358</v>
      </c>
      <c r="B6996" s="76" t="s">
        <v>1058</v>
      </c>
      <c r="C6996" s="76" t="s">
        <v>1281</v>
      </c>
      <c r="D6996" s="75"/>
    </row>
    <row hidden="true" r="6997">
      <c r="A6997" s="76" t="s">
        <v>1358</v>
      </c>
      <c r="B6997" s="76" t="s">
        <v>1060</v>
      </c>
      <c r="C6997" s="76" t="s">
        <v>1281</v>
      </c>
      <c r="D6997" s="75"/>
    </row>
    <row hidden="true" r="6998">
      <c r="A6998" s="76" t="s">
        <v>1358</v>
      </c>
      <c r="B6998" s="76" t="s">
        <v>1062</v>
      </c>
      <c r="C6998" s="76" t="s">
        <v>1281</v>
      </c>
      <c r="D6998" s="75"/>
    </row>
    <row hidden="true" r="6999">
      <c r="A6999" s="76" t="s">
        <v>1358</v>
      </c>
      <c r="B6999" s="76" t="s">
        <v>1064</v>
      </c>
      <c r="C6999" s="76" t="s">
        <v>1281</v>
      </c>
      <c r="D6999" s="75"/>
    </row>
    <row hidden="true" r="7000">
      <c r="A7000" s="76" t="s">
        <v>1358</v>
      </c>
      <c r="B7000" s="76" t="s">
        <v>1066</v>
      </c>
      <c r="C7000" s="76" t="s">
        <v>1281</v>
      </c>
      <c r="D7000" s="75"/>
    </row>
    <row hidden="true" r="7001">
      <c r="A7001" s="76" t="s">
        <v>1358</v>
      </c>
      <c r="B7001" s="76" t="s">
        <v>1068</v>
      </c>
      <c r="C7001" s="76" t="s">
        <v>1281</v>
      </c>
      <c r="D7001" s="75"/>
    </row>
    <row hidden="true" r="7002">
      <c r="A7002" s="76" t="s">
        <v>1358</v>
      </c>
      <c r="B7002" s="76" t="s">
        <v>1070</v>
      </c>
      <c r="C7002" s="76" t="s">
        <v>1281</v>
      </c>
      <c r="D7002" s="75"/>
    </row>
    <row hidden="true" r="7003">
      <c r="A7003" s="76" t="s">
        <v>1358</v>
      </c>
      <c r="B7003" s="76" t="s">
        <v>1071</v>
      </c>
      <c r="C7003" s="76" t="s">
        <v>1281</v>
      </c>
      <c r="D7003" s="75"/>
    </row>
    <row hidden="true" r="7004">
      <c r="A7004" s="76" t="s">
        <v>1358</v>
      </c>
      <c r="B7004" s="76" t="s">
        <v>1072</v>
      </c>
      <c r="C7004" s="76" t="s">
        <v>1281</v>
      </c>
      <c r="D7004" s="75"/>
    </row>
    <row hidden="true" r="7005">
      <c r="A7005" s="76" t="s">
        <v>1358</v>
      </c>
      <c r="B7005" s="76" t="s">
        <v>1074</v>
      </c>
      <c r="C7005" s="76" t="s">
        <v>1281</v>
      </c>
      <c r="D7005" s="75"/>
    </row>
    <row hidden="true" r="7006">
      <c r="A7006" s="76" t="s">
        <v>1358</v>
      </c>
      <c r="B7006" s="76" t="s">
        <v>1075</v>
      </c>
      <c r="C7006" s="76" t="s">
        <v>1281</v>
      </c>
      <c r="D7006" s="75"/>
    </row>
    <row hidden="true" r="7007">
      <c r="A7007" s="76" t="s">
        <v>1358</v>
      </c>
      <c r="B7007" s="76" t="s">
        <v>1082</v>
      </c>
      <c r="C7007" s="76" t="s">
        <v>1281</v>
      </c>
      <c r="D7007" s="75"/>
    </row>
    <row hidden="true" r="7008">
      <c r="A7008" s="76" t="s">
        <v>1358</v>
      </c>
      <c r="B7008" s="76" t="s">
        <v>1084</v>
      </c>
      <c r="C7008" s="76" t="s">
        <v>1281</v>
      </c>
      <c r="D7008" s="75"/>
    </row>
    <row hidden="true" r="7009">
      <c r="A7009" s="76" t="s">
        <v>1358</v>
      </c>
      <c r="B7009" s="76" t="s">
        <v>1086</v>
      </c>
      <c r="C7009" s="76" t="s">
        <v>1281</v>
      </c>
      <c r="D7009" s="75"/>
    </row>
    <row hidden="true" r="7010">
      <c r="A7010" s="76" t="s">
        <v>1358</v>
      </c>
      <c r="B7010" s="76" t="s">
        <v>1088</v>
      </c>
      <c r="C7010" s="76" t="s">
        <v>1281</v>
      </c>
      <c r="D7010" s="75"/>
    </row>
    <row hidden="true" r="7011">
      <c r="A7011" s="76" t="s">
        <v>1358</v>
      </c>
      <c r="B7011" s="76" t="s">
        <v>1076</v>
      </c>
      <c r="C7011" s="76" t="s">
        <v>1281</v>
      </c>
      <c r="D7011" s="75"/>
    </row>
    <row hidden="true" r="7012">
      <c r="A7012" s="76" t="s">
        <v>1358</v>
      </c>
      <c r="B7012" s="76" t="s">
        <v>1078</v>
      </c>
      <c r="C7012" s="76" t="s">
        <v>1281</v>
      </c>
      <c r="D7012" s="75"/>
    </row>
    <row hidden="true" r="7013">
      <c r="A7013" s="76" t="s">
        <v>1358</v>
      </c>
      <c r="B7013" s="76" t="s">
        <v>1040</v>
      </c>
      <c r="C7013" s="76" t="s">
        <v>1281</v>
      </c>
      <c r="D7013" s="75"/>
    </row>
    <row hidden="true" r="7014">
      <c r="A7014" s="76" t="s">
        <v>1358</v>
      </c>
      <c r="B7014" s="76" t="s">
        <v>839</v>
      </c>
      <c r="C7014" s="76" t="s">
        <v>1281</v>
      </c>
      <c r="D7014" s="75"/>
    </row>
    <row hidden="true" r="7015">
      <c r="A7015" s="76" t="s">
        <v>1358</v>
      </c>
      <c r="B7015" s="76" t="s">
        <v>1121</v>
      </c>
      <c r="C7015" s="76" t="s">
        <v>1281</v>
      </c>
      <c r="D7015" s="75"/>
    </row>
    <row hidden="true" r="7016">
      <c r="A7016" s="76" t="s">
        <v>1358</v>
      </c>
      <c r="B7016" s="76" t="s">
        <v>1325</v>
      </c>
      <c r="C7016" s="76" t="s">
        <v>1281</v>
      </c>
      <c r="D7016" s="75"/>
    </row>
    <row hidden="true" r="7017">
      <c r="A7017" s="76" t="s">
        <v>1358</v>
      </c>
      <c r="B7017" s="76" t="s">
        <v>1080</v>
      </c>
      <c r="C7017" s="76" t="s">
        <v>1281</v>
      </c>
      <c r="D7017" s="75"/>
    </row>
    <row hidden="true" r="7018">
      <c r="A7018" s="76" t="s">
        <v>1358</v>
      </c>
      <c r="B7018" s="76" t="s">
        <v>1327</v>
      </c>
      <c r="C7018" s="76" t="s">
        <v>1281</v>
      </c>
      <c r="D7018" s="75"/>
    </row>
    <row hidden="true" r="7019">
      <c r="A7019" s="76" t="s">
        <v>1358</v>
      </c>
      <c r="B7019" s="76" t="s">
        <v>1090</v>
      </c>
      <c r="C7019" s="76" t="s">
        <v>1281</v>
      </c>
      <c r="D7019" s="75"/>
    </row>
    <row hidden="true" r="7020">
      <c r="A7020" s="76" t="s">
        <v>1358</v>
      </c>
      <c r="B7020" s="76" t="s">
        <v>1092</v>
      </c>
      <c r="C7020" s="76" t="s">
        <v>1281</v>
      </c>
      <c r="D7020" s="75"/>
    </row>
    <row hidden="true" r="7021">
      <c r="A7021" s="76" t="s">
        <v>1358</v>
      </c>
      <c r="B7021" s="76" t="s">
        <v>1093</v>
      </c>
      <c r="C7021" s="76" t="s">
        <v>1281</v>
      </c>
      <c r="D7021" s="75"/>
    </row>
    <row hidden="true" r="7022">
      <c r="A7022" s="76" t="s">
        <v>1358</v>
      </c>
      <c r="B7022" s="76" t="s">
        <v>1095</v>
      </c>
      <c r="C7022" s="76" t="s">
        <v>1281</v>
      </c>
      <c r="D7022" s="75"/>
    </row>
    <row hidden="true" r="7023">
      <c r="A7023" s="76" t="s">
        <v>1358</v>
      </c>
      <c r="B7023" s="76" t="s">
        <v>1097</v>
      </c>
      <c r="C7023" s="76" t="s">
        <v>1281</v>
      </c>
      <c r="D7023" s="75"/>
    </row>
    <row hidden="true" r="7024">
      <c r="A7024" s="76" t="s">
        <v>1358</v>
      </c>
      <c r="B7024" s="76" t="s">
        <v>1103</v>
      </c>
      <c r="C7024" s="76" t="s">
        <v>1281</v>
      </c>
      <c r="D7024" s="75"/>
    </row>
    <row hidden="true" r="7025">
      <c r="A7025" s="76" t="s">
        <v>1358</v>
      </c>
      <c r="B7025" s="76" t="s">
        <v>1329</v>
      </c>
      <c r="C7025" s="76" t="s">
        <v>1281</v>
      </c>
      <c r="D7025" s="75"/>
    </row>
    <row hidden="true" r="7026">
      <c r="A7026" s="76" t="s">
        <v>1358</v>
      </c>
      <c r="B7026" s="76" t="s">
        <v>1113</v>
      </c>
      <c r="C7026" s="76" t="s">
        <v>1281</v>
      </c>
      <c r="D7026" s="75"/>
    </row>
    <row hidden="true" r="7027">
      <c r="A7027" s="76" t="s">
        <v>1358</v>
      </c>
      <c r="B7027" s="76" t="s">
        <v>1115</v>
      </c>
      <c r="C7027" s="76" t="s">
        <v>1281</v>
      </c>
      <c r="D7027" s="75"/>
    </row>
    <row hidden="true" r="7028">
      <c r="A7028" s="76" t="s">
        <v>1358</v>
      </c>
      <c r="B7028" s="76" t="s">
        <v>1117</v>
      </c>
      <c r="C7028" s="76" t="s">
        <v>1281</v>
      </c>
      <c r="D7028" s="75"/>
    </row>
    <row hidden="true" r="7029">
      <c r="A7029" s="76" t="s">
        <v>1358</v>
      </c>
      <c r="B7029" s="76" t="s">
        <v>1119</v>
      </c>
      <c r="C7029" s="76" t="s">
        <v>1281</v>
      </c>
      <c r="D7029" s="75"/>
    </row>
    <row hidden="true" r="7030">
      <c r="A7030" s="76" t="s">
        <v>1358</v>
      </c>
      <c r="B7030" s="76" t="s">
        <v>1127</v>
      </c>
      <c r="C7030" s="76" t="s">
        <v>1281</v>
      </c>
      <c r="D7030" s="75"/>
    </row>
    <row hidden="true" r="7031">
      <c r="A7031" s="76" t="s">
        <v>1358</v>
      </c>
      <c r="B7031" s="76" t="s">
        <v>1129</v>
      </c>
      <c r="C7031" s="76" t="s">
        <v>1281</v>
      </c>
      <c r="D7031" s="75"/>
    </row>
    <row hidden="true" r="7032">
      <c r="A7032" s="76" t="s">
        <v>1358</v>
      </c>
      <c r="B7032" s="76" t="s">
        <v>1131</v>
      </c>
      <c r="C7032" s="76" t="s">
        <v>1281</v>
      </c>
      <c r="D7032" s="75"/>
    </row>
    <row hidden="true" r="7033">
      <c r="A7033" s="76" t="s">
        <v>1358</v>
      </c>
      <c r="B7033" s="76" t="s">
        <v>1137</v>
      </c>
      <c r="C7033" s="76" t="s">
        <v>1281</v>
      </c>
      <c r="D7033" s="75"/>
    </row>
    <row hidden="true" r="7034">
      <c r="A7034" s="76" t="s">
        <v>1358</v>
      </c>
      <c r="B7034" s="76" t="s">
        <v>1139</v>
      </c>
      <c r="C7034" s="76" t="s">
        <v>1281</v>
      </c>
      <c r="D7034" s="75"/>
    </row>
    <row hidden="true" r="7035">
      <c r="A7035" s="76" t="s">
        <v>1358</v>
      </c>
      <c r="B7035" s="76" t="s">
        <v>1141</v>
      </c>
      <c r="C7035" s="76" t="s">
        <v>1281</v>
      </c>
      <c r="D7035" s="75"/>
    </row>
    <row hidden="true" r="7036">
      <c r="A7036" s="76" t="s">
        <v>1358</v>
      </c>
      <c r="B7036" s="76" t="s">
        <v>1143</v>
      </c>
      <c r="C7036" s="76" t="s">
        <v>1281</v>
      </c>
      <c r="D7036" s="75"/>
    </row>
    <row hidden="true" r="7037">
      <c r="A7037" s="76" t="s">
        <v>1358</v>
      </c>
      <c r="B7037" s="76" t="s">
        <v>1145</v>
      </c>
      <c r="C7037" s="76" t="s">
        <v>1281</v>
      </c>
      <c r="D7037" s="75"/>
    </row>
    <row hidden="true" r="7038">
      <c r="A7038" s="76" t="s">
        <v>1358</v>
      </c>
      <c r="B7038" s="76" t="s">
        <v>1147</v>
      </c>
      <c r="C7038" s="76" t="s">
        <v>1281</v>
      </c>
      <c r="D7038" s="75"/>
    </row>
    <row hidden="true" r="7039">
      <c r="A7039" s="76" t="s">
        <v>1358</v>
      </c>
      <c r="B7039" s="76" t="s">
        <v>1153</v>
      </c>
      <c r="C7039" s="76" t="s">
        <v>1281</v>
      </c>
      <c r="D7039" s="75"/>
    </row>
    <row hidden="true" r="7040">
      <c r="A7040" s="76" t="s">
        <v>1358</v>
      </c>
      <c r="B7040" s="76" t="s">
        <v>1155</v>
      </c>
      <c r="C7040" s="76" t="s">
        <v>1281</v>
      </c>
      <c r="D7040" s="75"/>
    </row>
    <row hidden="true" r="7041">
      <c r="A7041" s="76" t="s">
        <v>1358</v>
      </c>
      <c r="B7041" s="76" t="s">
        <v>1157</v>
      </c>
      <c r="C7041" s="76" t="s">
        <v>1281</v>
      </c>
      <c r="D7041" s="75"/>
    </row>
    <row hidden="true" r="7042">
      <c r="A7042" s="76" t="s">
        <v>1358</v>
      </c>
      <c r="B7042" s="76" t="s">
        <v>1159</v>
      </c>
      <c r="C7042" s="76" t="s">
        <v>1281</v>
      </c>
      <c r="D7042" s="75"/>
    </row>
    <row hidden="true" r="7043">
      <c r="A7043" s="76" t="s">
        <v>1358</v>
      </c>
      <c r="B7043" s="76" t="s">
        <v>1161</v>
      </c>
      <c r="C7043" s="76" t="s">
        <v>1281</v>
      </c>
      <c r="D7043" s="75"/>
    </row>
    <row hidden="true" r="7044">
      <c r="A7044" s="76" t="s">
        <v>1358</v>
      </c>
      <c r="B7044" s="76" t="s">
        <v>1163</v>
      </c>
      <c r="C7044" s="76" t="s">
        <v>1281</v>
      </c>
      <c r="D7044" s="75"/>
    </row>
    <row hidden="true" r="7045">
      <c r="A7045" s="76" t="s">
        <v>1358</v>
      </c>
      <c r="B7045" s="76" t="s">
        <v>1165</v>
      </c>
      <c r="C7045" s="76" t="s">
        <v>1281</v>
      </c>
      <c r="D7045" s="75"/>
    </row>
    <row hidden="true" r="7046">
      <c r="A7046" s="76" t="s">
        <v>1358</v>
      </c>
      <c r="B7046" s="76" t="s">
        <v>1331</v>
      </c>
      <c r="C7046" s="76" t="s">
        <v>1281</v>
      </c>
      <c r="D7046" s="75"/>
    </row>
    <row hidden="true" r="7047">
      <c r="A7047" s="76" t="s">
        <v>1358</v>
      </c>
      <c r="B7047" s="76" t="s">
        <v>1333</v>
      </c>
      <c r="C7047" s="76" t="s">
        <v>1281</v>
      </c>
      <c r="D7047" s="75"/>
    </row>
    <row hidden="true" r="7048">
      <c r="A7048" s="76" t="s">
        <v>1358</v>
      </c>
      <c r="B7048" s="76" t="s">
        <v>1335</v>
      </c>
      <c r="C7048" s="76" t="s">
        <v>1281</v>
      </c>
      <c r="D7048" s="75"/>
    </row>
    <row hidden="true" r="7049">
      <c r="A7049" s="76" t="s">
        <v>1358</v>
      </c>
      <c r="B7049" s="76" t="s">
        <v>1337</v>
      </c>
      <c r="C7049" s="76" t="s">
        <v>1281</v>
      </c>
      <c r="D7049" s="75"/>
    </row>
    <row hidden="true" r="7050">
      <c r="A7050" s="76" t="s">
        <v>1358</v>
      </c>
      <c r="B7050" s="76" t="s">
        <v>1339</v>
      </c>
      <c r="C7050" s="76" t="s">
        <v>1281</v>
      </c>
      <c r="D7050" s="75"/>
    </row>
    <row hidden="true" r="7051">
      <c r="A7051" s="76" t="s">
        <v>1358</v>
      </c>
      <c r="B7051" s="76" t="s">
        <v>1341</v>
      </c>
      <c r="C7051" s="76" t="s">
        <v>1281</v>
      </c>
      <c r="D7051" s="75"/>
    </row>
    <row hidden="true" r="7052">
      <c r="A7052" s="76" t="s">
        <v>1358</v>
      </c>
      <c r="B7052" s="76" t="s">
        <v>1044</v>
      </c>
      <c r="C7052" s="76" t="s">
        <v>1281</v>
      </c>
      <c r="D7052" s="75"/>
    </row>
    <row hidden="true" r="7053">
      <c r="A7053" s="76" t="s">
        <v>1358</v>
      </c>
      <c r="B7053" s="76" t="s">
        <v>1046</v>
      </c>
      <c r="C7053" s="76" t="s">
        <v>1281</v>
      </c>
      <c r="D7053" s="75"/>
    </row>
    <row hidden="true" r="7054">
      <c r="A7054" s="76" t="s">
        <v>1358</v>
      </c>
      <c r="B7054" s="76" t="s">
        <v>1048</v>
      </c>
      <c r="C7054" s="76" t="s">
        <v>1281</v>
      </c>
      <c r="D7054" s="75"/>
    </row>
    <row hidden="true" r="7055">
      <c r="A7055" s="76" t="s">
        <v>1358</v>
      </c>
      <c r="B7055" s="76" t="s">
        <v>1167</v>
      </c>
      <c r="C7055" s="76" t="s">
        <v>1281</v>
      </c>
      <c r="D7055" s="75"/>
    </row>
    <row hidden="true" r="7056">
      <c r="A7056" s="76" t="s">
        <v>1358</v>
      </c>
      <c r="B7056" s="76" t="s">
        <v>1169</v>
      </c>
      <c r="C7056" s="76" t="s">
        <v>1281</v>
      </c>
      <c r="D7056" s="75"/>
    </row>
    <row hidden="true" r="7057">
      <c r="A7057" s="76" t="s">
        <v>1358</v>
      </c>
      <c r="B7057" s="76" t="s">
        <v>1171</v>
      </c>
      <c r="C7057" s="76" t="s">
        <v>1281</v>
      </c>
      <c r="D7057" s="75"/>
    </row>
    <row hidden="true" r="7058">
      <c r="A7058" s="76" t="s">
        <v>1358</v>
      </c>
      <c r="B7058" s="76" t="s">
        <v>1173</v>
      </c>
      <c r="C7058" s="76" t="s">
        <v>1281</v>
      </c>
      <c r="D7058" s="75"/>
    </row>
    <row hidden="true" r="7059">
      <c r="A7059" s="76" t="s">
        <v>1358</v>
      </c>
      <c r="B7059" s="76" t="s">
        <v>1175</v>
      </c>
      <c r="C7059" s="76" t="s">
        <v>1281</v>
      </c>
      <c r="D7059" s="75"/>
    </row>
    <row hidden="true" r="7060">
      <c r="A7060" s="76" t="s">
        <v>1358</v>
      </c>
      <c r="B7060" s="76" t="s">
        <v>1177</v>
      </c>
      <c r="C7060" s="76" t="s">
        <v>1281</v>
      </c>
      <c r="D7060" s="75"/>
    </row>
    <row hidden="true" r="7061">
      <c r="A7061" s="76" t="s">
        <v>1358</v>
      </c>
      <c r="B7061" s="76" t="s">
        <v>1135</v>
      </c>
      <c r="C7061" s="76" t="s">
        <v>1281</v>
      </c>
      <c r="D7061" s="75"/>
    </row>
    <row hidden="true" r="7062">
      <c r="A7062" s="76" t="s">
        <v>1358</v>
      </c>
      <c r="B7062" s="76" t="s">
        <v>1179</v>
      </c>
      <c r="C7062" s="76" t="s">
        <v>1281</v>
      </c>
      <c r="D7062" s="75"/>
    </row>
    <row hidden="true" r="7063">
      <c r="A7063" s="76" t="s">
        <v>1358</v>
      </c>
      <c r="B7063" s="76" t="s">
        <v>1181</v>
      </c>
      <c r="C7063" s="76" t="s">
        <v>1281</v>
      </c>
      <c r="D7063" s="75"/>
    </row>
    <row hidden="true" r="7064">
      <c r="A7064" s="76" t="s">
        <v>1358</v>
      </c>
      <c r="B7064" s="76" t="s">
        <v>1183</v>
      </c>
      <c r="C7064" s="76" t="s">
        <v>1281</v>
      </c>
      <c r="D7064" s="75"/>
    </row>
    <row hidden="true" r="7065">
      <c r="A7065" s="76" t="s">
        <v>1358</v>
      </c>
      <c r="B7065" s="76" t="s">
        <v>1185</v>
      </c>
      <c r="C7065" s="76" t="s">
        <v>1281</v>
      </c>
      <c r="D7065" s="75"/>
    </row>
    <row hidden="true" r="7066">
      <c r="A7066" s="76" t="s">
        <v>1358</v>
      </c>
      <c r="B7066" s="76" t="s">
        <v>1187</v>
      </c>
      <c r="C7066" s="76" t="s">
        <v>1281</v>
      </c>
      <c r="D7066" s="75"/>
    </row>
    <row hidden="true" r="7067">
      <c r="A7067" s="76" t="s">
        <v>1358</v>
      </c>
      <c r="B7067" s="76" t="s">
        <v>1189</v>
      </c>
      <c r="C7067" s="76" t="s">
        <v>1281</v>
      </c>
      <c r="D7067" s="75"/>
    </row>
    <row hidden="true" r="7068">
      <c r="A7068" s="76" t="s">
        <v>1358</v>
      </c>
      <c r="B7068" s="76" t="s">
        <v>1199</v>
      </c>
      <c r="C7068" s="76" t="s">
        <v>1281</v>
      </c>
      <c r="D7068" s="75"/>
    </row>
    <row hidden="true" r="7069">
      <c r="A7069" s="76" t="s">
        <v>1358</v>
      </c>
      <c r="B7069" s="76" t="s">
        <v>1201</v>
      </c>
      <c r="C7069" s="76" t="s">
        <v>1281</v>
      </c>
      <c r="D7069" s="75"/>
    </row>
    <row hidden="true" r="7070">
      <c r="A7070" s="76" t="s">
        <v>1358</v>
      </c>
      <c r="B7070" s="76" t="s">
        <v>1203</v>
      </c>
      <c r="C7070" s="76" t="s">
        <v>1281</v>
      </c>
      <c r="D7070" s="75"/>
    </row>
    <row hidden="true" r="7071">
      <c r="A7071" s="76" t="s">
        <v>1358</v>
      </c>
      <c r="B7071" s="76" t="s">
        <v>1205</v>
      </c>
      <c r="C7071" s="76" t="s">
        <v>1281</v>
      </c>
      <c r="D7071" s="75"/>
    </row>
    <row hidden="true" r="7072">
      <c r="A7072" s="76" t="s">
        <v>1358</v>
      </c>
      <c r="B7072" s="76" t="s">
        <v>1207</v>
      </c>
      <c r="C7072" s="76" t="s">
        <v>1281</v>
      </c>
      <c r="D7072" s="75"/>
    </row>
    <row hidden="true" r="7073">
      <c r="A7073" s="76" t="s">
        <v>1358</v>
      </c>
      <c r="B7073" s="76" t="s">
        <v>1209</v>
      </c>
      <c r="C7073" s="76" t="s">
        <v>1281</v>
      </c>
      <c r="D7073" s="75"/>
    </row>
    <row hidden="true" r="7074">
      <c r="A7074" s="76" t="s">
        <v>1358</v>
      </c>
      <c r="B7074" s="76" t="s">
        <v>1211</v>
      </c>
      <c r="C7074" s="76" t="s">
        <v>1281</v>
      </c>
      <c r="D7074" s="75"/>
    </row>
    <row hidden="true" r="7075">
      <c r="A7075" s="76" t="s">
        <v>1358</v>
      </c>
      <c r="B7075" s="76" t="s">
        <v>1282</v>
      </c>
      <c r="C7075" s="76" t="s">
        <v>1281</v>
      </c>
      <c r="D7075" s="75"/>
    </row>
    <row hidden="true" r="7076">
      <c r="A7076" s="76" t="s">
        <v>1358</v>
      </c>
      <c r="B7076" s="76" t="s">
        <v>735</v>
      </c>
      <c r="C7076" s="76" t="s">
        <v>1283</v>
      </c>
      <c r="D7076" s="75"/>
    </row>
    <row hidden="true" r="7077">
      <c r="A7077" s="76" t="s">
        <v>1359</v>
      </c>
      <c r="B7077" s="76" t="s">
        <v>407</v>
      </c>
      <c r="C7077" s="76" t="s">
        <v>1281</v>
      </c>
      <c r="D7077" s="75"/>
    </row>
    <row hidden="true" r="7078">
      <c r="A7078" s="76" t="s">
        <v>1359</v>
      </c>
      <c r="B7078" s="76" t="s">
        <v>744</v>
      </c>
      <c r="C7078" s="76" t="s">
        <v>1281</v>
      </c>
      <c r="D7078" s="75"/>
    </row>
    <row hidden="true" r="7079">
      <c r="A7079" s="76" t="s">
        <v>1359</v>
      </c>
      <c r="B7079" s="76" t="s">
        <v>480</v>
      </c>
      <c r="C7079" s="76" t="s">
        <v>1281</v>
      </c>
      <c r="D7079" s="75"/>
    </row>
    <row hidden="true" r="7080">
      <c r="A7080" s="76" t="s">
        <v>1359</v>
      </c>
      <c r="B7080" s="76" t="s">
        <v>884</v>
      </c>
      <c r="C7080" s="76" t="s">
        <v>1281</v>
      </c>
      <c r="D7080" s="75"/>
    </row>
    <row hidden="true" r="7081">
      <c r="A7081" s="76" t="s">
        <v>1359</v>
      </c>
      <c r="B7081" s="76" t="s">
        <v>886</v>
      </c>
      <c r="C7081" s="76" t="s">
        <v>1281</v>
      </c>
      <c r="D7081" s="75"/>
    </row>
    <row hidden="true" r="7082">
      <c r="A7082" s="76" t="s">
        <v>1359</v>
      </c>
      <c r="B7082" s="76" t="s">
        <v>888</v>
      </c>
      <c r="C7082" s="76" t="s">
        <v>1281</v>
      </c>
      <c r="D7082" s="75"/>
    </row>
    <row hidden="true" r="7083">
      <c r="A7083" s="76" t="s">
        <v>1359</v>
      </c>
      <c r="B7083" s="76" t="s">
        <v>890</v>
      </c>
      <c r="C7083" s="76" t="s">
        <v>1281</v>
      </c>
      <c r="D7083" s="75"/>
    </row>
    <row hidden="true" r="7084">
      <c r="A7084" s="76" t="s">
        <v>1359</v>
      </c>
      <c r="B7084" s="76" t="s">
        <v>892</v>
      </c>
      <c r="C7084" s="76" t="s">
        <v>1281</v>
      </c>
      <c r="D7084" s="75"/>
    </row>
    <row hidden="true" r="7085">
      <c r="A7085" s="76" t="s">
        <v>1359</v>
      </c>
      <c r="B7085" s="76" t="s">
        <v>894</v>
      </c>
      <c r="C7085" s="76" t="s">
        <v>1281</v>
      </c>
      <c r="D7085" s="75"/>
    </row>
    <row hidden="true" r="7086">
      <c r="A7086" s="76" t="s">
        <v>1359</v>
      </c>
      <c r="B7086" s="76" t="s">
        <v>896</v>
      </c>
      <c r="C7086" s="76" t="s">
        <v>1281</v>
      </c>
      <c r="D7086" s="75"/>
    </row>
    <row hidden="true" r="7087">
      <c r="A7087" s="76" t="s">
        <v>1359</v>
      </c>
      <c r="B7087" s="76" t="s">
        <v>898</v>
      </c>
      <c r="C7087" s="76" t="s">
        <v>1281</v>
      </c>
      <c r="D7087" s="75"/>
    </row>
    <row hidden="true" r="7088">
      <c r="A7088" s="76" t="s">
        <v>1359</v>
      </c>
      <c r="B7088" s="76" t="s">
        <v>900</v>
      </c>
      <c r="C7088" s="76" t="s">
        <v>1281</v>
      </c>
      <c r="D7088" s="75"/>
    </row>
    <row hidden="true" r="7089">
      <c r="A7089" s="76" t="s">
        <v>1359</v>
      </c>
      <c r="B7089" s="76" t="s">
        <v>902</v>
      </c>
      <c r="C7089" s="76" t="s">
        <v>1281</v>
      </c>
      <c r="D7089" s="75"/>
    </row>
    <row hidden="true" r="7090">
      <c r="A7090" s="76" t="s">
        <v>1359</v>
      </c>
      <c r="B7090" s="76" t="s">
        <v>904</v>
      </c>
      <c r="C7090" s="76" t="s">
        <v>1281</v>
      </c>
      <c r="D7090" s="75"/>
    </row>
    <row hidden="true" r="7091">
      <c r="A7091" s="76" t="s">
        <v>1359</v>
      </c>
      <c r="B7091" s="76" t="s">
        <v>906</v>
      </c>
      <c r="C7091" s="76" t="s">
        <v>1281</v>
      </c>
      <c r="D7091" s="75"/>
    </row>
    <row hidden="true" r="7092">
      <c r="A7092" s="76" t="s">
        <v>1359</v>
      </c>
      <c r="B7092" s="76" t="s">
        <v>908</v>
      </c>
      <c r="C7092" s="76" t="s">
        <v>1281</v>
      </c>
      <c r="D7092" s="75"/>
    </row>
    <row hidden="true" r="7093">
      <c r="A7093" s="76" t="s">
        <v>1359</v>
      </c>
      <c r="B7093" s="76" t="s">
        <v>910</v>
      </c>
      <c r="C7093" s="76" t="s">
        <v>1281</v>
      </c>
      <c r="D7093" s="75"/>
    </row>
    <row hidden="true" r="7094">
      <c r="A7094" s="76" t="s">
        <v>1359</v>
      </c>
      <c r="B7094" s="76" t="s">
        <v>912</v>
      </c>
      <c r="C7094" s="76" t="s">
        <v>1281</v>
      </c>
      <c r="D7094" s="75"/>
    </row>
    <row hidden="true" r="7095">
      <c r="A7095" s="76" t="s">
        <v>1359</v>
      </c>
      <c r="B7095" s="76" t="s">
        <v>914</v>
      </c>
      <c r="C7095" s="76" t="s">
        <v>1281</v>
      </c>
      <c r="D7095" s="75"/>
    </row>
    <row hidden="true" r="7096">
      <c r="A7096" s="76" t="s">
        <v>1359</v>
      </c>
      <c r="B7096" s="76" t="s">
        <v>916</v>
      </c>
      <c r="C7096" s="76" t="s">
        <v>1281</v>
      </c>
      <c r="D7096" s="75"/>
    </row>
    <row hidden="true" r="7097">
      <c r="A7097" s="76" t="s">
        <v>1359</v>
      </c>
      <c r="B7097" s="76" t="s">
        <v>918</v>
      </c>
      <c r="C7097" s="76" t="s">
        <v>1281</v>
      </c>
      <c r="D7097" s="75"/>
    </row>
    <row hidden="true" r="7098">
      <c r="A7098" s="76" t="s">
        <v>1359</v>
      </c>
      <c r="B7098" s="76" t="s">
        <v>920</v>
      </c>
      <c r="C7098" s="76" t="s">
        <v>1281</v>
      </c>
      <c r="D7098" s="75"/>
    </row>
    <row hidden="true" r="7099">
      <c r="A7099" s="76" t="s">
        <v>1359</v>
      </c>
      <c r="B7099" s="76" t="s">
        <v>922</v>
      </c>
      <c r="C7099" s="76" t="s">
        <v>1281</v>
      </c>
      <c r="D7099" s="75"/>
    </row>
    <row hidden="true" r="7100">
      <c r="A7100" s="76" t="s">
        <v>1359</v>
      </c>
      <c r="B7100" s="76" t="s">
        <v>924</v>
      </c>
      <c r="C7100" s="76" t="s">
        <v>1281</v>
      </c>
      <c r="D7100" s="75"/>
    </row>
    <row hidden="true" r="7101">
      <c r="A7101" s="76" t="s">
        <v>1359</v>
      </c>
      <c r="B7101" s="76" t="s">
        <v>926</v>
      </c>
      <c r="C7101" s="76" t="s">
        <v>1281</v>
      </c>
      <c r="D7101" s="75"/>
    </row>
    <row hidden="true" r="7102">
      <c r="A7102" s="76" t="s">
        <v>1359</v>
      </c>
      <c r="B7102" s="76" t="s">
        <v>928</v>
      </c>
      <c r="C7102" s="76" t="s">
        <v>1281</v>
      </c>
      <c r="D7102" s="75"/>
    </row>
    <row hidden="true" r="7103">
      <c r="A7103" s="76" t="s">
        <v>1359</v>
      </c>
      <c r="B7103" s="76" t="s">
        <v>930</v>
      </c>
      <c r="C7103" s="76" t="s">
        <v>1281</v>
      </c>
      <c r="D7103" s="75"/>
    </row>
    <row hidden="true" r="7104">
      <c r="A7104" s="76" t="s">
        <v>1359</v>
      </c>
      <c r="B7104" s="76" t="s">
        <v>932</v>
      </c>
      <c r="C7104" s="76" t="s">
        <v>1281</v>
      </c>
      <c r="D7104" s="75"/>
    </row>
    <row hidden="true" r="7105">
      <c r="A7105" s="76" t="s">
        <v>1359</v>
      </c>
      <c r="B7105" s="76" t="s">
        <v>934</v>
      </c>
      <c r="C7105" s="76" t="s">
        <v>1281</v>
      </c>
      <c r="D7105" s="75"/>
    </row>
    <row hidden="true" r="7106">
      <c r="A7106" s="76" t="s">
        <v>1359</v>
      </c>
      <c r="B7106" s="76" t="s">
        <v>936</v>
      </c>
      <c r="C7106" s="76" t="s">
        <v>1281</v>
      </c>
      <c r="D7106" s="75"/>
    </row>
    <row hidden="true" r="7107">
      <c r="A7107" s="76" t="s">
        <v>1359</v>
      </c>
      <c r="B7107" s="76" t="s">
        <v>938</v>
      </c>
      <c r="C7107" s="76" t="s">
        <v>1281</v>
      </c>
      <c r="D7107" s="75"/>
    </row>
    <row hidden="true" r="7108">
      <c r="A7108" s="76" t="s">
        <v>1359</v>
      </c>
      <c r="B7108" s="76" t="s">
        <v>940</v>
      </c>
      <c r="C7108" s="76" t="s">
        <v>1281</v>
      </c>
      <c r="D7108" s="75"/>
    </row>
    <row hidden="true" r="7109">
      <c r="A7109" s="76" t="s">
        <v>1359</v>
      </c>
      <c r="B7109" s="76" t="s">
        <v>942</v>
      </c>
      <c r="C7109" s="76" t="s">
        <v>1281</v>
      </c>
      <c r="D7109" s="75"/>
    </row>
    <row hidden="true" r="7110">
      <c r="A7110" s="76" t="s">
        <v>1359</v>
      </c>
      <c r="B7110" s="76" t="s">
        <v>944</v>
      </c>
      <c r="C7110" s="76" t="s">
        <v>1281</v>
      </c>
      <c r="D7110" s="75"/>
    </row>
    <row hidden="true" r="7111">
      <c r="A7111" s="76" t="s">
        <v>1359</v>
      </c>
      <c r="B7111" s="76" t="s">
        <v>1305</v>
      </c>
      <c r="C7111" s="76" t="s">
        <v>1281</v>
      </c>
      <c r="D7111" s="75"/>
    </row>
    <row hidden="true" r="7112">
      <c r="A7112" s="76" t="s">
        <v>1359</v>
      </c>
      <c r="B7112" s="76" t="s">
        <v>1307</v>
      </c>
      <c r="C7112" s="76" t="s">
        <v>1281</v>
      </c>
      <c r="D7112" s="75"/>
    </row>
    <row hidden="true" r="7113">
      <c r="A7113" s="76" t="s">
        <v>1359</v>
      </c>
      <c r="B7113" s="76" t="s">
        <v>946</v>
      </c>
      <c r="C7113" s="76" t="s">
        <v>1281</v>
      </c>
      <c r="D7113" s="75"/>
    </row>
    <row hidden="true" r="7114">
      <c r="A7114" s="76" t="s">
        <v>1359</v>
      </c>
      <c r="B7114" s="76" t="s">
        <v>948</v>
      </c>
      <c r="C7114" s="76" t="s">
        <v>1281</v>
      </c>
      <c r="D7114" s="75"/>
    </row>
    <row hidden="true" r="7115">
      <c r="A7115" s="76" t="s">
        <v>1359</v>
      </c>
      <c r="B7115" s="76" t="s">
        <v>950</v>
      </c>
      <c r="C7115" s="76" t="s">
        <v>1281</v>
      </c>
      <c r="D7115" s="75"/>
    </row>
    <row hidden="true" r="7116">
      <c r="A7116" s="76" t="s">
        <v>1359</v>
      </c>
      <c r="B7116" s="76" t="s">
        <v>952</v>
      </c>
      <c r="C7116" s="76" t="s">
        <v>1281</v>
      </c>
      <c r="D7116" s="75"/>
    </row>
    <row hidden="true" r="7117">
      <c r="A7117" s="76" t="s">
        <v>1359</v>
      </c>
      <c r="B7117" s="76" t="s">
        <v>954</v>
      </c>
      <c r="C7117" s="76" t="s">
        <v>1281</v>
      </c>
      <c r="D7117" s="75"/>
    </row>
    <row hidden="true" r="7118">
      <c r="A7118" s="76" t="s">
        <v>1359</v>
      </c>
      <c r="B7118" s="76" t="s">
        <v>775</v>
      </c>
      <c r="C7118" s="76" t="s">
        <v>1281</v>
      </c>
      <c r="D7118" s="75"/>
    </row>
    <row hidden="true" r="7119">
      <c r="A7119" s="76" t="s">
        <v>1359</v>
      </c>
      <c r="B7119" s="76" t="s">
        <v>956</v>
      </c>
      <c r="C7119" s="76" t="s">
        <v>1281</v>
      </c>
      <c r="D7119" s="75"/>
    </row>
    <row hidden="true" r="7120">
      <c r="A7120" s="76" t="s">
        <v>1359</v>
      </c>
      <c r="B7120" s="76" t="s">
        <v>958</v>
      </c>
      <c r="C7120" s="76" t="s">
        <v>1281</v>
      </c>
      <c r="D7120" s="75"/>
    </row>
    <row hidden="true" r="7121">
      <c r="A7121" s="76" t="s">
        <v>1359</v>
      </c>
      <c r="B7121" s="76" t="s">
        <v>960</v>
      </c>
      <c r="C7121" s="76" t="s">
        <v>1281</v>
      </c>
      <c r="D7121" s="75"/>
    </row>
    <row hidden="true" r="7122">
      <c r="A7122" s="76" t="s">
        <v>1359</v>
      </c>
      <c r="B7122" s="76" t="s">
        <v>962</v>
      </c>
      <c r="C7122" s="76" t="s">
        <v>1281</v>
      </c>
      <c r="D7122" s="75"/>
    </row>
    <row hidden="true" r="7123">
      <c r="A7123" s="76" t="s">
        <v>1359</v>
      </c>
      <c r="B7123" s="76" t="s">
        <v>964</v>
      </c>
      <c r="C7123" s="76" t="s">
        <v>1281</v>
      </c>
      <c r="D7123" s="75"/>
    </row>
    <row hidden="true" r="7124">
      <c r="A7124" s="76" t="s">
        <v>1359</v>
      </c>
      <c r="B7124" s="76" t="s">
        <v>966</v>
      </c>
      <c r="C7124" s="76" t="s">
        <v>1281</v>
      </c>
      <c r="D7124" s="75"/>
    </row>
    <row hidden="true" r="7125">
      <c r="A7125" s="76" t="s">
        <v>1359</v>
      </c>
      <c r="B7125" s="76" t="s">
        <v>968</v>
      </c>
      <c r="C7125" s="76" t="s">
        <v>1281</v>
      </c>
      <c r="D7125" s="75"/>
    </row>
    <row hidden="true" r="7126">
      <c r="A7126" s="76" t="s">
        <v>1359</v>
      </c>
      <c r="B7126" s="76" t="s">
        <v>970</v>
      </c>
      <c r="C7126" s="76" t="s">
        <v>1281</v>
      </c>
      <c r="D7126" s="75"/>
    </row>
    <row hidden="true" r="7127">
      <c r="A7127" s="76" t="s">
        <v>1359</v>
      </c>
      <c r="B7127" s="76" t="s">
        <v>972</v>
      </c>
      <c r="C7127" s="76" t="s">
        <v>1281</v>
      </c>
      <c r="D7127" s="75"/>
    </row>
    <row hidden="true" r="7128">
      <c r="A7128" s="76" t="s">
        <v>1359</v>
      </c>
      <c r="B7128" s="76" t="s">
        <v>974</v>
      </c>
      <c r="C7128" s="76" t="s">
        <v>1281</v>
      </c>
      <c r="D7128" s="75"/>
    </row>
    <row hidden="true" r="7129">
      <c r="A7129" s="76" t="s">
        <v>1359</v>
      </c>
      <c r="B7129" s="76" t="s">
        <v>976</v>
      </c>
      <c r="C7129" s="76" t="s">
        <v>1281</v>
      </c>
      <c r="D7129" s="75"/>
    </row>
    <row hidden="true" r="7130">
      <c r="A7130" s="76" t="s">
        <v>1359</v>
      </c>
      <c r="B7130" s="76" t="s">
        <v>823</v>
      </c>
      <c r="C7130" s="76" t="s">
        <v>1281</v>
      </c>
      <c r="D7130" s="75"/>
    </row>
    <row hidden="true" r="7131">
      <c r="A7131" s="76" t="s">
        <v>1359</v>
      </c>
      <c r="B7131" s="76" t="s">
        <v>978</v>
      </c>
      <c r="C7131" s="76" t="s">
        <v>1281</v>
      </c>
      <c r="D7131" s="75"/>
    </row>
    <row hidden="true" r="7132">
      <c r="A7132" s="76" t="s">
        <v>1359</v>
      </c>
      <c r="B7132" s="76" t="s">
        <v>980</v>
      </c>
      <c r="C7132" s="76" t="s">
        <v>1281</v>
      </c>
      <c r="D7132" s="75"/>
    </row>
    <row hidden="true" r="7133">
      <c r="A7133" s="76" t="s">
        <v>1359</v>
      </c>
      <c r="B7133" s="76" t="s">
        <v>982</v>
      </c>
      <c r="C7133" s="76" t="s">
        <v>1281</v>
      </c>
      <c r="D7133" s="75"/>
    </row>
    <row hidden="true" r="7134">
      <c r="A7134" s="76" t="s">
        <v>1359</v>
      </c>
      <c r="B7134" s="76" t="s">
        <v>984</v>
      </c>
      <c r="C7134" s="76" t="s">
        <v>1281</v>
      </c>
      <c r="D7134" s="75"/>
    </row>
    <row hidden="true" r="7135">
      <c r="A7135" s="76" t="s">
        <v>1359</v>
      </c>
      <c r="B7135" s="76" t="s">
        <v>986</v>
      </c>
      <c r="C7135" s="76" t="s">
        <v>1281</v>
      </c>
      <c r="D7135" s="75"/>
    </row>
    <row hidden="true" r="7136">
      <c r="A7136" s="76" t="s">
        <v>1359</v>
      </c>
      <c r="B7136" s="76" t="s">
        <v>1309</v>
      </c>
      <c r="C7136" s="76" t="s">
        <v>1281</v>
      </c>
      <c r="D7136" s="75"/>
    </row>
    <row hidden="true" r="7137">
      <c r="A7137" s="76" t="s">
        <v>1359</v>
      </c>
      <c r="B7137" s="76" t="s">
        <v>1311</v>
      </c>
      <c r="C7137" s="76" t="s">
        <v>1281</v>
      </c>
      <c r="D7137" s="75"/>
    </row>
    <row hidden="true" r="7138">
      <c r="A7138" s="76" t="s">
        <v>1359</v>
      </c>
      <c r="B7138" s="76" t="s">
        <v>1099</v>
      </c>
      <c r="C7138" s="76" t="s">
        <v>1281</v>
      </c>
      <c r="D7138" s="75"/>
    </row>
    <row hidden="true" r="7139">
      <c r="A7139" s="76" t="s">
        <v>1359</v>
      </c>
      <c r="B7139" s="76" t="s">
        <v>1101</v>
      </c>
      <c r="C7139" s="76" t="s">
        <v>1281</v>
      </c>
      <c r="D7139" s="75"/>
    </row>
    <row hidden="true" r="7140">
      <c r="A7140" s="76" t="s">
        <v>1359</v>
      </c>
      <c r="B7140" s="76" t="s">
        <v>1313</v>
      </c>
      <c r="C7140" s="76" t="s">
        <v>1281</v>
      </c>
      <c r="D7140" s="75"/>
    </row>
    <row hidden="true" r="7141">
      <c r="A7141" s="76" t="s">
        <v>1359</v>
      </c>
      <c r="B7141" s="76" t="s">
        <v>996</v>
      </c>
      <c r="C7141" s="76" t="s">
        <v>1281</v>
      </c>
      <c r="D7141" s="75"/>
    </row>
    <row hidden="true" r="7142">
      <c r="A7142" s="76" t="s">
        <v>1359</v>
      </c>
      <c r="B7142" s="76" t="s">
        <v>998</v>
      </c>
      <c r="C7142" s="76" t="s">
        <v>1281</v>
      </c>
      <c r="D7142" s="75"/>
    </row>
    <row hidden="true" r="7143">
      <c r="A7143" s="76" t="s">
        <v>1359</v>
      </c>
      <c r="B7143" s="76" t="s">
        <v>1000</v>
      </c>
      <c r="C7143" s="76" t="s">
        <v>1281</v>
      </c>
      <c r="D7143" s="75"/>
    </row>
    <row hidden="true" r="7144">
      <c r="A7144" s="76" t="s">
        <v>1359</v>
      </c>
      <c r="B7144" s="76" t="s">
        <v>1002</v>
      </c>
      <c r="C7144" s="76" t="s">
        <v>1281</v>
      </c>
      <c r="D7144" s="75"/>
    </row>
    <row hidden="true" r="7145">
      <c r="A7145" s="76" t="s">
        <v>1359</v>
      </c>
      <c r="B7145" s="76" t="s">
        <v>1004</v>
      </c>
      <c r="C7145" s="76" t="s">
        <v>1281</v>
      </c>
      <c r="D7145" s="75"/>
    </row>
    <row hidden="true" r="7146">
      <c r="A7146" s="76" t="s">
        <v>1359</v>
      </c>
      <c r="B7146" s="76" t="s">
        <v>1006</v>
      </c>
      <c r="C7146" s="76" t="s">
        <v>1281</v>
      </c>
      <c r="D7146" s="75"/>
    </row>
    <row hidden="true" r="7147">
      <c r="A7147" s="76" t="s">
        <v>1359</v>
      </c>
      <c r="B7147" s="76" t="s">
        <v>1008</v>
      </c>
      <c r="C7147" s="76" t="s">
        <v>1281</v>
      </c>
      <c r="D7147" s="75"/>
    </row>
    <row hidden="true" r="7148">
      <c r="A7148" s="76" t="s">
        <v>1359</v>
      </c>
      <c r="B7148" s="76" t="s">
        <v>1010</v>
      </c>
      <c r="C7148" s="76" t="s">
        <v>1281</v>
      </c>
      <c r="D7148" s="75"/>
    </row>
    <row hidden="true" r="7149">
      <c r="A7149" s="76" t="s">
        <v>1359</v>
      </c>
      <c r="B7149" s="76" t="s">
        <v>1315</v>
      </c>
      <c r="C7149" s="76" t="s">
        <v>1281</v>
      </c>
      <c r="D7149" s="75"/>
    </row>
    <row hidden="true" r="7150">
      <c r="A7150" s="76" t="s">
        <v>1359</v>
      </c>
      <c r="B7150" s="76" t="s">
        <v>1014</v>
      </c>
      <c r="C7150" s="76" t="s">
        <v>1281</v>
      </c>
      <c r="D7150" s="75"/>
    </row>
    <row hidden="true" r="7151">
      <c r="A7151" s="76" t="s">
        <v>1359</v>
      </c>
      <c r="B7151" s="76" t="s">
        <v>1016</v>
      </c>
      <c r="C7151" s="76" t="s">
        <v>1281</v>
      </c>
      <c r="D7151" s="75"/>
    </row>
    <row hidden="true" r="7152">
      <c r="A7152" s="76" t="s">
        <v>1359</v>
      </c>
      <c r="B7152" s="76" t="s">
        <v>1018</v>
      </c>
      <c r="C7152" s="76" t="s">
        <v>1281</v>
      </c>
      <c r="D7152" s="75"/>
    </row>
    <row hidden="true" r="7153">
      <c r="A7153" s="76" t="s">
        <v>1359</v>
      </c>
      <c r="B7153" s="76" t="s">
        <v>1020</v>
      </c>
      <c r="C7153" s="76" t="s">
        <v>1281</v>
      </c>
      <c r="D7153" s="75"/>
    </row>
    <row hidden="true" r="7154">
      <c r="A7154" s="76" t="s">
        <v>1359</v>
      </c>
      <c r="B7154" s="76" t="s">
        <v>1022</v>
      </c>
      <c r="C7154" s="76" t="s">
        <v>1281</v>
      </c>
      <c r="D7154" s="75"/>
    </row>
    <row hidden="true" r="7155">
      <c r="A7155" s="76" t="s">
        <v>1359</v>
      </c>
      <c r="B7155" s="76" t="s">
        <v>1023</v>
      </c>
      <c r="C7155" s="76" t="s">
        <v>1281</v>
      </c>
      <c r="D7155" s="75"/>
    </row>
    <row hidden="true" r="7156">
      <c r="A7156" s="76" t="s">
        <v>1359</v>
      </c>
      <c r="B7156" s="76" t="s">
        <v>1024</v>
      </c>
      <c r="C7156" s="76" t="s">
        <v>1281</v>
      </c>
      <c r="D7156" s="75"/>
    </row>
    <row hidden="true" r="7157">
      <c r="A7157" s="76" t="s">
        <v>1359</v>
      </c>
      <c r="B7157" s="76" t="s">
        <v>1025</v>
      </c>
      <c r="C7157" s="76" t="s">
        <v>1281</v>
      </c>
      <c r="D7157" s="75"/>
    </row>
    <row hidden="true" r="7158">
      <c r="A7158" s="76" t="s">
        <v>1359</v>
      </c>
      <c r="B7158" s="76" t="s">
        <v>1026</v>
      </c>
      <c r="C7158" s="76" t="s">
        <v>1281</v>
      </c>
      <c r="D7158" s="75"/>
    </row>
    <row hidden="true" r="7159">
      <c r="A7159" s="76" t="s">
        <v>1359</v>
      </c>
      <c r="B7159" s="76" t="s">
        <v>1027</v>
      </c>
      <c r="C7159" s="76" t="s">
        <v>1281</v>
      </c>
      <c r="D7159" s="75"/>
    </row>
    <row hidden="true" r="7160">
      <c r="A7160" s="76" t="s">
        <v>1359</v>
      </c>
      <c r="B7160" s="76" t="s">
        <v>1133</v>
      </c>
      <c r="C7160" s="76" t="s">
        <v>1281</v>
      </c>
      <c r="D7160" s="75"/>
    </row>
    <row hidden="true" r="7161">
      <c r="A7161" s="76" t="s">
        <v>1359</v>
      </c>
      <c r="B7161" s="76" t="s">
        <v>1317</v>
      </c>
      <c r="C7161" s="76" t="s">
        <v>1281</v>
      </c>
      <c r="D7161" s="75"/>
    </row>
    <row hidden="true" r="7162">
      <c r="A7162" s="76" t="s">
        <v>1359</v>
      </c>
      <c r="B7162" s="76" t="s">
        <v>1319</v>
      </c>
      <c r="C7162" s="76" t="s">
        <v>1281</v>
      </c>
      <c r="D7162" s="75"/>
    </row>
    <row hidden="true" r="7163">
      <c r="A7163" s="76" t="s">
        <v>1359</v>
      </c>
      <c r="B7163" s="76" t="s">
        <v>1028</v>
      </c>
      <c r="C7163" s="76" t="s">
        <v>1281</v>
      </c>
      <c r="D7163" s="75"/>
    </row>
    <row hidden="true" r="7164">
      <c r="A7164" s="76" t="s">
        <v>1359</v>
      </c>
      <c r="B7164" s="76" t="s">
        <v>988</v>
      </c>
      <c r="C7164" s="76" t="s">
        <v>1281</v>
      </c>
      <c r="D7164" s="75"/>
    </row>
    <row hidden="true" r="7165">
      <c r="A7165" s="76" t="s">
        <v>1359</v>
      </c>
      <c r="B7165" s="76" t="s">
        <v>990</v>
      </c>
      <c r="C7165" s="76" t="s">
        <v>1281</v>
      </c>
      <c r="D7165" s="75"/>
    </row>
    <row hidden="true" r="7166">
      <c r="A7166" s="76" t="s">
        <v>1359</v>
      </c>
      <c r="B7166" s="76" t="s">
        <v>992</v>
      </c>
      <c r="C7166" s="76" t="s">
        <v>1281</v>
      </c>
      <c r="D7166" s="75"/>
    </row>
    <row hidden="true" r="7167">
      <c r="A7167" s="76" t="s">
        <v>1359</v>
      </c>
      <c r="B7167" s="76" t="s">
        <v>530</v>
      </c>
      <c r="C7167" s="76" t="s">
        <v>1281</v>
      </c>
      <c r="D7167" s="75"/>
    </row>
    <row hidden="true" r="7168">
      <c r="A7168" s="76" t="s">
        <v>1359</v>
      </c>
      <c r="B7168" s="76" t="s">
        <v>1032</v>
      </c>
      <c r="C7168" s="76" t="s">
        <v>1281</v>
      </c>
      <c r="D7168" s="75"/>
    </row>
    <row hidden="true" r="7169">
      <c r="A7169" s="76" t="s">
        <v>1359</v>
      </c>
      <c r="B7169" s="76" t="s">
        <v>532</v>
      </c>
      <c r="C7169" s="76" t="s">
        <v>1281</v>
      </c>
      <c r="D7169" s="75"/>
    </row>
    <row hidden="true" r="7170">
      <c r="A7170" s="76" t="s">
        <v>1359</v>
      </c>
      <c r="B7170" s="76" t="s">
        <v>1036</v>
      </c>
      <c r="C7170" s="76" t="s">
        <v>1281</v>
      </c>
      <c r="D7170" s="75"/>
    </row>
    <row hidden="true" r="7171">
      <c r="A7171" s="76" t="s">
        <v>1359</v>
      </c>
      <c r="B7171" s="76" t="s">
        <v>1038</v>
      </c>
      <c r="C7171" s="76" t="s">
        <v>1281</v>
      </c>
      <c r="D7171" s="75"/>
    </row>
    <row hidden="true" r="7172">
      <c r="A7172" s="76" t="s">
        <v>1359</v>
      </c>
      <c r="B7172" s="76" t="s">
        <v>1321</v>
      </c>
      <c r="C7172" s="76" t="s">
        <v>1281</v>
      </c>
      <c r="D7172" s="75"/>
    </row>
    <row hidden="true" r="7173">
      <c r="A7173" s="76" t="s">
        <v>1359</v>
      </c>
      <c r="B7173" s="76" t="s">
        <v>1323</v>
      </c>
      <c r="C7173" s="76" t="s">
        <v>1281</v>
      </c>
      <c r="D7173" s="75"/>
    </row>
    <row hidden="true" r="7174">
      <c r="A7174" s="76" t="s">
        <v>1359</v>
      </c>
      <c r="B7174" s="76" t="s">
        <v>1012</v>
      </c>
      <c r="C7174" s="76" t="s">
        <v>1281</v>
      </c>
      <c r="D7174" s="75"/>
    </row>
    <row hidden="true" r="7175">
      <c r="A7175" s="76" t="s">
        <v>1359</v>
      </c>
      <c r="B7175" s="76" t="s">
        <v>1052</v>
      </c>
      <c r="C7175" s="76" t="s">
        <v>1281</v>
      </c>
      <c r="D7175" s="75"/>
    </row>
    <row hidden="true" r="7176">
      <c r="A7176" s="76" t="s">
        <v>1359</v>
      </c>
      <c r="B7176" s="76" t="s">
        <v>1054</v>
      </c>
      <c r="C7176" s="76" t="s">
        <v>1281</v>
      </c>
      <c r="D7176" s="75"/>
    </row>
    <row hidden="true" r="7177">
      <c r="A7177" s="76" t="s">
        <v>1359</v>
      </c>
      <c r="B7177" s="76" t="s">
        <v>1056</v>
      </c>
      <c r="C7177" s="76" t="s">
        <v>1281</v>
      </c>
      <c r="D7177" s="75"/>
    </row>
    <row hidden="true" r="7178">
      <c r="A7178" s="76" t="s">
        <v>1359</v>
      </c>
      <c r="B7178" s="76" t="s">
        <v>1058</v>
      </c>
      <c r="C7178" s="76" t="s">
        <v>1281</v>
      </c>
      <c r="D7178" s="75"/>
    </row>
    <row hidden="true" r="7179">
      <c r="A7179" s="76" t="s">
        <v>1359</v>
      </c>
      <c r="B7179" s="76" t="s">
        <v>1060</v>
      </c>
      <c r="C7179" s="76" t="s">
        <v>1281</v>
      </c>
      <c r="D7179" s="75"/>
    </row>
    <row hidden="true" r="7180">
      <c r="A7180" s="76" t="s">
        <v>1359</v>
      </c>
      <c r="B7180" s="76" t="s">
        <v>1062</v>
      </c>
      <c r="C7180" s="76" t="s">
        <v>1281</v>
      </c>
      <c r="D7180" s="75"/>
    </row>
    <row hidden="true" r="7181">
      <c r="A7181" s="76" t="s">
        <v>1359</v>
      </c>
      <c r="B7181" s="76" t="s">
        <v>1064</v>
      </c>
      <c r="C7181" s="76" t="s">
        <v>1281</v>
      </c>
      <c r="D7181" s="75"/>
    </row>
    <row hidden="true" r="7182">
      <c r="A7182" s="76" t="s">
        <v>1359</v>
      </c>
      <c r="B7182" s="76" t="s">
        <v>1066</v>
      </c>
      <c r="C7182" s="76" t="s">
        <v>1281</v>
      </c>
      <c r="D7182" s="75"/>
    </row>
    <row hidden="true" r="7183">
      <c r="A7183" s="76" t="s">
        <v>1359</v>
      </c>
      <c r="B7183" s="76" t="s">
        <v>1068</v>
      </c>
      <c r="C7183" s="76" t="s">
        <v>1281</v>
      </c>
      <c r="D7183" s="75"/>
    </row>
    <row hidden="true" r="7184">
      <c r="A7184" s="76" t="s">
        <v>1359</v>
      </c>
      <c r="B7184" s="76" t="s">
        <v>1070</v>
      </c>
      <c r="C7184" s="76" t="s">
        <v>1281</v>
      </c>
      <c r="D7184" s="75"/>
    </row>
    <row hidden="true" r="7185">
      <c r="A7185" s="76" t="s">
        <v>1359</v>
      </c>
      <c r="B7185" s="76" t="s">
        <v>1071</v>
      </c>
      <c r="C7185" s="76" t="s">
        <v>1281</v>
      </c>
      <c r="D7185" s="75"/>
    </row>
    <row hidden="true" r="7186">
      <c r="A7186" s="76" t="s">
        <v>1359</v>
      </c>
      <c r="B7186" s="76" t="s">
        <v>1072</v>
      </c>
      <c r="C7186" s="76" t="s">
        <v>1281</v>
      </c>
      <c r="D7186" s="75"/>
    </row>
    <row hidden="true" r="7187">
      <c r="A7187" s="76" t="s">
        <v>1359</v>
      </c>
      <c r="B7187" s="76" t="s">
        <v>1074</v>
      </c>
      <c r="C7187" s="76" t="s">
        <v>1281</v>
      </c>
      <c r="D7187" s="75"/>
    </row>
    <row hidden="true" r="7188">
      <c r="A7188" s="76" t="s">
        <v>1359</v>
      </c>
      <c r="B7188" s="76" t="s">
        <v>1075</v>
      </c>
      <c r="C7188" s="76" t="s">
        <v>1281</v>
      </c>
      <c r="D7188" s="75"/>
    </row>
    <row hidden="true" r="7189">
      <c r="A7189" s="76" t="s">
        <v>1359</v>
      </c>
      <c r="B7189" s="76" t="s">
        <v>1082</v>
      </c>
      <c r="C7189" s="76" t="s">
        <v>1281</v>
      </c>
      <c r="D7189" s="75"/>
    </row>
    <row hidden="true" r="7190">
      <c r="A7190" s="76" t="s">
        <v>1359</v>
      </c>
      <c r="B7190" s="76" t="s">
        <v>1084</v>
      </c>
      <c r="C7190" s="76" t="s">
        <v>1281</v>
      </c>
      <c r="D7190" s="75"/>
    </row>
    <row hidden="true" r="7191">
      <c r="A7191" s="76" t="s">
        <v>1359</v>
      </c>
      <c r="B7191" s="76" t="s">
        <v>1086</v>
      </c>
      <c r="C7191" s="76" t="s">
        <v>1281</v>
      </c>
      <c r="D7191" s="75"/>
    </row>
    <row hidden="true" r="7192">
      <c r="A7192" s="76" t="s">
        <v>1359</v>
      </c>
      <c r="B7192" s="76" t="s">
        <v>1088</v>
      </c>
      <c r="C7192" s="76" t="s">
        <v>1281</v>
      </c>
      <c r="D7192" s="75"/>
    </row>
    <row hidden="true" r="7193">
      <c r="A7193" s="76" t="s">
        <v>1359</v>
      </c>
      <c r="B7193" s="76" t="s">
        <v>1076</v>
      </c>
      <c r="C7193" s="76" t="s">
        <v>1281</v>
      </c>
      <c r="D7193" s="75"/>
    </row>
    <row hidden="true" r="7194">
      <c r="A7194" s="76" t="s">
        <v>1359</v>
      </c>
      <c r="B7194" s="76" t="s">
        <v>1078</v>
      </c>
      <c r="C7194" s="76" t="s">
        <v>1281</v>
      </c>
      <c r="D7194" s="75"/>
    </row>
    <row hidden="true" r="7195">
      <c r="A7195" s="76" t="s">
        <v>1359</v>
      </c>
      <c r="B7195" s="76" t="s">
        <v>1040</v>
      </c>
      <c r="C7195" s="76" t="s">
        <v>1281</v>
      </c>
      <c r="D7195" s="75"/>
    </row>
    <row hidden="true" r="7196">
      <c r="A7196" s="76" t="s">
        <v>1359</v>
      </c>
      <c r="B7196" s="76" t="s">
        <v>839</v>
      </c>
      <c r="C7196" s="76" t="s">
        <v>1281</v>
      </c>
      <c r="D7196" s="75"/>
    </row>
    <row hidden="true" r="7197">
      <c r="A7197" s="76" t="s">
        <v>1359</v>
      </c>
      <c r="B7197" s="76" t="s">
        <v>1121</v>
      </c>
      <c r="C7197" s="76" t="s">
        <v>1281</v>
      </c>
      <c r="D7197" s="75"/>
    </row>
    <row hidden="true" r="7198">
      <c r="A7198" s="76" t="s">
        <v>1359</v>
      </c>
      <c r="B7198" s="76" t="s">
        <v>1325</v>
      </c>
      <c r="C7198" s="76" t="s">
        <v>1281</v>
      </c>
      <c r="D7198" s="75"/>
    </row>
    <row hidden="true" r="7199">
      <c r="A7199" s="76" t="s">
        <v>1359</v>
      </c>
      <c r="B7199" s="76" t="s">
        <v>1080</v>
      </c>
      <c r="C7199" s="76" t="s">
        <v>1281</v>
      </c>
      <c r="D7199" s="75"/>
    </row>
    <row hidden="true" r="7200">
      <c r="A7200" s="76" t="s">
        <v>1359</v>
      </c>
      <c r="B7200" s="76" t="s">
        <v>1327</v>
      </c>
      <c r="C7200" s="76" t="s">
        <v>1281</v>
      </c>
      <c r="D7200" s="75"/>
    </row>
    <row hidden="true" r="7201">
      <c r="A7201" s="76" t="s">
        <v>1359</v>
      </c>
      <c r="B7201" s="76" t="s">
        <v>1090</v>
      </c>
      <c r="C7201" s="76" t="s">
        <v>1281</v>
      </c>
      <c r="D7201" s="75"/>
    </row>
    <row hidden="true" r="7202">
      <c r="A7202" s="76" t="s">
        <v>1359</v>
      </c>
      <c r="B7202" s="76" t="s">
        <v>1092</v>
      </c>
      <c r="C7202" s="76" t="s">
        <v>1281</v>
      </c>
      <c r="D7202" s="75"/>
    </row>
    <row hidden="true" r="7203">
      <c r="A7203" s="76" t="s">
        <v>1359</v>
      </c>
      <c r="B7203" s="76" t="s">
        <v>1093</v>
      </c>
      <c r="C7203" s="76" t="s">
        <v>1281</v>
      </c>
      <c r="D7203" s="75"/>
    </row>
    <row hidden="true" r="7204">
      <c r="A7204" s="76" t="s">
        <v>1359</v>
      </c>
      <c r="B7204" s="76" t="s">
        <v>1095</v>
      </c>
      <c r="C7204" s="76" t="s">
        <v>1281</v>
      </c>
      <c r="D7204" s="75"/>
    </row>
    <row hidden="true" r="7205">
      <c r="A7205" s="76" t="s">
        <v>1359</v>
      </c>
      <c r="B7205" s="76" t="s">
        <v>1097</v>
      </c>
      <c r="C7205" s="76" t="s">
        <v>1281</v>
      </c>
      <c r="D7205" s="75"/>
    </row>
    <row hidden="true" r="7206">
      <c r="A7206" s="76" t="s">
        <v>1359</v>
      </c>
      <c r="B7206" s="76" t="s">
        <v>1103</v>
      </c>
      <c r="C7206" s="76" t="s">
        <v>1281</v>
      </c>
      <c r="D7206" s="75"/>
    </row>
    <row hidden="true" r="7207">
      <c r="A7207" s="76" t="s">
        <v>1359</v>
      </c>
      <c r="B7207" s="76" t="s">
        <v>1329</v>
      </c>
      <c r="C7207" s="76" t="s">
        <v>1281</v>
      </c>
      <c r="D7207" s="75"/>
    </row>
    <row hidden="true" r="7208">
      <c r="A7208" s="76" t="s">
        <v>1359</v>
      </c>
      <c r="B7208" s="76" t="s">
        <v>1113</v>
      </c>
      <c r="C7208" s="76" t="s">
        <v>1281</v>
      </c>
      <c r="D7208" s="75"/>
    </row>
    <row hidden="true" r="7209">
      <c r="A7209" s="76" t="s">
        <v>1359</v>
      </c>
      <c r="B7209" s="76" t="s">
        <v>1115</v>
      </c>
      <c r="C7209" s="76" t="s">
        <v>1281</v>
      </c>
      <c r="D7209" s="75"/>
    </row>
    <row hidden="true" r="7210">
      <c r="A7210" s="76" t="s">
        <v>1359</v>
      </c>
      <c r="B7210" s="76" t="s">
        <v>1117</v>
      </c>
      <c r="C7210" s="76" t="s">
        <v>1281</v>
      </c>
      <c r="D7210" s="75"/>
    </row>
    <row hidden="true" r="7211">
      <c r="A7211" s="76" t="s">
        <v>1359</v>
      </c>
      <c r="B7211" s="76" t="s">
        <v>1119</v>
      </c>
      <c r="C7211" s="76" t="s">
        <v>1281</v>
      </c>
      <c r="D7211" s="75"/>
    </row>
    <row hidden="true" r="7212">
      <c r="A7212" s="76" t="s">
        <v>1359</v>
      </c>
      <c r="B7212" s="76" t="s">
        <v>1127</v>
      </c>
      <c r="C7212" s="76" t="s">
        <v>1281</v>
      </c>
      <c r="D7212" s="75"/>
    </row>
    <row hidden="true" r="7213">
      <c r="A7213" s="76" t="s">
        <v>1359</v>
      </c>
      <c r="B7213" s="76" t="s">
        <v>1129</v>
      </c>
      <c r="C7213" s="76" t="s">
        <v>1281</v>
      </c>
      <c r="D7213" s="75"/>
    </row>
    <row hidden="true" r="7214">
      <c r="A7214" s="76" t="s">
        <v>1359</v>
      </c>
      <c r="B7214" s="76" t="s">
        <v>1131</v>
      </c>
      <c r="C7214" s="76" t="s">
        <v>1281</v>
      </c>
      <c r="D7214" s="75"/>
    </row>
    <row hidden="true" r="7215">
      <c r="A7215" s="76" t="s">
        <v>1359</v>
      </c>
      <c r="B7215" s="76" t="s">
        <v>1137</v>
      </c>
      <c r="C7215" s="76" t="s">
        <v>1281</v>
      </c>
      <c r="D7215" s="75"/>
    </row>
    <row hidden="true" r="7216">
      <c r="A7216" s="76" t="s">
        <v>1359</v>
      </c>
      <c r="B7216" s="76" t="s">
        <v>1139</v>
      </c>
      <c r="C7216" s="76" t="s">
        <v>1281</v>
      </c>
      <c r="D7216" s="75"/>
    </row>
    <row hidden="true" r="7217">
      <c r="A7217" s="76" t="s">
        <v>1359</v>
      </c>
      <c r="B7217" s="76" t="s">
        <v>1141</v>
      </c>
      <c r="C7217" s="76" t="s">
        <v>1281</v>
      </c>
      <c r="D7217" s="75"/>
    </row>
    <row hidden="true" r="7218">
      <c r="A7218" s="76" t="s">
        <v>1359</v>
      </c>
      <c r="B7218" s="76" t="s">
        <v>1143</v>
      </c>
      <c r="C7218" s="76" t="s">
        <v>1281</v>
      </c>
      <c r="D7218" s="75"/>
    </row>
    <row hidden="true" r="7219">
      <c r="A7219" s="76" t="s">
        <v>1359</v>
      </c>
      <c r="B7219" s="76" t="s">
        <v>1145</v>
      </c>
      <c r="C7219" s="76" t="s">
        <v>1281</v>
      </c>
      <c r="D7219" s="75"/>
    </row>
    <row hidden="true" r="7220">
      <c r="A7220" s="76" t="s">
        <v>1359</v>
      </c>
      <c r="B7220" s="76" t="s">
        <v>1147</v>
      </c>
      <c r="C7220" s="76" t="s">
        <v>1281</v>
      </c>
      <c r="D7220" s="75"/>
    </row>
    <row hidden="true" r="7221">
      <c r="A7221" s="76" t="s">
        <v>1359</v>
      </c>
      <c r="B7221" s="76" t="s">
        <v>1153</v>
      </c>
      <c r="C7221" s="76" t="s">
        <v>1281</v>
      </c>
      <c r="D7221" s="75"/>
    </row>
    <row hidden="true" r="7222">
      <c r="A7222" s="76" t="s">
        <v>1359</v>
      </c>
      <c r="B7222" s="76" t="s">
        <v>1155</v>
      </c>
      <c r="C7222" s="76" t="s">
        <v>1281</v>
      </c>
      <c r="D7222" s="75"/>
    </row>
    <row hidden="true" r="7223">
      <c r="A7223" s="76" t="s">
        <v>1359</v>
      </c>
      <c r="B7223" s="76" t="s">
        <v>1157</v>
      </c>
      <c r="C7223" s="76" t="s">
        <v>1281</v>
      </c>
      <c r="D7223" s="75"/>
    </row>
    <row hidden="true" r="7224">
      <c r="A7224" s="76" t="s">
        <v>1359</v>
      </c>
      <c r="B7224" s="76" t="s">
        <v>1159</v>
      </c>
      <c r="C7224" s="76" t="s">
        <v>1281</v>
      </c>
      <c r="D7224" s="75"/>
    </row>
    <row hidden="true" r="7225">
      <c r="A7225" s="76" t="s">
        <v>1359</v>
      </c>
      <c r="B7225" s="76" t="s">
        <v>1161</v>
      </c>
      <c r="C7225" s="76" t="s">
        <v>1281</v>
      </c>
      <c r="D7225" s="75"/>
    </row>
    <row hidden="true" r="7226">
      <c r="A7226" s="76" t="s">
        <v>1359</v>
      </c>
      <c r="B7226" s="76" t="s">
        <v>1163</v>
      </c>
      <c r="C7226" s="76" t="s">
        <v>1281</v>
      </c>
      <c r="D7226" s="75"/>
    </row>
    <row hidden="true" r="7227">
      <c r="A7227" s="76" t="s">
        <v>1359</v>
      </c>
      <c r="B7227" s="76" t="s">
        <v>1165</v>
      </c>
      <c r="C7227" s="76" t="s">
        <v>1281</v>
      </c>
      <c r="D7227" s="75"/>
    </row>
    <row hidden="true" r="7228">
      <c r="A7228" s="76" t="s">
        <v>1359</v>
      </c>
      <c r="B7228" s="76" t="s">
        <v>1331</v>
      </c>
      <c r="C7228" s="76" t="s">
        <v>1281</v>
      </c>
      <c r="D7228" s="75"/>
    </row>
    <row hidden="true" r="7229">
      <c r="A7229" s="76" t="s">
        <v>1359</v>
      </c>
      <c r="B7229" s="76" t="s">
        <v>1333</v>
      </c>
      <c r="C7229" s="76" t="s">
        <v>1281</v>
      </c>
      <c r="D7229" s="75"/>
    </row>
    <row hidden="true" r="7230">
      <c r="A7230" s="76" t="s">
        <v>1359</v>
      </c>
      <c r="B7230" s="76" t="s">
        <v>1335</v>
      </c>
      <c r="C7230" s="76" t="s">
        <v>1281</v>
      </c>
      <c r="D7230" s="75"/>
    </row>
    <row hidden="true" r="7231">
      <c r="A7231" s="76" t="s">
        <v>1359</v>
      </c>
      <c r="B7231" s="76" t="s">
        <v>1337</v>
      </c>
      <c r="C7231" s="76" t="s">
        <v>1281</v>
      </c>
      <c r="D7231" s="75"/>
    </row>
    <row hidden="true" r="7232">
      <c r="A7232" s="76" t="s">
        <v>1359</v>
      </c>
      <c r="B7232" s="76" t="s">
        <v>1339</v>
      </c>
      <c r="C7232" s="76" t="s">
        <v>1281</v>
      </c>
      <c r="D7232" s="75"/>
    </row>
    <row hidden="true" r="7233">
      <c r="A7233" s="76" t="s">
        <v>1359</v>
      </c>
      <c r="B7233" s="76" t="s">
        <v>1341</v>
      </c>
      <c r="C7233" s="76" t="s">
        <v>1281</v>
      </c>
      <c r="D7233" s="75"/>
    </row>
    <row hidden="true" r="7234">
      <c r="A7234" s="76" t="s">
        <v>1359</v>
      </c>
      <c r="B7234" s="76" t="s">
        <v>1044</v>
      </c>
      <c r="C7234" s="76" t="s">
        <v>1281</v>
      </c>
      <c r="D7234" s="75"/>
    </row>
    <row hidden="true" r="7235">
      <c r="A7235" s="76" t="s">
        <v>1359</v>
      </c>
      <c r="B7235" s="76" t="s">
        <v>1046</v>
      </c>
      <c r="C7235" s="76" t="s">
        <v>1281</v>
      </c>
      <c r="D7235" s="75"/>
    </row>
    <row hidden="true" r="7236">
      <c r="A7236" s="76" t="s">
        <v>1359</v>
      </c>
      <c r="B7236" s="76" t="s">
        <v>1048</v>
      </c>
      <c r="C7236" s="76" t="s">
        <v>1281</v>
      </c>
      <c r="D7236" s="75"/>
    </row>
    <row hidden="true" r="7237">
      <c r="A7237" s="76" t="s">
        <v>1359</v>
      </c>
      <c r="B7237" s="76" t="s">
        <v>1167</v>
      </c>
      <c r="C7237" s="76" t="s">
        <v>1281</v>
      </c>
      <c r="D7237" s="75"/>
    </row>
    <row hidden="true" r="7238">
      <c r="A7238" s="76" t="s">
        <v>1359</v>
      </c>
      <c r="B7238" s="76" t="s">
        <v>1169</v>
      </c>
      <c r="C7238" s="76" t="s">
        <v>1281</v>
      </c>
      <c r="D7238" s="75"/>
    </row>
    <row hidden="true" r="7239">
      <c r="A7239" s="76" t="s">
        <v>1359</v>
      </c>
      <c r="B7239" s="76" t="s">
        <v>1171</v>
      </c>
      <c r="C7239" s="76" t="s">
        <v>1281</v>
      </c>
      <c r="D7239" s="75"/>
    </row>
    <row hidden="true" r="7240">
      <c r="A7240" s="76" t="s">
        <v>1359</v>
      </c>
      <c r="B7240" s="76" t="s">
        <v>1173</v>
      </c>
      <c r="C7240" s="76" t="s">
        <v>1281</v>
      </c>
      <c r="D7240" s="75"/>
    </row>
    <row hidden="true" r="7241">
      <c r="A7241" s="76" t="s">
        <v>1359</v>
      </c>
      <c r="B7241" s="76" t="s">
        <v>1175</v>
      </c>
      <c r="C7241" s="76" t="s">
        <v>1281</v>
      </c>
      <c r="D7241" s="75"/>
    </row>
    <row hidden="true" r="7242">
      <c r="A7242" s="76" t="s">
        <v>1359</v>
      </c>
      <c r="B7242" s="76" t="s">
        <v>1177</v>
      </c>
      <c r="C7242" s="76" t="s">
        <v>1281</v>
      </c>
      <c r="D7242" s="75"/>
    </row>
    <row hidden="true" r="7243">
      <c r="A7243" s="76" t="s">
        <v>1359</v>
      </c>
      <c r="B7243" s="76" t="s">
        <v>1135</v>
      </c>
      <c r="C7243" s="76" t="s">
        <v>1281</v>
      </c>
      <c r="D7243" s="75"/>
    </row>
    <row hidden="true" r="7244">
      <c r="A7244" s="76" t="s">
        <v>1359</v>
      </c>
      <c r="B7244" s="76" t="s">
        <v>1179</v>
      </c>
      <c r="C7244" s="76" t="s">
        <v>1281</v>
      </c>
      <c r="D7244" s="75"/>
    </row>
    <row hidden="true" r="7245">
      <c r="A7245" s="76" t="s">
        <v>1359</v>
      </c>
      <c r="B7245" s="76" t="s">
        <v>1181</v>
      </c>
      <c r="C7245" s="76" t="s">
        <v>1281</v>
      </c>
      <c r="D7245" s="75"/>
    </row>
    <row hidden="true" r="7246">
      <c r="A7246" s="76" t="s">
        <v>1359</v>
      </c>
      <c r="B7246" s="76" t="s">
        <v>1183</v>
      </c>
      <c r="C7246" s="76" t="s">
        <v>1281</v>
      </c>
      <c r="D7246" s="75"/>
    </row>
    <row hidden="true" r="7247">
      <c r="A7247" s="76" t="s">
        <v>1359</v>
      </c>
      <c r="B7247" s="76" t="s">
        <v>1185</v>
      </c>
      <c r="C7247" s="76" t="s">
        <v>1281</v>
      </c>
      <c r="D7247" s="75"/>
    </row>
    <row hidden="true" r="7248">
      <c r="A7248" s="76" t="s">
        <v>1359</v>
      </c>
      <c r="B7248" s="76" t="s">
        <v>1187</v>
      </c>
      <c r="C7248" s="76" t="s">
        <v>1281</v>
      </c>
      <c r="D7248" s="75"/>
    </row>
    <row hidden="true" r="7249">
      <c r="A7249" s="76" t="s">
        <v>1359</v>
      </c>
      <c r="B7249" s="76" t="s">
        <v>1189</v>
      </c>
      <c r="C7249" s="76" t="s">
        <v>1281</v>
      </c>
      <c r="D7249" s="75"/>
    </row>
    <row hidden="true" r="7250">
      <c r="A7250" s="76" t="s">
        <v>1359</v>
      </c>
      <c r="B7250" s="76" t="s">
        <v>1191</v>
      </c>
      <c r="C7250" s="76" t="s">
        <v>1281</v>
      </c>
      <c r="D7250" s="75"/>
    </row>
    <row hidden="true" r="7251">
      <c r="A7251" s="76" t="s">
        <v>1359</v>
      </c>
      <c r="B7251" s="76" t="s">
        <v>1199</v>
      </c>
      <c r="C7251" s="76" t="s">
        <v>1281</v>
      </c>
      <c r="D7251" s="75"/>
    </row>
    <row hidden="true" r="7252">
      <c r="A7252" s="76" t="s">
        <v>1359</v>
      </c>
      <c r="B7252" s="76" t="s">
        <v>1201</v>
      </c>
      <c r="C7252" s="76" t="s">
        <v>1281</v>
      </c>
      <c r="D7252" s="75"/>
    </row>
    <row hidden="true" r="7253">
      <c r="A7253" s="76" t="s">
        <v>1359</v>
      </c>
      <c r="B7253" s="76" t="s">
        <v>1203</v>
      </c>
      <c r="C7253" s="76" t="s">
        <v>1281</v>
      </c>
      <c r="D7253" s="75"/>
    </row>
    <row hidden="true" r="7254">
      <c r="A7254" s="76" t="s">
        <v>1359</v>
      </c>
      <c r="B7254" s="76" t="s">
        <v>1205</v>
      </c>
      <c r="C7254" s="76" t="s">
        <v>1281</v>
      </c>
      <c r="D7254" s="75"/>
    </row>
    <row hidden="true" r="7255">
      <c r="A7255" s="76" t="s">
        <v>1359</v>
      </c>
      <c r="B7255" s="76" t="s">
        <v>1207</v>
      </c>
      <c r="C7255" s="76" t="s">
        <v>1281</v>
      </c>
      <c r="D7255" s="75"/>
    </row>
    <row hidden="true" r="7256">
      <c r="A7256" s="76" t="s">
        <v>1359</v>
      </c>
      <c r="B7256" s="76" t="s">
        <v>1209</v>
      </c>
      <c r="C7256" s="76" t="s">
        <v>1281</v>
      </c>
      <c r="D7256" s="75"/>
    </row>
    <row hidden="true" r="7257">
      <c r="A7257" s="76" t="s">
        <v>1359</v>
      </c>
      <c r="B7257" s="76" t="s">
        <v>1211</v>
      </c>
      <c r="C7257" s="76" t="s">
        <v>1281</v>
      </c>
      <c r="D7257" s="75"/>
    </row>
    <row hidden="true" r="7258">
      <c r="A7258" s="76" t="s">
        <v>1359</v>
      </c>
      <c r="B7258" s="76" t="s">
        <v>1282</v>
      </c>
      <c r="C7258" s="76" t="s">
        <v>1281</v>
      </c>
      <c r="D7258" s="75"/>
    </row>
    <row hidden="true" r="7259">
      <c r="A7259" s="76" t="s">
        <v>1359</v>
      </c>
      <c r="B7259" s="76" t="s">
        <v>735</v>
      </c>
      <c r="C7259" s="76" t="s">
        <v>1283</v>
      </c>
      <c r="D7259" s="75"/>
    </row>
    <row hidden="true" r="7260">
      <c r="A7260" s="76" t="s">
        <v>1360</v>
      </c>
      <c r="B7260" s="76" t="s">
        <v>407</v>
      </c>
      <c r="C7260" s="76" t="s">
        <v>408</v>
      </c>
      <c r="D7260" s="75"/>
    </row>
    <row hidden="true" r="7261">
      <c r="A7261" s="76" t="s">
        <v>1360</v>
      </c>
      <c r="B7261" s="76" t="s">
        <v>744</v>
      </c>
      <c r="C7261" s="76" t="s">
        <v>745</v>
      </c>
      <c r="D7261" s="75"/>
    </row>
    <row hidden="true" r="7262">
      <c r="A7262" s="76" t="s">
        <v>1360</v>
      </c>
      <c r="B7262" s="76" t="s">
        <v>480</v>
      </c>
      <c r="C7262" s="76" t="s">
        <v>481</v>
      </c>
      <c r="D7262" s="75"/>
    </row>
    <row hidden="true" r="7263">
      <c r="A7263" s="76" t="s">
        <v>1360</v>
      </c>
      <c r="B7263" s="76" t="s">
        <v>884</v>
      </c>
      <c r="C7263" s="76" t="s">
        <v>885</v>
      </c>
      <c r="D7263" s="75"/>
    </row>
    <row hidden="true" r="7264">
      <c r="A7264" s="76" t="s">
        <v>1360</v>
      </c>
      <c r="B7264" s="76" t="s">
        <v>886</v>
      </c>
      <c r="C7264" s="76" t="s">
        <v>1361</v>
      </c>
      <c r="D7264" s="75"/>
    </row>
    <row hidden="true" r="7265">
      <c r="A7265" s="76" t="s">
        <v>1360</v>
      </c>
      <c r="B7265" s="76" t="s">
        <v>888</v>
      </c>
      <c r="C7265" s="76" t="s">
        <v>889</v>
      </c>
      <c r="D7265" s="75"/>
    </row>
    <row hidden="true" r="7266">
      <c r="A7266" s="76" t="s">
        <v>1360</v>
      </c>
      <c r="B7266" s="76" t="s">
        <v>890</v>
      </c>
      <c r="C7266" s="76" t="s">
        <v>891</v>
      </c>
      <c r="D7266" s="75"/>
    </row>
    <row hidden="true" r="7267">
      <c r="A7267" s="76" t="s">
        <v>1360</v>
      </c>
      <c r="B7267" s="76" t="s">
        <v>892</v>
      </c>
      <c r="C7267" s="76" t="s">
        <v>893</v>
      </c>
      <c r="D7267" s="75"/>
    </row>
    <row hidden="true" r="7268">
      <c r="A7268" s="76" t="s">
        <v>1360</v>
      </c>
      <c r="B7268" s="76" t="s">
        <v>894</v>
      </c>
      <c r="C7268" s="76" t="s">
        <v>1217</v>
      </c>
      <c r="D7268" s="75"/>
    </row>
    <row hidden="true" r="7269">
      <c r="A7269" s="76" t="s">
        <v>1360</v>
      </c>
      <c r="B7269" s="76" t="s">
        <v>896</v>
      </c>
      <c r="C7269" s="76" t="s">
        <v>897</v>
      </c>
      <c r="D7269" s="75"/>
    </row>
    <row hidden="true" r="7270">
      <c r="A7270" s="76" t="s">
        <v>1360</v>
      </c>
      <c r="B7270" s="76" t="s">
        <v>898</v>
      </c>
      <c r="C7270" s="76" t="s">
        <v>899</v>
      </c>
      <c r="D7270" s="75"/>
    </row>
    <row hidden="true" r="7271">
      <c r="A7271" s="76" t="s">
        <v>1360</v>
      </c>
      <c r="B7271" s="76" t="s">
        <v>900</v>
      </c>
      <c r="C7271" s="76" t="s">
        <v>1218</v>
      </c>
      <c r="D7271" s="75"/>
    </row>
    <row hidden="true" r="7272">
      <c r="A7272" s="76" t="s">
        <v>1360</v>
      </c>
      <c r="B7272" s="76" t="s">
        <v>902</v>
      </c>
      <c r="C7272" s="76" t="s">
        <v>903</v>
      </c>
      <c r="D7272" s="75"/>
    </row>
    <row hidden="true" r="7273">
      <c r="A7273" s="76" t="s">
        <v>1360</v>
      </c>
      <c r="B7273" s="76" t="s">
        <v>904</v>
      </c>
      <c r="C7273" s="76" t="s">
        <v>905</v>
      </c>
      <c r="D7273" s="75"/>
    </row>
    <row hidden="true" r="7274">
      <c r="A7274" s="76" t="s">
        <v>1360</v>
      </c>
      <c r="B7274" s="76" t="s">
        <v>906</v>
      </c>
      <c r="C7274" s="76" t="s">
        <v>907</v>
      </c>
      <c r="D7274" s="75"/>
    </row>
    <row hidden="true" r="7275">
      <c r="A7275" s="76" t="s">
        <v>1360</v>
      </c>
      <c r="B7275" s="76" t="s">
        <v>908</v>
      </c>
      <c r="C7275" s="76" t="s">
        <v>909</v>
      </c>
      <c r="D7275" s="75"/>
    </row>
    <row hidden="true" r="7276">
      <c r="A7276" s="76" t="s">
        <v>1360</v>
      </c>
      <c r="B7276" s="76" t="s">
        <v>910</v>
      </c>
      <c r="C7276" s="76" t="s">
        <v>911</v>
      </c>
      <c r="D7276" s="75"/>
    </row>
    <row hidden="true" r="7277">
      <c r="A7277" s="76" t="s">
        <v>1360</v>
      </c>
      <c r="B7277" s="76" t="s">
        <v>912</v>
      </c>
      <c r="C7277" s="76" t="s">
        <v>913</v>
      </c>
      <c r="D7277" s="75"/>
    </row>
    <row hidden="true" r="7278">
      <c r="A7278" s="76" t="s">
        <v>1360</v>
      </c>
      <c r="B7278" s="76" t="s">
        <v>914</v>
      </c>
      <c r="C7278" s="76" t="s">
        <v>915</v>
      </c>
      <c r="D7278" s="75"/>
    </row>
    <row hidden="true" r="7279">
      <c r="A7279" s="76" t="s">
        <v>1360</v>
      </c>
      <c r="B7279" s="76" t="s">
        <v>916</v>
      </c>
      <c r="C7279" s="76" t="s">
        <v>917</v>
      </c>
      <c r="D7279" s="75"/>
    </row>
    <row hidden="true" r="7280">
      <c r="A7280" s="76" t="s">
        <v>1360</v>
      </c>
      <c r="B7280" s="76" t="s">
        <v>918</v>
      </c>
      <c r="C7280" s="76" t="s">
        <v>919</v>
      </c>
      <c r="D7280" s="75"/>
    </row>
    <row hidden="true" r="7281">
      <c r="A7281" s="76" t="s">
        <v>1360</v>
      </c>
      <c r="B7281" s="76" t="s">
        <v>920</v>
      </c>
      <c r="C7281" s="76" t="s">
        <v>921</v>
      </c>
      <c r="D7281" s="75"/>
    </row>
    <row hidden="true" r="7282">
      <c r="A7282" s="76" t="s">
        <v>1360</v>
      </c>
      <c r="B7282" s="76" t="s">
        <v>922</v>
      </c>
      <c r="C7282" s="76" t="s">
        <v>1219</v>
      </c>
      <c r="D7282" s="75"/>
    </row>
    <row hidden="true" r="7283">
      <c r="A7283" s="76" t="s">
        <v>1360</v>
      </c>
      <c r="B7283" s="76" t="s">
        <v>924</v>
      </c>
      <c r="C7283" s="76" t="s">
        <v>925</v>
      </c>
      <c r="D7283" s="75"/>
    </row>
    <row hidden="true" r="7284">
      <c r="A7284" s="76" t="s">
        <v>1360</v>
      </c>
      <c r="B7284" s="76" t="s">
        <v>926</v>
      </c>
      <c r="C7284" s="76" t="s">
        <v>927</v>
      </c>
      <c r="D7284" s="75"/>
    </row>
    <row hidden="true" r="7285">
      <c r="A7285" s="76" t="s">
        <v>1360</v>
      </c>
      <c r="B7285" s="76" t="s">
        <v>928</v>
      </c>
      <c r="C7285" s="76" t="s">
        <v>929</v>
      </c>
      <c r="D7285" s="75"/>
    </row>
    <row hidden="true" r="7286">
      <c r="A7286" s="76" t="s">
        <v>1360</v>
      </c>
      <c r="B7286" s="76" t="s">
        <v>930</v>
      </c>
      <c r="C7286" s="76" t="s">
        <v>931</v>
      </c>
      <c r="D7286" s="75"/>
    </row>
    <row hidden="true" r="7287">
      <c r="A7287" s="76" t="s">
        <v>1360</v>
      </c>
      <c r="B7287" s="76" t="s">
        <v>932</v>
      </c>
      <c r="C7287" s="76" t="s">
        <v>933</v>
      </c>
      <c r="D7287" s="75"/>
    </row>
    <row hidden="true" r="7288">
      <c r="A7288" s="76" t="s">
        <v>1360</v>
      </c>
      <c r="B7288" s="76" t="s">
        <v>934</v>
      </c>
      <c r="C7288" s="76" t="s">
        <v>935</v>
      </c>
      <c r="D7288" s="75"/>
    </row>
    <row hidden="true" r="7289">
      <c r="A7289" s="76" t="s">
        <v>1360</v>
      </c>
      <c r="B7289" s="76" t="s">
        <v>936</v>
      </c>
      <c r="C7289" s="76" t="s">
        <v>937</v>
      </c>
      <c r="D7289" s="75"/>
    </row>
    <row hidden="true" r="7290">
      <c r="A7290" s="76" t="s">
        <v>1360</v>
      </c>
      <c r="B7290" s="76" t="s">
        <v>938</v>
      </c>
      <c r="C7290" s="76" t="s">
        <v>1362</v>
      </c>
      <c r="D7290" s="75"/>
    </row>
    <row hidden="true" r="7291">
      <c r="A7291" s="76" t="s">
        <v>1360</v>
      </c>
      <c r="B7291" s="76" t="s">
        <v>940</v>
      </c>
      <c r="C7291" s="76" t="s">
        <v>941</v>
      </c>
      <c r="D7291" s="75"/>
    </row>
    <row hidden="true" r="7292">
      <c r="A7292" s="76" t="s">
        <v>1360</v>
      </c>
      <c r="B7292" s="76" t="s">
        <v>942</v>
      </c>
      <c r="C7292" s="76" t="s">
        <v>943</v>
      </c>
      <c r="D7292" s="75"/>
    </row>
    <row hidden="true" r="7293">
      <c r="A7293" s="76" t="s">
        <v>1360</v>
      </c>
      <c r="B7293" s="76" t="s">
        <v>944</v>
      </c>
      <c r="C7293" s="76" t="s">
        <v>945</v>
      </c>
      <c r="D7293" s="75"/>
    </row>
    <row hidden="true" r="7294">
      <c r="A7294" s="76" t="s">
        <v>1360</v>
      </c>
      <c r="B7294" s="76" t="s">
        <v>1305</v>
      </c>
      <c r="C7294" s="76" t="s">
        <v>1306</v>
      </c>
      <c r="D7294" s="75"/>
    </row>
    <row hidden="true" r="7295">
      <c r="A7295" s="76" t="s">
        <v>1360</v>
      </c>
      <c r="B7295" s="76" t="s">
        <v>1307</v>
      </c>
      <c r="C7295" s="76" t="s">
        <v>1308</v>
      </c>
      <c r="D7295" s="75"/>
    </row>
    <row hidden="true" r="7296">
      <c r="A7296" s="76" t="s">
        <v>1360</v>
      </c>
      <c r="B7296" s="76" t="s">
        <v>946</v>
      </c>
      <c r="C7296" s="76" t="s">
        <v>1221</v>
      </c>
      <c r="D7296" s="75"/>
    </row>
    <row hidden="true" r="7297">
      <c r="A7297" s="76" t="s">
        <v>1360</v>
      </c>
      <c r="B7297" s="76" t="s">
        <v>948</v>
      </c>
      <c r="C7297" s="76" t="s">
        <v>1222</v>
      </c>
      <c r="D7297" s="75"/>
    </row>
    <row hidden="true" r="7298">
      <c r="A7298" s="76" t="s">
        <v>1360</v>
      </c>
      <c r="B7298" s="76" t="s">
        <v>950</v>
      </c>
      <c r="C7298" s="76" t="s">
        <v>951</v>
      </c>
      <c r="D7298" s="75"/>
    </row>
    <row hidden="true" r="7299">
      <c r="A7299" s="76" t="s">
        <v>1360</v>
      </c>
      <c r="B7299" s="76" t="s">
        <v>952</v>
      </c>
      <c r="C7299" s="76" t="s">
        <v>953</v>
      </c>
      <c r="D7299" s="75"/>
    </row>
    <row hidden="true" r="7300">
      <c r="A7300" s="76" t="s">
        <v>1360</v>
      </c>
      <c r="B7300" s="76" t="s">
        <v>954</v>
      </c>
      <c r="C7300" s="76" t="s">
        <v>955</v>
      </c>
      <c r="D7300" s="75"/>
    </row>
    <row hidden="true" r="7301">
      <c r="A7301" s="76" t="s">
        <v>1360</v>
      </c>
      <c r="B7301" s="76" t="s">
        <v>775</v>
      </c>
      <c r="C7301" s="76" t="s">
        <v>776</v>
      </c>
      <c r="D7301" s="75"/>
    </row>
    <row hidden="true" r="7302">
      <c r="A7302" s="76" t="s">
        <v>1360</v>
      </c>
      <c r="B7302" s="76" t="s">
        <v>956</v>
      </c>
      <c r="C7302" s="76" t="s">
        <v>1363</v>
      </c>
      <c r="D7302" s="75"/>
    </row>
    <row hidden="true" r="7303">
      <c r="A7303" s="76" t="s">
        <v>1360</v>
      </c>
      <c r="B7303" s="76" t="s">
        <v>958</v>
      </c>
      <c r="C7303" s="76" t="s">
        <v>1364</v>
      </c>
      <c r="D7303" s="75"/>
    </row>
    <row hidden="true" r="7304">
      <c r="A7304" s="76" t="s">
        <v>1360</v>
      </c>
      <c r="B7304" s="76" t="s">
        <v>960</v>
      </c>
      <c r="C7304" s="76" t="s">
        <v>961</v>
      </c>
      <c r="D7304" s="75"/>
    </row>
    <row hidden="true" r="7305">
      <c r="A7305" s="76" t="s">
        <v>1360</v>
      </c>
      <c r="B7305" s="76" t="s">
        <v>962</v>
      </c>
      <c r="C7305" s="76" t="s">
        <v>963</v>
      </c>
      <c r="D7305" s="75"/>
    </row>
    <row hidden="true" r="7306">
      <c r="A7306" s="76" t="s">
        <v>1360</v>
      </c>
      <c r="B7306" s="76" t="s">
        <v>964</v>
      </c>
      <c r="C7306" s="76" t="s">
        <v>965</v>
      </c>
      <c r="D7306" s="75"/>
    </row>
    <row hidden="true" r="7307">
      <c r="A7307" s="76" t="s">
        <v>1360</v>
      </c>
      <c r="B7307" s="76" t="s">
        <v>966</v>
      </c>
      <c r="C7307" s="76" t="s">
        <v>967</v>
      </c>
      <c r="D7307" s="75"/>
    </row>
    <row hidden="true" r="7308">
      <c r="A7308" s="76" t="s">
        <v>1360</v>
      </c>
      <c r="B7308" s="76" t="s">
        <v>968</v>
      </c>
      <c r="C7308" s="76" t="s">
        <v>969</v>
      </c>
      <c r="D7308" s="75"/>
    </row>
    <row hidden="true" r="7309">
      <c r="A7309" s="76" t="s">
        <v>1360</v>
      </c>
      <c r="B7309" s="76" t="s">
        <v>970</v>
      </c>
      <c r="C7309" s="76" t="s">
        <v>971</v>
      </c>
      <c r="D7309" s="75"/>
    </row>
    <row hidden="true" r="7310">
      <c r="A7310" s="76" t="s">
        <v>1360</v>
      </c>
      <c r="B7310" s="76" t="s">
        <v>972</v>
      </c>
      <c r="C7310" s="76" t="s">
        <v>973</v>
      </c>
      <c r="D7310" s="75"/>
    </row>
    <row hidden="true" r="7311">
      <c r="A7311" s="76" t="s">
        <v>1360</v>
      </c>
      <c r="B7311" s="76" t="s">
        <v>974</v>
      </c>
      <c r="C7311" s="76" t="s">
        <v>975</v>
      </c>
      <c r="D7311" s="75"/>
    </row>
    <row hidden="true" r="7312">
      <c r="A7312" s="76" t="s">
        <v>1360</v>
      </c>
      <c r="B7312" s="76" t="s">
        <v>976</v>
      </c>
      <c r="C7312" s="76" t="s">
        <v>977</v>
      </c>
      <c r="D7312" s="75"/>
    </row>
    <row hidden="true" r="7313">
      <c r="A7313" s="76" t="s">
        <v>1360</v>
      </c>
      <c r="B7313" s="76" t="s">
        <v>823</v>
      </c>
      <c r="C7313" s="76" t="s">
        <v>824</v>
      </c>
      <c r="D7313" s="75"/>
    </row>
    <row hidden="true" r="7314">
      <c r="A7314" s="76" t="s">
        <v>1360</v>
      </c>
      <c r="B7314" s="76" t="s">
        <v>978</v>
      </c>
      <c r="C7314" s="76" t="s">
        <v>979</v>
      </c>
      <c r="D7314" s="75"/>
    </row>
    <row hidden="true" r="7315">
      <c r="A7315" s="76" t="s">
        <v>1360</v>
      </c>
      <c r="B7315" s="76" t="s">
        <v>980</v>
      </c>
      <c r="C7315" s="76" t="s">
        <v>981</v>
      </c>
      <c r="D7315" s="75"/>
    </row>
    <row hidden="true" r="7316">
      <c r="A7316" s="76" t="s">
        <v>1360</v>
      </c>
      <c r="B7316" s="76" t="s">
        <v>982</v>
      </c>
      <c r="C7316" s="76" t="s">
        <v>1365</v>
      </c>
      <c r="D7316" s="75"/>
    </row>
    <row hidden="true" r="7317">
      <c r="A7317" s="76" t="s">
        <v>1360</v>
      </c>
      <c r="B7317" s="76" t="s">
        <v>984</v>
      </c>
      <c r="C7317" s="76" t="s">
        <v>985</v>
      </c>
      <c r="D7317" s="75"/>
    </row>
    <row hidden="true" r="7318">
      <c r="A7318" s="76" t="s">
        <v>1360</v>
      </c>
      <c r="B7318" s="76" t="s">
        <v>986</v>
      </c>
      <c r="C7318" s="76" t="s">
        <v>987</v>
      </c>
      <c r="D7318" s="75"/>
    </row>
    <row hidden="true" r="7319">
      <c r="A7319" s="76" t="s">
        <v>1360</v>
      </c>
      <c r="B7319" s="76" t="s">
        <v>1309</v>
      </c>
      <c r="C7319" s="76" t="s">
        <v>1310</v>
      </c>
      <c r="D7319" s="75"/>
    </row>
    <row hidden="true" r="7320">
      <c r="A7320" s="76" t="s">
        <v>1360</v>
      </c>
      <c r="B7320" s="76" t="s">
        <v>1311</v>
      </c>
      <c r="C7320" s="76" t="s">
        <v>1312</v>
      </c>
      <c r="D7320" s="75"/>
    </row>
    <row hidden="true" r="7321">
      <c r="A7321" s="76" t="s">
        <v>1360</v>
      </c>
      <c r="B7321" s="76" t="s">
        <v>1099</v>
      </c>
      <c r="C7321" s="76" t="s">
        <v>1100</v>
      </c>
      <c r="D7321" s="75"/>
    </row>
    <row hidden="true" r="7322">
      <c r="A7322" s="76" t="s">
        <v>1360</v>
      </c>
      <c r="B7322" s="76" t="s">
        <v>1101</v>
      </c>
      <c r="C7322" s="76" t="s">
        <v>1102</v>
      </c>
      <c r="D7322" s="75"/>
    </row>
    <row hidden="true" r="7323">
      <c r="A7323" s="76" t="s">
        <v>1360</v>
      </c>
      <c r="B7323" s="76" t="s">
        <v>1313</v>
      </c>
      <c r="C7323" s="76" t="s">
        <v>1314</v>
      </c>
      <c r="D7323" s="75"/>
    </row>
    <row hidden="true" r="7324">
      <c r="A7324" s="76" t="s">
        <v>1360</v>
      </c>
      <c r="B7324" s="76" t="s">
        <v>996</v>
      </c>
      <c r="C7324" s="76" t="s">
        <v>997</v>
      </c>
      <c r="D7324" s="75"/>
    </row>
    <row hidden="true" r="7325">
      <c r="A7325" s="76" t="s">
        <v>1360</v>
      </c>
      <c r="B7325" s="76" t="s">
        <v>998</v>
      </c>
      <c r="C7325" s="76" t="s">
        <v>999</v>
      </c>
      <c r="D7325" s="75"/>
    </row>
    <row hidden="true" r="7326">
      <c r="A7326" s="76" t="s">
        <v>1360</v>
      </c>
      <c r="B7326" s="76" t="s">
        <v>1000</v>
      </c>
      <c r="C7326" s="76" t="s">
        <v>1001</v>
      </c>
      <c r="D7326" s="75"/>
    </row>
    <row hidden="true" r="7327">
      <c r="A7327" s="76" t="s">
        <v>1360</v>
      </c>
      <c r="B7327" s="76" t="s">
        <v>1002</v>
      </c>
      <c r="C7327" s="76" t="s">
        <v>1003</v>
      </c>
      <c r="D7327" s="75"/>
    </row>
    <row hidden="true" r="7328">
      <c r="A7328" s="76" t="s">
        <v>1360</v>
      </c>
      <c r="B7328" s="76" t="s">
        <v>1004</v>
      </c>
      <c r="C7328" s="76" t="s">
        <v>1005</v>
      </c>
      <c r="D7328" s="75"/>
    </row>
    <row hidden="true" r="7329">
      <c r="A7329" s="76" t="s">
        <v>1360</v>
      </c>
      <c r="B7329" s="76" t="s">
        <v>1006</v>
      </c>
      <c r="C7329" s="76" t="s">
        <v>1366</v>
      </c>
      <c r="D7329" s="75"/>
    </row>
    <row hidden="true" r="7330">
      <c r="A7330" s="76" t="s">
        <v>1360</v>
      </c>
      <c r="B7330" s="76" t="s">
        <v>1008</v>
      </c>
      <c r="C7330" s="76" t="s">
        <v>1367</v>
      </c>
      <c r="D7330" s="75"/>
    </row>
    <row hidden="true" r="7331">
      <c r="A7331" s="76" t="s">
        <v>1360</v>
      </c>
      <c r="B7331" s="76" t="s">
        <v>1010</v>
      </c>
      <c r="C7331" s="76" t="s">
        <v>1368</v>
      </c>
      <c r="D7331" s="75"/>
    </row>
    <row hidden="true" r="7332">
      <c r="A7332" s="76" t="s">
        <v>1360</v>
      </c>
      <c r="B7332" s="76" t="s">
        <v>1315</v>
      </c>
      <c r="C7332" s="76" t="s">
        <v>1369</v>
      </c>
      <c r="D7332" s="75"/>
    </row>
    <row hidden="true" r="7333">
      <c r="A7333" s="76" t="s">
        <v>1360</v>
      </c>
      <c r="B7333" s="76" t="s">
        <v>1014</v>
      </c>
      <c r="C7333" s="76" t="s">
        <v>1370</v>
      </c>
      <c r="D7333" s="75"/>
    </row>
    <row hidden="true" r="7334">
      <c r="A7334" s="76" t="s">
        <v>1360</v>
      </c>
      <c r="B7334" s="76" t="s">
        <v>1016</v>
      </c>
      <c r="C7334" s="76" t="s">
        <v>1017</v>
      </c>
      <c r="D7334" s="75"/>
    </row>
    <row hidden="true" r="7335">
      <c r="A7335" s="76" t="s">
        <v>1360</v>
      </c>
      <c r="B7335" s="76" t="s">
        <v>1018</v>
      </c>
      <c r="C7335" s="76" t="s">
        <v>1019</v>
      </c>
      <c r="D7335" s="75"/>
    </row>
    <row hidden="true" r="7336">
      <c r="A7336" s="76" t="s">
        <v>1360</v>
      </c>
      <c r="B7336" s="76" t="s">
        <v>1020</v>
      </c>
      <c r="C7336" s="76" t="s">
        <v>1021</v>
      </c>
      <c r="D7336" s="75"/>
    </row>
    <row hidden="true" r="7337">
      <c r="A7337" s="76" t="s">
        <v>1360</v>
      </c>
      <c r="B7337" s="76" t="s">
        <v>1022</v>
      </c>
      <c r="C7337" s="76" t="s">
        <v>1017</v>
      </c>
      <c r="D7337" s="75"/>
    </row>
    <row hidden="true" r="7338">
      <c r="A7338" s="76" t="s">
        <v>1360</v>
      </c>
      <c r="B7338" s="76" t="s">
        <v>1023</v>
      </c>
      <c r="C7338" s="76" t="s">
        <v>1019</v>
      </c>
      <c r="D7338" s="75"/>
    </row>
    <row hidden="true" r="7339">
      <c r="A7339" s="76" t="s">
        <v>1360</v>
      </c>
      <c r="B7339" s="76" t="s">
        <v>1024</v>
      </c>
      <c r="C7339" s="76" t="s">
        <v>1021</v>
      </c>
      <c r="D7339" s="75"/>
    </row>
    <row hidden="true" r="7340">
      <c r="A7340" s="76" t="s">
        <v>1360</v>
      </c>
      <c r="B7340" s="76" t="s">
        <v>1025</v>
      </c>
      <c r="C7340" s="76" t="s">
        <v>1017</v>
      </c>
      <c r="D7340" s="75"/>
    </row>
    <row hidden="true" r="7341">
      <c r="A7341" s="76" t="s">
        <v>1360</v>
      </c>
      <c r="B7341" s="76" t="s">
        <v>1026</v>
      </c>
      <c r="C7341" s="76" t="s">
        <v>1019</v>
      </c>
      <c r="D7341" s="75"/>
    </row>
    <row hidden="true" r="7342">
      <c r="A7342" s="76" t="s">
        <v>1360</v>
      </c>
      <c r="B7342" s="76" t="s">
        <v>1027</v>
      </c>
      <c r="C7342" s="76" t="s">
        <v>1021</v>
      </c>
      <c r="D7342" s="75"/>
    </row>
    <row hidden="true" r="7343">
      <c r="A7343" s="76" t="s">
        <v>1360</v>
      </c>
      <c r="B7343" s="76" t="s">
        <v>1133</v>
      </c>
      <c r="C7343" s="76" t="s">
        <v>1134</v>
      </c>
      <c r="D7343" s="75"/>
    </row>
    <row hidden="true" r="7344">
      <c r="A7344" s="76" t="s">
        <v>1360</v>
      </c>
      <c r="B7344" s="76" t="s">
        <v>1317</v>
      </c>
      <c r="C7344" s="76" t="s">
        <v>1318</v>
      </c>
      <c r="D7344" s="75"/>
    </row>
    <row hidden="true" r="7345">
      <c r="A7345" s="76" t="s">
        <v>1360</v>
      </c>
      <c r="B7345" s="76" t="s">
        <v>1319</v>
      </c>
      <c r="C7345" s="76" t="s">
        <v>1371</v>
      </c>
      <c r="D7345" s="75"/>
    </row>
    <row hidden="true" r="7346">
      <c r="A7346" s="76" t="s">
        <v>1360</v>
      </c>
      <c r="B7346" s="76" t="s">
        <v>1028</v>
      </c>
      <c r="C7346" s="76" t="s">
        <v>1029</v>
      </c>
      <c r="D7346" s="75"/>
    </row>
    <row hidden="true" r="7347">
      <c r="A7347" s="76" t="s">
        <v>1360</v>
      </c>
      <c r="B7347" s="76" t="s">
        <v>988</v>
      </c>
      <c r="C7347" s="76" t="s">
        <v>989</v>
      </c>
      <c r="D7347" s="75"/>
    </row>
    <row hidden="true" r="7348">
      <c r="A7348" s="76" t="s">
        <v>1360</v>
      </c>
      <c r="B7348" s="76" t="s">
        <v>990</v>
      </c>
      <c r="C7348" s="76" t="s">
        <v>991</v>
      </c>
      <c r="D7348" s="75"/>
    </row>
    <row hidden="true" r="7349">
      <c r="A7349" s="76" t="s">
        <v>1360</v>
      </c>
      <c r="B7349" s="76" t="s">
        <v>992</v>
      </c>
      <c r="C7349" s="76" t="s">
        <v>993</v>
      </c>
      <c r="D7349" s="75"/>
    </row>
    <row hidden="true" r="7350">
      <c r="A7350" s="76" t="s">
        <v>1360</v>
      </c>
      <c r="B7350" s="76" t="s">
        <v>530</v>
      </c>
      <c r="C7350" s="76" t="s">
        <v>531</v>
      </c>
      <c r="D7350" s="75"/>
    </row>
    <row hidden="true" r="7351">
      <c r="A7351" s="76" t="s">
        <v>1360</v>
      </c>
      <c r="B7351" s="76" t="s">
        <v>1032</v>
      </c>
      <c r="C7351" s="76" t="s">
        <v>1033</v>
      </c>
      <c r="D7351" s="75"/>
    </row>
    <row hidden="true" r="7352">
      <c r="A7352" s="76" t="s">
        <v>1360</v>
      </c>
      <c r="B7352" s="76" t="s">
        <v>532</v>
      </c>
      <c r="C7352" s="76" t="s">
        <v>533</v>
      </c>
      <c r="D7352" s="75"/>
    </row>
    <row hidden="true" r="7353">
      <c r="A7353" s="76" t="s">
        <v>1360</v>
      </c>
      <c r="B7353" s="76" t="s">
        <v>1036</v>
      </c>
      <c r="C7353" s="76" t="s">
        <v>1037</v>
      </c>
      <c r="D7353" s="75"/>
    </row>
    <row hidden="true" r="7354">
      <c r="A7354" s="76" t="s">
        <v>1360</v>
      </c>
      <c r="B7354" s="76" t="s">
        <v>1038</v>
      </c>
      <c r="C7354" s="76" t="s">
        <v>1039</v>
      </c>
      <c r="D7354" s="75"/>
    </row>
    <row hidden="true" r="7355">
      <c r="A7355" s="76" t="s">
        <v>1360</v>
      </c>
      <c r="B7355" s="76" t="s">
        <v>1321</v>
      </c>
      <c r="C7355" s="76" t="s">
        <v>1322</v>
      </c>
      <c r="D7355" s="75"/>
    </row>
    <row hidden="true" r="7356">
      <c r="A7356" s="76" t="s">
        <v>1360</v>
      </c>
      <c r="B7356" s="76" t="s">
        <v>1323</v>
      </c>
      <c r="C7356" s="76" t="s">
        <v>1372</v>
      </c>
      <c r="D7356" s="75"/>
    </row>
    <row hidden="true" r="7357">
      <c r="A7357" s="76" t="s">
        <v>1360</v>
      </c>
      <c r="B7357" s="76" t="s">
        <v>1012</v>
      </c>
      <c r="C7357" s="76" t="s">
        <v>1373</v>
      </c>
      <c r="D7357" s="75"/>
    </row>
    <row hidden="true" r="7358">
      <c r="A7358" s="76" t="s">
        <v>1360</v>
      </c>
      <c r="B7358" s="76" t="s">
        <v>1052</v>
      </c>
      <c r="C7358" s="76" t="s">
        <v>1374</v>
      </c>
      <c r="D7358" s="75"/>
    </row>
    <row hidden="true" r="7359">
      <c r="A7359" s="76" t="s">
        <v>1360</v>
      </c>
      <c r="B7359" s="76" t="s">
        <v>1054</v>
      </c>
      <c r="C7359" s="76" t="s">
        <v>1055</v>
      </c>
      <c r="D7359" s="75"/>
    </row>
    <row hidden="true" r="7360">
      <c r="A7360" s="76" t="s">
        <v>1360</v>
      </c>
      <c r="B7360" s="76" t="s">
        <v>1056</v>
      </c>
      <c r="C7360" s="76" t="s">
        <v>1057</v>
      </c>
      <c r="D7360" s="75"/>
    </row>
    <row hidden="true" r="7361">
      <c r="A7361" s="76" t="s">
        <v>1360</v>
      </c>
      <c r="B7361" s="76" t="s">
        <v>1058</v>
      </c>
      <c r="C7361" s="76" t="s">
        <v>1059</v>
      </c>
      <c r="D7361" s="75"/>
    </row>
    <row hidden="true" r="7362">
      <c r="A7362" s="76" t="s">
        <v>1360</v>
      </c>
      <c r="B7362" s="76" t="s">
        <v>1060</v>
      </c>
      <c r="C7362" s="76" t="s">
        <v>1061</v>
      </c>
      <c r="D7362" s="75"/>
    </row>
    <row hidden="true" r="7363">
      <c r="A7363" s="76" t="s">
        <v>1360</v>
      </c>
      <c r="B7363" s="76" t="s">
        <v>1062</v>
      </c>
      <c r="C7363" s="76" t="s">
        <v>1375</v>
      </c>
      <c r="D7363" s="75"/>
    </row>
    <row hidden="true" r="7364">
      <c r="A7364" s="76" t="s">
        <v>1360</v>
      </c>
      <c r="B7364" s="76" t="s">
        <v>1064</v>
      </c>
      <c r="C7364" s="76" t="s">
        <v>1065</v>
      </c>
      <c r="D7364" s="75"/>
    </row>
    <row hidden="true" r="7365">
      <c r="A7365" s="76" t="s">
        <v>1360</v>
      </c>
      <c r="B7365" s="76" t="s">
        <v>1066</v>
      </c>
      <c r="C7365" s="76" t="s">
        <v>1067</v>
      </c>
      <c r="D7365" s="75"/>
    </row>
    <row hidden="true" r="7366">
      <c r="A7366" s="76" t="s">
        <v>1360</v>
      </c>
      <c r="B7366" s="76" t="s">
        <v>1068</v>
      </c>
      <c r="C7366" s="76" t="s">
        <v>1069</v>
      </c>
      <c r="D7366" s="75"/>
    </row>
    <row hidden="true" r="7367">
      <c r="A7367" s="76" t="s">
        <v>1360</v>
      </c>
      <c r="B7367" s="76" t="s">
        <v>1070</v>
      </c>
      <c r="C7367" s="76" t="s">
        <v>1069</v>
      </c>
      <c r="D7367" s="75"/>
    </row>
    <row hidden="true" r="7368">
      <c r="A7368" s="76" t="s">
        <v>1360</v>
      </c>
      <c r="B7368" s="76" t="s">
        <v>1071</v>
      </c>
      <c r="C7368" s="76" t="s">
        <v>1069</v>
      </c>
      <c r="D7368" s="75"/>
    </row>
    <row hidden="true" r="7369">
      <c r="A7369" s="76" t="s">
        <v>1360</v>
      </c>
      <c r="B7369" s="76" t="s">
        <v>1072</v>
      </c>
      <c r="C7369" s="76" t="s">
        <v>1073</v>
      </c>
      <c r="D7369" s="75"/>
    </row>
    <row hidden="true" r="7370">
      <c r="A7370" s="76" t="s">
        <v>1360</v>
      </c>
      <c r="B7370" s="76" t="s">
        <v>1074</v>
      </c>
      <c r="C7370" s="76" t="s">
        <v>1073</v>
      </c>
      <c r="D7370" s="75"/>
    </row>
    <row hidden="true" r="7371">
      <c r="A7371" s="76" t="s">
        <v>1360</v>
      </c>
      <c r="B7371" s="76" t="s">
        <v>1075</v>
      </c>
      <c r="C7371" s="76" t="s">
        <v>1073</v>
      </c>
      <c r="D7371" s="75"/>
    </row>
    <row hidden="true" r="7372">
      <c r="A7372" s="76" t="s">
        <v>1360</v>
      </c>
      <c r="B7372" s="76" t="s">
        <v>1082</v>
      </c>
      <c r="C7372" s="76" t="s">
        <v>1083</v>
      </c>
      <c r="D7372" s="75"/>
    </row>
    <row hidden="true" r="7373">
      <c r="A7373" s="76" t="s">
        <v>1360</v>
      </c>
      <c r="B7373" s="76" t="s">
        <v>1084</v>
      </c>
      <c r="C7373" s="76" t="s">
        <v>1085</v>
      </c>
      <c r="D7373" s="75"/>
    </row>
    <row hidden="true" r="7374">
      <c r="A7374" s="76" t="s">
        <v>1360</v>
      </c>
      <c r="B7374" s="76" t="s">
        <v>1086</v>
      </c>
      <c r="C7374" s="76" t="s">
        <v>1087</v>
      </c>
      <c r="D7374" s="75"/>
    </row>
    <row hidden="true" r="7375">
      <c r="A7375" s="76" t="s">
        <v>1360</v>
      </c>
      <c r="B7375" s="76" t="s">
        <v>1088</v>
      </c>
      <c r="C7375" s="76" t="s">
        <v>1089</v>
      </c>
      <c r="D7375" s="75"/>
    </row>
    <row hidden="true" r="7376">
      <c r="A7376" s="76" t="s">
        <v>1360</v>
      </c>
      <c r="B7376" s="76" t="s">
        <v>1076</v>
      </c>
      <c r="C7376" s="76" t="s">
        <v>1077</v>
      </c>
      <c r="D7376" s="75"/>
    </row>
    <row hidden="true" r="7377">
      <c r="A7377" s="76" t="s">
        <v>1360</v>
      </c>
      <c r="B7377" s="76" t="s">
        <v>1078</v>
      </c>
      <c r="C7377" s="76" t="s">
        <v>1376</v>
      </c>
      <c r="D7377" s="75"/>
    </row>
    <row hidden="true" r="7378">
      <c r="A7378" s="76" t="s">
        <v>1360</v>
      </c>
      <c r="B7378" s="76" t="s">
        <v>1040</v>
      </c>
      <c r="C7378" s="76" t="s">
        <v>1041</v>
      </c>
      <c r="D7378" s="75"/>
    </row>
    <row hidden="true" r="7379">
      <c r="A7379" s="76" t="s">
        <v>1360</v>
      </c>
      <c r="B7379" s="76" t="s">
        <v>839</v>
      </c>
      <c r="C7379" s="76" t="s">
        <v>840</v>
      </c>
      <c r="D7379" s="75"/>
    </row>
    <row hidden="true" r="7380">
      <c r="A7380" s="76" t="s">
        <v>1360</v>
      </c>
      <c r="B7380" s="76" t="s">
        <v>1121</v>
      </c>
      <c r="C7380" s="76" t="s">
        <v>1122</v>
      </c>
      <c r="D7380" s="75"/>
    </row>
    <row hidden="true" r="7381">
      <c r="A7381" s="76" t="s">
        <v>1360</v>
      </c>
      <c r="B7381" s="76" t="s">
        <v>1325</v>
      </c>
      <c r="C7381" s="76" t="s">
        <v>1326</v>
      </c>
      <c r="D7381" s="75"/>
    </row>
    <row hidden="true" r="7382">
      <c r="A7382" s="76" t="s">
        <v>1360</v>
      </c>
      <c r="B7382" s="76" t="s">
        <v>1080</v>
      </c>
      <c r="C7382" s="76" t="s">
        <v>1081</v>
      </c>
      <c r="D7382" s="75"/>
    </row>
    <row hidden="true" r="7383">
      <c r="A7383" s="76" t="s">
        <v>1360</v>
      </c>
      <c r="B7383" s="76" t="s">
        <v>1327</v>
      </c>
      <c r="C7383" s="76" t="s">
        <v>1328</v>
      </c>
      <c r="D7383" s="75"/>
    </row>
    <row hidden="true" r="7384">
      <c r="A7384" s="76" t="s">
        <v>1360</v>
      </c>
      <c r="B7384" s="76" t="s">
        <v>1090</v>
      </c>
      <c r="C7384" s="76" t="s">
        <v>1091</v>
      </c>
      <c r="D7384" s="75"/>
    </row>
    <row hidden="true" r="7385">
      <c r="A7385" s="76" t="s">
        <v>1360</v>
      </c>
      <c r="B7385" s="76" t="s">
        <v>1092</v>
      </c>
      <c r="C7385" s="76" t="s">
        <v>1091</v>
      </c>
      <c r="D7385" s="75"/>
    </row>
    <row hidden="true" r="7386">
      <c r="A7386" s="76" t="s">
        <v>1360</v>
      </c>
      <c r="B7386" s="76" t="s">
        <v>1093</v>
      </c>
      <c r="C7386" s="76" t="s">
        <v>1377</v>
      </c>
      <c r="D7386" s="75"/>
    </row>
    <row hidden="true" r="7387">
      <c r="A7387" s="76" t="s">
        <v>1360</v>
      </c>
      <c r="B7387" s="76" t="s">
        <v>1095</v>
      </c>
      <c r="C7387" s="76" t="s">
        <v>1096</v>
      </c>
      <c r="D7387" s="75"/>
    </row>
    <row hidden="true" r="7388">
      <c r="A7388" s="76" t="s">
        <v>1360</v>
      </c>
      <c r="B7388" s="76" t="s">
        <v>1097</v>
      </c>
      <c r="C7388" s="76" t="s">
        <v>1098</v>
      </c>
      <c r="D7388" s="75"/>
    </row>
    <row hidden="true" r="7389">
      <c r="A7389" s="76" t="s">
        <v>1360</v>
      </c>
      <c r="B7389" s="76" t="s">
        <v>1103</v>
      </c>
      <c r="C7389" s="76" t="s">
        <v>1104</v>
      </c>
      <c r="D7389" s="75"/>
    </row>
    <row hidden="true" r="7390">
      <c r="A7390" s="76" t="s">
        <v>1360</v>
      </c>
      <c r="B7390" s="76" t="s">
        <v>1329</v>
      </c>
      <c r="C7390" s="76" t="s">
        <v>1330</v>
      </c>
      <c r="D7390" s="75"/>
    </row>
    <row hidden="true" r="7391">
      <c r="A7391" s="76" t="s">
        <v>1360</v>
      </c>
      <c r="B7391" s="76" t="s">
        <v>1113</v>
      </c>
      <c r="C7391" s="76" t="s">
        <v>1114</v>
      </c>
      <c r="D7391" s="75"/>
    </row>
    <row hidden="true" r="7392">
      <c r="A7392" s="76" t="s">
        <v>1360</v>
      </c>
      <c r="B7392" s="76" t="s">
        <v>1115</v>
      </c>
      <c r="C7392" s="76" t="s">
        <v>1116</v>
      </c>
      <c r="D7392" s="75"/>
    </row>
    <row hidden="true" r="7393">
      <c r="A7393" s="76" t="s">
        <v>1360</v>
      </c>
      <c r="B7393" s="76" t="s">
        <v>1117</v>
      </c>
      <c r="C7393" s="76" t="s">
        <v>1118</v>
      </c>
      <c r="D7393" s="75"/>
    </row>
    <row hidden="true" r="7394">
      <c r="A7394" s="76" t="s">
        <v>1360</v>
      </c>
      <c r="B7394" s="76" t="s">
        <v>1119</v>
      </c>
      <c r="C7394" s="76" t="s">
        <v>1378</v>
      </c>
      <c r="D7394" s="75"/>
    </row>
    <row hidden="true" r="7395">
      <c r="A7395" s="76" t="s">
        <v>1360</v>
      </c>
      <c r="B7395" s="76" t="s">
        <v>1127</v>
      </c>
      <c r="C7395" s="76" t="s">
        <v>1128</v>
      </c>
      <c r="D7395" s="75"/>
    </row>
    <row hidden="true" r="7396">
      <c r="A7396" s="76" t="s">
        <v>1360</v>
      </c>
      <c r="B7396" s="76" t="s">
        <v>1129</v>
      </c>
      <c r="C7396" s="76" t="s">
        <v>1130</v>
      </c>
      <c r="D7396" s="75"/>
    </row>
    <row hidden="true" r="7397">
      <c r="A7397" s="76" t="s">
        <v>1360</v>
      </c>
      <c r="B7397" s="76" t="s">
        <v>1131</v>
      </c>
      <c r="C7397" s="76" t="s">
        <v>1132</v>
      </c>
      <c r="D7397" s="75"/>
    </row>
    <row hidden="true" r="7398">
      <c r="A7398" s="76" t="s">
        <v>1360</v>
      </c>
      <c r="B7398" s="76" t="s">
        <v>1137</v>
      </c>
      <c r="C7398" s="76" t="s">
        <v>1379</v>
      </c>
      <c r="D7398" s="75"/>
    </row>
    <row hidden="true" r="7399">
      <c r="A7399" s="76" t="s">
        <v>1360</v>
      </c>
      <c r="B7399" s="76" t="s">
        <v>1139</v>
      </c>
      <c r="C7399" s="76" t="s">
        <v>1380</v>
      </c>
      <c r="D7399" s="75"/>
    </row>
    <row hidden="true" r="7400">
      <c r="A7400" s="76" t="s">
        <v>1360</v>
      </c>
      <c r="B7400" s="76" t="s">
        <v>1141</v>
      </c>
      <c r="C7400" s="76" t="s">
        <v>1381</v>
      </c>
      <c r="D7400" s="75"/>
    </row>
    <row hidden="true" r="7401">
      <c r="A7401" s="76" t="s">
        <v>1360</v>
      </c>
      <c r="B7401" s="76" t="s">
        <v>1143</v>
      </c>
      <c r="C7401" s="76" t="s">
        <v>1382</v>
      </c>
      <c r="D7401" s="75"/>
    </row>
    <row hidden="true" r="7402">
      <c r="A7402" s="76" t="s">
        <v>1360</v>
      </c>
      <c r="B7402" s="76" t="s">
        <v>1145</v>
      </c>
      <c r="C7402" s="76" t="s">
        <v>1383</v>
      </c>
      <c r="D7402" s="75"/>
    </row>
    <row hidden="true" r="7403">
      <c r="A7403" s="76" t="s">
        <v>1360</v>
      </c>
      <c r="B7403" s="76" t="s">
        <v>1147</v>
      </c>
      <c r="C7403" s="76" t="s">
        <v>1148</v>
      </c>
      <c r="D7403" s="75"/>
    </row>
    <row hidden="true" r="7404">
      <c r="A7404" s="76" t="s">
        <v>1360</v>
      </c>
      <c r="B7404" s="76" t="s">
        <v>1153</v>
      </c>
      <c r="C7404" s="76" t="s">
        <v>1154</v>
      </c>
      <c r="D7404" s="75"/>
    </row>
    <row hidden="true" r="7405">
      <c r="A7405" s="76" t="s">
        <v>1360</v>
      </c>
      <c r="B7405" s="76" t="s">
        <v>1155</v>
      </c>
      <c r="C7405" s="76" t="s">
        <v>1156</v>
      </c>
      <c r="D7405" s="75"/>
    </row>
    <row hidden="true" r="7406">
      <c r="A7406" s="76" t="s">
        <v>1360</v>
      </c>
      <c r="B7406" s="76" t="s">
        <v>1157</v>
      </c>
      <c r="C7406" s="76" t="s">
        <v>1158</v>
      </c>
      <c r="D7406" s="75"/>
    </row>
    <row hidden="true" r="7407">
      <c r="A7407" s="76" t="s">
        <v>1360</v>
      </c>
      <c r="B7407" s="76" t="s">
        <v>1159</v>
      </c>
      <c r="C7407" s="76" t="s">
        <v>1160</v>
      </c>
      <c r="D7407" s="75"/>
    </row>
    <row hidden="true" r="7408">
      <c r="A7408" s="76" t="s">
        <v>1360</v>
      </c>
      <c r="B7408" s="76" t="s">
        <v>1161</v>
      </c>
      <c r="C7408" s="76" t="s">
        <v>1384</v>
      </c>
      <c r="D7408" s="75"/>
    </row>
    <row hidden="true" r="7409">
      <c r="A7409" s="76" t="s">
        <v>1360</v>
      </c>
      <c r="B7409" s="76" t="s">
        <v>1163</v>
      </c>
      <c r="C7409" s="76" t="s">
        <v>1385</v>
      </c>
      <c r="D7409" s="75"/>
    </row>
    <row hidden="true" r="7410">
      <c r="A7410" s="76" t="s">
        <v>1360</v>
      </c>
      <c r="B7410" s="76" t="s">
        <v>1165</v>
      </c>
      <c r="C7410" s="76" t="s">
        <v>1386</v>
      </c>
      <c r="D7410" s="75"/>
    </row>
    <row hidden="true" r="7411">
      <c r="A7411" s="76" t="s">
        <v>1360</v>
      </c>
      <c r="B7411" s="76" t="s">
        <v>1331</v>
      </c>
      <c r="C7411" s="76" t="s">
        <v>1345</v>
      </c>
      <c r="D7411" s="75"/>
    </row>
    <row hidden="true" r="7412">
      <c r="A7412" s="76" t="s">
        <v>1360</v>
      </c>
      <c r="B7412" s="76" t="s">
        <v>1333</v>
      </c>
      <c r="C7412" s="76" t="s">
        <v>1346</v>
      </c>
      <c r="D7412" s="75"/>
    </row>
    <row hidden="true" r="7413">
      <c r="A7413" s="76" t="s">
        <v>1360</v>
      </c>
      <c r="B7413" s="76" t="s">
        <v>1335</v>
      </c>
      <c r="C7413" s="76" t="s">
        <v>1387</v>
      </c>
      <c r="D7413" s="75"/>
    </row>
    <row hidden="true" r="7414">
      <c r="A7414" s="76" t="s">
        <v>1360</v>
      </c>
      <c r="B7414" s="76" t="s">
        <v>1337</v>
      </c>
      <c r="C7414" s="76" t="s">
        <v>1348</v>
      </c>
      <c r="D7414" s="75"/>
    </row>
    <row hidden="true" r="7415">
      <c r="A7415" s="76" t="s">
        <v>1360</v>
      </c>
      <c r="B7415" s="76" t="s">
        <v>1339</v>
      </c>
      <c r="C7415" s="76" t="s">
        <v>1349</v>
      </c>
      <c r="D7415" s="75"/>
    </row>
    <row hidden="true" r="7416">
      <c r="A7416" s="76" t="s">
        <v>1360</v>
      </c>
      <c r="B7416" s="76" t="s">
        <v>1341</v>
      </c>
      <c r="C7416" s="76" t="s">
        <v>1342</v>
      </c>
      <c r="D7416" s="75"/>
    </row>
    <row hidden="true" r="7417">
      <c r="A7417" s="76" t="s">
        <v>1360</v>
      </c>
      <c r="B7417" s="76" t="s">
        <v>1044</v>
      </c>
      <c r="C7417" s="76" t="s">
        <v>1045</v>
      </c>
      <c r="D7417" s="75"/>
    </row>
    <row hidden="true" r="7418">
      <c r="A7418" s="76" t="s">
        <v>1360</v>
      </c>
      <c r="B7418" s="76" t="s">
        <v>1046</v>
      </c>
      <c r="C7418" s="76" t="s">
        <v>1047</v>
      </c>
      <c r="D7418" s="75"/>
    </row>
    <row hidden="true" r="7419">
      <c r="A7419" s="76" t="s">
        <v>1360</v>
      </c>
      <c r="B7419" s="76" t="s">
        <v>1048</v>
      </c>
      <c r="C7419" s="76" t="s">
        <v>1049</v>
      </c>
      <c r="D7419" s="75"/>
    </row>
    <row hidden="true" r="7420">
      <c r="A7420" s="76" t="s">
        <v>1360</v>
      </c>
      <c r="B7420" s="76" t="s">
        <v>1167</v>
      </c>
      <c r="C7420" s="76" t="s">
        <v>1168</v>
      </c>
      <c r="D7420" s="75"/>
    </row>
    <row hidden="true" r="7421">
      <c r="A7421" s="76" t="s">
        <v>1360</v>
      </c>
      <c r="B7421" s="76" t="s">
        <v>1169</v>
      </c>
      <c r="C7421" s="76" t="s">
        <v>1170</v>
      </c>
      <c r="D7421" s="75"/>
    </row>
    <row hidden="true" r="7422">
      <c r="A7422" s="76" t="s">
        <v>1360</v>
      </c>
      <c r="B7422" s="76" t="s">
        <v>1171</v>
      </c>
      <c r="C7422" s="76" t="s">
        <v>1172</v>
      </c>
      <c r="D7422" s="75"/>
    </row>
    <row hidden="true" r="7423">
      <c r="A7423" s="76" t="s">
        <v>1360</v>
      </c>
      <c r="B7423" s="76" t="s">
        <v>1173</v>
      </c>
      <c r="C7423" s="76" t="s">
        <v>1174</v>
      </c>
      <c r="D7423" s="75"/>
    </row>
    <row hidden="true" r="7424">
      <c r="A7424" s="76" t="s">
        <v>1360</v>
      </c>
      <c r="B7424" s="76" t="s">
        <v>1175</v>
      </c>
      <c r="C7424" s="76" t="s">
        <v>1176</v>
      </c>
      <c r="D7424" s="75"/>
    </row>
    <row hidden="true" r="7425">
      <c r="A7425" s="76" t="s">
        <v>1360</v>
      </c>
      <c r="B7425" s="76" t="s">
        <v>1177</v>
      </c>
      <c r="C7425" s="76" t="s">
        <v>1178</v>
      </c>
      <c r="D7425" s="75"/>
    </row>
    <row hidden="true" r="7426">
      <c r="A7426" s="76" t="s">
        <v>1360</v>
      </c>
      <c r="B7426" s="76" t="s">
        <v>1135</v>
      </c>
      <c r="C7426" s="76" t="s">
        <v>1136</v>
      </c>
      <c r="D7426" s="75"/>
    </row>
    <row hidden="true" r="7427">
      <c r="A7427" s="76" t="s">
        <v>1360</v>
      </c>
      <c r="B7427" s="76" t="s">
        <v>1179</v>
      </c>
      <c r="C7427" s="76" t="s">
        <v>1180</v>
      </c>
      <c r="D7427" s="75"/>
    </row>
    <row hidden="true" r="7428">
      <c r="A7428" s="76" t="s">
        <v>1360</v>
      </c>
      <c r="B7428" s="76" t="s">
        <v>1181</v>
      </c>
      <c r="C7428" s="76" t="s">
        <v>1182</v>
      </c>
      <c r="D7428" s="75"/>
    </row>
    <row hidden="true" r="7429">
      <c r="A7429" s="76" t="s">
        <v>1360</v>
      </c>
      <c r="B7429" s="76" t="s">
        <v>1183</v>
      </c>
      <c r="C7429" s="76" t="s">
        <v>1184</v>
      </c>
      <c r="D7429" s="75"/>
    </row>
    <row hidden="true" r="7430">
      <c r="A7430" s="76" t="s">
        <v>1360</v>
      </c>
      <c r="B7430" s="76" t="s">
        <v>1185</v>
      </c>
      <c r="C7430" s="76" t="s">
        <v>1186</v>
      </c>
      <c r="D7430" s="75"/>
    </row>
    <row hidden="true" r="7431">
      <c r="A7431" s="76" t="s">
        <v>1360</v>
      </c>
      <c r="B7431" s="76" t="s">
        <v>1187</v>
      </c>
      <c r="C7431" s="76" t="s">
        <v>1188</v>
      </c>
      <c r="D7431" s="75"/>
    </row>
    <row hidden="true" r="7432">
      <c r="A7432" s="76" t="s">
        <v>1360</v>
      </c>
      <c r="B7432" s="76" t="s">
        <v>1189</v>
      </c>
      <c r="C7432" s="76" t="s">
        <v>1190</v>
      </c>
      <c r="D7432" s="75"/>
    </row>
    <row hidden="true" r="7433">
      <c r="A7433" s="76" t="s">
        <v>1360</v>
      </c>
      <c r="B7433" s="76" t="s">
        <v>1199</v>
      </c>
      <c r="C7433" s="76" t="s">
        <v>1388</v>
      </c>
      <c r="D7433" s="75"/>
    </row>
    <row hidden="true" r="7434">
      <c r="A7434" s="76" t="s">
        <v>1360</v>
      </c>
      <c r="B7434" s="76" t="s">
        <v>1201</v>
      </c>
      <c r="C7434" s="76" t="s">
        <v>790</v>
      </c>
      <c r="D7434" s="75"/>
    </row>
    <row hidden="true" r="7435">
      <c r="A7435" s="76" t="s">
        <v>1360</v>
      </c>
      <c r="B7435" s="76" t="s">
        <v>1203</v>
      </c>
      <c r="C7435" s="76" t="s">
        <v>1204</v>
      </c>
      <c r="D7435" s="75"/>
    </row>
    <row hidden="true" r="7436">
      <c r="A7436" s="76" t="s">
        <v>1360</v>
      </c>
      <c r="B7436" s="76" t="s">
        <v>1205</v>
      </c>
      <c r="C7436" s="76" t="s">
        <v>1206</v>
      </c>
      <c r="D7436" s="75"/>
    </row>
    <row hidden="true" r="7437">
      <c r="A7437" s="76" t="s">
        <v>1360</v>
      </c>
      <c r="B7437" s="76" t="s">
        <v>1207</v>
      </c>
      <c r="C7437" s="76" t="s">
        <v>1208</v>
      </c>
      <c r="D7437" s="75"/>
    </row>
    <row hidden="true" r="7438">
      <c r="A7438" s="76" t="s">
        <v>1360</v>
      </c>
      <c r="B7438" s="76" t="s">
        <v>1209</v>
      </c>
      <c r="C7438" s="76" t="s">
        <v>1210</v>
      </c>
      <c r="D7438" s="75"/>
    </row>
    <row hidden="true" r="7439">
      <c r="A7439" s="76" t="s">
        <v>1360</v>
      </c>
      <c r="B7439" s="76" t="s">
        <v>1211</v>
      </c>
      <c r="C7439" s="76" t="s">
        <v>1281</v>
      </c>
      <c r="D7439" s="75"/>
    </row>
    <row hidden="true" r="7440">
      <c r="A7440" s="76" t="s">
        <v>1360</v>
      </c>
      <c r="B7440" s="76" t="s">
        <v>1282</v>
      </c>
      <c r="C7440" s="76" t="s">
        <v>1281</v>
      </c>
      <c r="D7440" s="75"/>
    </row>
    <row hidden="true" r="7441">
      <c r="A7441" s="76" t="s">
        <v>1360</v>
      </c>
      <c r="B7441" s="76" t="s">
        <v>735</v>
      </c>
      <c r="C7441" s="76" t="s">
        <v>1283</v>
      </c>
      <c r="D7441" s="75"/>
    </row>
    <row hidden="true" r="7442">
      <c r="A7442" s="76" t="s">
        <v>1389</v>
      </c>
      <c r="B7442" s="76" t="s">
        <v>407</v>
      </c>
      <c r="C7442" s="76" t="s">
        <v>408</v>
      </c>
      <c r="D7442" s="75"/>
    </row>
    <row hidden="true" r="7443">
      <c r="A7443" s="76" t="s">
        <v>1389</v>
      </c>
      <c r="B7443" s="76" t="s">
        <v>744</v>
      </c>
      <c r="C7443" s="76" t="s">
        <v>745</v>
      </c>
      <c r="D7443" s="75"/>
    </row>
    <row hidden="true" r="7444">
      <c r="A7444" s="76" t="s">
        <v>1389</v>
      </c>
      <c r="B7444" s="76" t="s">
        <v>480</v>
      </c>
      <c r="C7444" s="76" t="s">
        <v>481</v>
      </c>
      <c r="D7444" s="75"/>
    </row>
    <row hidden="true" r="7445">
      <c r="A7445" s="76" t="s">
        <v>1389</v>
      </c>
      <c r="B7445" s="76" t="s">
        <v>884</v>
      </c>
      <c r="C7445" s="76" t="s">
        <v>885</v>
      </c>
      <c r="D7445" s="75"/>
    </row>
    <row hidden="true" r="7446">
      <c r="A7446" s="76" t="s">
        <v>1389</v>
      </c>
      <c r="B7446" s="76" t="s">
        <v>886</v>
      </c>
      <c r="C7446" s="76" t="s">
        <v>887</v>
      </c>
      <c r="D7446" s="75"/>
    </row>
    <row hidden="true" r="7447">
      <c r="A7447" s="76" t="s">
        <v>1389</v>
      </c>
      <c r="B7447" s="76" t="s">
        <v>888</v>
      </c>
      <c r="C7447" s="76" t="s">
        <v>889</v>
      </c>
      <c r="D7447" s="75"/>
    </row>
    <row hidden="true" r="7448">
      <c r="A7448" s="76" t="s">
        <v>1389</v>
      </c>
      <c r="B7448" s="76" t="s">
        <v>890</v>
      </c>
      <c r="C7448" s="76" t="s">
        <v>891</v>
      </c>
      <c r="D7448" s="75"/>
    </row>
    <row hidden="true" r="7449">
      <c r="A7449" s="76" t="s">
        <v>1389</v>
      </c>
      <c r="B7449" s="76" t="s">
        <v>892</v>
      </c>
      <c r="C7449" s="76" t="s">
        <v>893</v>
      </c>
      <c r="D7449" s="75"/>
    </row>
    <row hidden="true" r="7450">
      <c r="A7450" s="76" t="s">
        <v>1389</v>
      </c>
      <c r="B7450" s="76" t="s">
        <v>894</v>
      </c>
      <c r="C7450" s="76" t="s">
        <v>895</v>
      </c>
      <c r="D7450" s="75"/>
    </row>
    <row hidden="true" r="7451">
      <c r="A7451" s="76" t="s">
        <v>1389</v>
      </c>
      <c r="B7451" s="76" t="s">
        <v>896</v>
      </c>
      <c r="C7451" s="76" t="s">
        <v>897</v>
      </c>
      <c r="D7451" s="75"/>
    </row>
    <row hidden="true" r="7452">
      <c r="A7452" s="76" t="s">
        <v>1389</v>
      </c>
      <c r="B7452" s="76" t="s">
        <v>898</v>
      </c>
      <c r="C7452" s="76" t="s">
        <v>899</v>
      </c>
      <c r="D7452" s="75"/>
    </row>
    <row hidden="true" r="7453">
      <c r="A7453" s="76" t="s">
        <v>1389</v>
      </c>
      <c r="B7453" s="76" t="s">
        <v>900</v>
      </c>
      <c r="C7453" s="76" t="s">
        <v>901</v>
      </c>
      <c r="D7453" s="75"/>
    </row>
    <row hidden="true" r="7454">
      <c r="A7454" s="76" t="s">
        <v>1389</v>
      </c>
      <c r="B7454" s="76" t="s">
        <v>902</v>
      </c>
      <c r="C7454" s="76" t="s">
        <v>903</v>
      </c>
      <c r="D7454" s="75"/>
    </row>
    <row hidden="true" r="7455">
      <c r="A7455" s="76" t="s">
        <v>1389</v>
      </c>
      <c r="B7455" s="76" t="s">
        <v>904</v>
      </c>
      <c r="C7455" s="76" t="s">
        <v>905</v>
      </c>
      <c r="D7455" s="75"/>
    </row>
    <row hidden="true" r="7456">
      <c r="A7456" s="76" t="s">
        <v>1389</v>
      </c>
      <c r="B7456" s="76" t="s">
        <v>906</v>
      </c>
      <c r="C7456" s="76" t="s">
        <v>907</v>
      </c>
      <c r="D7456" s="75"/>
    </row>
    <row hidden="true" r="7457">
      <c r="A7457" s="76" t="s">
        <v>1389</v>
      </c>
      <c r="B7457" s="76" t="s">
        <v>908</v>
      </c>
      <c r="C7457" s="76" t="s">
        <v>909</v>
      </c>
      <c r="D7457" s="75"/>
    </row>
    <row hidden="true" r="7458">
      <c r="A7458" s="76" t="s">
        <v>1389</v>
      </c>
      <c r="B7458" s="76" t="s">
        <v>910</v>
      </c>
      <c r="C7458" s="76" t="s">
        <v>911</v>
      </c>
      <c r="D7458" s="75"/>
    </row>
    <row hidden="true" r="7459">
      <c r="A7459" s="76" t="s">
        <v>1389</v>
      </c>
      <c r="B7459" s="76" t="s">
        <v>912</v>
      </c>
      <c r="C7459" s="76" t="s">
        <v>913</v>
      </c>
      <c r="D7459" s="75"/>
    </row>
    <row hidden="true" r="7460">
      <c r="A7460" s="76" t="s">
        <v>1389</v>
      </c>
      <c r="B7460" s="76" t="s">
        <v>914</v>
      </c>
      <c r="C7460" s="76" t="s">
        <v>915</v>
      </c>
      <c r="D7460" s="75"/>
    </row>
    <row hidden="true" r="7461">
      <c r="A7461" s="76" t="s">
        <v>1389</v>
      </c>
      <c r="B7461" s="76" t="s">
        <v>916</v>
      </c>
      <c r="C7461" s="76" t="s">
        <v>917</v>
      </c>
      <c r="D7461" s="75"/>
    </row>
    <row hidden="true" r="7462">
      <c r="A7462" s="76" t="s">
        <v>1389</v>
      </c>
      <c r="B7462" s="76" t="s">
        <v>918</v>
      </c>
      <c r="C7462" s="76" t="s">
        <v>919</v>
      </c>
      <c r="D7462" s="75"/>
    </row>
    <row hidden="true" r="7463">
      <c r="A7463" s="76" t="s">
        <v>1389</v>
      </c>
      <c r="B7463" s="76" t="s">
        <v>920</v>
      </c>
      <c r="C7463" s="76" t="s">
        <v>921</v>
      </c>
      <c r="D7463" s="75"/>
    </row>
    <row hidden="true" r="7464">
      <c r="A7464" s="76" t="s">
        <v>1389</v>
      </c>
      <c r="B7464" s="76" t="s">
        <v>922</v>
      </c>
      <c r="C7464" s="76" t="s">
        <v>923</v>
      </c>
      <c r="D7464" s="75"/>
    </row>
    <row hidden="true" r="7465">
      <c r="A7465" s="76" t="s">
        <v>1389</v>
      </c>
      <c r="B7465" s="76" t="s">
        <v>924</v>
      </c>
      <c r="C7465" s="76" t="s">
        <v>925</v>
      </c>
      <c r="D7465" s="75"/>
    </row>
    <row hidden="true" r="7466">
      <c r="A7466" s="76" t="s">
        <v>1389</v>
      </c>
      <c r="B7466" s="76" t="s">
        <v>926</v>
      </c>
      <c r="C7466" s="76" t="s">
        <v>927</v>
      </c>
      <c r="D7466" s="75"/>
    </row>
    <row hidden="true" r="7467">
      <c r="A7467" s="76" t="s">
        <v>1389</v>
      </c>
      <c r="B7467" s="76" t="s">
        <v>928</v>
      </c>
      <c r="C7467" s="76" t="s">
        <v>929</v>
      </c>
      <c r="D7467" s="75"/>
    </row>
    <row hidden="true" r="7468">
      <c r="A7468" s="76" t="s">
        <v>1389</v>
      </c>
      <c r="B7468" s="76" t="s">
        <v>930</v>
      </c>
      <c r="C7468" s="76" t="s">
        <v>931</v>
      </c>
      <c r="D7468" s="75"/>
    </row>
    <row hidden="true" r="7469">
      <c r="A7469" s="76" t="s">
        <v>1389</v>
      </c>
      <c r="B7469" s="76" t="s">
        <v>932</v>
      </c>
      <c r="C7469" s="76" t="s">
        <v>933</v>
      </c>
      <c r="D7469" s="75"/>
    </row>
    <row hidden="true" r="7470">
      <c r="A7470" s="76" t="s">
        <v>1389</v>
      </c>
      <c r="B7470" s="76" t="s">
        <v>934</v>
      </c>
      <c r="C7470" s="76" t="s">
        <v>935</v>
      </c>
      <c r="D7470" s="75"/>
    </row>
    <row hidden="true" r="7471">
      <c r="A7471" s="76" t="s">
        <v>1389</v>
      </c>
      <c r="B7471" s="76" t="s">
        <v>936</v>
      </c>
      <c r="C7471" s="76" t="s">
        <v>937</v>
      </c>
      <c r="D7471" s="75"/>
    </row>
    <row hidden="true" r="7472">
      <c r="A7472" s="76" t="s">
        <v>1389</v>
      </c>
      <c r="B7472" s="76" t="s">
        <v>938</v>
      </c>
      <c r="C7472" s="76" t="s">
        <v>939</v>
      </c>
      <c r="D7472" s="75"/>
    </row>
    <row hidden="true" r="7473">
      <c r="A7473" s="76" t="s">
        <v>1389</v>
      </c>
      <c r="B7473" s="76" t="s">
        <v>940</v>
      </c>
      <c r="C7473" s="76" t="s">
        <v>941</v>
      </c>
      <c r="D7473" s="75"/>
    </row>
    <row hidden="true" r="7474">
      <c r="A7474" s="76" t="s">
        <v>1389</v>
      </c>
      <c r="B7474" s="76" t="s">
        <v>942</v>
      </c>
      <c r="C7474" s="76" t="s">
        <v>943</v>
      </c>
      <c r="D7474" s="75"/>
    </row>
    <row hidden="true" r="7475">
      <c r="A7475" s="76" t="s">
        <v>1389</v>
      </c>
      <c r="B7475" s="76" t="s">
        <v>944</v>
      </c>
      <c r="C7475" s="76" t="s">
        <v>945</v>
      </c>
      <c r="D7475" s="75"/>
    </row>
    <row hidden="true" r="7476">
      <c r="A7476" s="76" t="s">
        <v>1389</v>
      </c>
      <c r="B7476" s="76" t="s">
        <v>1305</v>
      </c>
      <c r="C7476" s="76" t="s">
        <v>1306</v>
      </c>
      <c r="D7476" s="75"/>
    </row>
    <row hidden="true" r="7477">
      <c r="A7477" s="76" t="s">
        <v>1389</v>
      </c>
      <c r="B7477" s="76" t="s">
        <v>1307</v>
      </c>
      <c r="C7477" s="76" t="s">
        <v>1308</v>
      </c>
      <c r="D7477" s="75"/>
    </row>
    <row hidden="true" r="7478">
      <c r="A7478" s="76" t="s">
        <v>1389</v>
      </c>
      <c r="B7478" s="76" t="s">
        <v>946</v>
      </c>
      <c r="C7478" s="76" t="s">
        <v>947</v>
      </c>
      <c r="D7478" s="75"/>
    </row>
    <row hidden="true" r="7479">
      <c r="A7479" s="76" t="s">
        <v>1389</v>
      </c>
      <c r="B7479" s="76" t="s">
        <v>948</v>
      </c>
      <c r="C7479" s="76" t="s">
        <v>949</v>
      </c>
      <c r="D7479" s="75"/>
    </row>
    <row hidden="true" r="7480">
      <c r="A7480" s="76" t="s">
        <v>1389</v>
      </c>
      <c r="B7480" s="76" t="s">
        <v>950</v>
      </c>
      <c r="C7480" s="76" t="s">
        <v>951</v>
      </c>
      <c r="D7480" s="75"/>
    </row>
    <row hidden="true" r="7481">
      <c r="A7481" s="76" t="s">
        <v>1389</v>
      </c>
      <c r="B7481" s="76" t="s">
        <v>952</v>
      </c>
      <c r="C7481" s="76" t="s">
        <v>953</v>
      </c>
      <c r="D7481" s="75"/>
    </row>
    <row hidden="true" r="7482">
      <c r="A7482" s="76" t="s">
        <v>1389</v>
      </c>
      <c r="B7482" s="76" t="s">
        <v>954</v>
      </c>
      <c r="C7482" s="76" t="s">
        <v>955</v>
      </c>
      <c r="D7482" s="75"/>
    </row>
    <row hidden="true" r="7483">
      <c r="A7483" s="76" t="s">
        <v>1389</v>
      </c>
      <c r="B7483" s="76" t="s">
        <v>775</v>
      </c>
      <c r="C7483" s="76" t="s">
        <v>776</v>
      </c>
      <c r="D7483" s="75"/>
    </row>
    <row hidden="true" r="7484">
      <c r="A7484" s="76" t="s">
        <v>1389</v>
      </c>
      <c r="B7484" s="76" t="s">
        <v>956</v>
      </c>
      <c r="C7484" s="76" t="s">
        <v>957</v>
      </c>
      <c r="D7484" s="75"/>
    </row>
    <row hidden="true" r="7485">
      <c r="A7485" s="76" t="s">
        <v>1389</v>
      </c>
      <c r="B7485" s="76" t="s">
        <v>958</v>
      </c>
      <c r="C7485" s="76" t="s">
        <v>959</v>
      </c>
      <c r="D7485" s="75"/>
    </row>
    <row hidden="true" r="7486">
      <c r="A7486" s="76" t="s">
        <v>1389</v>
      </c>
      <c r="B7486" s="76" t="s">
        <v>960</v>
      </c>
      <c r="C7486" s="76" t="s">
        <v>961</v>
      </c>
      <c r="D7486" s="75"/>
    </row>
    <row hidden="true" r="7487">
      <c r="A7487" s="76" t="s">
        <v>1389</v>
      </c>
      <c r="B7487" s="76" t="s">
        <v>962</v>
      </c>
      <c r="C7487" s="76" t="s">
        <v>963</v>
      </c>
      <c r="D7487" s="75"/>
    </row>
    <row hidden="true" r="7488">
      <c r="A7488" s="76" t="s">
        <v>1389</v>
      </c>
      <c r="B7488" s="76" t="s">
        <v>964</v>
      </c>
      <c r="C7488" s="76" t="s">
        <v>965</v>
      </c>
      <c r="D7488" s="75"/>
    </row>
    <row hidden="true" r="7489">
      <c r="A7489" s="76" t="s">
        <v>1389</v>
      </c>
      <c r="B7489" s="76" t="s">
        <v>966</v>
      </c>
      <c r="C7489" s="76" t="s">
        <v>967</v>
      </c>
      <c r="D7489" s="75"/>
    </row>
    <row hidden="true" r="7490">
      <c r="A7490" s="76" t="s">
        <v>1389</v>
      </c>
      <c r="B7490" s="76" t="s">
        <v>968</v>
      </c>
      <c r="C7490" s="76" t="s">
        <v>969</v>
      </c>
      <c r="D7490" s="75"/>
    </row>
    <row hidden="true" r="7491">
      <c r="A7491" s="76" t="s">
        <v>1389</v>
      </c>
      <c r="B7491" s="76" t="s">
        <v>970</v>
      </c>
      <c r="C7491" s="76" t="s">
        <v>971</v>
      </c>
      <c r="D7491" s="75"/>
    </row>
    <row hidden="true" r="7492">
      <c r="A7492" s="76" t="s">
        <v>1389</v>
      </c>
      <c r="B7492" s="76" t="s">
        <v>972</v>
      </c>
      <c r="C7492" s="76" t="s">
        <v>973</v>
      </c>
      <c r="D7492" s="75"/>
    </row>
    <row hidden="true" r="7493">
      <c r="A7493" s="76" t="s">
        <v>1389</v>
      </c>
      <c r="B7493" s="76" t="s">
        <v>974</v>
      </c>
      <c r="C7493" s="76" t="s">
        <v>975</v>
      </c>
      <c r="D7493" s="75"/>
    </row>
    <row hidden="true" r="7494">
      <c r="A7494" s="76" t="s">
        <v>1389</v>
      </c>
      <c r="B7494" s="76" t="s">
        <v>976</v>
      </c>
      <c r="C7494" s="76" t="s">
        <v>977</v>
      </c>
      <c r="D7494" s="75"/>
    </row>
    <row hidden="true" r="7495">
      <c r="A7495" s="76" t="s">
        <v>1389</v>
      </c>
      <c r="B7495" s="76" t="s">
        <v>823</v>
      </c>
      <c r="C7495" s="76" t="s">
        <v>824</v>
      </c>
      <c r="D7495" s="75"/>
    </row>
    <row hidden="true" r="7496">
      <c r="A7496" s="76" t="s">
        <v>1389</v>
      </c>
      <c r="B7496" s="76" t="s">
        <v>978</v>
      </c>
      <c r="C7496" s="76" t="s">
        <v>979</v>
      </c>
      <c r="D7496" s="75"/>
    </row>
    <row hidden="true" r="7497">
      <c r="A7497" s="76" t="s">
        <v>1389</v>
      </c>
      <c r="B7497" s="76" t="s">
        <v>980</v>
      </c>
      <c r="C7497" s="76" t="s">
        <v>981</v>
      </c>
      <c r="D7497" s="75"/>
    </row>
    <row hidden="true" r="7498">
      <c r="A7498" s="76" t="s">
        <v>1389</v>
      </c>
      <c r="B7498" s="76" t="s">
        <v>982</v>
      </c>
      <c r="C7498" s="76" t="s">
        <v>983</v>
      </c>
      <c r="D7498" s="75"/>
    </row>
    <row hidden="true" r="7499">
      <c r="A7499" s="76" t="s">
        <v>1389</v>
      </c>
      <c r="B7499" s="76" t="s">
        <v>984</v>
      </c>
      <c r="C7499" s="76" t="s">
        <v>985</v>
      </c>
      <c r="D7499" s="75"/>
    </row>
    <row hidden="true" r="7500">
      <c r="A7500" s="76" t="s">
        <v>1389</v>
      </c>
      <c r="B7500" s="76" t="s">
        <v>986</v>
      </c>
      <c r="C7500" s="76" t="s">
        <v>987</v>
      </c>
      <c r="D7500" s="75"/>
    </row>
    <row hidden="true" r="7501">
      <c r="A7501" s="76" t="s">
        <v>1389</v>
      </c>
      <c r="B7501" s="76" t="s">
        <v>1309</v>
      </c>
      <c r="C7501" s="76" t="s">
        <v>1310</v>
      </c>
      <c r="D7501" s="75"/>
    </row>
    <row hidden="true" r="7502">
      <c r="A7502" s="76" t="s">
        <v>1389</v>
      </c>
      <c r="B7502" s="76" t="s">
        <v>1311</v>
      </c>
      <c r="C7502" s="76" t="s">
        <v>1312</v>
      </c>
      <c r="D7502" s="75"/>
    </row>
    <row hidden="true" r="7503">
      <c r="A7503" s="76" t="s">
        <v>1389</v>
      </c>
      <c r="B7503" s="76" t="s">
        <v>1099</v>
      </c>
      <c r="C7503" s="76" t="s">
        <v>1100</v>
      </c>
      <c r="D7503" s="75"/>
    </row>
    <row hidden="true" r="7504">
      <c r="A7504" s="76" t="s">
        <v>1389</v>
      </c>
      <c r="B7504" s="76" t="s">
        <v>1101</v>
      </c>
      <c r="C7504" s="76" t="s">
        <v>1102</v>
      </c>
      <c r="D7504" s="75"/>
    </row>
    <row hidden="true" r="7505">
      <c r="A7505" s="76" t="s">
        <v>1389</v>
      </c>
      <c r="B7505" s="76" t="s">
        <v>1313</v>
      </c>
      <c r="C7505" s="76" t="s">
        <v>1314</v>
      </c>
      <c r="D7505" s="75"/>
    </row>
    <row hidden="true" r="7506">
      <c r="A7506" s="76" t="s">
        <v>1389</v>
      </c>
      <c r="B7506" s="76" t="s">
        <v>996</v>
      </c>
      <c r="C7506" s="76" t="s">
        <v>997</v>
      </c>
      <c r="D7506" s="75"/>
    </row>
    <row hidden="true" r="7507">
      <c r="A7507" s="76" t="s">
        <v>1389</v>
      </c>
      <c r="B7507" s="76" t="s">
        <v>998</v>
      </c>
      <c r="C7507" s="76" t="s">
        <v>999</v>
      </c>
      <c r="D7507" s="75"/>
    </row>
    <row hidden="true" r="7508">
      <c r="A7508" s="76" t="s">
        <v>1389</v>
      </c>
      <c r="B7508" s="76" t="s">
        <v>1000</v>
      </c>
      <c r="C7508" s="76" t="s">
        <v>1001</v>
      </c>
      <c r="D7508" s="75"/>
    </row>
    <row hidden="true" r="7509">
      <c r="A7509" s="76" t="s">
        <v>1389</v>
      </c>
      <c r="B7509" s="76" t="s">
        <v>1002</v>
      </c>
      <c r="C7509" s="76" t="s">
        <v>1003</v>
      </c>
      <c r="D7509" s="75"/>
    </row>
    <row hidden="true" r="7510">
      <c r="A7510" s="76" t="s">
        <v>1389</v>
      </c>
      <c r="B7510" s="76" t="s">
        <v>1004</v>
      </c>
      <c r="C7510" s="76" t="s">
        <v>1005</v>
      </c>
      <c r="D7510" s="75"/>
    </row>
    <row hidden="true" r="7511">
      <c r="A7511" s="76" t="s">
        <v>1389</v>
      </c>
      <c r="B7511" s="76" t="s">
        <v>1006</v>
      </c>
      <c r="C7511" s="76" t="s">
        <v>1007</v>
      </c>
      <c r="D7511" s="75"/>
    </row>
    <row hidden="true" r="7512">
      <c r="A7512" s="76" t="s">
        <v>1389</v>
      </c>
      <c r="B7512" s="76" t="s">
        <v>1008</v>
      </c>
      <c r="C7512" s="76" t="s">
        <v>1009</v>
      </c>
      <c r="D7512" s="75"/>
    </row>
    <row hidden="true" r="7513">
      <c r="A7513" s="76" t="s">
        <v>1389</v>
      </c>
      <c r="B7513" s="76" t="s">
        <v>1010</v>
      </c>
      <c r="C7513" s="76" t="s">
        <v>1011</v>
      </c>
      <c r="D7513" s="75"/>
    </row>
    <row hidden="true" r="7514">
      <c r="A7514" s="76" t="s">
        <v>1389</v>
      </c>
      <c r="B7514" s="76" t="s">
        <v>1315</v>
      </c>
      <c r="C7514" s="76" t="s">
        <v>1316</v>
      </c>
      <c r="D7514" s="75"/>
    </row>
    <row hidden="true" r="7515">
      <c r="A7515" s="76" t="s">
        <v>1389</v>
      </c>
      <c r="B7515" s="76" t="s">
        <v>1014</v>
      </c>
      <c r="C7515" s="76" t="s">
        <v>1015</v>
      </c>
      <c r="D7515" s="75"/>
    </row>
    <row hidden="true" r="7516">
      <c r="A7516" s="76" t="s">
        <v>1389</v>
      </c>
      <c r="B7516" s="76" t="s">
        <v>1016</v>
      </c>
      <c r="C7516" s="76" t="s">
        <v>1017</v>
      </c>
      <c r="D7516" s="75"/>
    </row>
    <row hidden="true" r="7517">
      <c r="A7517" s="76" t="s">
        <v>1389</v>
      </c>
      <c r="B7517" s="76" t="s">
        <v>1018</v>
      </c>
      <c r="C7517" s="76" t="s">
        <v>1019</v>
      </c>
      <c r="D7517" s="75"/>
    </row>
    <row hidden="true" r="7518">
      <c r="A7518" s="76" t="s">
        <v>1389</v>
      </c>
      <c r="B7518" s="76" t="s">
        <v>1020</v>
      </c>
      <c r="C7518" s="76" t="s">
        <v>1021</v>
      </c>
      <c r="D7518" s="75"/>
    </row>
    <row hidden="true" r="7519">
      <c r="A7519" s="76" t="s">
        <v>1389</v>
      </c>
      <c r="B7519" s="76" t="s">
        <v>1022</v>
      </c>
      <c r="C7519" s="76" t="s">
        <v>1017</v>
      </c>
      <c r="D7519" s="75"/>
    </row>
    <row hidden="true" r="7520">
      <c r="A7520" s="76" t="s">
        <v>1389</v>
      </c>
      <c r="B7520" s="76" t="s">
        <v>1023</v>
      </c>
      <c r="C7520" s="76" t="s">
        <v>1019</v>
      </c>
      <c r="D7520" s="75"/>
    </row>
    <row hidden="true" r="7521">
      <c r="A7521" s="76" t="s">
        <v>1389</v>
      </c>
      <c r="B7521" s="76" t="s">
        <v>1024</v>
      </c>
      <c r="C7521" s="76" t="s">
        <v>1021</v>
      </c>
      <c r="D7521" s="75"/>
    </row>
    <row hidden="true" r="7522">
      <c r="A7522" s="76" t="s">
        <v>1389</v>
      </c>
      <c r="B7522" s="76" t="s">
        <v>1025</v>
      </c>
      <c r="C7522" s="76" t="s">
        <v>1017</v>
      </c>
      <c r="D7522" s="75"/>
    </row>
    <row hidden="true" r="7523">
      <c r="A7523" s="76" t="s">
        <v>1389</v>
      </c>
      <c r="B7523" s="76" t="s">
        <v>1026</v>
      </c>
      <c r="C7523" s="76" t="s">
        <v>1019</v>
      </c>
      <c r="D7523" s="75"/>
    </row>
    <row hidden="true" r="7524">
      <c r="A7524" s="76" t="s">
        <v>1389</v>
      </c>
      <c r="B7524" s="76" t="s">
        <v>1027</v>
      </c>
      <c r="C7524" s="76" t="s">
        <v>1021</v>
      </c>
      <c r="D7524" s="75"/>
    </row>
    <row hidden="true" r="7525">
      <c r="A7525" s="76" t="s">
        <v>1389</v>
      </c>
      <c r="B7525" s="76" t="s">
        <v>1133</v>
      </c>
      <c r="C7525" s="76" t="s">
        <v>1134</v>
      </c>
      <c r="D7525" s="75"/>
    </row>
    <row hidden="true" r="7526">
      <c r="A7526" s="76" t="s">
        <v>1389</v>
      </c>
      <c r="B7526" s="76" t="s">
        <v>1317</v>
      </c>
      <c r="C7526" s="76" t="s">
        <v>1318</v>
      </c>
      <c r="D7526" s="75"/>
    </row>
    <row hidden="true" r="7527">
      <c r="A7527" s="76" t="s">
        <v>1389</v>
      </c>
      <c r="B7527" s="76" t="s">
        <v>1319</v>
      </c>
      <c r="C7527" s="76" t="s">
        <v>1320</v>
      </c>
      <c r="D7527" s="75"/>
    </row>
    <row hidden="true" r="7528">
      <c r="A7528" s="76" t="s">
        <v>1389</v>
      </c>
      <c r="B7528" s="76" t="s">
        <v>1028</v>
      </c>
      <c r="C7528" s="76" t="s">
        <v>1029</v>
      </c>
      <c r="D7528" s="75"/>
    </row>
    <row hidden="true" r="7529">
      <c r="A7529" s="76" t="s">
        <v>1389</v>
      </c>
      <c r="B7529" s="76" t="s">
        <v>988</v>
      </c>
      <c r="C7529" s="76" t="s">
        <v>989</v>
      </c>
      <c r="D7529" s="75"/>
    </row>
    <row hidden="true" r="7530">
      <c r="A7530" s="76" t="s">
        <v>1389</v>
      </c>
      <c r="B7530" s="76" t="s">
        <v>990</v>
      </c>
      <c r="C7530" s="76" t="s">
        <v>991</v>
      </c>
      <c r="D7530" s="75"/>
    </row>
    <row hidden="true" r="7531">
      <c r="A7531" s="76" t="s">
        <v>1389</v>
      </c>
      <c r="B7531" s="76" t="s">
        <v>992</v>
      </c>
      <c r="C7531" s="76" t="s">
        <v>993</v>
      </c>
      <c r="D7531" s="75"/>
    </row>
    <row hidden="true" r="7532">
      <c r="A7532" s="76" t="s">
        <v>1389</v>
      </c>
      <c r="B7532" s="76" t="s">
        <v>530</v>
      </c>
      <c r="C7532" s="76" t="s">
        <v>531</v>
      </c>
      <c r="D7532" s="75"/>
    </row>
    <row hidden="true" r="7533">
      <c r="A7533" s="76" t="s">
        <v>1389</v>
      </c>
      <c r="B7533" s="76" t="s">
        <v>1032</v>
      </c>
      <c r="C7533" s="76" t="s">
        <v>1033</v>
      </c>
      <c r="D7533" s="75"/>
    </row>
    <row hidden="true" r="7534">
      <c r="A7534" s="76" t="s">
        <v>1389</v>
      </c>
      <c r="B7534" s="76" t="s">
        <v>532</v>
      </c>
      <c r="C7534" s="76" t="s">
        <v>533</v>
      </c>
      <c r="D7534" s="75"/>
    </row>
    <row hidden="true" r="7535">
      <c r="A7535" s="76" t="s">
        <v>1389</v>
      </c>
      <c r="B7535" s="76" t="s">
        <v>1036</v>
      </c>
      <c r="C7535" s="76" t="s">
        <v>1037</v>
      </c>
      <c r="D7535" s="75"/>
    </row>
    <row hidden="true" r="7536">
      <c r="A7536" s="76" t="s">
        <v>1389</v>
      </c>
      <c r="B7536" s="76" t="s">
        <v>1038</v>
      </c>
      <c r="C7536" s="76" t="s">
        <v>1039</v>
      </c>
      <c r="D7536" s="75"/>
    </row>
    <row hidden="true" r="7537">
      <c r="A7537" s="76" t="s">
        <v>1389</v>
      </c>
      <c r="B7537" s="76" t="s">
        <v>1321</v>
      </c>
      <c r="C7537" s="76" t="s">
        <v>1322</v>
      </c>
      <c r="D7537" s="75"/>
    </row>
    <row hidden="true" r="7538">
      <c r="A7538" s="76" t="s">
        <v>1389</v>
      </c>
      <c r="B7538" s="76" t="s">
        <v>1323</v>
      </c>
      <c r="C7538" s="76" t="s">
        <v>1324</v>
      </c>
      <c r="D7538" s="75"/>
    </row>
    <row hidden="true" r="7539">
      <c r="A7539" s="76" t="s">
        <v>1389</v>
      </c>
      <c r="B7539" s="76" t="s">
        <v>1012</v>
      </c>
      <c r="C7539" s="76" t="s">
        <v>1013</v>
      </c>
      <c r="D7539" s="75"/>
    </row>
    <row hidden="true" r="7540">
      <c r="A7540" s="76" t="s">
        <v>1389</v>
      </c>
      <c r="B7540" s="76" t="s">
        <v>1052</v>
      </c>
      <c r="C7540" s="76" t="s">
        <v>1053</v>
      </c>
      <c r="D7540" s="75"/>
    </row>
    <row hidden="true" r="7541">
      <c r="A7541" s="76" t="s">
        <v>1389</v>
      </c>
      <c r="B7541" s="76" t="s">
        <v>1054</v>
      </c>
      <c r="C7541" s="76" t="s">
        <v>1055</v>
      </c>
      <c r="D7541" s="75"/>
    </row>
    <row hidden="true" r="7542">
      <c r="A7542" s="76" t="s">
        <v>1389</v>
      </c>
      <c r="B7542" s="76" t="s">
        <v>1056</v>
      </c>
      <c r="C7542" s="76" t="s">
        <v>1057</v>
      </c>
      <c r="D7542" s="75"/>
    </row>
    <row hidden="true" r="7543">
      <c r="A7543" s="76" t="s">
        <v>1389</v>
      </c>
      <c r="B7543" s="76" t="s">
        <v>1058</v>
      </c>
      <c r="C7543" s="76" t="s">
        <v>1059</v>
      </c>
      <c r="D7543" s="75"/>
    </row>
    <row hidden="true" r="7544">
      <c r="A7544" s="76" t="s">
        <v>1389</v>
      </c>
      <c r="B7544" s="76" t="s">
        <v>1060</v>
      </c>
      <c r="C7544" s="76" t="s">
        <v>1061</v>
      </c>
      <c r="D7544" s="75"/>
    </row>
    <row hidden="true" r="7545">
      <c r="A7545" s="76" t="s">
        <v>1389</v>
      </c>
      <c r="B7545" s="76" t="s">
        <v>1062</v>
      </c>
      <c r="C7545" s="76" t="s">
        <v>1063</v>
      </c>
      <c r="D7545" s="75"/>
    </row>
    <row hidden="true" r="7546">
      <c r="A7546" s="76" t="s">
        <v>1389</v>
      </c>
      <c r="B7546" s="76" t="s">
        <v>1064</v>
      </c>
      <c r="C7546" s="76" t="s">
        <v>1065</v>
      </c>
      <c r="D7546" s="75"/>
    </row>
    <row hidden="true" r="7547">
      <c r="A7547" s="76" t="s">
        <v>1389</v>
      </c>
      <c r="B7547" s="76" t="s">
        <v>1066</v>
      </c>
      <c r="C7547" s="76" t="s">
        <v>1067</v>
      </c>
      <c r="D7547" s="75"/>
    </row>
    <row hidden="true" r="7548">
      <c r="A7548" s="76" t="s">
        <v>1389</v>
      </c>
      <c r="B7548" s="76" t="s">
        <v>1068</v>
      </c>
      <c r="C7548" s="76" t="s">
        <v>1069</v>
      </c>
      <c r="D7548" s="75"/>
    </row>
    <row hidden="true" r="7549">
      <c r="A7549" s="76" t="s">
        <v>1389</v>
      </c>
      <c r="B7549" s="76" t="s">
        <v>1070</v>
      </c>
      <c r="C7549" s="76" t="s">
        <v>1069</v>
      </c>
      <c r="D7549" s="75"/>
    </row>
    <row hidden="true" r="7550">
      <c r="A7550" s="76" t="s">
        <v>1389</v>
      </c>
      <c r="B7550" s="76" t="s">
        <v>1071</v>
      </c>
      <c r="C7550" s="76" t="s">
        <v>1069</v>
      </c>
      <c r="D7550" s="75"/>
    </row>
    <row hidden="true" r="7551">
      <c r="A7551" s="76" t="s">
        <v>1389</v>
      </c>
      <c r="B7551" s="76" t="s">
        <v>1072</v>
      </c>
      <c r="C7551" s="76" t="s">
        <v>1073</v>
      </c>
      <c r="D7551" s="75"/>
    </row>
    <row hidden="true" r="7552">
      <c r="A7552" s="76" t="s">
        <v>1389</v>
      </c>
      <c r="B7552" s="76" t="s">
        <v>1074</v>
      </c>
      <c r="C7552" s="76" t="s">
        <v>1073</v>
      </c>
      <c r="D7552" s="75"/>
    </row>
    <row hidden="true" r="7553">
      <c r="A7553" s="76" t="s">
        <v>1389</v>
      </c>
      <c r="B7553" s="76" t="s">
        <v>1075</v>
      </c>
      <c r="C7553" s="76" t="s">
        <v>1073</v>
      </c>
      <c r="D7553" s="75"/>
    </row>
    <row hidden="true" r="7554">
      <c r="A7554" s="76" t="s">
        <v>1389</v>
      </c>
      <c r="B7554" s="76" t="s">
        <v>1082</v>
      </c>
      <c r="C7554" s="76" t="s">
        <v>1083</v>
      </c>
      <c r="D7554" s="75"/>
    </row>
    <row hidden="true" r="7555">
      <c r="A7555" s="76" t="s">
        <v>1389</v>
      </c>
      <c r="B7555" s="76" t="s">
        <v>1084</v>
      </c>
      <c r="C7555" s="76" t="s">
        <v>1085</v>
      </c>
      <c r="D7555" s="75"/>
    </row>
    <row hidden="true" r="7556">
      <c r="A7556" s="76" t="s">
        <v>1389</v>
      </c>
      <c r="B7556" s="76" t="s">
        <v>1086</v>
      </c>
      <c r="C7556" s="76" t="s">
        <v>1087</v>
      </c>
      <c r="D7556" s="75"/>
    </row>
    <row hidden="true" r="7557">
      <c r="A7557" s="76" t="s">
        <v>1389</v>
      </c>
      <c r="B7557" s="76" t="s">
        <v>1088</v>
      </c>
      <c r="C7557" s="76" t="s">
        <v>1089</v>
      </c>
      <c r="D7557" s="75"/>
    </row>
    <row hidden="true" r="7558">
      <c r="A7558" s="76" t="s">
        <v>1389</v>
      </c>
      <c r="B7558" s="76" t="s">
        <v>1076</v>
      </c>
      <c r="C7558" s="76" t="s">
        <v>1077</v>
      </c>
      <c r="D7558" s="75"/>
    </row>
    <row hidden="true" r="7559">
      <c r="A7559" s="76" t="s">
        <v>1389</v>
      </c>
      <c r="B7559" s="76" t="s">
        <v>1078</v>
      </c>
      <c r="C7559" s="76" t="s">
        <v>1079</v>
      </c>
      <c r="D7559" s="75"/>
    </row>
    <row hidden="true" r="7560">
      <c r="A7560" s="76" t="s">
        <v>1389</v>
      </c>
      <c r="B7560" s="76" t="s">
        <v>1040</v>
      </c>
      <c r="C7560" s="76" t="s">
        <v>1041</v>
      </c>
      <c r="D7560" s="75"/>
    </row>
    <row hidden="true" r="7561">
      <c r="A7561" s="76" t="s">
        <v>1389</v>
      </c>
      <c r="B7561" s="76" t="s">
        <v>839</v>
      </c>
      <c r="C7561" s="76" t="s">
        <v>840</v>
      </c>
      <c r="D7561" s="75"/>
    </row>
    <row hidden="true" r="7562">
      <c r="A7562" s="76" t="s">
        <v>1389</v>
      </c>
      <c r="B7562" s="76" t="s">
        <v>1121</v>
      </c>
      <c r="C7562" s="76" t="s">
        <v>1122</v>
      </c>
      <c r="D7562" s="75"/>
    </row>
    <row hidden="true" r="7563">
      <c r="A7563" s="76" t="s">
        <v>1389</v>
      </c>
      <c r="B7563" s="76" t="s">
        <v>1325</v>
      </c>
      <c r="C7563" s="76" t="s">
        <v>1326</v>
      </c>
      <c r="D7563" s="75"/>
    </row>
    <row hidden="true" r="7564">
      <c r="A7564" s="76" t="s">
        <v>1389</v>
      </c>
      <c r="B7564" s="76" t="s">
        <v>1080</v>
      </c>
      <c r="C7564" s="76" t="s">
        <v>1081</v>
      </c>
      <c r="D7564" s="75"/>
    </row>
    <row hidden="true" r="7565">
      <c r="A7565" s="76" t="s">
        <v>1389</v>
      </c>
      <c r="B7565" s="76" t="s">
        <v>1327</v>
      </c>
      <c r="C7565" s="76" t="s">
        <v>1328</v>
      </c>
      <c r="D7565" s="75"/>
    </row>
    <row hidden="true" r="7566">
      <c r="A7566" s="76" t="s">
        <v>1389</v>
      </c>
      <c r="B7566" s="76" t="s">
        <v>1090</v>
      </c>
      <c r="C7566" s="76" t="s">
        <v>1091</v>
      </c>
      <c r="D7566" s="75"/>
    </row>
    <row hidden="true" r="7567">
      <c r="A7567" s="76" t="s">
        <v>1389</v>
      </c>
      <c r="B7567" s="76" t="s">
        <v>1092</v>
      </c>
      <c r="C7567" s="76" t="s">
        <v>1091</v>
      </c>
      <c r="D7567" s="75"/>
    </row>
    <row hidden="true" r="7568">
      <c r="A7568" s="76" t="s">
        <v>1389</v>
      </c>
      <c r="B7568" s="76" t="s">
        <v>1093</v>
      </c>
      <c r="C7568" s="76" t="s">
        <v>1094</v>
      </c>
      <c r="D7568" s="75"/>
    </row>
    <row hidden="true" r="7569">
      <c r="A7569" s="76" t="s">
        <v>1389</v>
      </c>
      <c r="B7569" s="76" t="s">
        <v>1095</v>
      </c>
      <c r="C7569" s="76" t="s">
        <v>1096</v>
      </c>
      <c r="D7569" s="75"/>
    </row>
    <row hidden="true" r="7570">
      <c r="A7570" s="76" t="s">
        <v>1389</v>
      </c>
      <c r="B7570" s="76" t="s">
        <v>1097</v>
      </c>
      <c r="C7570" s="76" t="s">
        <v>1098</v>
      </c>
      <c r="D7570" s="75"/>
    </row>
    <row hidden="true" r="7571">
      <c r="A7571" s="76" t="s">
        <v>1389</v>
      </c>
      <c r="B7571" s="76" t="s">
        <v>1103</v>
      </c>
      <c r="C7571" s="76" t="s">
        <v>1104</v>
      </c>
      <c r="D7571" s="75"/>
    </row>
    <row hidden="true" r="7572">
      <c r="A7572" s="76" t="s">
        <v>1389</v>
      </c>
      <c r="B7572" s="76" t="s">
        <v>1329</v>
      </c>
      <c r="C7572" s="76" t="s">
        <v>1330</v>
      </c>
      <c r="D7572" s="75"/>
    </row>
    <row hidden="true" r="7573">
      <c r="A7573" s="76" t="s">
        <v>1389</v>
      </c>
      <c r="B7573" s="76" t="s">
        <v>1113</v>
      </c>
      <c r="C7573" s="76" t="s">
        <v>1114</v>
      </c>
      <c r="D7573" s="75"/>
    </row>
    <row hidden="true" r="7574">
      <c r="A7574" s="76" t="s">
        <v>1389</v>
      </c>
      <c r="B7574" s="76" t="s">
        <v>1115</v>
      </c>
      <c r="C7574" s="76" t="s">
        <v>1116</v>
      </c>
      <c r="D7574" s="75"/>
    </row>
    <row hidden="true" r="7575">
      <c r="A7575" s="76" t="s">
        <v>1389</v>
      </c>
      <c r="B7575" s="76" t="s">
        <v>1117</v>
      </c>
      <c r="C7575" s="76" t="s">
        <v>1118</v>
      </c>
      <c r="D7575" s="75"/>
    </row>
    <row hidden="true" r="7576">
      <c r="A7576" s="76" t="s">
        <v>1389</v>
      </c>
      <c r="B7576" s="76" t="s">
        <v>1119</v>
      </c>
      <c r="C7576" s="76" t="s">
        <v>1120</v>
      </c>
      <c r="D7576" s="75"/>
    </row>
    <row hidden="true" r="7577">
      <c r="A7577" s="76" t="s">
        <v>1389</v>
      </c>
      <c r="B7577" s="76" t="s">
        <v>1127</v>
      </c>
      <c r="C7577" s="76" t="s">
        <v>1128</v>
      </c>
      <c r="D7577" s="75"/>
    </row>
    <row hidden="true" r="7578">
      <c r="A7578" s="76" t="s">
        <v>1389</v>
      </c>
      <c r="B7578" s="76" t="s">
        <v>1129</v>
      </c>
      <c r="C7578" s="76" t="s">
        <v>1130</v>
      </c>
      <c r="D7578" s="75"/>
    </row>
    <row hidden="true" r="7579">
      <c r="A7579" s="76" t="s">
        <v>1389</v>
      </c>
      <c r="B7579" s="76" t="s">
        <v>1131</v>
      </c>
      <c r="C7579" s="76" t="s">
        <v>1132</v>
      </c>
      <c r="D7579" s="75"/>
    </row>
    <row hidden="true" r="7580">
      <c r="A7580" s="76" t="s">
        <v>1389</v>
      </c>
      <c r="B7580" s="76" t="s">
        <v>1137</v>
      </c>
      <c r="C7580" s="76" t="s">
        <v>1138</v>
      </c>
      <c r="D7580" s="75"/>
    </row>
    <row hidden="true" r="7581">
      <c r="A7581" s="76" t="s">
        <v>1389</v>
      </c>
      <c r="B7581" s="76" t="s">
        <v>1139</v>
      </c>
      <c r="C7581" s="76" t="s">
        <v>1140</v>
      </c>
      <c r="D7581" s="75"/>
    </row>
    <row hidden="true" r="7582">
      <c r="A7582" s="76" t="s">
        <v>1389</v>
      </c>
      <c r="B7582" s="76" t="s">
        <v>1141</v>
      </c>
      <c r="C7582" s="76" t="s">
        <v>1142</v>
      </c>
      <c r="D7582" s="75"/>
    </row>
    <row hidden="true" r="7583">
      <c r="A7583" s="76" t="s">
        <v>1389</v>
      </c>
      <c r="B7583" s="76" t="s">
        <v>1143</v>
      </c>
      <c r="C7583" s="76" t="s">
        <v>1144</v>
      </c>
      <c r="D7583" s="75"/>
    </row>
    <row hidden="true" r="7584">
      <c r="A7584" s="76" t="s">
        <v>1389</v>
      </c>
      <c r="B7584" s="76" t="s">
        <v>1145</v>
      </c>
      <c r="C7584" s="76" t="s">
        <v>1146</v>
      </c>
      <c r="D7584" s="75"/>
    </row>
    <row hidden="true" r="7585">
      <c r="A7585" s="76" t="s">
        <v>1389</v>
      </c>
      <c r="B7585" s="76" t="s">
        <v>1147</v>
      </c>
      <c r="C7585" s="76" t="s">
        <v>1148</v>
      </c>
      <c r="D7585" s="75"/>
    </row>
    <row hidden="true" r="7586">
      <c r="A7586" s="76" t="s">
        <v>1389</v>
      </c>
      <c r="B7586" s="76" t="s">
        <v>1153</v>
      </c>
      <c r="C7586" s="76" t="s">
        <v>1154</v>
      </c>
      <c r="D7586" s="75"/>
    </row>
    <row hidden="true" r="7587">
      <c r="A7587" s="76" t="s">
        <v>1389</v>
      </c>
      <c r="B7587" s="76" t="s">
        <v>1155</v>
      </c>
      <c r="C7587" s="76" t="s">
        <v>1156</v>
      </c>
      <c r="D7587" s="75"/>
    </row>
    <row hidden="true" r="7588">
      <c r="A7588" s="76" t="s">
        <v>1389</v>
      </c>
      <c r="B7588" s="76" t="s">
        <v>1157</v>
      </c>
      <c r="C7588" s="76" t="s">
        <v>1158</v>
      </c>
      <c r="D7588" s="75"/>
    </row>
    <row hidden="true" r="7589">
      <c r="A7589" s="76" t="s">
        <v>1389</v>
      </c>
      <c r="B7589" s="76" t="s">
        <v>1159</v>
      </c>
      <c r="C7589" s="76" t="s">
        <v>1160</v>
      </c>
      <c r="D7589" s="75"/>
    </row>
    <row hidden="true" r="7590">
      <c r="A7590" s="76" t="s">
        <v>1389</v>
      </c>
      <c r="B7590" s="76" t="s">
        <v>1161</v>
      </c>
      <c r="C7590" s="76" t="s">
        <v>1162</v>
      </c>
      <c r="D7590" s="75"/>
    </row>
    <row hidden="true" r="7591">
      <c r="A7591" s="76" t="s">
        <v>1389</v>
      </c>
      <c r="B7591" s="76" t="s">
        <v>1163</v>
      </c>
      <c r="C7591" s="76" t="s">
        <v>1164</v>
      </c>
      <c r="D7591" s="75"/>
    </row>
    <row hidden="true" r="7592">
      <c r="A7592" s="76" t="s">
        <v>1389</v>
      </c>
      <c r="B7592" s="76" t="s">
        <v>1165</v>
      </c>
      <c r="C7592" s="76" t="s">
        <v>1166</v>
      </c>
      <c r="D7592" s="75"/>
    </row>
    <row hidden="true" r="7593">
      <c r="A7593" s="76" t="s">
        <v>1389</v>
      </c>
      <c r="B7593" s="76" t="s">
        <v>1331</v>
      </c>
      <c r="C7593" s="76" t="s">
        <v>1332</v>
      </c>
      <c r="D7593" s="75"/>
    </row>
    <row hidden="true" r="7594">
      <c r="A7594" s="76" t="s">
        <v>1389</v>
      </c>
      <c r="B7594" s="76" t="s">
        <v>1333</v>
      </c>
      <c r="C7594" s="76" t="s">
        <v>1334</v>
      </c>
      <c r="D7594" s="75"/>
    </row>
    <row hidden="true" r="7595">
      <c r="A7595" s="76" t="s">
        <v>1389</v>
      </c>
      <c r="B7595" s="76" t="s">
        <v>1335</v>
      </c>
      <c r="C7595" s="76" t="s">
        <v>1336</v>
      </c>
      <c r="D7595" s="75"/>
    </row>
    <row hidden="true" r="7596">
      <c r="A7596" s="76" t="s">
        <v>1389</v>
      </c>
      <c r="B7596" s="76" t="s">
        <v>1337</v>
      </c>
      <c r="C7596" s="76" t="s">
        <v>1338</v>
      </c>
      <c r="D7596" s="75"/>
    </row>
    <row hidden="true" r="7597">
      <c r="A7597" s="76" t="s">
        <v>1389</v>
      </c>
      <c r="B7597" s="76" t="s">
        <v>1339</v>
      </c>
      <c r="C7597" s="76" t="s">
        <v>1340</v>
      </c>
      <c r="D7597" s="75"/>
    </row>
    <row hidden="true" r="7598">
      <c r="A7598" s="76" t="s">
        <v>1389</v>
      </c>
      <c r="B7598" s="76" t="s">
        <v>1341</v>
      </c>
      <c r="C7598" s="76" t="s">
        <v>1342</v>
      </c>
      <c r="D7598" s="75"/>
    </row>
    <row hidden="true" r="7599">
      <c r="A7599" s="76" t="s">
        <v>1389</v>
      </c>
      <c r="B7599" s="76" t="s">
        <v>1044</v>
      </c>
      <c r="C7599" s="76" t="s">
        <v>1045</v>
      </c>
      <c r="D7599" s="75"/>
    </row>
    <row hidden="true" r="7600">
      <c r="A7600" s="76" t="s">
        <v>1389</v>
      </c>
      <c r="B7600" s="76" t="s">
        <v>1046</v>
      </c>
      <c r="C7600" s="76" t="s">
        <v>1047</v>
      </c>
      <c r="D7600" s="75"/>
    </row>
    <row hidden="true" r="7601">
      <c r="A7601" s="76" t="s">
        <v>1389</v>
      </c>
      <c r="B7601" s="76" t="s">
        <v>1048</v>
      </c>
      <c r="C7601" s="76" t="s">
        <v>1049</v>
      </c>
      <c r="D7601" s="75"/>
    </row>
    <row hidden="true" r="7602">
      <c r="A7602" s="76" t="s">
        <v>1389</v>
      </c>
      <c r="B7602" s="76" t="s">
        <v>1167</v>
      </c>
      <c r="C7602" s="76" t="s">
        <v>1168</v>
      </c>
      <c r="D7602" s="75"/>
    </row>
    <row hidden="true" r="7603">
      <c r="A7603" s="76" t="s">
        <v>1389</v>
      </c>
      <c r="B7603" s="76" t="s">
        <v>1169</v>
      </c>
      <c r="C7603" s="76" t="s">
        <v>1170</v>
      </c>
      <c r="D7603" s="75"/>
    </row>
    <row hidden="true" r="7604">
      <c r="A7604" s="76" t="s">
        <v>1389</v>
      </c>
      <c r="B7604" s="76" t="s">
        <v>1171</v>
      </c>
      <c r="C7604" s="76" t="s">
        <v>1172</v>
      </c>
      <c r="D7604" s="75"/>
    </row>
    <row hidden="true" r="7605">
      <c r="A7605" s="76" t="s">
        <v>1389</v>
      </c>
      <c r="B7605" s="76" t="s">
        <v>1173</v>
      </c>
      <c r="C7605" s="76" t="s">
        <v>1174</v>
      </c>
      <c r="D7605" s="75"/>
    </row>
    <row hidden="true" r="7606">
      <c r="A7606" s="76" t="s">
        <v>1389</v>
      </c>
      <c r="B7606" s="76" t="s">
        <v>1175</v>
      </c>
      <c r="C7606" s="76" t="s">
        <v>1176</v>
      </c>
      <c r="D7606" s="75"/>
    </row>
    <row hidden="true" r="7607">
      <c r="A7607" s="76" t="s">
        <v>1389</v>
      </c>
      <c r="B7607" s="76" t="s">
        <v>1177</v>
      </c>
      <c r="C7607" s="76" t="s">
        <v>1178</v>
      </c>
      <c r="D7607" s="75"/>
    </row>
    <row hidden="true" r="7608">
      <c r="A7608" s="76" t="s">
        <v>1389</v>
      </c>
      <c r="B7608" s="76" t="s">
        <v>1135</v>
      </c>
      <c r="C7608" s="76" t="s">
        <v>1136</v>
      </c>
      <c r="D7608" s="75"/>
    </row>
    <row hidden="true" r="7609">
      <c r="A7609" s="76" t="s">
        <v>1389</v>
      </c>
      <c r="B7609" s="76" t="s">
        <v>1179</v>
      </c>
      <c r="C7609" s="76" t="s">
        <v>1180</v>
      </c>
      <c r="D7609" s="75"/>
    </row>
    <row hidden="true" r="7610">
      <c r="A7610" s="76" t="s">
        <v>1389</v>
      </c>
      <c r="B7610" s="76" t="s">
        <v>1181</v>
      </c>
      <c r="C7610" s="76" t="s">
        <v>1182</v>
      </c>
      <c r="D7610" s="75"/>
    </row>
    <row hidden="true" r="7611">
      <c r="A7611" s="76" t="s">
        <v>1389</v>
      </c>
      <c r="B7611" s="76" t="s">
        <v>1183</v>
      </c>
      <c r="C7611" s="76" t="s">
        <v>1184</v>
      </c>
      <c r="D7611" s="75"/>
    </row>
    <row hidden="true" r="7612">
      <c r="A7612" s="76" t="s">
        <v>1389</v>
      </c>
      <c r="B7612" s="76" t="s">
        <v>1185</v>
      </c>
      <c r="C7612" s="76" t="s">
        <v>1186</v>
      </c>
      <c r="D7612" s="75"/>
    </row>
    <row hidden="true" r="7613">
      <c r="A7613" s="76" t="s">
        <v>1389</v>
      </c>
      <c r="B7613" s="76" t="s">
        <v>1187</v>
      </c>
      <c r="C7613" s="76" t="s">
        <v>1188</v>
      </c>
      <c r="D7613" s="75"/>
    </row>
    <row hidden="true" r="7614">
      <c r="A7614" s="76" t="s">
        <v>1389</v>
      </c>
      <c r="B7614" s="76" t="s">
        <v>1189</v>
      </c>
      <c r="C7614" s="76" t="s">
        <v>1190</v>
      </c>
      <c r="D7614" s="75"/>
    </row>
    <row hidden="true" r="7615">
      <c r="A7615" s="76" t="s">
        <v>1389</v>
      </c>
      <c r="B7615" s="76" t="s">
        <v>1191</v>
      </c>
      <c r="C7615" s="76" t="s">
        <v>1192</v>
      </c>
      <c r="D7615" s="75"/>
    </row>
    <row hidden="true" r="7616">
      <c r="A7616" s="76" t="s">
        <v>1389</v>
      </c>
      <c r="B7616" s="76" t="s">
        <v>1199</v>
      </c>
      <c r="C7616" s="76" t="s">
        <v>1200</v>
      </c>
      <c r="D7616" s="75"/>
    </row>
    <row hidden="true" r="7617">
      <c r="A7617" s="76" t="s">
        <v>1389</v>
      </c>
      <c r="B7617" s="76" t="s">
        <v>1201</v>
      </c>
      <c r="C7617" s="76" t="s">
        <v>1202</v>
      </c>
      <c r="D7617" s="75"/>
    </row>
    <row hidden="true" r="7618">
      <c r="A7618" s="76" t="s">
        <v>1389</v>
      </c>
      <c r="B7618" s="76" t="s">
        <v>1203</v>
      </c>
      <c r="C7618" s="76" t="s">
        <v>1204</v>
      </c>
      <c r="D7618" s="75"/>
    </row>
    <row hidden="true" r="7619">
      <c r="A7619" s="76" t="s">
        <v>1389</v>
      </c>
      <c r="B7619" s="76" t="s">
        <v>1205</v>
      </c>
      <c r="C7619" s="76" t="s">
        <v>1206</v>
      </c>
      <c r="D7619" s="75"/>
    </row>
    <row hidden="true" r="7620">
      <c r="A7620" s="76" t="s">
        <v>1389</v>
      </c>
      <c r="B7620" s="76" t="s">
        <v>1207</v>
      </c>
      <c r="C7620" s="76" t="s">
        <v>1208</v>
      </c>
      <c r="D7620" s="75"/>
    </row>
    <row hidden="true" r="7621">
      <c r="A7621" s="76" t="s">
        <v>1389</v>
      </c>
      <c r="B7621" s="76" t="s">
        <v>1209</v>
      </c>
      <c r="C7621" s="76" t="s">
        <v>1210</v>
      </c>
      <c r="D7621" s="75"/>
    </row>
    <row hidden="true" r="7622">
      <c r="A7622" s="76" t="s">
        <v>1389</v>
      </c>
      <c r="B7622" s="76" t="s">
        <v>1211</v>
      </c>
      <c r="C7622" s="76" t="s">
        <v>1212</v>
      </c>
      <c r="D7622" s="75"/>
    </row>
    <row hidden="true" r="7623">
      <c r="A7623" s="76" t="s">
        <v>1389</v>
      </c>
      <c r="B7623" s="76" t="s">
        <v>735</v>
      </c>
      <c r="C7623" s="76"/>
      <c r="D7623" s="75"/>
    </row>
    <row hidden="true" r="7624">
      <c r="A7624" s="76" t="s">
        <v>1390</v>
      </c>
      <c r="B7624" s="76" t="s">
        <v>407</v>
      </c>
      <c r="C7624" s="76" t="s">
        <v>408</v>
      </c>
      <c r="D7624" s="75"/>
    </row>
    <row hidden="true" r="7625">
      <c r="A7625" s="76" t="s">
        <v>1390</v>
      </c>
      <c r="B7625" s="76" t="s">
        <v>744</v>
      </c>
      <c r="C7625" s="76" t="s">
        <v>745</v>
      </c>
      <c r="D7625" s="75"/>
    </row>
    <row hidden="true" r="7626">
      <c r="A7626" s="76" t="s">
        <v>1390</v>
      </c>
      <c r="B7626" s="76" t="s">
        <v>480</v>
      </c>
      <c r="C7626" s="76" t="s">
        <v>481</v>
      </c>
      <c r="D7626" s="75"/>
    </row>
    <row hidden="true" r="7627">
      <c r="A7627" s="76" t="s">
        <v>1390</v>
      </c>
      <c r="B7627" s="76" t="s">
        <v>884</v>
      </c>
      <c r="C7627" s="76" t="s">
        <v>885</v>
      </c>
      <c r="D7627" s="75"/>
    </row>
    <row hidden="true" r="7628">
      <c r="A7628" s="76" t="s">
        <v>1390</v>
      </c>
      <c r="B7628" s="76" t="s">
        <v>886</v>
      </c>
      <c r="C7628" s="76" t="s">
        <v>887</v>
      </c>
      <c r="D7628" s="75"/>
    </row>
    <row hidden="true" r="7629">
      <c r="A7629" s="76" t="s">
        <v>1390</v>
      </c>
      <c r="B7629" s="76" t="s">
        <v>888</v>
      </c>
      <c r="C7629" s="76" t="s">
        <v>889</v>
      </c>
      <c r="D7629" s="75"/>
    </row>
    <row hidden="true" r="7630">
      <c r="A7630" s="76" t="s">
        <v>1390</v>
      </c>
      <c r="B7630" s="76" t="s">
        <v>890</v>
      </c>
      <c r="C7630" s="76" t="s">
        <v>891</v>
      </c>
      <c r="D7630" s="75"/>
    </row>
    <row hidden="true" r="7631">
      <c r="A7631" s="76" t="s">
        <v>1390</v>
      </c>
      <c r="B7631" s="76" t="s">
        <v>892</v>
      </c>
      <c r="C7631" s="76" t="s">
        <v>893</v>
      </c>
      <c r="D7631" s="75"/>
    </row>
    <row hidden="true" r="7632">
      <c r="A7632" s="76" t="s">
        <v>1390</v>
      </c>
      <c r="B7632" s="76" t="s">
        <v>894</v>
      </c>
      <c r="C7632" s="76" t="s">
        <v>895</v>
      </c>
      <c r="D7632" s="75"/>
    </row>
    <row hidden="true" r="7633">
      <c r="A7633" s="76" t="s">
        <v>1390</v>
      </c>
      <c r="B7633" s="76" t="s">
        <v>896</v>
      </c>
      <c r="C7633" s="76" t="s">
        <v>897</v>
      </c>
      <c r="D7633" s="75"/>
    </row>
    <row hidden="true" r="7634">
      <c r="A7634" s="76" t="s">
        <v>1390</v>
      </c>
      <c r="B7634" s="76" t="s">
        <v>898</v>
      </c>
      <c r="C7634" s="76" t="s">
        <v>899</v>
      </c>
      <c r="D7634" s="75"/>
    </row>
    <row hidden="true" r="7635">
      <c r="A7635" s="76" t="s">
        <v>1390</v>
      </c>
      <c r="B7635" s="76" t="s">
        <v>900</v>
      </c>
      <c r="C7635" s="76" t="s">
        <v>901</v>
      </c>
      <c r="D7635" s="75"/>
    </row>
    <row hidden="true" r="7636">
      <c r="A7636" s="76" t="s">
        <v>1390</v>
      </c>
      <c r="B7636" s="76" t="s">
        <v>902</v>
      </c>
      <c r="C7636" s="76" t="s">
        <v>903</v>
      </c>
      <c r="D7636" s="75"/>
    </row>
    <row hidden="true" r="7637">
      <c r="A7637" s="76" t="s">
        <v>1390</v>
      </c>
      <c r="B7637" s="76" t="s">
        <v>904</v>
      </c>
      <c r="C7637" s="76" t="s">
        <v>905</v>
      </c>
      <c r="D7637" s="75"/>
    </row>
    <row hidden="true" r="7638">
      <c r="A7638" s="76" t="s">
        <v>1390</v>
      </c>
      <c r="B7638" s="76" t="s">
        <v>906</v>
      </c>
      <c r="C7638" s="76" t="s">
        <v>907</v>
      </c>
      <c r="D7638" s="75"/>
    </row>
    <row hidden="true" r="7639">
      <c r="A7639" s="76" t="s">
        <v>1390</v>
      </c>
      <c r="B7639" s="76" t="s">
        <v>908</v>
      </c>
      <c r="C7639" s="76" t="s">
        <v>909</v>
      </c>
      <c r="D7639" s="75"/>
    </row>
    <row hidden="true" r="7640">
      <c r="A7640" s="76" t="s">
        <v>1390</v>
      </c>
      <c r="B7640" s="76" t="s">
        <v>910</v>
      </c>
      <c r="C7640" s="76" t="s">
        <v>911</v>
      </c>
      <c r="D7640" s="75"/>
    </row>
    <row hidden="true" r="7641">
      <c r="A7641" s="76" t="s">
        <v>1390</v>
      </c>
      <c r="B7641" s="76" t="s">
        <v>912</v>
      </c>
      <c r="C7641" s="76" t="s">
        <v>913</v>
      </c>
      <c r="D7641" s="75"/>
    </row>
    <row hidden="true" r="7642">
      <c r="A7642" s="76" t="s">
        <v>1390</v>
      </c>
      <c r="B7642" s="76" t="s">
        <v>914</v>
      </c>
      <c r="C7642" s="76" t="s">
        <v>915</v>
      </c>
      <c r="D7642" s="75"/>
    </row>
    <row hidden="true" r="7643">
      <c r="A7643" s="76" t="s">
        <v>1390</v>
      </c>
      <c r="B7643" s="76" t="s">
        <v>916</v>
      </c>
      <c r="C7643" s="76" t="s">
        <v>917</v>
      </c>
      <c r="D7643" s="75"/>
    </row>
    <row hidden="true" r="7644">
      <c r="A7644" s="76" t="s">
        <v>1390</v>
      </c>
      <c r="B7644" s="76" t="s">
        <v>918</v>
      </c>
      <c r="C7644" s="76" t="s">
        <v>919</v>
      </c>
      <c r="D7644" s="75"/>
    </row>
    <row hidden="true" r="7645">
      <c r="A7645" s="76" t="s">
        <v>1390</v>
      </c>
      <c r="B7645" s="76" t="s">
        <v>920</v>
      </c>
      <c r="C7645" s="76" t="s">
        <v>921</v>
      </c>
      <c r="D7645" s="75"/>
    </row>
    <row hidden="true" r="7646">
      <c r="A7646" s="76" t="s">
        <v>1390</v>
      </c>
      <c r="B7646" s="76" t="s">
        <v>922</v>
      </c>
      <c r="C7646" s="76" t="s">
        <v>923</v>
      </c>
      <c r="D7646" s="75"/>
    </row>
    <row hidden="true" r="7647">
      <c r="A7647" s="76" t="s">
        <v>1390</v>
      </c>
      <c r="B7647" s="76" t="s">
        <v>924</v>
      </c>
      <c r="C7647" s="76" t="s">
        <v>925</v>
      </c>
      <c r="D7647" s="75"/>
    </row>
    <row hidden="true" r="7648">
      <c r="A7648" s="76" t="s">
        <v>1390</v>
      </c>
      <c r="B7648" s="76" t="s">
        <v>926</v>
      </c>
      <c r="C7648" s="76" t="s">
        <v>927</v>
      </c>
      <c r="D7648" s="75"/>
    </row>
    <row hidden="true" r="7649">
      <c r="A7649" s="76" t="s">
        <v>1390</v>
      </c>
      <c r="B7649" s="76" t="s">
        <v>928</v>
      </c>
      <c r="C7649" s="76" t="s">
        <v>929</v>
      </c>
      <c r="D7649" s="75"/>
    </row>
    <row hidden="true" r="7650">
      <c r="A7650" s="76" t="s">
        <v>1390</v>
      </c>
      <c r="B7650" s="76" t="s">
        <v>930</v>
      </c>
      <c r="C7650" s="76" t="s">
        <v>931</v>
      </c>
      <c r="D7650" s="75"/>
    </row>
    <row hidden="true" r="7651">
      <c r="A7651" s="76" t="s">
        <v>1390</v>
      </c>
      <c r="B7651" s="76" t="s">
        <v>932</v>
      </c>
      <c r="C7651" s="76" t="s">
        <v>933</v>
      </c>
      <c r="D7651" s="75"/>
    </row>
    <row hidden="true" r="7652">
      <c r="A7652" s="76" t="s">
        <v>1390</v>
      </c>
      <c r="B7652" s="76" t="s">
        <v>934</v>
      </c>
      <c r="C7652" s="76" t="s">
        <v>935</v>
      </c>
      <c r="D7652" s="75"/>
    </row>
    <row hidden="true" r="7653">
      <c r="A7653" s="76" t="s">
        <v>1390</v>
      </c>
      <c r="B7653" s="76" t="s">
        <v>936</v>
      </c>
      <c r="C7653" s="76" t="s">
        <v>937</v>
      </c>
      <c r="D7653" s="75"/>
    </row>
    <row hidden="true" r="7654">
      <c r="A7654" s="76" t="s">
        <v>1390</v>
      </c>
      <c r="B7654" s="76" t="s">
        <v>938</v>
      </c>
      <c r="C7654" s="76" t="s">
        <v>939</v>
      </c>
      <c r="D7654" s="75"/>
    </row>
    <row hidden="true" r="7655">
      <c r="A7655" s="76" t="s">
        <v>1390</v>
      </c>
      <c r="B7655" s="76" t="s">
        <v>940</v>
      </c>
      <c r="C7655" s="76" t="s">
        <v>941</v>
      </c>
      <c r="D7655" s="75"/>
    </row>
    <row hidden="true" r="7656">
      <c r="A7656" s="76" t="s">
        <v>1390</v>
      </c>
      <c r="B7656" s="76" t="s">
        <v>942</v>
      </c>
      <c r="C7656" s="76" t="s">
        <v>943</v>
      </c>
      <c r="D7656" s="75"/>
    </row>
    <row hidden="true" r="7657">
      <c r="A7657" s="76" t="s">
        <v>1390</v>
      </c>
      <c r="B7657" s="76" t="s">
        <v>944</v>
      </c>
      <c r="C7657" s="76" t="s">
        <v>945</v>
      </c>
      <c r="D7657" s="75"/>
    </row>
    <row hidden="true" r="7658">
      <c r="A7658" s="76" t="s">
        <v>1390</v>
      </c>
      <c r="B7658" s="76" t="s">
        <v>1305</v>
      </c>
      <c r="C7658" s="76" t="s">
        <v>1306</v>
      </c>
      <c r="D7658" s="75"/>
    </row>
    <row hidden="true" r="7659">
      <c r="A7659" s="76" t="s">
        <v>1390</v>
      </c>
      <c r="B7659" s="76" t="s">
        <v>1307</v>
      </c>
      <c r="C7659" s="76" t="s">
        <v>1308</v>
      </c>
      <c r="D7659" s="75"/>
    </row>
    <row hidden="true" r="7660">
      <c r="A7660" s="76" t="s">
        <v>1390</v>
      </c>
      <c r="B7660" s="76" t="s">
        <v>946</v>
      </c>
      <c r="C7660" s="76" t="s">
        <v>947</v>
      </c>
      <c r="D7660" s="75"/>
    </row>
    <row hidden="true" r="7661">
      <c r="A7661" s="76" t="s">
        <v>1390</v>
      </c>
      <c r="B7661" s="76" t="s">
        <v>948</v>
      </c>
      <c r="C7661" s="76" t="s">
        <v>949</v>
      </c>
      <c r="D7661" s="75"/>
    </row>
    <row hidden="true" r="7662">
      <c r="A7662" s="76" t="s">
        <v>1390</v>
      </c>
      <c r="B7662" s="76" t="s">
        <v>950</v>
      </c>
      <c r="C7662" s="76" t="s">
        <v>951</v>
      </c>
      <c r="D7662" s="75"/>
    </row>
    <row hidden="true" r="7663">
      <c r="A7663" s="76" t="s">
        <v>1390</v>
      </c>
      <c r="B7663" s="76" t="s">
        <v>952</v>
      </c>
      <c r="C7663" s="76" t="s">
        <v>953</v>
      </c>
      <c r="D7663" s="75"/>
    </row>
    <row hidden="true" r="7664">
      <c r="A7664" s="76" t="s">
        <v>1390</v>
      </c>
      <c r="B7664" s="76" t="s">
        <v>954</v>
      </c>
      <c r="C7664" s="76" t="s">
        <v>955</v>
      </c>
      <c r="D7664" s="75"/>
    </row>
    <row hidden="true" r="7665">
      <c r="A7665" s="76" t="s">
        <v>1390</v>
      </c>
      <c r="B7665" s="76" t="s">
        <v>775</v>
      </c>
      <c r="C7665" s="76" t="s">
        <v>776</v>
      </c>
      <c r="D7665" s="75"/>
    </row>
    <row hidden="true" r="7666">
      <c r="A7666" s="76" t="s">
        <v>1390</v>
      </c>
      <c r="B7666" s="76" t="s">
        <v>956</v>
      </c>
      <c r="C7666" s="76" t="s">
        <v>957</v>
      </c>
      <c r="D7666" s="75"/>
    </row>
    <row hidden="true" r="7667">
      <c r="A7667" s="76" t="s">
        <v>1390</v>
      </c>
      <c r="B7667" s="76" t="s">
        <v>958</v>
      </c>
      <c r="C7667" s="76" t="s">
        <v>959</v>
      </c>
      <c r="D7667" s="75"/>
    </row>
    <row hidden="true" r="7668">
      <c r="A7668" s="76" t="s">
        <v>1390</v>
      </c>
      <c r="B7668" s="76" t="s">
        <v>960</v>
      </c>
      <c r="C7668" s="76" t="s">
        <v>961</v>
      </c>
      <c r="D7668" s="75"/>
    </row>
    <row hidden="true" r="7669">
      <c r="A7669" s="76" t="s">
        <v>1390</v>
      </c>
      <c r="B7669" s="76" t="s">
        <v>962</v>
      </c>
      <c r="C7669" s="76" t="s">
        <v>963</v>
      </c>
      <c r="D7669" s="75"/>
    </row>
    <row hidden="true" r="7670">
      <c r="A7670" s="76" t="s">
        <v>1390</v>
      </c>
      <c r="B7670" s="76" t="s">
        <v>964</v>
      </c>
      <c r="C7670" s="76" t="s">
        <v>965</v>
      </c>
      <c r="D7670" s="75"/>
    </row>
    <row hidden="true" r="7671">
      <c r="A7671" s="76" t="s">
        <v>1390</v>
      </c>
      <c r="B7671" s="76" t="s">
        <v>966</v>
      </c>
      <c r="C7671" s="76" t="s">
        <v>967</v>
      </c>
      <c r="D7671" s="75"/>
    </row>
    <row hidden="true" r="7672">
      <c r="A7672" s="76" t="s">
        <v>1390</v>
      </c>
      <c r="B7672" s="76" t="s">
        <v>968</v>
      </c>
      <c r="C7672" s="76" t="s">
        <v>969</v>
      </c>
      <c r="D7672" s="75"/>
    </row>
    <row hidden="true" r="7673">
      <c r="A7673" s="76" t="s">
        <v>1390</v>
      </c>
      <c r="B7673" s="76" t="s">
        <v>970</v>
      </c>
      <c r="C7673" s="76" t="s">
        <v>971</v>
      </c>
      <c r="D7673" s="75"/>
    </row>
    <row hidden="true" r="7674">
      <c r="A7674" s="76" t="s">
        <v>1390</v>
      </c>
      <c r="B7674" s="76" t="s">
        <v>972</v>
      </c>
      <c r="C7674" s="76" t="s">
        <v>973</v>
      </c>
      <c r="D7674" s="75"/>
    </row>
    <row hidden="true" r="7675">
      <c r="A7675" s="76" t="s">
        <v>1390</v>
      </c>
      <c r="B7675" s="76" t="s">
        <v>974</v>
      </c>
      <c r="C7675" s="76" t="s">
        <v>975</v>
      </c>
      <c r="D7675" s="75"/>
    </row>
    <row hidden="true" r="7676">
      <c r="A7676" s="76" t="s">
        <v>1390</v>
      </c>
      <c r="B7676" s="76" t="s">
        <v>976</v>
      </c>
      <c r="C7676" s="76" t="s">
        <v>977</v>
      </c>
      <c r="D7676" s="75"/>
    </row>
    <row hidden="true" r="7677">
      <c r="A7677" s="76" t="s">
        <v>1390</v>
      </c>
      <c r="B7677" s="76" t="s">
        <v>823</v>
      </c>
      <c r="C7677" s="76" t="s">
        <v>824</v>
      </c>
      <c r="D7677" s="75"/>
    </row>
    <row hidden="true" r="7678">
      <c r="A7678" s="76" t="s">
        <v>1390</v>
      </c>
      <c r="B7678" s="76" t="s">
        <v>978</v>
      </c>
      <c r="C7678" s="76" t="s">
        <v>979</v>
      </c>
      <c r="D7678" s="75"/>
    </row>
    <row hidden="true" r="7679">
      <c r="A7679" s="76" t="s">
        <v>1390</v>
      </c>
      <c r="B7679" s="76" t="s">
        <v>980</v>
      </c>
      <c r="C7679" s="76" t="s">
        <v>981</v>
      </c>
      <c r="D7679" s="75"/>
    </row>
    <row hidden="true" r="7680">
      <c r="A7680" s="76" t="s">
        <v>1390</v>
      </c>
      <c r="B7680" s="76" t="s">
        <v>982</v>
      </c>
      <c r="C7680" s="76" t="s">
        <v>983</v>
      </c>
      <c r="D7680" s="75"/>
    </row>
    <row hidden="true" r="7681">
      <c r="A7681" s="76" t="s">
        <v>1390</v>
      </c>
      <c r="B7681" s="76" t="s">
        <v>984</v>
      </c>
      <c r="C7681" s="76" t="s">
        <v>985</v>
      </c>
      <c r="D7681" s="75"/>
    </row>
    <row hidden="true" r="7682">
      <c r="A7682" s="76" t="s">
        <v>1390</v>
      </c>
      <c r="B7682" s="76" t="s">
        <v>986</v>
      </c>
      <c r="C7682" s="76" t="s">
        <v>987</v>
      </c>
      <c r="D7682" s="75"/>
    </row>
    <row hidden="true" r="7683">
      <c r="A7683" s="76" t="s">
        <v>1390</v>
      </c>
      <c r="B7683" s="76" t="s">
        <v>1309</v>
      </c>
      <c r="C7683" s="76" t="s">
        <v>1310</v>
      </c>
      <c r="D7683" s="75"/>
    </row>
    <row hidden="true" r="7684">
      <c r="A7684" s="76" t="s">
        <v>1390</v>
      </c>
      <c r="B7684" s="76" t="s">
        <v>1311</v>
      </c>
      <c r="C7684" s="76" t="s">
        <v>1312</v>
      </c>
      <c r="D7684" s="75"/>
    </row>
    <row hidden="true" r="7685">
      <c r="A7685" s="76" t="s">
        <v>1390</v>
      </c>
      <c r="B7685" s="76" t="s">
        <v>1099</v>
      </c>
      <c r="C7685" s="76" t="s">
        <v>1100</v>
      </c>
      <c r="D7685" s="75"/>
    </row>
    <row hidden="true" r="7686">
      <c r="A7686" s="76" t="s">
        <v>1390</v>
      </c>
      <c r="B7686" s="76" t="s">
        <v>1101</v>
      </c>
      <c r="C7686" s="76" t="s">
        <v>1102</v>
      </c>
      <c r="D7686" s="75"/>
    </row>
    <row hidden="true" r="7687">
      <c r="A7687" s="76" t="s">
        <v>1390</v>
      </c>
      <c r="B7687" s="76" t="s">
        <v>1313</v>
      </c>
      <c r="C7687" s="76" t="s">
        <v>1314</v>
      </c>
      <c r="D7687" s="75"/>
    </row>
    <row hidden="true" r="7688">
      <c r="A7688" s="76" t="s">
        <v>1390</v>
      </c>
      <c r="B7688" s="76" t="s">
        <v>996</v>
      </c>
      <c r="C7688" s="76" t="s">
        <v>997</v>
      </c>
      <c r="D7688" s="75"/>
    </row>
    <row hidden="true" r="7689">
      <c r="A7689" s="76" t="s">
        <v>1390</v>
      </c>
      <c r="B7689" s="76" t="s">
        <v>998</v>
      </c>
      <c r="C7689" s="76" t="s">
        <v>999</v>
      </c>
      <c r="D7689" s="75"/>
    </row>
    <row hidden="true" r="7690">
      <c r="A7690" s="76" t="s">
        <v>1390</v>
      </c>
      <c r="B7690" s="76" t="s">
        <v>1000</v>
      </c>
      <c r="C7690" s="76" t="s">
        <v>1001</v>
      </c>
      <c r="D7690" s="75"/>
    </row>
    <row hidden="true" r="7691">
      <c r="A7691" s="76" t="s">
        <v>1390</v>
      </c>
      <c r="B7691" s="76" t="s">
        <v>1002</v>
      </c>
      <c r="C7691" s="76" t="s">
        <v>1003</v>
      </c>
      <c r="D7691" s="75"/>
    </row>
    <row hidden="true" r="7692">
      <c r="A7692" s="76" t="s">
        <v>1390</v>
      </c>
      <c r="B7692" s="76" t="s">
        <v>1004</v>
      </c>
      <c r="C7692" s="76" t="s">
        <v>1005</v>
      </c>
      <c r="D7692" s="75"/>
    </row>
    <row hidden="true" r="7693">
      <c r="A7693" s="76" t="s">
        <v>1390</v>
      </c>
      <c r="B7693" s="76" t="s">
        <v>1006</v>
      </c>
      <c r="C7693" s="76" t="s">
        <v>1007</v>
      </c>
      <c r="D7693" s="75"/>
    </row>
    <row hidden="true" r="7694">
      <c r="A7694" s="76" t="s">
        <v>1390</v>
      </c>
      <c r="B7694" s="76" t="s">
        <v>1008</v>
      </c>
      <c r="C7694" s="76" t="s">
        <v>1009</v>
      </c>
      <c r="D7694" s="75"/>
    </row>
    <row hidden="true" r="7695">
      <c r="A7695" s="76" t="s">
        <v>1390</v>
      </c>
      <c r="B7695" s="76" t="s">
        <v>1010</v>
      </c>
      <c r="C7695" s="76" t="s">
        <v>1011</v>
      </c>
      <c r="D7695" s="75"/>
    </row>
    <row hidden="true" r="7696">
      <c r="A7696" s="76" t="s">
        <v>1390</v>
      </c>
      <c r="B7696" s="76" t="s">
        <v>1315</v>
      </c>
      <c r="C7696" s="76" t="s">
        <v>1316</v>
      </c>
      <c r="D7696" s="75"/>
    </row>
    <row hidden="true" r="7697">
      <c r="A7697" s="76" t="s">
        <v>1390</v>
      </c>
      <c r="B7697" s="76" t="s">
        <v>1014</v>
      </c>
      <c r="C7697" s="76" t="s">
        <v>1015</v>
      </c>
      <c r="D7697" s="75"/>
    </row>
    <row hidden="true" r="7698">
      <c r="A7698" s="76" t="s">
        <v>1390</v>
      </c>
      <c r="B7698" s="76" t="s">
        <v>1016</v>
      </c>
      <c r="C7698" s="76" t="s">
        <v>1017</v>
      </c>
      <c r="D7698" s="75"/>
    </row>
    <row hidden="true" r="7699">
      <c r="A7699" s="76" t="s">
        <v>1390</v>
      </c>
      <c r="B7699" s="76" t="s">
        <v>1018</v>
      </c>
      <c r="C7699" s="76" t="s">
        <v>1019</v>
      </c>
      <c r="D7699" s="75"/>
    </row>
    <row hidden="true" r="7700">
      <c r="A7700" s="76" t="s">
        <v>1390</v>
      </c>
      <c r="B7700" s="76" t="s">
        <v>1020</v>
      </c>
      <c r="C7700" s="76" t="s">
        <v>1021</v>
      </c>
      <c r="D7700" s="75"/>
    </row>
    <row hidden="true" r="7701">
      <c r="A7701" s="76" t="s">
        <v>1390</v>
      </c>
      <c r="B7701" s="76" t="s">
        <v>1022</v>
      </c>
      <c r="C7701" s="76" t="s">
        <v>1017</v>
      </c>
      <c r="D7701" s="75"/>
    </row>
    <row hidden="true" r="7702">
      <c r="A7702" s="76" t="s">
        <v>1390</v>
      </c>
      <c r="B7702" s="76" t="s">
        <v>1023</v>
      </c>
      <c r="C7702" s="76" t="s">
        <v>1019</v>
      </c>
      <c r="D7702" s="75"/>
    </row>
    <row hidden="true" r="7703">
      <c r="A7703" s="76" t="s">
        <v>1390</v>
      </c>
      <c r="B7703" s="76" t="s">
        <v>1024</v>
      </c>
      <c r="C7703" s="76" t="s">
        <v>1021</v>
      </c>
      <c r="D7703" s="75"/>
    </row>
    <row hidden="true" r="7704">
      <c r="A7704" s="76" t="s">
        <v>1390</v>
      </c>
      <c r="B7704" s="76" t="s">
        <v>1025</v>
      </c>
      <c r="C7704" s="76" t="s">
        <v>1017</v>
      </c>
      <c r="D7704" s="75"/>
    </row>
    <row hidden="true" r="7705">
      <c r="A7705" s="76" t="s">
        <v>1390</v>
      </c>
      <c r="B7705" s="76" t="s">
        <v>1026</v>
      </c>
      <c r="C7705" s="76" t="s">
        <v>1019</v>
      </c>
      <c r="D7705" s="75"/>
    </row>
    <row hidden="true" r="7706">
      <c r="A7706" s="76" t="s">
        <v>1390</v>
      </c>
      <c r="B7706" s="76" t="s">
        <v>1027</v>
      </c>
      <c r="C7706" s="76" t="s">
        <v>1021</v>
      </c>
      <c r="D7706" s="75"/>
    </row>
    <row hidden="true" r="7707">
      <c r="A7707" s="76" t="s">
        <v>1390</v>
      </c>
      <c r="B7707" s="76" t="s">
        <v>1133</v>
      </c>
      <c r="C7707" s="76" t="s">
        <v>1134</v>
      </c>
      <c r="D7707" s="75"/>
    </row>
    <row hidden="true" r="7708">
      <c r="A7708" s="76" t="s">
        <v>1390</v>
      </c>
      <c r="B7708" s="76" t="s">
        <v>1317</v>
      </c>
      <c r="C7708" s="76" t="s">
        <v>1318</v>
      </c>
      <c r="D7708" s="75"/>
    </row>
    <row hidden="true" r="7709">
      <c r="A7709" s="76" t="s">
        <v>1390</v>
      </c>
      <c r="B7709" s="76" t="s">
        <v>1319</v>
      </c>
      <c r="C7709" s="76" t="s">
        <v>1320</v>
      </c>
      <c r="D7709" s="75"/>
    </row>
    <row hidden="true" r="7710">
      <c r="A7710" s="76" t="s">
        <v>1390</v>
      </c>
      <c r="B7710" s="76" t="s">
        <v>1028</v>
      </c>
      <c r="C7710" s="76" t="s">
        <v>1029</v>
      </c>
      <c r="D7710" s="75"/>
    </row>
    <row hidden="true" r="7711">
      <c r="A7711" s="76" t="s">
        <v>1390</v>
      </c>
      <c r="B7711" s="76" t="s">
        <v>988</v>
      </c>
      <c r="C7711" s="76" t="s">
        <v>989</v>
      </c>
      <c r="D7711" s="75"/>
    </row>
    <row hidden="true" r="7712">
      <c r="A7712" s="76" t="s">
        <v>1390</v>
      </c>
      <c r="B7712" s="76" t="s">
        <v>990</v>
      </c>
      <c r="C7712" s="76" t="s">
        <v>991</v>
      </c>
      <c r="D7712" s="75"/>
    </row>
    <row hidden="true" r="7713">
      <c r="A7713" s="76" t="s">
        <v>1390</v>
      </c>
      <c r="B7713" s="76" t="s">
        <v>992</v>
      </c>
      <c r="C7713" s="76" t="s">
        <v>993</v>
      </c>
      <c r="D7713" s="75"/>
    </row>
    <row hidden="true" r="7714">
      <c r="A7714" s="76" t="s">
        <v>1390</v>
      </c>
      <c r="B7714" s="76" t="s">
        <v>530</v>
      </c>
      <c r="C7714" s="76" t="s">
        <v>531</v>
      </c>
      <c r="D7714" s="75"/>
    </row>
    <row hidden="true" r="7715">
      <c r="A7715" s="76" t="s">
        <v>1390</v>
      </c>
      <c r="B7715" s="76" t="s">
        <v>1032</v>
      </c>
      <c r="C7715" s="76" t="s">
        <v>1033</v>
      </c>
      <c r="D7715" s="75"/>
    </row>
    <row hidden="true" r="7716">
      <c r="A7716" s="76" t="s">
        <v>1390</v>
      </c>
      <c r="B7716" s="76" t="s">
        <v>532</v>
      </c>
      <c r="C7716" s="76" t="s">
        <v>533</v>
      </c>
      <c r="D7716" s="75"/>
    </row>
    <row hidden="true" r="7717">
      <c r="A7717" s="76" t="s">
        <v>1390</v>
      </c>
      <c r="B7717" s="76" t="s">
        <v>1036</v>
      </c>
      <c r="C7717" s="76" t="s">
        <v>1037</v>
      </c>
      <c r="D7717" s="75"/>
    </row>
    <row hidden="true" r="7718">
      <c r="A7718" s="76" t="s">
        <v>1390</v>
      </c>
      <c r="B7718" s="76" t="s">
        <v>1038</v>
      </c>
      <c r="C7718" s="76" t="s">
        <v>1039</v>
      </c>
      <c r="D7718" s="75"/>
    </row>
    <row hidden="true" r="7719">
      <c r="A7719" s="76" t="s">
        <v>1390</v>
      </c>
      <c r="B7719" s="76" t="s">
        <v>1321</v>
      </c>
      <c r="C7719" s="76" t="s">
        <v>1322</v>
      </c>
      <c r="D7719" s="75"/>
    </row>
    <row hidden="true" r="7720">
      <c r="A7720" s="76" t="s">
        <v>1390</v>
      </c>
      <c r="B7720" s="76" t="s">
        <v>1323</v>
      </c>
      <c r="C7720" s="76" t="s">
        <v>1324</v>
      </c>
      <c r="D7720" s="75"/>
    </row>
    <row hidden="true" r="7721">
      <c r="A7721" s="76" t="s">
        <v>1390</v>
      </c>
      <c r="B7721" s="76" t="s">
        <v>1012</v>
      </c>
      <c r="C7721" s="76" t="s">
        <v>1013</v>
      </c>
      <c r="D7721" s="75"/>
    </row>
    <row hidden="true" r="7722">
      <c r="A7722" s="76" t="s">
        <v>1390</v>
      </c>
      <c r="B7722" s="76" t="s">
        <v>1052</v>
      </c>
      <c r="C7722" s="76" t="s">
        <v>1053</v>
      </c>
      <c r="D7722" s="75"/>
    </row>
    <row hidden="true" r="7723">
      <c r="A7723" s="76" t="s">
        <v>1390</v>
      </c>
      <c r="B7723" s="76" t="s">
        <v>1054</v>
      </c>
      <c r="C7723" s="76" t="s">
        <v>1055</v>
      </c>
      <c r="D7723" s="75"/>
    </row>
    <row hidden="true" r="7724">
      <c r="A7724" s="76" t="s">
        <v>1390</v>
      </c>
      <c r="B7724" s="76" t="s">
        <v>1056</v>
      </c>
      <c r="C7724" s="76" t="s">
        <v>1057</v>
      </c>
      <c r="D7724" s="75"/>
    </row>
    <row hidden="true" r="7725">
      <c r="A7725" s="76" t="s">
        <v>1390</v>
      </c>
      <c r="B7725" s="76" t="s">
        <v>1058</v>
      </c>
      <c r="C7725" s="76" t="s">
        <v>1059</v>
      </c>
      <c r="D7725" s="75"/>
    </row>
    <row hidden="true" r="7726">
      <c r="A7726" s="76" t="s">
        <v>1390</v>
      </c>
      <c r="B7726" s="76" t="s">
        <v>1060</v>
      </c>
      <c r="C7726" s="76" t="s">
        <v>1061</v>
      </c>
      <c r="D7726" s="75"/>
    </row>
    <row hidden="true" r="7727">
      <c r="A7727" s="76" t="s">
        <v>1390</v>
      </c>
      <c r="B7727" s="76" t="s">
        <v>1062</v>
      </c>
      <c r="C7727" s="76" t="s">
        <v>1063</v>
      </c>
      <c r="D7727" s="75"/>
    </row>
    <row hidden="true" r="7728">
      <c r="A7728" s="76" t="s">
        <v>1390</v>
      </c>
      <c r="B7728" s="76" t="s">
        <v>1064</v>
      </c>
      <c r="C7728" s="76" t="s">
        <v>1065</v>
      </c>
      <c r="D7728" s="75"/>
    </row>
    <row hidden="true" r="7729">
      <c r="A7729" s="76" t="s">
        <v>1390</v>
      </c>
      <c r="B7729" s="76" t="s">
        <v>1066</v>
      </c>
      <c r="C7729" s="76" t="s">
        <v>1067</v>
      </c>
      <c r="D7729" s="75"/>
    </row>
    <row hidden="true" r="7730">
      <c r="A7730" s="76" t="s">
        <v>1390</v>
      </c>
      <c r="B7730" s="76" t="s">
        <v>1068</v>
      </c>
      <c r="C7730" s="76" t="s">
        <v>1069</v>
      </c>
      <c r="D7730" s="75"/>
    </row>
    <row hidden="true" r="7731">
      <c r="A7731" s="76" t="s">
        <v>1390</v>
      </c>
      <c r="B7731" s="76" t="s">
        <v>1070</v>
      </c>
      <c r="C7731" s="76" t="s">
        <v>1069</v>
      </c>
      <c r="D7731" s="75"/>
    </row>
    <row hidden="true" r="7732">
      <c r="A7732" s="76" t="s">
        <v>1390</v>
      </c>
      <c r="B7732" s="76" t="s">
        <v>1071</v>
      </c>
      <c r="C7732" s="76" t="s">
        <v>1069</v>
      </c>
      <c r="D7732" s="75"/>
    </row>
    <row hidden="true" r="7733">
      <c r="A7733" s="76" t="s">
        <v>1390</v>
      </c>
      <c r="B7733" s="76" t="s">
        <v>1072</v>
      </c>
      <c r="C7733" s="76" t="s">
        <v>1073</v>
      </c>
      <c r="D7733" s="75"/>
    </row>
    <row hidden="true" r="7734">
      <c r="A7734" s="76" t="s">
        <v>1390</v>
      </c>
      <c r="B7734" s="76" t="s">
        <v>1074</v>
      </c>
      <c r="C7734" s="76" t="s">
        <v>1073</v>
      </c>
      <c r="D7734" s="75"/>
    </row>
    <row hidden="true" r="7735">
      <c r="A7735" s="76" t="s">
        <v>1390</v>
      </c>
      <c r="B7735" s="76" t="s">
        <v>1075</v>
      </c>
      <c r="C7735" s="76" t="s">
        <v>1073</v>
      </c>
      <c r="D7735" s="75"/>
    </row>
    <row hidden="true" r="7736">
      <c r="A7736" s="76" t="s">
        <v>1390</v>
      </c>
      <c r="B7736" s="76" t="s">
        <v>1082</v>
      </c>
      <c r="C7736" s="76" t="s">
        <v>1083</v>
      </c>
      <c r="D7736" s="75"/>
    </row>
    <row hidden="true" r="7737">
      <c r="A7737" s="76" t="s">
        <v>1390</v>
      </c>
      <c r="B7737" s="76" t="s">
        <v>1084</v>
      </c>
      <c r="C7737" s="76" t="s">
        <v>1085</v>
      </c>
      <c r="D7737" s="75"/>
    </row>
    <row hidden="true" r="7738">
      <c r="A7738" s="76" t="s">
        <v>1390</v>
      </c>
      <c r="B7738" s="76" t="s">
        <v>1086</v>
      </c>
      <c r="C7738" s="76" t="s">
        <v>1087</v>
      </c>
      <c r="D7738" s="75"/>
    </row>
    <row hidden="true" r="7739">
      <c r="A7739" s="76" t="s">
        <v>1390</v>
      </c>
      <c r="B7739" s="76" t="s">
        <v>1088</v>
      </c>
      <c r="C7739" s="76" t="s">
        <v>1089</v>
      </c>
      <c r="D7739" s="75"/>
    </row>
    <row hidden="true" r="7740">
      <c r="A7740" s="76" t="s">
        <v>1390</v>
      </c>
      <c r="B7740" s="76" t="s">
        <v>1076</v>
      </c>
      <c r="C7740" s="76" t="s">
        <v>1077</v>
      </c>
      <c r="D7740" s="75"/>
    </row>
    <row hidden="true" r="7741">
      <c r="A7741" s="76" t="s">
        <v>1390</v>
      </c>
      <c r="B7741" s="76" t="s">
        <v>1078</v>
      </c>
      <c r="C7741" s="76" t="s">
        <v>1079</v>
      </c>
      <c r="D7741" s="75"/>
    </row>
    <row hidden="true" r="7742">
      <c r="A7742" s="76" t="s">
        <v>1390</v>
      </c>
      <c r="B7742" s="76" t="s">
        <v>1040</v>
      </c>
      <c r="C7742" s="76" t="s">
        <v>1041</v>
      </c>
      <c r="D7742" s="75"/>
    </row>
    <row hidden="true" r="7743">
      <c r="A7743" s="76" t="s">
        <v>1390</v>
      </c>
      <c r="B7743" s="76" t="s">
        <v>839</v>
      </c>
      <c r="C7743" s="76" t="s">
        <v>840</v>
      </c>
      <c r="D7743" s="75"/>
    </row>
    <row hidden="true" r="7744">
      <c r="A7744" s="76" t="s">
        <v>1390</v>
      </c>
      <c r="B7744" s="76" t="s">
        <v>1121</v>
      </c>
      <c r="C7744" s="76" t="s">
        <v>1122</v>
      </c>
      <c r="D7744" s="75"/>
    </row>
    <row hidden="true" r="7745">
      <c r="A7745" s="76" t="s">
        <v>1390</v>
      </c>
      <c r="B7745" s="76" t="s">
        <v>1325</v>
      </c>
      <c r="C7745" s="76" t="s">
        <v>1326</v>
      </c>
      <c r="D7745" s="75"/>
    </row>
    <row hidden="true" r="7746">
      <c r="A7746" s="76" t="s">
        <v>1390</v>
      </c>
      <c r="B7746" s="76" t="s">
        <v>1080</v>
      </c>
      <c r="C7746" s="76" t="s">
        <v>1081</v>
      </c>
      <c r="D7746" s="75"/>
    </row>
    <row hidden="true" r="7747">
      <c r="A7747" s="76" t="s">
        <v>1390</v>
      </c>
      <c r="B7747" s="76" t="s">
        <v>1327</v>
      </c>
      <c r="C7747" s="76" t="s">
        <v>1328</v>
      </c>
      <c r="D7747" s="75"/>
    </row>
    <row hidden="true" r="7748">
      <c r="A7748" s="76" t="s">
        <v>1390</v>
      </c>
      <c r="B7748" s="76" t="s">
        <v>1090</v>
      </c>
      <c r="C7748" s="76" t="s">
        <v>1091</v>
      </c>
      <c r="D7748" s="75"/>
    </row>
    <row hidden="true" r="7749">
      <c r="A7749" s="76" t="s">
        <v>1390</v>
      </c>
      <c r="B7749" s="76" t="s">
        <v>1092</v>
      </c>
      <c r="C7749" s="76" t="s">
        <v>1091</v>
      </c>
      <c r="D7749" s="75"/>
    </row>
    <row hidden="true" r="7750">
      <c r="A7750" s="76" t="s">
        <v>1390</v>
      </c>
      <c r="B7750" s="76" t="s">
        <v>1093</v>
      </c>
      <c r="C7750" s="76" t="s">
        <v>1094</v>
      </c>
      <c r="D7750" s="75"/>
    </row>
    <row hidden="true" r="7751">
      <c r="A7751" s="76" t="s">
        <v>1390</v>
      </c>
      <c r="B7751" s="76" t="s">
        <v>1095</v>
      </c>
      <c r="C7751" s="76" t="s">
        <v>1096</v>
      </c>
      <c r="D7751" s="75"/>
    </row>
    <row hidden="true" r="7752">
      <c r="A7752" s="76" t="s">
        <v>1390</v>
      </c>
      <c r="B7752" s="76" t="s">
        <v>1097</v>
      </c>
      <c r="C7752" s="76" t="s">
        <v>1098</v>
      </c>
      <c r="D7752" s="75"/>
    </row>
    <row hidden="true" r="7753">
      <c r="A7753" s="76" t="s">
        <v>1390</v>
      </c>
      <c r="B7753" s="76" t="s">
        <v>1103</v>
      </c>
      <c r="C7753" s="76" t="s">
        <v>1104</v>
      </c>
      <c r="D7753" s="75"/>
    </row>
    <row hidden="true" r="7754">
      <c r="A7754" s="76" t="s">
        <v>1390</v>
      </c>
      <c r="B7754" s="76" t="s">
        <v>1329</v>
      </c>
      <c r="C7754" s="76" t="s">
        <v>1330</v>
      </c>
      <c r="D7754" s="75"/>
    </row>
    <row hidden="true" r="7755">
      <c r="A7755" s="76" t="s">
        <v>1390</v>
      </c>
      <c r="B7755" s="76" t="s">
        <v>1113</v>
      </c>
      <c r="C7755" s="76" t="s">
        <v>1114</v>
      </c>
      <c r="D7755" s="75"/>
    </row>
    <row hidden="true" r="7756">
      <c r="A7756" s="76" t="s">
        <v>1390</v>
      </c>
      <c r="B7756" s="76" t="s">
        <v>1115</v>
      </c>
      <c r="C7756" s="76" t="s">
        <v>1116</v>
      </c>
      <c r="D7756" s="75"/>
    </row>
    <row hidden="true" r="7757">
      <c r="A7757" s="76" t="s">
        <v>1390</v>
      </c>
      <c r="B7757" s="76" t="s">
        <v>1117</v>
      </c>
      <c r="C7757" s="76" t="s">
        <v>1118</v>
      </c>
      <c r="D7757" s="75"/>
    </row>
    <row hidden="true" r="7758">
      <c r="A7758" s="76" t="s">
        <v>1390</v>
      </c>
      <c r="B7758" s="76" t="s">
        <v>1119</v>
      </c>
      <c r="C7758" s="76" t="s">
        <v>1120</v>
      </c>
      <c r="D7758" s="75"/>
    </row>
    <row hidden="true" r="7759">
      <c r="A7759" s="76" t="s">
        <v>1390</v>
      </c>
      <c r="B7759" s="76" t="s">
        <v>1127</v>
      </c>
      <c r="C7759" s="76" t="s">
        <v>1128</v>
      </c>
      <c r="D7759" s="75"/>
    </row>
    <row hidden="true" r="7760">
      <c r="A7760" s="76" t="s">
        <v>1390</v>
      </c>
      <c r="B7760" s="76" t="s">
        <v>1129</v>
      </c>
      <c r="C7760" s="76" t="s">
        <v>1130</v>
      </c>
      <c r="D7760" s="75"/>
    </row>
    <row hidden="true" r="7761">
      <c r="A7761" s="76" t="s">
        <v>1390</v>
      </c>
      <c r="B7761" s="76" t="s">
        <v>1131</v>
      </c>
      <c r="C7761" s="76" t="s">
        <v>1132</v>
      </c>
      <c r="D7761" s="75"/>
    </row>
    <row hidden="true" r="7762">
      <c r="A7762" s="76" t="s">
        <v>1390</v>
      </c>
      <c r="B7762" s="76" t="s">
        <v>1137</v>
      </c>
      <c r="C7762" s="76" t="s">
        <v>1138</v>
      </c>
      <c r="D7762" s="75"/>
    </row>
    <row hidden="true" r="7763">
      <c r="A7763" s="76" t="s">
        <v>1390</v>
      </c>
      <c r="B7763" s="76" t="s">
        <v>1139</v>
      </c>
      <c r="C7763" s="76" t="s">
        <v>1140</v>
      </c>
      <c r="D7763" s="75"/>
    </row>
    <row hidden="true" r="7764">
      <c r="A7764" s="76" t="s">
        <v>1390</v>
      </c>
      <c r="B7764" s="76" t="s">
        <v>1141</v>
      </c>
      <c r="C7764" s="76" t="s">
        <v>1142</v>
      </c>
      <c r="D7764" s="75"/>
    </row>
    <row hidden="true" r="7765">
      <c r="A7765" s="76" t="s">
        <v>1390</v>
      </c>
      <c r="B7765" s="76" t="s">
        <v>1143</v>
      </c>
      <c r="C7765" s="76" t="s">
        <v>1144</v>
      </c>
      <c r="D7765" s="75"/>
    </row>
    <row hidden="true" r="7766">
      <c r="A7766" s="76" t="s">
        <v>1390</v>
      </c>
      <c r="B7766" s="76" t="s">
        <v>1145</v>
      </c>
      <c r="C7766" s="76" t="s">
        <v>1146</v>
      </c>
      <c r="D7766" s="75"/>
    </row>
    <row hidden="true" r="7767">
      <c r="A7767" s="76" t="s">
        <v>1390</v>
      </c>
      <c r="B7767" s="76" t="s">
        <v>1147</v>
      </c>
      <c r="C7767" s="76" t="s">
        <v>1148</v>
      </c>
      <c r="D7767" s="75"/>
    </row>
    <row hidden="true" r="7768">
      <c r="A7768" s="76" t="s">
        <v>1390</v>
      </c>
      <c r="B7768" s="76" t="s">
        <v>1153</v>
      </c>
      <c r="C7768" s="76" t="s">
        <v>1154</v>
      </c>
      <c r="D7768" s="75"/>
    </row>
    <row hidden="true" r="7769">
      <c r="A7769" s="76" t="s">
        <v>1390</v>
      </c>
      <c r="B7769" s="76" t="s">
        <v>1155</v>
      </c>
      <c r="C7769" s="76" t="s">
        <v>1156</v>
      </c>
      <c r="D7769" s="75"/>
    </row>
    <row hidden="true" r="7770">
      <c r="A7770" s="76" t="s">
        <v>1390</v>
      </c>
      <c r="B7770" s="76" t="s">
        <v>1157</v>
      </c>
      <c r="C7770" s="76" t="s">
        <v>1158</v>
      </c>
      <c r="D7770" s="75"/>
    </row>
    <row hidden="true" r="7771">
      <c r="A7771" s="76" t="s">
        <v>1390</v>
      </c>
      <c r="B7771" s="76" t="s">
        <v>1159</v>
      </c>
      <c r="C7771" s="76" t="s">
        <v>1160</v>
      </c>
      <c r="D7771" s="75"/>
    </row>
    <row hidden="true" r="7772">
      <c r="A7772" s="76" t="s">
        <v>1390</v>
      </c>
      <c r="B7772" s="76" t="s">
        <v>1161</v>
      </c>
      <c r="C7772" s="76" t="s">
        <v>1162</v>
      </c>
      <c r="D7772" s="75"/>
    </row>
    <row hidden="true" r="7773">
      <c r="A7773" s="76" t="s">
        <v>1390</v>
      </c>
      <c r="B7773" s="76" t="s">
        <v>1163</v>
      </c>
      <c r="C7773" s="76" t="s">
        <v>1164</v>
      </c>
      <c r="D7773" s="75"/>
    </row>
    <row hidden="true" r="7774">
      <c r="A7774" s="76" t="s">
        <v>1390</v>
      </c>
      <c r="B7774" s="76" t="s">
        <v>1165</v>
      </c>
      <c r="C7774" s="76" t="s">
        <v>1166</v>
      </c>
      <c r="D7774" s="75"/>
    </row>
    <row hidden="true" r="7775">
      <c r="A7775" s="76" t="s">
        <v>1390</v>
      </c>
      <c r="B7775" s="76" t="s">
        <v>1331</v>
      </c>
      <c r="C7775" s="76" t="s">
        <v>1332</v>
      </c>
      <c r="D7775" s="75"/>
    </row>
    <row hidden="true" r="7776">
      <c r="A7776" s="76" t="s">
        <v>1390</v>
      </c>
      <c r="B7776" s="76" t="s">
        <v>1333</v>
      </c>
      <c r="C7776" s="76" t="s">
        <v>1334</v>
      </c>
      <c r="D7776" s="75"/>
    </row>
    <row hidden="true" r="7777">
      <c r="A7777" s="76" t="s">
        <v>1390</v>
      </c>
      <c r="B7777" s="76" t="s">
        <v>1335</v>
      </c>
      <c r="C7777" s="76" t="s">
        <v>1336</v>
      </c>
      <c r="D7777" s="75"/>
    </row>
    <row hidden="true" r="7778">
      <c r="A7778" s="76" t="s">
        <v>1390</v>
      </c>
      <c r="B7778" s="76" t="s">
        <v>1337</v>
      </c>
      <c r="C7778" s="76" t="s">
        <v>1338</v>
      </c>
      <c r="D7778" s="75"/>
    </row>
    <row hidden="true" r="7779">
      <c r="A7779" s="76" t="s">
        <v>1390</v>
      </c>
      <c r="B7779" s="76" t="s">
        <v>1339</v>
      </c>
      <c r="C7779" s="76" t="s">
        <v>1340</v>
      </c>
      <c r="D7779" s="75"/>
    </row>
    <row hidden="true" r="7780">
      <c r="A7780" s="76" t="s">
        <v>1390</v>
      </c>
      <c r="B7780" s="76" t="s">
        <v>1341</v>
      </c>
      <c r="C7780" s="76" t="s">
        <v>1342</v>
      </c>
      <c r="D7780" s="75"/>
    </row>
    <row hidden="true" r="7781">
      <c r="A7781" s="76" t="s">
        <v>1390</v>
      </c>
      <c r="B7781" s="76" t="s">
        <v>1044</v>
      </c>
      <c r="C7781" s="76" t="s">
        <v>1045</v>
      </c>
      <c r="D7781" s="75"/>
    </row>
    <row hidden="true" r="7782">
      <c r="A7782" s="76" t="s">
        <v>1390</v>
      </c>
      <c r="B7782" s="76" t="s">
        <v>1046</v>
      </c>
      <c r="C7782" s="76" t="s">
        <v>1047</v>
      </c>
      <c r="D7782" s="75"/>
    </row>
    <row hidden="true" r="7783">
      <c r="A7783" s="76" t="s">
        <v>1390</v>
      </c>
      <c r="B7783" s="76" t="s">
        <v>1048</v>
      </c>
      <c r="C7783" s="76" t="s">
        <v>1049</v>
      </c>
      <c r="D7783" s="75"/>
    </row>
    <row hidden="true" r="7784">
      <c r="A7784" s="76" t="s">
        <v>1390</v>
      </c>
      <c r="B7784" s="76" t="s">
        <v>1167</v>
      </c>
      <c r="C7784" s="76" t="s">
        <v>1168</v>
      </c>
      <c r="D7784" s="75"/>
    </row>
    <row hidden="true" r="7785">
      <c r="A7785" s="76" t="s">
        <v>1390</v>
      </c>
      <c r="B7785" s="76" t="s">
        <v>1169</v>
      </c>
      <c r="C7785" s="76" t="s">
        <v>1170</v>
      </c>
      <c r="D7785" s="75"/>
    </row>
    <row hidden="true" r="7786">
      <c r="A7786" s="76" t="s">
        <v>1390</v>
      </c>
      <c r="B7786" s="76" t="s">
        <v>1171</v>
      </c>
      <c r="C7786" s="76" t="s">
        <v>1172</v>
      </c>
      <c r="D7786" s="75"/>
    </row>
    <row hidden="true" r="7787">
      <c r="A7787" s="76" t="s">
        <v>1390</v>
      </c>
      <c r="B7787" s="76" t="s">
        <v>1173</v>
      </c>
      <c r="C7787" s="76" t="s">
        <v>1174</v>
      </c>
      <c r="D7787" s="75"/>
    </row>
    <row hidden="true" r="7788">
      <c r="A7788" s="76" t="s">
        <v>1390</v>
      </c>
      <c r="B7788" s="76" t="s">
        <v>1175</v>
      </c>
      <c r="C7788" s="76" t="s">
        <v>1176</v>
      </c>
      <c r="D7788" s="75"/>
    </row>
    <row hidden="true" r="7789">
      <c r="A7789" s="76" t="s">
        <v>1390</v>
      </c>
      <c r="B7789" s="76" t="s">
        <v>1177</v>
      </c>
      <c r="C7789" s="76" t="s">
        <v>1178</v>
      </c>
      <c r="D7789" s="75"/>
    </row>
    <row hidden="true" r="7790">
      <c r="A7790" s="76" t="s">
        <v>1390</v>
      </c>
      <c r="B7790" s="76" t="s">
        <v>1135</v>
      </c>
      <c r="C7790" s="76" t="s">
        <v>1136</v>
      </c>
      <c r="D7790" s="75"/>
    </row>
    <row hidden="true" r="7791">
      <c r="A7791" s="76" t="s">
        <v>1390</v>
      </c>
      <c r="B7791" s="76" t="s">
        <v>1179</v>
      </c>
      <c r="C7791" s="76" t="s">
        <v>1180</v>
      </c>
      <c r="D7791" s="75"/>
    </row>
    <row hidden="true" r="7792">
      <c r="A7792" s="76" t="s">
        <v>1390</v>
      </c>
      <c r="B7792" s="76" t="s">
        <v>1181</v>
      </c>
      <c r="C7792" s="76" t="s">
        <v>1182</v>
      </c>
      <c r="D7792" s="75"/>
    </row>
    <row hidden="true" r="7793">
      <c r="A7793" s="76" t="s">
        <v>1390</v>
      </c>
      <c r="B7793" s="76" t="s">
        <v>1183</v>
      </c>
      <c r="C7793" s="76" t="s">
        <v>1184</v>
      </c>
      <c r="D7793" s="75"/>
    </row>
    <row hidden="true" r="7794">
      <c r="A7794" s="76" t="s">
        <v>1390</v>
      </c>
      <c r="B7794" s="76" t="s">
        <v>1185</v>
      </c>
      <c r="C7794" s="76" t="s">
        <v>1186</v>
      </c>
      <c r="D7794" s="75"/>
    </row>
    <row hidden="true" r="7795">
      <c r="A7795" s="76" t="s">
        <v>1390</v>
      </c>
      <c r="B7795" s="76" t="s">
        <v>1187</v>
      </c>
      <c r="C7795" s="76" t="s">
        <v>1188</v>
      </c>
      <c r="D7795" s="75"/>
    </row>
    <row hidden="true" r="7796">
      <c r="A7796" s="76" t="s">
        <v>1390</v>
      </c>
      <c r="B7796" s="76" t="s">
        <v>1189</v>
      </c>
      <c r="C7796" s="76" t="s">
        <v>1190</v>
      </c>
      <c r="D7796" s="75"/>
    </row>
    <row hidden="true" r="7797">
      <c r="A7797" s="76" t="s">
        <v>1390</v>
      </c>
      <c r="B7797" s="76" t="s">
        <v>1199</v>
      </c>
      <c r="C7797" s="76" t="s">
        <v>1200</v>
      </c>
      <c r="D7797" s="75"/>
    </row>
    <row hidden="true" r="7798">
      <c r="A7798" s="76" t="s">
        <v>1390</v>
      </c>
      <c r="B7798" s="76" t="s">
        <v>1201</v>
      </c>
      <c r="C7798" s="76" t="s">
        <v>1202</v>
      </c>
      <c r="D7798" s="75"/>
    </row>
    <row hidden="true" r="7799">
      <c r="A7799" s="76" t="s">
        <v>1390</v>
      </c>
      <c r="B7799" s="76" t="s">
        <v>1203</v>
      </c>
      <c r="C7799" s="76" t="s">
        <v>1204</v>
      </c>
      <c r="D7799" s="75"/>
    </row>
    <row hidden="true" r="7800">
      <c r="A7800" s="76" t="s">
        <v>1390</v>
      </c>
      <c r="B7800" s="76" t="s">
        <v>1205</v>
      </c>
      <c r="C7800" s="76" t="s">
        <v>1206</v>
      </c>
      <c r="D7800" s="75"/>
    </row>
    <row hidden="true" r="7801">
      <c r="A7801" s="76" t="s">
        <v>1390</v>
      </c>
      <c r="B7801" s="76" t="s">
        <v>1207</v>
      </c>
      <c r="C7801" s="76" t="s">
        <v>1208</v>
      </c>
      <c r="D7801" s="75"/>
    </row>
    <row hidden="true" r="7802">
      <c r="A7802" s="76" t="s">
        <v>1390</v>
      </c>
      <c r="B7802" s="76" t="s">
        <v>1209</v>
      </c>
      <c r="C7802" s="76" t="s">
        <v>1210</v>
      </c>
      <c r="D7802" s="75"/>
    </row>
    <row hidden="true" r="7803">
      <c r="A7803" s="76" t="s">
        <v>1390</v>
      </c>
      <c r="B7803" s="76" t="s">
        <v>1211</v>
      </c>
      <c r="C7803" s="76" t="s">
        <v>1212</v>
      </c>
      <c r="D7803" s="75"/>
    </row>
    <row hidden="true" r="7804">
      <c r="A7804" s="76" t="s">
        <v>1390</v>
      </c>
      <c r="B7804" s="76" t="s">
        <v>735</v>
      </c>
      <c r="C7804" s="76"/>
      <c r="D7804" s="75"/>
    </row>
    <row hidden="true" r="7805">
      <c r="A7805" s="76" t="s">
        <v>1391</v>
      </c>
      <c r="B7805" s="76" t="s">
        <v>407</v>
      </c>
      <c r="C7805" s="76" t="s">
        <v>408</v>
      </c>
      <c r="D7805" s="75"/>
    </row>
    <row hidden="true" r="7806">
      <c r="A7806" s="76" t="s">
        <v>1391</v>
      </c>
      <c r="B7806" s="76" t="s">
        <v>744</v>
      </c>
      <c r="C7806" s="76" t="s">
        <v>745</v>
      </c>
      <c r="D7806" s="75"/>
    </row>
    <row hidden="true" r="7807">
      <c r="A7807" s="76" t="s">
        <v>1391</v>
      </c>
      <c r="B7807" s="76" t="s">
        <v>480</v>
      </c>
      <c r="C7807" s="76" t="s">
        <v>481</v>
      </c>
      <c r="D7807" s="75"/>
    </row>
    <row hidden="true" r="7808">
      <c r="A7808" s="76" t="s">
        <v>1391</v>
      </c>
      <c r="B7808" s="76" t="s">
        <v>884</v>
      </c>
      <c r="C7808" s="76" t="s">
        <v>885</v>
      </c>
      <c r="D7808" s="75"/>
    </row>
    <row hidden="true" r="7809">
      <c r="A7809" s="76" t="s">
        <v>1391</v>
      </c>
      <c r="B7809" s="76" t="s">
        <v>886</v>
      </c>
      <c r="C7809" s="76" t="s">
        <v>1216</v>
      </c>
      <c r="D7809" s="75"/>
    </row>
    <row hidden="true" r="7810">
      <c r="A7810" s="76" t="s">
        <v>1391</v>
      </c>
      <c r="B7810" s="76" t="s">
        <v>888</v>
      </c>
      <c r="C7810" s="76" t="s">
        <v>889</v>
      </c>
      <c r="D7810" s="75"/>
    </row>
    <row hidden="true" r="7811">
      <c r="A7811" s="76" t="s">
        <v>1391</v>
      </c>
      <c r="B7811" s="76" t="s">
        <v>890</v>
      </c>
      <c r="C7811" s="76" t="s">
        <v>891</v>
      </c>
      <c r="D7811" s="75"/>
    </row>
    <row hidden="true" r="7812">
      <c r="A7812" s="76" t="s">
        <v>1391</v>
      </c>
      <c r="B7812" s="76" t="s">
        <v>892</v>
      </c>
      <c r="C7812" s="76" t="s">
        <v>893</v>
      </c>
      <c r="D7812" s="75"/>
    </row>
    <row hidden="true" r="7813">
      <c r="A7813" s="76" t="s">
        <v>1391</v>
      </c>
      <c r="B7813" s="76" t="s">
        <v>894</v>
      </c>
      <c r="C7813" s="76" t="s">
        <v>1217</v>
      </c>
      <c r="D7813" s="75"/>
    </row>
    <row hidden="true" r="7814">
      <c r="A7814" s="76" t="s">
        <v>1391</v>
      </c>
      <c r="B7814" s="76" t="s">
        <v>896</v>
      </c>
      <c r="C7814" s="76" t="s">
        <v>897</v>
      </c>
      <c r="D7814" s="75"/>
    </row>
    <row hidden="true" r="7815">
      <c r="A7815" s="76" t="s">
        <v>1391</v>
      </c>
      <c r="B7815" s="76" t="s">
        <v>898</v>
      </c>
      <c r="C7815" s="76" t="s">
        <v>899</v>
      </c>
      <c r="D7815" s="75"/>
    </row>
    <row hidden="true" r="7816">
      <c r="A7816" s="76" t="s">
        <v>1391</v>
      </c>
      <c r="B7816" s="76" t="s">
        <v>900</v>
      </c>
      <c r="C7816" s="76" t="s">
        <v>1218</v>
      </c>
      <c r="D7816" s="75"/>
    </row>
    <row hidden="true" r="7817">
      <c r="A7817" s="76" t="s">
        <v>1391</v>
      </c>
      <c r="B7817" s="76" t="s">
        <v>902</v>
      </c>
      <c r="C7817" s="76" t="s">
        <v>903</v>
      </c>
      <c r="D7817" s="75"/>
    </row>
    <row hidden="true" r="7818">
      <c r="A7818" s="76" t="s">
        <v>1391</v>
      </c>
      <c r="B7818" s="76" t="s">
        <v>904</v>
      </c>
      <c r="C7818" s="76" t="s">
        <v>905</v>
      </c>
      <c r="D7818" s="75"/>
    </row>
    <row hidden="true" r="7819">
      <c r="A7819" s="76" t="s">
        <v>1391</v>
      </c>
      <c r="B7819" s="76" t="s">
        <v>906</v>
      </c>
      <c r="C7819" s="76" t="s">
        <v>907</v>
      </c>
      <c r="D7819" s="75"/>
    </row>
    <row hidden="true" r="7820">
      <c r="A7820" s="76" t="s">
        <v>1391</v>
      </c>
      <c r="B7820" s="76" t="s">
        <v>908</v>
      </c>
      <c r="C7820" s="76" t="s">
        <v>909</v>
      </c>
      <c r="D7820" s="75"/>
    </row>
    <row hidden="true" r="7821">
      <c r="A7821" s="76" t="s">
        <v>1391</v>
      </c>
      <c r="B7821" s="76" t="s">
        <v>910</v>
      </c>
      <c r="C7821" s="76" t="s">
        <v>911</v>
      </c>
      <c r="D7821" s="75"/>
    </row>
    <row hidden="true" r="7822">
      <c r="A7822" s="76" t="s">
        <v>1391</v>
      </c>
      <c r="B7822" s="76" t="s">
        <v>912</v>
      </c>
      <c r="C7822" s="76" t="s">
        <v>913</v>
      </c>
      <c r="D7822" s="75"/>
    </row>
    <row hidden="true" r="7823">
      <c r="A7823" s="76" t="s">
        <v>1391</v>
      </c>
      <c r="B7823" s="76" t="s">
        <v>914</v>
      </c>
      <c r="C7823" s="76" t="s">
        <v>915</v>
      </c>
      <c r="D7823" s="75"/>
    </row>
    <row hidden="true" r="7824">
      <c r="A7824" s="76" t="s">
        <v>1391</v>
      </c>
      <c r="B7824" s="76" t="s">
        <v>916</v>
      </c>
      <c r="C7824" s="76" t="s">
        <v>917</v>
      </c>
      <c r="D7824" s="75"/>
    </row>
    <row hidden="true" r="7825">
      <c r="A7825" s="76" t="s">
        <v>1391</v>
      </c>
      <c r="B7825" s="76" t="s">
        <v>918</v>
      </c>
      <c r="C7825" s="76" t="s">
        <v>919</v>
      </c>
      <c r="D7825" s="75"/>
    </row>
    <row hidden="true" r="7826">
      <c r="A7826" s="76" t="s">
        <v>1391</v>
      </c>
      <c r="B7826" s="76" t="s">
        <v>920</v>
      </c>
      <c r="C7826" s="76" t="s">
        <v>921</v>
      </c>
      <c r="D7826" s="75"/>
    </row>
    <row hidden="true" r="7827">
      <c r="A7827" s="76" t="s">
        <v>1391</v>
      </c>
      <c r="B7827" s="76" t="s">
        <v>922</v>
      </c>
      <c r="C7827" s="76" t="s">
        <v>1219</v>
      </c>
      <c r="D7827" s="75"/>
    </row>
    <row hidden="true" r="7828">
      <c r="A7828" s="76" t="s">
        <v>1391</v>
      </c>
      <c r="B7828" s="76" t="s">
        <v>924</v>
      </c>
      <c r="C7828" s="76" t="s">
        <v>925</v>
      </c>
      <c r="D7828" s="75"/>
    </row>
    <row hidden="true" r="7829">
      <c r="A7829" s="76" t="s">
        <v>1391</v>
      </c>
      <c r="B7829" s="76" t="s">
        <v>926</v>
      </c>
      <c r="C7829" s="76" t="s">
        <v>927</v>
      </c>
      <c r="D7829" s="75"/>
    </row>
    <row hidden="true" r="7830">
      <c r="A7830" s="76" t="s">
        <v>1391</v>
      </c>
      <c r="B7830" s="76" t="s">
        <v>928</v>
      </c>
      <c r="C7830" s="76" t="s">
        <v>929</v>
      </c>
      <c r="D7830" s="75"/>
    </row>
    <row hidden="true" r="7831">
      <c r="A7831" s="76" t="s">
        <v>1391</v>
      </c>
      <c r="B7831" s="76" t="s">
        <v>930</v>
      </c>
      <c r="C7831" s="76" t="s">
        <v>931</v>
      </c>
      <c r="D7831" s="75"/>
    </row>
    <row hidden="true" r="7832">
      <c r="A7832" s="76" t="s">
        <v>1391</v>
      </c>
      <c r="B7832" s="76" t="s">
        <v>932</v>
      </c>
      <c r="C7832" s="76" t="s">
        <v>933</v>
      </c>
      <c r="D7832" s="75"/>
    </row>
    <row hidden="true" r="7833">
      <c r="A7833" s="76" t="s">
        <v>1391</v>
      </c>
      <c r="B7833" s="76" t="s">
        <v>934</v>
      </c>
      <c r="C7833" s="76" t="s">
        <v>935</v>
      </c>
      <c r="D7833" s="75"/>
    </row>
    <row hidden="true" r="7834">
      <c r="A7834" s="76" t="s">
        <v>1391</v>
      </c>
      <c r="B7834" s="76" t="s">
        <v>936</v>
      </c>
      <c r="C7834" s="76" t="s">
        <v>937</v>
      </c>
      <c r="D7834" s="75"/>
    </row>
    <row hidden="true" r="7835">
      <c r="A7835" s="76" t="s">
        <v>1391</v>
      </c>
      <c r="B7835" s="76" t="s">
        <v>938</v>
      </c>
      <c r="C7835" s="76" t="s">
        <v>1220</v>
      </c>
      <c r="D7835" s="75"/>
    </row>
    <row hidden="true" r="7836">
      <c r="A7836" s="76" t="s">
        <v>1391</v>
      </c>
      <c r="B7836" s="76" t="s">
        <v>940</v>
      </c>
      <c r="C7836" s="76" t="s">
        <v>941</v>
      </c>
      <c r="D7836" s="75"/>
    </row>
    <row hidden="true" r="7837">
      <c r="A7837" s="76" t="s">
        <v>1391</v>
      </c>
      <c r="B7837" s="76" t="s">
        <v>942</v>
      </c>
      <c r="C7837" s="76" t="s">
        <v>943</v>
      </c>
      <c r="D7837" s="75"/>
    </row>
    <row hidden="true" r="7838">
      <c r="A7838" s="76" t="s">
        <v>1391</v>
      </c>
      <c r="B7838" s="76" t="s">
        <v>944</v>
      </c>
      <c r="C7838" s="76" t="s">
        <v>945</v>
      </c>
      <c r="D7838" s="75"/>
    </row>
    <row hidden="true" r="7839">
      <c r="A7839" s="76" t="s">
        <v>1391</v>
      </c>
      <c r="B7839" s="76" t="s">
        <v>1305</v>
      </c>
      <c r="C7839" s="76" t="s">
        <v>1306</v>
      </c>
      <c r="D7839" s="75"/>
    </row>
    <row hidden="true" r="7840">
      <c r="A7840" s="76" t="s">
        <v>1391</v>
      </c>
      <c r="B7840" s="76" t="s">
        <v>1307</v>
      </c>
      <c r="C7840" s="76" t="s">
        <v>1308</v>
      </c>
      <c r="D7840" s="75"/>
    </row>
    <row hidden="true" r="7841">
      <c r="A7841" s="76" t="s">
        <v>1391</v>
      </c>
      <c r="B7841" s="76" t="s">
        <v>946</v>
      </c>
      <c r="C7841" s="76" t="s">
        <v>1221</v>
      </c>
      <c r="D7841" s="75"/>
    </row>
    <row hidden="true" r="7842">
      <c r="A7842" s="76" t="s">
        <v>1391</v>
      </c>
      <c r="B7842" s="76" t="s">
        <v>948</v>
      </c>
      <c r="C7842" s="76" t="s">
        <v>1222</v>
      </c>
      <c r="D7842" s="75"/>
    </row>
    <row hidden="true" r="7843">
      <c r="A7843" s="76" t="s">
        <v>1391</v>
      </c>
      <c r="B7843" s="76" t="s">
        <v>950</v>
      </c>
      <c r="C7843" s="76" t="s">
        <v>951</v>
      </c>
      <c r="D7843" s="75"/>
    </row>
    <row hidden="true" r="7844">
      <c r="A7844" s="76" t="s">
        <v>1391</v>
      </c>
      <c r="B7844" s="76" t="s">
        <v>952</v>
      </c>
      <c r="C7844" s="76" t="s">
        <v>953</v>
      </c>
      <c r="D7844" s="75"/>
    </row>
    <row hidden="true" r="7845">
      <c r="A7845" s="76" t="s">
        <v>1391</v>
      </c>
      <c r="B7845" s="76" t="s">
        <v>954</v>
      </c>
      <c r="C7845" s="76" t="s">
        <v>955</v>
      </c>
      <c r="D7845" s="75"/>
    </row>
    <row hidden="true" r="7846">
      <c r="A7846" s="76" t="s">
        <v>1391</v>
      </c>
      <c r="B7846" s="76" t="s">
        <v>775</v>
      </c>
      <c r="C7846" s="76" t="s">
        <v>776</v>
      </c>
      <c r="D7846" s="75"/>
    </row>
    <row hidden="true" r="7847">
      <c r="A7847" s="76" t="s">
        <v>1391</v>
      </c>
      <c r="B7847" s="76" t="s">
        <v>956</v>
      </c>
      <c r="C7847" s="76" t="s">
        <v>957</v>
      </c>
      <c r="D7847" s="75"/>
    </row>
    <row hidden="true" r="7848">
      <c r="A7848" s="76" t="s">
        <v>1391</v>
      </c>
      <c r="B7848" s="76" t="s">
        <v>958</v>
      </c>
      <c r="C7848" s="76" t="s">
        <v>959</v>
      </c>
      <c r="D7848" s="75"/>
    </row>
    <row hidden="true" r="7849">
      <c r="A7849" s="76" t="s">
        <v>1391</v>
      </c>
      <c r="B7849" s="76" t="s">
        <v>960</v>
      </c>
      <c r="C7849" s="76" t="s">
        <v>961</v>
      </c>
      <c r="D7849" s="75"/>
    </row>
    <row hidden="true" r="7850">
      <c r="A7850" s="76" t="s">
        <v>1391</v>
      </c>
      <c r="B7850" s="76" t="s">
        <v>962</v>
      </c>
      <c r="C7850" s="76" t="s">
        <v>963</v>
      </c>
      <c r="D7850" s="75"/>
    </row>
    <row hidden="true" r="7851">
      <c r="A7851" s="76" t="s">
        <v>1391</v>
      </c>
      <c r="B7851" s="76" t="s">
        <v>964</v>
      </c>
      <c r="C7851" s="76" t="s">
        <v>965</v>
      </c>
      <c r="D7851" s="75"/>
    </row>
    <row hidden="true" r="7852">
      <c r="A7852" s="76" t="s">
        <v>1391</v>
      </c>
      <c r="B7852" s="76" t="s">
        <v>966</v>
      </c>
      <c r="C7852" s="76" t="s">
        <v>967</v>
      </c>
      <c r="D7852" s="75"/>
    </row>
    <row hidden="true" r="7853">
      <c r="A7853" s="76" t="s">
        <v>1391</v>
      </c>
      <c r="B7853" s="76" t="s">
        <v>968</v>
      </c>
      <c r="C7853" s="76" t="s">
        <v>969</v>
      </c>
      <c r="D7853" s="75"/>
    </row>
    <row hidden="true" r="7854">
      <c r="A7854" s="76" t="s">
        <v>1391</v>
      </c>
      <c r="B7854" s="76" t="s">
        <v>970</v>
      </c>
      <c r="C7854" s="76" t="s">
        <v>971</v>
      </c>
      <c r="D7854" s="75"/>
    </row>
    <row hidden="true" r="7855">
      <c r="A7855" s="76" t="s">
        <v>1391</v>
      </c>
      <c r="B7855" s="76" t="s">
        <v>972</v>
      </c>
      <c r="C7855" s="76" t="s">
        <v>973</v>
      </c>
      <c r="D7855" s="75"/>
    </row>
    <row hidden="true" r="7856">
      <c r="A7856" s="76" t="s">
        <v>1391</v>
      </c>
      <c r="B7856" s="76" t="s">
        <v>974</v>
      </c>
      <c r="C7856" s="76" t="s">
        <v>975</v>
      </c>
      <c r="D7856" s="75"/>
    </row>
    <row hidden="true" r="7857">
      <c r="A7857" s="76" t="s">
        <v>1391</v>
      </c>
      <c r="B7857" s="76" t="s">
        <v>976</v>
      </c>
      <c r="C7857" s="76" t="s">
        <v>977</v>
      </c>
      <c r="D7857" s="75"/>
    </row>
    <row hidden="true" r="7858">
      <c r="A7858" s="76" t="s">
        <v>1391</v>
      </c>
      <c r="B7858" s="76" t="s">
        <v>823</v>
      </c>
      <c r="C7858" s="76" t="s">
        <v>824</v>
      </c>
      <c r="D7858" s="75"/>
    </row>
    <row hidden="true" r="7859">
      <c r="A7859" s="76" t="s">
        <v>1391</v>
      </c>
      <c r="B7859" s="76" t="s">
        <v>978</v>
      </c>
      <c r="C7859" s="76" t="s">
        <v>979</v>
      </c>
      <c r="D7859" s="75"/>
    </row>
    <row hidden="true" r="7860">
      <c r="A7860" s="76" t="s">
        <v>1391</v>
      </c>
      <c r="B7860" s="76" t="s">
        <v>980</v>
      </c>
      <c r="C7860" s="76" t="s">
        <v>981</v>
      </c>
      <c r="D7860" s="75"/>
    </row>
    <row hidden="true" r="7861">
      <c r="A7861" s="76" t="s">
        <v>1391</v>
      </c>
      <c r="B7861" s="76" t="s">
        <v>982</v>
      </c>
      <c r="C7861" s="76" t="s">
        <v>983</v>
      </c>
      <c r="D7861" s="75"/>
    </row>
    <row hidden="true" r="7862">
      <c r="A7862" s="76" t="s">
        <v>1391</v>
      </c>
      <c r="B7862" s="76" t="s">
        <v>984</v>
      </c>
      <c r="C7862" s="76" t="s">
        <v>985</v>
      </c>
      <c r="D7862" s="75"/>
    </row>
    <row hidden="true" r="7863">
      <c r="A7863" s="76" t="s">
        <v>1391</v>
      </c>
      <c r="B7863" s="76" t="s">
        <v>986</v>
      </c>
      <c r="C7863" s="76" t="s">
        <v>987</v>
      </c>
      <c r="D7863" s="75"/>
    </row>
    <row hidden="true" r="7864">
      <c r="A7864" s="76" t="s">
        <v>1391</v>
      </c>
      <c r="B7864" s="76" t="s">
        <v>1309</v>
      </c>
      <c r="C7864" s="76" t="s">
        <v>1310</v>
      </c>
      <c r="D7864" s="75"/>
    </row>
    <row hidden="true" r="7865">
      <c r="A7865" s="76" t="s">
        <v>1391</v>
      </c>
      <c r="B7865" s="76" t="s">
        <v>1311</v>
      </c>
      <c r="C7865" s="76" t="s">
        <v>1312</v>
      </c>
      <c r="D7865" s="75"/>
    </row>
    <row hidden="true" r="7866">
      <c r="A7866" s="76" t="s">
        <v>1391</v>
      </c>
      <c r="B7866" s="76" t="s">
        <v>1099</v>
      </c>
      <c r="C7866" s="76" t="s">
        <v>1100</v>
      </c>
      <c r="D7866" s="75"/>
    </row>
    <row hidden="true" r="7867">
      <c r="A7867" s="76" t="s">
        <v>1391</v>
      </c>
      <c r="B7867" s="76" t="s">
        <v>1101</v>
      </c>
      <c r="C7867" s="76" t="s">
        <v>1102</v>
      </c>
      <c r="D7867" s="75"/>
    </row>
    <row hidden="true" r="7868">
      <c r="A7868" s="76" t="s">
        <v>1391</v>
      </c>
      <c r="B7868" s="76" t="s">
        <v>1313</v>
      </c>
      <c r="C7868" s="76" t="s">
        <v>1314</v>
      </c>
      <c r="D7868" s="75"/>
    </row>
    <row hidden="true" r="7869">
      <c r="A7869" s="76" t="s">
        <v>1391</v>
      </c>
      <c r="B7869" s="76" t="s">
        <v>996</v>
      </c>
      <c r="C7869" s="76" t="s">
        <v>997</v>
      </c>
      <c r="D7869" s="75"/>
    </row>
    <row hidden="true" r="7870">
      <c r="A7870" s="76" t="s">
        <v>1391</v>
      </c>
      <c r="B7870" s="76" t="s">
        <v>998</v>
      </c>
      <c r="C7870" s="76" t="s">
        <v>999</v>
      </c>
      <c r="D7870" s="75"/>
    </row>
    <row hidden="true" r="7871">
      <c r="A7871" s="76" t="s">
        <v>1391</v>
      </c>
      <c r="B7871" s="76" t="s">
        <v>1000</v>
      </c>
      <c r="C7871" s="76" t="s">
        <v>1001</v>
      </c>
      <c r="D7871" s="75"/>
    </row>
    <row hidden="true" r="7872">
      <c r="A7872" s="76" t="s">
        <v>1391</v>
      </c>
      <c r="B7872" s="76" t="s">
        <v>1002</v>
      </c>
      <c r="C7872" s="76" t="s">
        <v>1003</v>
      </c>
      <c r="D7872" s="75"/>
    </row>
    <row hidden="true" r="7873">
      <c r="A7873" s="76" t="s">
        <v>1391</v>
      </c>
      <c r="B7873" s="76" t="s">
        <v>1004</v>
      </c>
      <c r="C7873" s="76" t="s">
        <v>1005</v>
      </c>
      <c r="D7873" s="75"/>
    </row>
    <row hidden="true" r="7874">
      <c r="A7874" s="76" t="s">
        <v>1391</v>
      </c>
      <c r="B7874" s="76" t="s">
        <v>1006</v>
      </c>
      <c r="C7874" s="76" t="s">
        <v>1007</v>
      </c>
      <c r="D7874" s="75"/>
    </row>
    <row hidden="true" r="7875">
      <c r="A7875" s="76" t="s">
        <v>1391</v>
      </c>
      <c r="B7875" s="76" t="s">
        <v>1008</v>
      </c>
      <c r="C7875" s="76" t="s">
        <v>1009</v>
      </c>
      <c r="D7875" s="75"/>
    </row>
    <row hidden="true" r="7876">
      <c r="A7876" s="76" t="s">
        <v>1391</v>
      </c>
      <c r="B7876" s="76" t="s">
        <v>1010</v>
      </c>
      <c r="C7876" s="76" t="s">
        <v>1011</v>
      </c>
      <c r="D7876" s="75"/>
    </row>
    <row hidden="true" r="7877">
      <c r="A7877" s="76" t="s">
        <v>1391</v>
      </c>
      <c r="B7877" s="76" t="s">
        <v>1315</v>
      </c>
      <c r="C7877" s="76" t="s">
        <v>1316</v>
      </c>
      <c r="D7877" s="75"/>
    </row>
    <row hidden="true" r="7878">
      <c r="A7878" s="76" t="s">
        <v>1391</v>
      </c>
      <c r="B7878" s="76" t="s">
        <v>1014</v>
      </c>
      <c r="C7878" s="76" t="s">
        <v>1015</v>
      </c>
      <c r="D7878" s="75"/>
    </row>
    <row hidden="true" r="7879">
      <c r="A7879" s="76" t="s">
        <v>1391</v>
      </c>
      <c r="B7879" s="76" t="s">
        <v>1016</v>
      </c>
      <c r="C7879" s="76" t="s">
        <v>1017</v>
      </c>
      <c r="D7879" s="75"/>
    </row>
    <row hidden="true" r="7880">
      <c r="A7880" s="76" t="s">
        <v>1391</v>
      </c>
      <c r="B7880" s="76" t="s">
        <v>1018</v>
      </c>
      <c r="C7880" s="76" t="s">
        <v>1019</v>
      </c>
      <c r="D7880" s="75"/>
    </row>
    <row hidden="true" r="7881">
      <c r="A7881" s="76" t="s">
        <v>1391</v>
      </c>
      <c r="B7881" s="76" t="s">
        <v>1020</v>
      </c>
      <c r="C7881" s="76" t="s">
        <v>1021</v>
      </c>
      <c r="D7881" s="75"/>
    </row>
    <row hidden="true" r="7882">
      <c r="A7882" s="76" t="s">
        <v>1391</v>
      </c>
      <c r="B7882" s="76" t="s">
        <v>1022</v>
      </c>
      <c r="C7882" s="76" t="s">
        <v>1017</v>
      </c>
      <c r="D7882" s="75"/>
    </row>
    <row hidden="true" r="7883">
      <c r="A7883" s="76" t="s">
        <v>1391</v>
      </c>
      <c r="B7883" s="76" t="s">
        <v>1023</v>
      </c>
      <c r="C7883" s="76" t="s">
        <v>1019</v>
      </c>
      <c r="D7883" s="75"/>
    </row>
    <row hidden="true" r="7884">
      <c r="A7884" s="76" t="s">
        <v>1391</v>
      </c>
      <c r="B7884" s="76" t="s">
        <v>1024</v>
      </c>
      <c r="C7884" s="76" t="s">
        <v>1021</v>
      </c>
      <c r="D7884" s="75"/>
    </row>
    <row hidden="true" r="7885">
      <c r="A7885" s="76" t="s">
        <v>1391</v>
      </c>
      <c r="B7885" s="76" t="s">
        <v>1025</v>
      </c>
      <c r="C7885" s="76" t="s">
        <v>1017</v>
      </c>
      <c r="D7885" s="75"/>
    </row>
    <row hidden="true" r="7886">
      <c r="A7886" s="76" t="s">
        <v>1391</v>
      </c>
      <c r="B7886" s="76" t="s">
        <v>1026</v>
      </c>
      <c r="C7886" s="76" t="s">
        <v>1019</v>
      </c>
      <c r="D7886" s="75"/>
    </row>
    <row hidden="true" r="7887">
      <c r="A7887" s="76" t="s">
        <v>1391</v>
      </c>
      <c r="B7887" s="76" t="s">
        <v>1027</v>
      </c>
      <c r="C7887" s="76" t="s">
        <v>1021</v>
      </c>
      <c r="D7887" s="75"/>
    </row>
    <row hidden="true" r="7888">
      <c r="A7888" s="76" t="s">
        <v>1391</v>
      </c>
      <c r="B7888" s="76" t="s">
        <v>1133</v>
      </c>
      <c r="C7888" s="76" t="s">
        <v>1134</v>
      </c>
      <c r="D7888" s="75"/>
    </row>
    <row hidden="true" r="7889">
      <c r="A7889" s="76" t="s">
        <v>1391</v>
      </c>
      <c r="B7889" s="76" t="s">
        <v>1317</v>
      </c>
      <c r="C7889" s="76" t="s">
        <v>1318</v>
      </c>
      <c r="D7889" s="75"/>
    </row>
    <row hidden="true" r="7890">
      <c r="A7890" s="76" t="s">
        <v>1391</v>
      </c>
      <c r="B7890" s="76" t="s">
        <v>1319</v>
      </c>
      <c r="C7890" s="76" t="s">
        <v>1320</v>
      </c>
      <c r="D7890" s="75"/>
    </row>
    <row hidden="true" r="7891">
      <c r="A7891" s="76" t="s">
        <v>1391</v>
      </c>
      <c r="B7891" s="76" t="s">
        <v>1028</v>
      </c>
      <c r="C7891" s="76" t="s">
        <v>1029</v>
      </c>
      <c r="D7891" s="75"/>
    </row>
    <row hidden="true" r="7892">
      <c r="A7892" s="76" t="s">
        <v>1391</v>
      </c>
      <c r="B7892" s="76" t="s">
        <v>988</v>
      </c>
      <c r="C7892" s="76" t="s">
        <v>989</v>
      </c>
      <c r="D7892" s="75"/>
    </row>
    <row hidden="true" r="7893">
      <c r="A7893" s="76" t="s">
        <v>1391</v>
      </c>
      <c r="B7893" s="76" t="s">
        <v>990</v>
      </c>
      <c r="C7893" s="76" t="s">
        <v>991</v>
      </c>
      <c r="D7893" s="75"/>
    </row>
    <row hidden="true" r="7894">
      <c r="A7894" s="76" t="s">
        <v>1391</v>
      </c>
      <c r="B7894" s="76" t="s">
        <v>992</v>
      </c>
      <c r="C7894" s="76" t="s">
        <v>993</v>
      </c>
      <c r="D7894" s="75"/>
    </row>
    <row hidden="true" r="7895">
      <c r="A7895" s="76" t="s">
        <v>1391</v>
      </c>
      <c r="B7895" s="76" t="s">
        <v>530</v>
      </c>
      <c r="C7895" s="76" t="s">
        <v>531</v>
      </c>
      <c r="D7895" s="75"/>
    </row>
    <row hidden="true" r="7896">
      <c r="A7896" s="76" t="s">
        <v>1391</v>
      </c>
      <c r="B7896" s="76" t="s">
        <v>1032</v>
      </c>
      <c r="C7896" s="76" t="s">
        <v>1033</v>
      </c>
      <c r="D7896" s="75"/>
    </row>
    <row hidden="true" r="7897">
      <c r="A7897" s="76" t="s">
        <v>1391</v>
      </c>
      <c r="B7897" s="76" t="s">
        <v>532</v>
      </c>
      <c r="C7897" s="76" t="s">
        <v>533</v>
      </c>
      <c r="D7897" s="75"/>
    </row>
    <row hidden="true" r="7898">
      <c r="A7898" s="76" t="s">
        <v>1391</v>
      </c>
      <c r="B7898" s="76" t="s">
        <v>1036</v>
      </c>
      <c r="C7898" s="76" t="s">
        <v>1037</v>
      </c>
      <c r="D7898" s="75"/>
    </row>
    <row hidden="true" r="7899">
      <c r="A7899" s="76" t="s">
        <v>1391</v>
      </c>
      <c r="B7899" s="76" t="s">
        <v>1038</v>
      </c>
      <c r="C7899" s="76" t="s">
        <v>1039</v>
      </c>
      <c r="D7899" s="75"/>
    </row>
    <row hidden="true" r="7900">
      <c r="A7900" s="76" t="s">
        <v>1391</v>
      </c>
      <c r="B7900" s="76" t="s">
        <v>1321</v>
      </c>
      <c r="C7900" s="76" t="s">
        <v>1322</v>
      </c>
      <c r="D7900" s="75"/>
    </row>
    <row hidden="true" r="7901">
      <c r="A7901" s="76" t="s">
        <v>1391</v>
      </c>
      <c r="B7901" s="76" t="s">
        <v>1323</v>
      </c>
      <c r="C7901" s="76" t="s">
        <v>1324</v>
      </c>
      <c r="D7901" s="75"/>
    </row>
    <row hidden="true" r="7902">
      <c r="A7902" s="76" t="s">
        <v>1391</v>
      </c>
      <c r="B7902" s="76" t="s">
        <v>1012</v>
      </c>
      <c r="C7902" s="76" t="s">
        <v>1013</v>
      </c>
      <c r="D7902" s="75"/>
    </row>
    <row hidden="true" r="7903">
      <c r="A7903" s="76" t="s">
        <v>1391</v>
      </c>
      <c r="B7903" s="76" t="s">
        <v>1052</v>
      </c>
      <c r="C7903" s="76" t="s">
        <v>1053</v>
      </c>
      <c r="D7903" s="75"/>
    </row>
    <row hidden="true" r="7904">
      <c r="A7904" s="76" t="s">
        <v>1391</v>
      </c>
      <c r="B7904" s="76" t="s">
        <v>1054</v>
      </c>
      <c r="C7904" s="76" t="s">
        <v>1055</v>
      </c>
      <c r="D7904" s="75"/>
    </row>
    <row hidden="true" r="7905">
      <c r="A7905" s="76" t="s">
        <v>1391</v>
      </c>
      <c r="B7905" s="76" t="s">
        <v>1056</v>
      </c>
      <c r="C7905" s="76" t="s">
        <v>1057</v>
      </c>
      <c r="D7905" s="75"/>
    </row>
    <row hidden="true" r="7906">
      <c r="A7906" s="76" t="s">
        <v>1391</v>
      </c>
      <c r="B7906" s="76" t="s">
        <v>1058</v>
      </c>
      <c r="C7906" s="76" t="s">
        <v>1059</v>
      </c>
      <c r="D7906" s="75"/>
    </row>
    <row hidden="true" r="7907">
      <c r="A7907" s="76" t="s">
        <v>1391</v>
      </c>
      <c r="B7907" s="76" t="s">
        <v>1060</v>
      </c>
      <c r="C7907" s="76" t="s">
        <v>1061</v>
      </c>
      <c r="D7907" s="75"/>
    </row>
    <row hidden="true" r="7908">
      <c r="A7908" s="76" t="s">
        <v>1391</v>
      </c>
      <c r="B7908" s="76" t="s">
        <v>1062</v>
      </c>
      <c r="C7908" s="76" t="s">
        <v>1063</v>
      </c>
      <c r="D7908" s="75"/>
    </row>
    <row hidden="true" r="7909">
      <c r="A7909" s="76" t="s">
        <v>1391</v>
      </c>
      <c r="B7909" s="76" t="s">
        <v>1064</v>
      </c>
      <c r="C7909" s="76" t="s">
        <v>1065</v>
      </c>
      <c r="D7909" s="75"/>
    </row>
    <row hidden="true" r="7910">
      <c r="A7910" s="76" t="s">
        <v>1391</v>
      </c>
      <c r="B7910" s="76" t="s">
        <v>1066</v>
      </c>
      <c r="C7910" s="76" t="s">
        <v>1067</v>
      </c>
      <c r="D7910" s="75"/>
    </row>
    <row hidden="true" r="7911">
      <c r="A7911" s="76" t="s">
        <v>1391</v>
      </c>
      <c r="B7911" s="76" t="s">
        <v>1068</v>
      </c>
      <c r="C7911" s="76" t="s">
        <v>1069</v>
      </c>
      <c r="D7911" s="75"/>
    </row>
    <row hidden="true" r="7912">
      <c r="A7912" s="76" t="s">
        <v>1391</v>
      </c>
      <c r="B7912" s="76" t="s">
        <v>1070</v>
      </c>
      <c r="C7912" s="76" t="s">
        <v>1069</v>
      </c>
      <c r="D7912" s="75"/>
    </row>
    <row hidden="true" r="7913">
      <c r="A7913" s="76" t="s">
        <v>1391</v>
      </c>
      <c r="B7913" s="76" t="s">
        <v>1071</v>
      </c>
      <c r="C7913" s="76" t="s">
        <v>1069</v>
      </c>
      <c r="D7913" s="75"/>
    </row>
    <row hidden="true" r="7914">
      <c r="A7914" s="76" t="s">
        <v>1391</v>
      </c>
      <c r="B7914" s="76" t="s">
        <v>1072</v>
      </c>
      <c r="C7914" s="76" t="s">
        <v>1073</v>
      </c>
      <c r="D7914" s="75"/>
    </row>
    <row hidden="true" r="7915">
      <c r="A7915" s="76" t="s">
        <v>1391</v>
      </c>
      <c r="B7915" s="76" t="s">
        <v>1074</v>
      </c>
      <c r="C7915" s="76" t="s">
        <v>1073</v>
      </c>
      <c r="D7915" s="75"/>
    </row>
    <row hidden="true" r="7916">
      <c r="A7916" s="76" t="s">
        <v>1391</v>
      </c>
      <c r="B7916" s="76" t="s">
        <v>1075</v>
      </c>
      <c r="C7916" s="76" t="s">
        <v>1073</v>
      </c>
      <c r="D7916" s="75"/>
    </row>
    <row hidden="true" r="7917">
      <c r="A7917" s="76" t="s">
        <v>1391</v>
      </c>
      <c r="B7917" s="76" t="s">
        <v>1082</v>
      </c>
      <c r="C7917" s="76" t="s">
        <v>1083</v>
      </c>
      <c r="D7917" s="75"/>
    </row>
    <row hidden="true" r="7918">
      <c r="A7918" s="76" t="s">
        <v>1391</v>
      </c>
      <c r="B7918" s="76" t="s">
        <v>1084</v>
      </c>
      <c r="C7918" s="76" t="s">
        <v>1085</v>
      </c>
      <c r="D7918" s="75"/>
    </row>
    <row hidden="true" r="7919">
      <c r="A7919" s="76" t="s">
        <v>1391</v>
      </c>
      <c r="B7919" s="76" t="s">
        <v>1086</v>
      </c>
      <c r="C7919" s="76" t="s">
        <v>1087</v>
      </c>
      <c r="D7919" s="75"/>
    </row>
    <row hidden="true" r="7920">
      <c r="A7920" s="76" t="s">
        <v>1391</v>
      </c>
      <c r="B7920" s="76" t="s">
        <v>1088</v>
      </c>
      <c r="C7920" s="76" t="s">
        <v>1089</v>
      </c>
      <c r="D7920" s="75"/>
    </row>
    <row hidden="true" r="7921">
      <c r="A7921" s="76" t="s">
        <v>1391</v>
      </c>
      <c r="B7921" s="76" t="s">
        <v>1076</v>
      </c>
      <c r="C7921" s="76" t="s">
        <v>1077</v>
      </c>
      <c r="D7921" s="75"/>
    </row>
    <row hidden="true" r="7922">
      <c r="A7922" s="76" t="s">
        <v>1391</v>
      </c>
      <c r="B7922" s="76" t="s">
        <v>1078</v>
      </c>
      <c r="C7922" s="76" t="s">
        <v>1079</v>
      </c>
      <c r="D7922" s="75"/>
    </row>
    <row hidden="true" r="7923">
      <c r="A7923" s="76" t="s">
        <v>1391</v>
      </c>
      <c r="B7923" s="76" t="s">
        <v>1040</v>
      </c>
      <c r="C7923" s="76" t="s">
        <v>1041</v>
      </c>
      <c r="D7923" s="75"/>
    </row>
    <row hidden="true" r="7924">
      <c r="A7924" s="76" t="s">
        <v>1391</v>
      </c>
      <c r="B7924" s="76" t="s">
        <v>839</v>
      </c>
      <c r="C7924" s="76" t="s">
        <v>840</v>
      </c>
      <c r="D7924" s="75"/>
    </row>
    <row hidden="true" r="7925">
      <c r="A7925" s="76" t="s">
        <v>1391</v>
      </c>
      <c r="B7925" s="76" t="s">
        <v>1121</v>
      </c>
      <c r="C7925" s="76" t="s">
        <v>1122</v>
      </c>
      <c r="D7925" s="75"/>
    </row>
    <row hidden="true" r="7926">
      <c r="A7926" s="76" t="s">
        <v>1391</v>
      </c>
      <c r="B7926" s="76" t="s">
        <v>1325</v>
      </c>
      <c r="C7926" s="76" t="s">
        <v>1326</v>
      </c>
      <c r="D7926" s="75"/>
    </row>
    <row hidden="true" r="7927">
      <c r="A7927" s="76" t="s">
        <v>1391</v>
      </c>
      <c r="B7927" s="76" t="s">
        <v>1080</v>
      </c>
      <c r="C7927" s="76" t="s">
        <v>1081</v>
      </c>
      <c r="D7927" s="75"/>
    </row>
    <row hidden="true" r="7928">
      <c r="A7928" s="76" t="s">
        <v>1391</v>
      </c>
      <c r="B7928" s="76" t="s">
        <v>1327</v>
      </c>
      <c r="C7928" s="76" t="s">
        <v>1328</v>
      </c>
      <c r="D7928" s="75"/>
    </row>
    <row hidden="true" r="7929">
      <c r="A7929" s="76" t="s">
        <v>1391</v>
      </c>
      <c r="B7929" s="76" t="s">
        <v>1090</v>
      </c>
      <c r="C7929" s="76" t="s">
        <v>1091</v>
      </c>
      <c r="D7929" s="75"/>
    </row>
    <row hidden="true" r="7930">
      <c r="A7930" s="76" t="s">
        <v>1391</v>
      </c>
      <c r="B7930" s="76" t="s">
        <v>1092</v>
      </c>
      <c r="C7930" s="76" t="s">
        <v>1091</v>
      </c>
      <c r="D7930" s="75"/>
    </row>
    <row hidden="true" r="7931">
      <c r="A7931" s="76" t="s">
        <v>1391</v>
      </c>
      <c r="B7931" s="76" t="s">
        <v>1093</v>
      </c>
      <c r="C7931" s="76" t="s">
        <v>1094</v>
      </c>
      <c r="D7931" s="75"/>
    </row>
    <row hidden="true" r="7932">
      <c r="A7932" s="76" t="s">
        <v>1391</v>
      </c>
      <c r="B7932" s="76" t="s">
        <v>1095</v>
      </c>
      <c r="C7932" s="76" t="s">
        <v>1096</v>
      </c>
      <c r="D7932" s="75"/>
    </row>
    <row hidden="true" r="7933">
      <c r="A7933" s="76" t="s">
        <v>1391</v>
      </c>
      <c r="B7933" s="76" t="s">
        <v>1097</v>
      </c>
      <c r="C7933" s="76" t="s">
        <v>1098</v>
      </c>
      <c r="D7933" s="75"/>
    </row>
    <row hidden="true" r="7934">
      <c r="A7934" s="76" t="s">
        <v>1391</v>
      </c>
      <c r="B7934" s="76" t="s">
        <v>1103</v>
      </c>
      <c r="C7934" s="76" t="s">
        <v>1104</v>
      </c>
      <c r="D7934" s="75"/>
    </row>
    <row hidden="true" r="7935">
      <c r="A7935" s="76" t="s">
        <v>1391</v>
      </c>
      <c r="B7935" s="76" t="s">
        <v>1329</v>
      </c>
      <c r="C7935" s="76" t="s">
        <v>1330</v>
      </c>
      <c r="D7935" s="75"/>
    </row>
    <row hidden="true" r="7936">
      <c r="A7936" s="76" t="s">
        <v>1391</v>
      </c>
      <c r="B7936" s="76" t="s">
        <v>1113</v>
      </c>
      <c r="C7936" s="76" t="s">
        <v>1114</v>
      </c>
      <c r="D7936" s="75"/>
    </row>
    <row hidden="true" r="7937">
      <c r="A7937" s="76" t="s">
        <v>1391</v>
      </c>
      <c r="B7937" s="76" t="s">
        <v>1115</v>
      </c>
      <c r="C7937" s="76" t="s">
        <v>1116</v>
      </c>
      <c r="D7937" s="75"/>
    </row>
    <row hidden="true" r="7938">
      <c r="A7938" s="76" t="s">
        <v>1391</v>
      </c>
      <c r="B7938" s="76" t="s">
        <v>1117</v>
      </c>
      <c r="C7938" s="76" t="s">
        <v>1118</v>
      </c>
      <c r="D7938" s="75"/>
    </row>
    <row hidden="true" r="7939">
      <c r="A7939" s="76" t="s">
        <v>1391</v>
      </c>
      <c r="B7939" s="76" t="s">
        <v>1119</v>
      </c>
      <c r="C7939" s="76" t="s">
        <v>1120</v>
      </c>
      <c r="D7939" s="75"/>
    </row>
    <row hidden="true" r="7940">
      <c r="A7940" s="76" t="s">
        <v>1391</v>
      </c>
      <c r="B7940" s="76" t="s">
        <v>1127</v>
      </c>
      <c r="C7940" s="76" t="s">
        <v>1128</v>
      </c>
      <c r="D7940" s="75"/>
    </row>
    <row hidden="true" r="7941">
      <c r="A7941" s="76" t="s">
        <v>1391</v>
      </c>
      <c r="B7941" s="76" t="s">
        <v>1129</v>
      </c>
      <c r="C7941" s="76" t="s">
        <v>1130</v>
      </c>
      <c r="D7941" s="75"/>
    </row>
    <row hidden="true" r="7942">
      <c r="A7942" s="76" t="s">
        <v>1391</v>
      </c>
      <c r="B7942" s="76" t="s">
        <v>1131</v>
      </c>
      <c r="C7942" s="76" t="s">
        <v>1132</v>
      </c>
      <c r="D7942" s="75"/>
    </row>
    <row hidden="true" r="7943">
      <c r="A7943" s="76" t="s">
        <v>1391</v>
      </c>
      <c r="B7943" s="76" t="s">
        <v>1137</v>
      </c>
      <c r="C7943" s="76" t="s">
        <v>1138</v>
      </c>
      <c r="D7943" s="75"/>
    </row>
    <row hidden="true" r="7944">
      <c r="A7944" s="76" t="s">
        <v>1391</v>
      </c>
      <c r="B7944" s="76" t="s">
        <v>1139</v>
      </c>
      <c r="C7944" s="76" t="s">
        <v>1140</v>
      </c>
      <c r="D7944" s="75"/>
    </row>
    <row hidden="true" r="7945">
      <c r="A7945" s="76" t="s">
        <v>1391</v>
      </c>
      <c r="B7945" s="76" t="s">
        <v>1141</v>
      </c>
      <c r="C7945" s="76" t="s">
        <v>1142</v>
      </c>
      <c r="D7945" s="75"/>
    </row>
    <row hidden="true" r="7946">
      <c r="A7946" s="76" t="s">
        <v>1391</v>
      </c>
      <c r="B7946" s="76" t="s">
        <v>1143</v>
      </c>
      <c r="C7946" s="76" t="s">
        <v>1144</v>
      </c>
      <c r="D7946" s="75"/>
    </row>
    <row hidden="true" r="7947">
      <c r="A7947" s="76" t="s">
        <v>1391</v>
      </c>
      <c r="B7947" s="76" t="s">
        <v>1145</v>
      </c>
      <c r="C7947" s="76" t="s">
        <v>1223</v>
      </c>
      <c r="D7947" s="75"/>
    </row>
    <row hidden="true" r="7948">
      <c r="A7948" s="76" t="s">
        <v>1391</v>
      </c>
      <c r="B7948" s="76" t="s">
        <v>1147</v>
      </c>
      <c r="C7948" s="76" t="s">
        <v>1148</v>
      </c>
      <c r="D7948" s="75"/>
    </row>
    <row hidden="true" r="7949">
      <c r="A7949" s="76" t="s">
        <v>1391</v>
      </c>
      <c r="B7949" s="76" t="s">
        <v>1153</v>
      </c>
      <c r="C7949" s="76" t="s">
        <v>1154</v>
      </c>
      <c r="D7949" s="75"/>
    </row>
    <row hidden="true" r="7950">
      <c r="A7950" s="76" t="s">
        <v>1391</v>
      </c>
      <c r="B7950" s="76" t="s">
        <v>1155</v>
      </c>
      <c r="C7950" s="76" t="s">
        <v>1156</v>
      </c>
      <c r="D7950" s="75"/>
    </row>
    <row hidden="true" r="7951">
      <c r="A7951" s="76" t="s">
        <v>1391</v>
      </c>
      <c r="B7951" s="76" t="s">
        <v>1157</v>
      </c>
      <c r="C7951" s="76" t="s">
        <v>1158</v>
      </c>
      <c r="D7951" s="75"/>
    </row>
    <row hidden="true" r="7952">
      <c r="A7952" s="76" t="s">
        <v>1391</v>
      </c>
      <c r="B7952" s="76" t="s">
        <v>1159</v>
      </c>
      <c r="C7952" s="76" t="s">
        <v>1160</v>
      </c>
      <c r="D7952" s="75"/>
    </row>
    <row hidden="true" r="7953">
      <c r="A7953" s="76" t="s">
        <v>1391</v>
      </c>
      <c r="B7953" s="76" t="s">
        <v>1161</v>
      </c>
      <c r="C7953" s="76" t="s">
        <v>1162</v>
      </c>
      <c r="D7953" s="75"/>
    </row>
    <row hidden="true" r="7954">
      <c r="A7954" s="76" t="s">
        <v>1391</v>
      </c>
      <c r="B7954" s="76" t="s">
        <v>1163</v>
      </c>
      <c r="C7954" s="76" t="s">
        <v>1164</v>
      </c>
      <c r="D7954" s="75"/>
    </row>
    <row hidden="true" r="7955">
      <c r="A7955" s="76" t="s">
        <v>1391</v>
      </c>
      <c r="B7955" s="76" t="s">
        <v>1165</v>
      </c>
      <c r="C7955" s="76" t="s">
        <v>1166</v>
      </c>
      <c r="D7955" s="75"/>
    </row>
    <row hidden="true" r="7956">
      <c r="A7956" s="76" t="s">
        <v>1391</v>
      </c>
      <c r="B7956" s="76" t="s">
        <v>1331</v>
      </c>
      <c r="C7956" s="76" t="s">
        <v>1345</v>
      </c>
      <c r="D7956" s="75"/>
    </row>
    <row hidden="true" r="7957">
      <c r="A7957" s="76" t="s">
        <v>1391</v>
      </c>
      <c r="B7957" s="76" t="s">
        <v>1333</v>
      </c>
      <c r="C7957" s="76" t="s">
        <v>1346</v>
      </c>
      <c r="D7957" s="75"/>
    </row>
    <row hidden="true" r="7958">
      <c r="A7958" s="76" t="s">
        <v>1391</v>
      </c>
      <c r="B7958" s="76" t="s">
        <v>1335</v>
      </c>
      <c r="C7958" s="76" t="s">
        <v>1347</v>
      </c>
      <c r="D7958" s="75"/>
    </row>
    <row hidden="true" r="7959">
      <c r="A7959" s="76" t="s">
        <v>1391</v>
      </c>
      <c r="B7959" s="76" t="s">
        <v>1337</v>
      </c>
      <c r="C7959" s="76" t="s">
        <v>1348</v>
      </c>
      <c r="D7959" s="75"/>
    </row>
    <row hidden="true" r="7960">
      <c r="A7960" s="76" t="s">
        <v>1391</v>
      </c>
      <c r="B7960" s="76" t="s">
        <v>1339</v>
      </c>
      <c r="C7960" s="76" t="s">
        <v>1349</v>
      </c>
      <c r="D7960" s="75"/>
    </row>
    <row hidden="true" r="7961">
      <c r="A7961" s="76" t="s">
        <v>1391</v>
      </c>
      <c r="B7961" s="76" t="s">
        <v>1341</v>
      </c>
      <c r="C7961" s="76" t="s">
        <v>1342</v>
      </c>
      <c r="D7961" s="75"/>
    </row>
    <row hidden="true" r="7962">
      <c r="A7962" s="76" t="s">
        <v>1391</v>
      </c>
      <c r="B7962" s="76" t="s">
        <v>1044</v>
      </c>
      <c r="C7962" s="76" t="s">
        <v>1045</v>
      </c>
      <c r="D7962" s="75"/>
    </row>
    <row hidden="true" r="7963">
      <c r="A7963" s="76" t="s">
        <v>1391</v>
      </c>
      <c r="B7963" s="76" t="s">
        <v>1046</v>
      </c>
      <c r="C7963" s="76" t="s">
        <v>1047</v>
      </c>
      <c r="D7963" s="75"/>
    </row>
    <row hidden="true" r="7964">
      <c r="A7964" s="76" t="s">
        <v>1391</v>
      </c>
      <c r="B7964" s="76" t="s">
        <v>1048</v>
      </c>
      <c r="C7964" s="76" t="s">
        <v>1049</v>
      </c>
      <c r="D7964" s="75"/>
    </row>
    <row hidden="true" r="7965">
      <c r="A7965" s="76" t="s">
        <v>1391</v>
      </c>
      <c r="B7965" s="76" t="s">
        <v>1167</v>
      </c>
      <c r="C7965" s="76" t="s">
        <v>1168</v>
      </c>
      <c r="D7965" s="75"/>
    </row>
    <row hidden="true" r="7966">
      <c r="A7966" s="76" t="s">
        <v>1391</v>
      </c>
      <c r="B7966" s="76" t="s">
        <v>1169</v>
      </c>
      <c r="C7966" s="76" t="s">
        <v>1170</v>
      </c>
      <c r="D7966" s="75"/>
    </row>
    <row hidden="true" r="7967">
      <c r="A7967" s="76" t="s">
        <v>1391</v>
      </c>
      <c r="B7967" s="76" t="s">
        <v>1171</v>
      </c>
      <c r="C7967" s="76" t="s">
        <v>1172</v>
      </c>
      <c r="D7967" s="75"/>
    </row>
    <row hidden="true" r="7968">
      <c r="A7968" s="76" t="s">
        <v>1391</v>
      </c>
      <c r="B7968" s="76" t="s">
        <v>1173</v>
      </c>
      <c r="C7968" s="76" t="s">
        <v>1174</v>
      </c>
      <c r="D7968" s="75"/>
    </row>
    <row hidden="true" r="7969">
      <c r="A7969" s="76" t="s">
        <v>1391</v>
      </c>
      <c r="B7969" s="76" t="s">
        <v>1175</v>
      </c>
      <c r="C7969" s="76" t="s">
        <v>1176</v>
      </c>
      <c r="D7969" s="75"/>
    </row>
    <row hidden="true" r="7970">
      <c r="A7970" s="76" t="s">
        <v>1391</v>
      </c>
      <c r="B7970" s="76" t="s">
        <v>1177</v>
      </c>
      <c r="C7970" s="76" t="s">
        <v>1178</v>
      </c>
      <c r="D7970" s="75"/>
    </row>
    <row hidden="true" r="7971">
      <c r="A7971" s="76" t="s">
        <v>1391</v>
      </c>
      <c r="B7971" s="76" t="s">
        <v>1135</v>
      </c>
      <c r="C7971" s="76" t="s">
        <v>1136</v>
      </c>
      <c r="D7971" s="75"/>
    </row>
    <row hidden="true" r="7972">
      <c r="A7972" s="76" t="s">
        <v>1391</v>
      </c>
      <c r="B7972" s="76" t="s">
        <v>1179</v>
      </c>
      <c r="C7972" s="76" t="s">
        <v>1180</v>
      </c>
      <c r="D7972" s="75"/>
    </row>
    <row hidden="true" r="7973">
      <c r="A7973" s="76" t="s">
        <v>1391</v>
      </c>
      <c r="B7973" s="76" t="s">
        <v>1181</v>
      </c>
      <c r="C7973" s="76" t="s">
        <v>1182</v>
      </c>
      <c r="D7973" s="75"/>
    </row>
    <row hidden="true" r="7974">
      <c r="A7974" s="76" t="s">
        <v>1391</v>
      </c>
      <c r="B7974" s="76" t="s">
        <v>1183</v>
      </c>
      <c r="C7974" s="76" t="s">
        <v>1184</v>
      </c>
      <c r="D7974" s="75"/>
    </row>
    <row hidden="true" r="7975">
      <c r="A7975" s="76" t="s">
        <v>1391</v>
      </c>
      <c r="B7975" s="76" t="s">
        <v>1185</v>
      </c>
      <c r="C7975" s="76" t="s">
        <v>1186</v>
      </c>
      <c r="D7975" s="75"/>
    </row>
    <row hidden="true" r="7976">
      <c r="A7976" s="76" t="s">
        <v>1391</v>
      </c>
      <c r="B7976" s="76" t="s">
        <v>1187</v>
      </c>
      <c r="C7976" s="76" t="s">
        <v>1188</v>
      </c>
      <c r="D7976" s="75"/>
    </row>
    <row hidden="true" r="7977">
      <c r="A7977" s="76" t="s">
        <v>1391</v>
      </c>
      <c r="B7977" s="76" t="s">
        <v>1189</v>
      </c>
      <c r="C7977" s="76" t="s">
        <v>1190</v>
      </c>
      <c r="D7977" s="75"/>
    </row>
    <row hidden="true" r="7978">
      <c r="A7978" s="76" t="s">
        <v>1391</v>
      </c>
      <c r="B7978" s="76" t="s">
        <v>1199</v>
      </c>
      <c r="C7978" s="76" t="s">
        <v>1200</v>
      </c>
      <c r="D7978" s="75"/>
    </row>
    <row hidden="true" r="7979">
      <c r="A7979" s="76" t="s">
        <v>1391</v>
      </c>
      <c r="B7979" s="76" t="s">
        <v>1201</v>
      </c>
      <c r="C7979" s="76" t="s">
        <v>1202</v>
      </c>
      <c r="D7979" s="75"/>
    </row>
    <row hidden="true" r="7980">
      <c r="A7980" s="76" t="s">
        <v>1391</v>
      </c>
      <c r="B7980" s="76" t="s">
        <v>1203</v>
      </c>
      <c r="C7980" s="76" t="s">
        <v>1204</v>
      </c>
      <c r="D7980" s="75"/>
    </row>
    <row hidden="true" r="7981">
      <c r="A7981" s="76" t="s">
        <v>1391</v>
      </c>
      <c r="B7981" s="76" t="s">
        <v>1205</v>
      </c>
      <c r="C7981" s="76" t="s">
        <v>1206</v>
      </c>
      <c r="D7981" s="75"/>
    </row>
    <row hidden="true" r="7982">
      <c r="A7982" s="76" t="s">
        <v>1391</v>
      </c>
      <c r="B7982" s="76" t="s">
        <v>1207</v>
      </c>
      <c r="C7982" s="76" t="s">
        <v>1208</v>
      </c>
      <c r="D7982" s="75"/>
    </row>
    <row hidden="true" r="7983">
      <c r="A7983" s="76" t="s">
        <v>1391</v>
      </c>
      <c r="B7983" s="76" t="s">
        <v>1209</v>
      </c>
      <c r="C7983" s="76" t="s">
        <v>1210</v>
      </c>
      <c r="D7983" s="75"/>
    </row>
    <row hidden="true" r="7984">
      <c r="A7984" s="76" t="s">
        <v>1391</v>
      </c>
      <c r="B7984" s="76" t="s">
        <v>1211</v>
      </c>
      <c r="C7984" s="76" t="s">
        <v>1224</v>
      </c>
      <c r="D7984" s="75"/>
    </row>
    <row hidden="true" r="7985">
      <c r="A7985" s="76" t="s">
        <v>1391</v>
      </c>
      <c r="B7985" s="76" t="s">
        <v>735</v>
      </c>
      <c r="C7985" s="76"/>
      <c r="D7985" s="75"/>
    </row>
    <row hidden="true" r="7986">
      <c r="A7986" s="76" t="s">
        <v>1392</v>
      </c>
      <c r="B7986" s="76" t="s">
        <v>407</v>
      </c>
      <c r="C7986" s="76" t="s">
        <v>1226</v>
      </c>
      <c r="D7986" s="75"/>
    </row>
    <row hidden="true" r="7987">
      <c r="A7987" s="76" t="s">
        <v>1392</v>
      </c>
      <c r="B7987" s="76" t="s">
        <v>744</v>
      </c>
      <c r="C7987" s="76" t="s">
        <v>745</v>
      </c>
      <c r="D7987" s="75"/>
    </row>
    <row hidden="true" r="7988">
      <c r="A7988" s="76" t="s">
        <v>1392</v>
      </c>
      <c r="B7988" s="76" t="s">
        <v>480</v>
      </c>
      <c r="C7988" s="76" t="s">
        <v>481</v>
      </c>
      <c r="D7988" s="75"/>
    </row>
    <row hidden="true" r="7989">
      <c r="A7989" s="76" t="s">
        <v>1392</v>
      </c>
      <c r="B7989" s="76" t="s">
        <v>884</v>
      </c>
      <c r="C7989" s="76" t="s">
        <v>1227</v>
      </c>
      <c r="D7989" s="75"/>
    </row>
    <row hidden="true" r="7990">
      <c r="A7990" s="76" t="s">
        <v>1392</v>
      </c>
      <c r="B7990" s="76" t="s">
        <v>886</v>
      </c>
      <c r="C7990" s="76" t="s">
        <v>1228</v>
      </c>
      <c r="D7990" s="75"/>
    </row>
    <row hidden="true" r="7991">
      <c r="A7991" s="76" t="s">
        <v>1392</v>
      </c>
      <c r="B7991" s="76" t="s">
        <v>888</v>
      </c>
      <c r="C7991" s="76" t="s">
        <v>889</v>
      </c>
      <c r="D7991" s="75"/>
    </row>
    <row hidden="true" r="7992">
      <c r="A7992" s="76" t="s">
        <v>1392</v>
      </c>
      <c r="B7992" s="76" t="s">
        <v>890</v>
      </c>
      <c r="C7992" s="76" t="s">
        <v>891</v>
      </c>
      <c r="D7992" s="75"/>
    </row>
    <row hidden="true" r="7993">
      <c r="A7993" s="76" t="s">
        <v>1392</v>
      </c>
      <c r="B7993" s="76" t="s">
        <v>892</v>
      </c>
      <c r="C7993" s="76" t="s">
        <v>893</v>
      </c>
      <c r="D7993" s="75"/>
    </row>
    <row hidden="true" r="7994">
      <c r="A7994" s="76" t="s">
        <v>1392</v>
      </c>
      <c r="B7994" s="76" t="s">
        <v>894</v>
      </c>
      <c r="C7994" s="76" t="s">
        <v>1217</v>
      </c>
      <c r="D7994" s="75"/>
    </row>
    <row hidden="true" r="7995">
      <c r="A7995" s="76" t="s">
        <v>1392</v>
      </c>
      <c r="B7995" s="76" t="s">
        <v>896</v>
      </c>
      <c r="C7995" s="76" t="s">
        <v>1229</v>
      </c>
      <c r="D7995" s="75"/>
    </row>
    <row hidden="true" r="7996">
      <c r="A7996" s="76" t="s">
        <v>1392</v>
      </c>
      <c r="B7996" s="76" t="s">
        <v>898</v>
      </c>
      <c r="C7996" s="76" t="s">
        <v>899</v>
      </c>
      <c r="D7996" s="75"/>
    </row>
    <row hidden="true" r="7997">
      <c r="A7997" s="76" t="s">
        <v>1392</v>
      </c>
      <c r="B7997" s="76" t="s">
        <v>900</v>
      </c>
      <c r="C7997" s="76" t="s">
        <v>1230</v>
      </c>
      <c r="D7997" s="75"/>
    </row>
    <row hidden="true" r="7998">
      <c r="A7998" s="76" t="s">
        <v>1392</v>
      </c>
      <c r="B7998" s="76" t="s">
        <v>902</v>
      </c>
      <c r="C7998" s="76" t="s">
        <v>903</v>
      </c>
      <c r="D7998" s="75"/>
    </row>
    <row hidden="true" r="7999">
      <c r="A7999" s="76" t="s">
        <v>1392</v>
      </c>
      <c r="B7999" s="76" t="s">
        <v>904</v>
      </c>
      <c r="C7999" s="76" t="s">
        <v>905</v>
      </c>
      <c r="D7999" s="75"/>
    </row>
    <row hidden="true" r="8000">
      <c r="A8000" s="76" t="s">
        <v>1392</v>
      </c>
      <c r="B8000" s="76" t="s">
        <v>906</v>
      </c>
      <c r="C8000" s="76" t="s">
        <v>1231</v>
      </c>
      <c r="D8000" s="75"/>
    </row>
    <row hidden="true" r="8001">
      <c r="A8001" s="76" t="s">
        <v>1392</v>
      </c>
      <c r="B8001" s="76" t="s">
        <v>908</v>
      </c>
      <c r="C8001" s="76" t="s">
        <v>909</v>
      </c>
      <c r="D8001" s="75"/>
    </row>
    <row hidden="true" r="8002">
      <c r="A8002" s="76" t="s">
        <v>1392</v>
      </c>
      <c r="B8002" s="76" t="s">
        <v>910</v>
      </c>
      <c r="C8002" s="76" t="s">
        <v>911</v>
      </c>
      <c r="D8002" s="75"/>
    </row>
    <row hidden="true" r="8003">
      <c r="A8003" s="76" t="s">
        <v>1392</v>
      </c>
      <c r="B8003" s="76" t="s">
        <v>912</v>
      </c>
      <c r="C8003" s="76" t="s">
        <v>913</v>
      </c>
      <c r="D8003" s="75"/>
    </row>
    <row hidden="true" r="8004">
      <c r="A8004" s="76" t="s">
        <v>1392</v>
      </c>
      <c r="B8004" s="76" t="s">
        <v>914</v>
      </c>
      <c r="C8004" s="76" t="s">
        <v>915</v>
      </c>
      <c r="D8004" s="75"/>
    </row>
    <row hidden="true" r="8005">
      <c r="A8005" s="76" t="s">
        <v>1392</v>
      </c>
      <c r="B8005" s="76" t="s">
        <v>916</v>
      </c>
      <c r="C8005" s="76" t="s">
        <v>917</v>
      </c>
      <c r="D8005" s="75"/>
    </row>
    <row hidden="true" r="8006">
      <c r="A8006" s="76" t="s">
        <v>1392</v>
      </c>
      <c r="B8006" s="76" t="s">
        <v>918</v>
      </c>
      <c r="C8006" s="76" t="s">
        <v>919</v>
      </c>
      <c r="D8006" s="75"/>
    </row>
    <row hidden="true" r="8007">
      <c r="A8007" s="76" t="s">
        <v>1392</v>
      </c>
      <c r="B8007" s="76" t="s">
        <v>920</v>
      </c>
      <c r="C8007" s="76" t="s">
        <v>921</v>
      </c>
      <c r="D8007" s="75"/>
    </row>
    <row hidden="true" r="8008">
      <c r="A8008" s="76" t="s">
        <v>1392</v>
      </c>
      <c r="B8008" s="76" t="s">
        <v>922</v>
      </c>
      <c r="C8008" s="76" t="s">
        <v>923</v>
      </c>
      <c r="D8008" s="75"/>
    </row>
    <row hidden="true" r="8009">
      <c r="A8009" s="76" t="s">
        <v>1392</v>
      </c>
      <c r="B8009" s="76" t="s">
        <v>924</v>
      </c>
      <c r="C8009" s="76" t="s">
        <v>925</v>
      </c>
      <c r="D8009" s="75"/>
    </row>
    <row hidden="true" r="8010">
      <c r="A8010" s="76" t="s">
        <v>1392</v>
      </c>
      <c r="B8010" s="76" t="s">
        <v>926</v>
      </c>
      <c r="C8010" s="76" t="s">
        <v>927</v>
      </c>
      <c r="D8010" s="75"/>
    </row>
    <row hidden="true" r="8011">
      <c r="A8011" s="76" t="s">
        <v>1392</v>
      </c>
      <c r="B8011" s="76" t="s">
        <v>928</v>
      </c>
      <c r="C8011" s="76" t="s">
        <v>929</v>
      </c>
      <c r="D8011" s="75"/>
    </row>
    <row hidden="true" r="8012">
      <c r="A8012" s="76" t="s">
        <v>1392</v>
      </c>
      <c r="B8012" s="76" t="s">
        <v>930</v>
      </c>
      <c r="C8012" s="76" t="s">
        <v>931</v>
      </c>
      <c r="D8012" s="75"/>
    </row>
    <row hidden="true" r="8013">
      <c r="A8013" s="76" t="s">
        <v>1392</v>
      </c>
      <c r="B8013" s="76" t="s">
        <v>932</v>
      </c>
      <c r="C8013" s="76" t="s">
        <v>933</v>
      </c>
      <c r="D8013" s="75"/>
    </row>
    <row hidden="true" r="8014">
      <c r="A8014" s="76" t="s">
        <v>1392</v>
      </c>
      <c r="B8014" s="76" t="s">
        <v>934</v>
      </c>
      <c r="C8014" s="76" t="s">
        <v>935</v>
      </c>
      <c r="D8014" s="75"/>
    </row>
    <row hidden="true" r="8015">
      <c r="A8015" s="76" t="s">
        <v>1392</v>
      </c>
      <c r="B8015" s="76" t="s">
        <v>936</v>
      </c>
      <c r="C8015" s="76" t="s">
        <v>937</v>
      </c>
      <c r="D8015" s="75"/>
    </row>
    <row hidden="true" r="8016">
      <c r="A8016" s="76" t="s">
        <v>1392</v>
      </c>
      <c r="B8016" s="76" t="s">
        <v>938</v>
      </c>
      <c r="C8016" s="76" t="s">
        <v>1220</v>
      </c>
      <c r="D8016" s="75"/>
    </row>
    <row hidden="true" r="8017">
      <c r="A8017" s="76" t="s">
        <v>1392</v>
      </c>
      <c r="B8017" s="76" t="s">
        <v>940</v>
      </c>
      <c r="C8017" s="76" t="s">
        <v>1232</v>
      </c>
      <c r="D8017" s="75"/>
    </row>
    <row hidden="true" r="8018">
      <c r="A8018" s="76" t="s">
        <v>1392</v>
      </c>
      <c r="B8018" s="76" t="s">
        <v>942</v>
      </c>
      <c r="C8018" s="76" t="s">
        <v>943</v>
      </c>
      <c r="D8018" s="75"/>
    </row>
    <row hidden="true" r="8019">
      <c r="A8019" s="76" t="s">
        <v>1392</v>
      </c>
      <c r="B8019" s="76" t="s">
        <v>944</v>
      </c>
      <c r="C8019" s="76" t="s">
        <v>945</v>
      </c>
      <c r="D8019" s="75"/>
    </row>
    <row hidden="true" r="8020">
      <c r="A8020" s="76" t="s">
        <v>1392</v>
      </c>
      <c r="B8020" s="76" t="s">
        <v>1305</v>
      </c>
      <c r="C8020" s="76" t="s">
        <v>1306</v>
      </c>
      <c r="D8020" s="75"/>
    </row>
    <row hidden="true" r="8021">
      <c r="A8021" s="76" t="s">
        <v>1392</v>
      </c>
      <c r="B8021" s="76" t="s">
        <v>1307</v>
      </c>
      <c r="C8021" s="76" t="s">
        <v>1308</v>
      </c>
      <c r="D8021" s="75"/>
    </row>
    <row hidden="true" r="8022">
      <c r="A8022" s="76" t="s">
        <v>1392</v>
      </c>
      <c r="B8022" s="76" t="s">
        <v>946</v>
      </c>
      <c r="C8022" s="76" t="s">
        <v>1233</v>
      </c>
      <c r="D8022" s="75"/>
    </row>
    <row hidden="true" r="8023">
      <c r="A8023" s="76" t="s">
        <v>1392</v>
      </c>
      <c r="B8023" s="76" t="s">
        <v>948</v>
      </c>
      <c r="C8023" s="76" t="s">
        <v>1222</v>
      </c>
      <c r="D8023" s="75"/>
    </row>
    <row hidden="true" r="8024">
      <c r="A8024" s="76" t="s">
        <v>1392</v>
      </c>
      <c r="B8024" s="76" t="s">
        <v>950</v>
      </c>
      <c r="C8024" s="76" t="s">
        <v>951</v>
      </c>
      <c r="D8024" s="75"/>
    </row>
    <row hidden="true" r="8025">
      <c r="A8025" s="76" t="s">
        <v>1392</v>
      </c>
      <c r="B8025" s="76" t="s">
        <v>952</v>
      </c>
      <c r="C8025" s="76" t="s">
        <v>953</v>
      </c>
      <c r="D8025" s="75"/>
    </row>
    <row hidden="true" r="8026">
      <c r="A8026" s="76" t="s">
        <v>1392</v>
      </c>
      <c r="B8026" s="76" t="s">
        <v>954</v>
      </c>
      <c r="C8026" s="76" t="s">
        <v>955</v>
      </c>
      <c r="D8026" s="75"/>
    </row>
    <row hidden="true" r="8027">
      <c r="A8027" s="76" t="s">
        <v>1392</v>
      </c>
      <c r="B8027" s="76" t="s">
        <v>775</v>
      </c>
      <c r="C8027" s="76" t="s">
        <v>1234</v>
      </c>
      <c r="D8027" s="75"/>
    </row>
    <row hidden="true" r="8028">
      <c r="A8028" s="76" t="s">
        <v>1392</v>
      </c>
      <c r="B8028" s="76" t="s">
        <v>956</v>
      </c>
      <c r="C8028" s="76" t="s">
        <v>957</v>
      </c>
      <c r="D8028" s="75"/>
    </row>
    <row hidden="true" r="8029">
      <c r="A8029" s="76" t="s">
        <v>1392</v>
      </c>
      <c r="B8029" s="76" t="s">
        <v>958</v>
      </c>
      <c r="C8029" s="76" t="s">
        <v>959</v>
      </c>
      <c r="D8029" s="75"/>
    </row>
    <row hidden="true" r="8030">
      <c r="A8030" s="76" t="s">
        <v>1392</v>
      </c>
      <c r="B8030" s="76" t="s">
        <v>960</v>
      </c>
      <c r="C8030" s="76" t="s">
        <v>961</v>
      </c>
      <c r="D8030" s="75"/>
    </row>
    <row hidden="true" r="8031">
      <c r="A8031" s="76" t="s">
        <v>1392</v>
      </c>
      <c r="B8031" s="76" t="s">
        <v>962</v>
      </c>
      <c r="C8031" s="76" t="s">
        <v>1235</v>
      </c>
      <c r="D8031" s="75"/>
    </row>
    <row hidden="true" r="8032">
      <c r="A8032" s="76" t="s">
        <v>1392</v>
      </c>
      <c r="B8032" s="76" t="s">
        <v>964</v>
      </c>
      <c r="C8032" s="76" t="s">
        <v>1236</v>
      </c>
      <c r="D8032" s="75"/>
    </row>
    <row hidden="true" r="8033">
      <c r="A8033" s="76" t="s">
        <v>1392</v>
      </c>
      <c r="B8033" s="76" t="s">
        <v>966</v>
      </c>
      <c r="C8033" s="76" t="s">
        <v>967</v>
      </c>
      <c r="D8033" s="75"/>
    </row>
    <row hidden="true" r="8034">
      <c r="A8034" s="76" t="s">
        <v>1392</v>
      </c>
      <c r="B8034" s="76" t="s">
        <v>968</v>
      </c>
      <c r="C8034" s="76" t="s">
        <v>969</v>
      </c>
      <c r="D8034" s="75"/>
    </row>
    <row hidden="true" r="8035">
      <c r="A8035" s="76" t="s">
        <v>1392</v>
      </c>
      <c r="B8035" s="76" t="s">
        <v>970</v>
      </c>
      <c r="C8035" s="76" t="s">
        <v>971</v>
      </c>
      <c r="D8035" s="75"/>
    </row>
    <row hidden="true" r="8036">
      <c r="A8036" s="76" t="s">
        <v>1392</v>
      </c>
      <c r="B8036" s="76" t="s">
        <v>972</v>
      </c>
      <c r="C8036" s="76" t="s">
        <v>1237</v>
      </c>
      <c r="D8036" s="75"/>
    </row>
    <row hidden="true" r="8037">
      <c r="A8037" s="76" t="s">
        <v>1392</v>
      </c>
      <c r="B8037" s="76" t="s">
        <v>974</v>
      </c>
      <c r="C8037" s="76" t="s">
        <v>975</v>
      </c>
      <c r="D8037" s="75"/>
    </row>
    <row hidden="true" r="8038">
      <c r="A8038" s="76" t="s">
        <v>1392</v>
      </c>
      <c r="B8038" s="76" t="s">
        <v>976</v>
      </c>
      <c r="C8038" s="76" t="s">
        <v>977</v>
      </c>
      <c r="D8038" s="75"/>
    </row>
    <row hidden="true" r="8039">
      <c r="A8039" s="76" t="s">
        <v>1392</v>
      </c>
      <c r="B8039" s="76" t="s">
        <v>823</v>
      </c>
      <c r="C8039" s="76" t="s">
        <v>824</v>
      </c>
      <c r="D8039" s="75"/>
    </row>
    <row hidden="true" r="8040">
      <c r="A8040" s="76" t="s">
        <v>1392</v>
      </c>
      <c r="B8040" s="76" t="s">
        <v>978</v>
      </c>
      <c r="C8040" s="76" t="s">
        <v>1238</v>
      </c>
      <c r="D8040" s="75"/>
    </row>
    <row hidden="true" r="8041">
      <c r="A8041" s="76" t="s">
        <v>1392</v>
      </c>
      <c r="B8041" s="76" t="s">
        <v>980</v>
      </c>
      <c r="C8041" s="76" t="s">
        <v>981</v>
      </c>
      <c r="D8041" s="75"/>
    </row>
    <row hidden="true" r="8042">
      <c r="A8042" s="76" t="s">
        <v>1392</v>
      </c>
      <c r="B8042" s="76" t="s">
        <v>982</v>
      </c>
      <c r="C8042" s="76" t="s">
        <v>983</v>
      </c>
      <c r="D8042" s="75"/>
    </row>
    <row hidden="true" r="8043">
      <c r="A8043" s="76" t="s">
        <v>1392</v>
      </c>
      <c r="B8043" s="76" t="s">
        <v>984</v>
      </c>
      <c r="C8043" s="76" t="s">
        <v>985</v>
      </c>
      <c r="D8043" s="75"/>
    </row>
    <row hidden="true" r="8044">
      <c r="A8044" s="76" t="s">
        <v>1392</v>
      </c>
      <c r="B8044" s="76" t="s">
        <v>1309</v>
      </c>
      <c r="C8044" s="76" t="s">
        <v>1310</v>
      </c>
      <c r="D8044" s="75"/>
    </row>
    <row hidden="true" r="8045">
      <c r="A8045" s="76" t="s">
        <v>1392</v>
      </c>
      <c r="B8045" s="76" t="s">
        <v>1311</v>
      </c>
      <c r="C8045" s="76" t="s">
        <v>1312</v>
      </c>
      <c r="D8045" s="75"/>
    </row>
    <row hidden="true" r="8046">
      <c r="A8046" s="76" t="s">
        <v>1392</v>
      </c>
      <c r="B8046" s="76" t="s">
        <v>1099</v>
      </c>
      <c r="C8046" s="76" t="s">
        <v>1242</v>
      </c>
      <c r="D8046" s="75"/>
    </row>
    <row hidden="true" r="8047">
      <c r="A8047" s="76" t="s">
        <v>1392</v>
      </c>
      <c r="B8047" s="76" t="s">
        <v>1101</v>
      </c>
      <c r="C8047" s="76" t="s">
        <v>1102</v>
      </c>
      <c r="D8047" s="75"/>
    </row>
    <row hidden="true" r="8048">
      <c r="A8048" s="76" t="s">
        <v>1392</v>
      </c>
      <c r="B8048" s="76" t="s">
        <v>1313</v>
      </c>
      <c r="C8048" s="76" t="s">
        <v>1351</v>
      </c>
      <c r="D8048" s="75"/>
    </row>
    <row hidden="true" r="8049">
      <c r="A8049" s="76" t="s">
        <v>1392</v>
      </c>
      <c r="B8049" s="76" t="s">
        <v>996</v>
      </c>
      <c r="C8049" s="76" t="s">
        <v>997</v>
      </c>
      <c r="D8049" s="75"/>
    </row>
    <row hidden="true" r="8050">
      <c r="A8050" s="76" t="s">
        <v>1392</v>
      </c>
      <c r="B8050" s="76" t="s">
        <v>998</v>
      </c>
      <c r="C8050" s="76" t="s">
        <v>1239</v>
      </c>
      <c r="D8050" s="75"/>
    </row>
    <row hidden="true" r="8051">
      <c r="A8051" s="76" t="s">
        <v>1392</v>
      </c>
      <c r="B8051" s="76" t="s">
        <v>1000</v>
      </c>
      <c r="C8051" s="76" t="s">
        <v>1001</v>
      </c>
      <c r="D8051" s="75"/>
    </row>
    <row hidden="true" r="8052">
      <c r="A8052" s="76" t="s">
        <v>1392</v>
      </c>
      <c r="B8052" s="76" t="s">
        <v>1002</v>
      </c>
      <c r="C8052" s="76" t="s">
        <v>1003</v>
      </c>
      <c r="D8052" s="75"/>
    </row>
    <row hidden="true" r="8053">
      <c r="A8053" s="76" t="s">
        <v>1392</v>
      </c>
      <c r="B8053" s="76" t="s">
        <v>1004</v>
      </c>
      <c r="C8053" s="76" t="s">
        <v>1005</v>
      </c>
      <c r="D8053" s="75"/>
    </row>
    <row hidden="true" r="8054">
      <c r="A8054" s="76" t="s">
        <v>1392</v>
      </c>
      <c r="B8054" s="76" t="s">
        <v>1006</v>
      </c>
      <c r="C8054" s="76" t="s">
        <v>1007</v>
      </c>
      <c r="D8054" s="75"/>
    </row>
    <row hidden="true" r="8055">
      <c r="A8055" s="76" t="s">
        <v>1392</v>
      </c>
      <c r="B8055" s="76" t="s">
        <v>1008</v>
      </c>
      <c r="C8055" s="76" t="s">
        <v>1009</v>
      </c>
      <c r="D8055" s="75"/>
    </row>
    <row hidden="true" r="8056">
      <c r="A8056" s="76" t="s">
        <v>1392</v>
      </c>
      <c r="B8056" s="76" t="s">
        <v>1010</v>
      </c>
      <c r="C8056" s="76" t="s">
        <v>1011</v>
      </c>
      <c r="D8056" s="75"/>
    </row>
    <row hidden="true" r="8057">
      <c r="A8057" s="76" t="s">
        <v>1392</v>
      </c>
      <c r="B8057" s="76" t="s">
        <v>1315</v>
      </c>
      <c r="C8057" s="76" t="s">
        <v>1352</v>
      </c>
      <c r="D8057" s="75"/>
    </row>
    <row hidden="true" r="8058">
      <c r="A8058" s="76" t="s">
        <v>1392</v>
      </c>
      <c r="B8058" s="76" t="s">
        <v>1014</v>
      </c>
      <c r="C8058" s="76" t="s">
        <v>1015</v>
      </c>
      <c r="D8058" s="75"/>
    </row>
    <row hidden="true" r="8059">
      <c r="A8059" s="76" t="s">
        <v>1392</v>
      </c>
      <c r="B8059" s="76" t="s">
        <v>1016</v>
      </c>
      <c r="C8059" s="76" t="s">
        <v>1017</v>
      </c>
      <c r="D8059" s="75"/>
    </row>
    <row hidden="true" r="8060">
      <c r="A8060" s="76" t="s">
        <v>1392</v>
      </c>
      <c r="B8060" s="76" t="s">
        <v>1018</v>
      </c>
      <c r="C8060" s="76" t="s">
        <v>1019</v>
      </c>
      <c r="D8060" s="75"/>
    </row>
    <row hidden="true" r="8061">
      <c r="A8061" s="76" t="s">
        <v>1392</v>
      </c>
      <c r="B8061" s="76" t="s">
        <v>1020</v>
      </c>
      <c r="C8061" s="76" t="s">
        <v>1021</v>
      </c>
      <c r="D8061" s="75"/>
    </row>
    <row hidden="true" r="8062">
      <c r="A8062" s="76" t="s">
        <v>1392</v>
      </c>
      <c r="B8062" s="76" t="s">
        <v>1022</v>
      </c>
      <c r="C8062" s="76" t="s">
        <v>1017</v>
      </c>
      <c r="D8062" s="75"/>
    </row>
    <row hidden="true" r="8063">
      <c r="A8063" s="76" t="s">
        <v>1392</v>
      </c>
      <c r="B8063" s="76" t="s">
        <v>1023</v>
      </c>
      <c r="C8063" s="76" t="s">
        <v>1019</v>
      </c>
      <c r="D8063" s="75"/>
    </row>
    <row hidden="true" r="8064">
      <c r="A8064" s="76" t="s">
        <v>1392</v>
      </c>
      <c r="B8064" s="76" t="s">
        <v>1024</v>
      </c>
      <c r="C8064" s="76" t="s">
        <v>1021</v>
      </c>
      <c r="D8064" s="75"/>
    </row>
    <row hidden="true" r="8065">
      <c r="A8065" s="76" t="s">
        <v>1392</v>
      </c>
      <c r="B8065" s="76" t="s">
        <v>1025</v>
      </c>
      <c r="C8065" s="76" t="s">
        <v>1017</v>
      </c>
      <c r="D8065" s="75"/>
    </row>
    <row hidden="true" r="8066">
      <c r="A8066" s="76" t="s">
        <v>1392</v>
      </c>
      <c r="B8066" s="76" t="s">
        <v>1026</v>
      </c>
      <c r="C8066" s="76" t="s">
        <v>1019</v>
      </c>
      <c r="D8066" s="75"/>
    </row>
    <row hidden="true" r="8067">
      <c r="A8067" s="76" t="s">
        <v>1392</v>
      </c>
      <c r="B8067" s="76" t="s">
        <v>1027</v>
      </c>
      <c r="C8067" s="76" t="s">
        <v>1021</v>
      </c>
      <c r="D8067" s="75"/>
    </row>
    <row hidden="true" r="8068">
      <c r="A8068" s="76" t="s">
        <v>1392</v>
      </c>
      <c r="B8068" s="76" t="s">
        <v>1133</v>
      </c>
      <c r="C8068" s="76" t="s">
        <v>1134</v>
      </c>
      <c r="D8068" s="75"/>
    </row>
    <row hidden="true" r="8069">
      <c r="A8069" s="76" t="s">
        <v>1392</v>
      </c>
      <c r="B8069" s="76" t="s">
        <v>1317</v>
      </c>
      <c r="C8069" s="76" t="s">
        <v>1318</v>
      </c>
      <c r="D8069" s="75"/>
    </row>
    <row hidden="true" r="8070">
      <c r="A8070" s="76" t="s">
        <v>1392</v>
      </c>
      <c r="B8070" s="76" t="s">
        <v>1319</v>
      </c>
      <c r="C8070" s="76" t="s">
        <v>1320</v>
      </c>
      <c r="D8070" s="75"/>
    </row>
    <row hidden="true" r="8071">
      <c r="A8071" s="76" t="s">
        <v>1392</v>
      </c>
      <c r="B8071" s="76" t="s">
        <v>1028</v>
      </c>
      <c r="C8071" s="76" t="s">
        <v>1029</v>
      </c>
      <c r="D8071" s="75"/>
    </row>
    <row hidden="true" r="8072">
      <c r="A8072" s="76" t="s">
        <v>1392</v>
      </c>
      <c r="B8072" s="76" t="s">
        <v>988</v>
      </c>
      <c r="C8072" s="76" t="s">
        <v>989</v>
      </c>
      <c r="D8072" s="75"/>
    </row>
    <row hidden="true" r="8073">
      <c r="A8073" s="76" t="s">
        <v>1392</v>
      </c>
      <c r="B8073" s="76" t="s">
        <v>990</v>
      </c>
      <c r="C8073" s="76" t="s">
        <v>991</v>
      </c>
      <c r="D8073" s="75"/>
    </row>
    <row hidden="true" r="8074">
      <c r="A8074" s="76" t="s">
        <v>1392</v>
      </c>
      <c r="B8074" s="76" t="s">
        <v>992</v>
      </c>
      <c r="C8074" s="76" t="s">
        <v>993</v>
      </c>
      <c r="D8074" s="75"/>
    </row>
    <row hidden="true" r="8075">
      <c r="A8075" s="76" t="s">
        <v>1392</v>
      </c>
      <c r="B8075" s="76" t="s">
        <v>530</v>
      </c>
      <c r="C8075" s="76" t="s">
        <v>1240</v>
      </c>
      <c r="D8075" s="75"/>
    </row>
    <row hidden="true" r="8076">
      <c r="A8076" s="76" t="s">
        <v>1392</v>
      </c>
      <c r="B8076" s="76" t="s">
        <v>1032</v>
      </c>
      <c r="C8076" s="76" t="s">
        <v>1033</v>
      </c>
      <c r="D8076" s="75"/>
    </row>
    <row hidden="true" r="8077">
      <c r="A8077" s="76" t="s">
        <v>1392</v>
      </c>
      <c r="B8077" s="76" t="s">
        <v>532</v>
      </c>
      <c r="C8077" s="76" t="s">
        <v>533</v>
      </c>
      <c r="D8077" s="75"/>
    </row>
    <row hidden="true" r="8078">
      <c r="A8078" s="76" t="s">
        <v>1392</v>
      </c>
      <c r="B8078" s="76" t="s">
        <v>1036</v>
      </c>
      <c r="C8078" s="76" t="s">
        <v>1037</v>
      </c>
      <c r="D8078" s="75"/>
    </row>
    <row hidden="true" r="8079">
      <c r="A8079" s="76" t="s">
        <v>1392</v>
      </c>
      <c r="B8079" s="76" t="s">
        <v>1038</v>
      </c>
      <c r="C8079" s="76" t="s">
        <v>1039</v>
      </c>
      <c r="D8079" s="75"/>
    </row>
    <row hidden="true" r="8080">
      <c r="A8080" s="76" t="s">
        <v>1392</v>
      </c>
      <c r="B8080" s="76" t="s">
        <v>1321</v>
      </c>
      <c r="C8080" s="76" t="s">
        <v>1322</v>
      </c>
      <c r="D8080" s="75"/>
    </row>
    <row hidden="true" r="8081">
      <c r="A8081" s="76" t="s">
        <v>1392</v>
      </c>
      <c r="B8081" s="76" t="s">
        <v>1323</v>
      </c>
      <c r="C8081" s="76" t="s">
        <v>1324</v>
      </c>
      <c r="D8081" s="75"/>
    </row>
    <row hidden="true" r="8082">
      <c r="A8082" s="76" t="s">
        <v>1392</v>
      </c>
      <c r="B8082" s="76" t="s">
        <v>1012</v>
      </c>
      <c r="C8082" s="76" t="s">
        <v>1013</v>
      </c>
      <c r="D8082" s="75"/>
    </row>
    <row hidden="true" r="8083">
      <c r="A8083" s="76" t="s">
        <v>1392</v>
      </c>
      <c r="B8083" s="76" t="s">
        <v>1052</v>
      </c>
      <c r="C8083" s="76" t="s">
        <v>1053</v>
      </c>
      <c r="D8083" s="75"/>
    </row>
    <row hidden="true" r="8084">
      <c r="A8084" s="76" t="s">
        <v>1392</v>
      </c>
      <c r="B8084" s="76" t="s">
        <v>1054</v>
      </c>
      <c r="C8084" s="76" t="s">
        <v>1055</v>
      </c>
      <c r="D8084" s="75"/>
    </row>
    <row hidden="true" r="8085">
      <c r="A8085" s="76" t="s">
        <v>1392</v>
      </c>
      <c r="B8085" s="76" t="s">
        <v>1056</v>
      </c>
      <c r="C8085" s="76" t="s">
        <v>1057</v>
      </c>
      <c r="D8085" s="75"/>
    </row>
    <row hidden="true" r="8086">
      <c r="A8086" s="76" t="s">
        <v>1392</v>
      </c>
      <c r="B8086" s="76" t="s">
        <v>1058</v>
      </c>
      <c r="C8086" s="76" t="s">
        <v>1059</v>
      </c>
      <c r="D8086" s="75"/>
    </row>
    <row hidden="true" r="8087">
      <c r="A8087" s="76" t="s">
        <v>1392</v>
      </c>
      <c r="B8087" s="76" t="s">
        <v>1060</v>
      </c>
      <c r="C8087" s="76" t="s">
        <v>1061</v>
      </c>
      <c r="D8087" s="75"/>
    </row>
    <row hidden="true" r="8088">
      <c r="A8088" s="76" t="s">
        <v>1392</v>
      </c>
      <c r="B8088" s="76" t="s">
        <v>1062</v>
      </c>
      <c r="C8088" s="76" t="s">
        <v>1063</v>
      </c>
      <c r="D8088" s="75"/>
    </row>
    <row hidden="true" r="8089">
      <c r="A8089" s="76" t="s">
        <v>1392</v>
      </c>
      <c r="B8089" s="76" t="s">
        <v>1064</v>
      </c>
      <c r="C8089" s="76" t="s">
        <v>1065</v>
      </c>
      <c r="D8089" s="75"/>
    </row>
    <row hidden="true" r="8090">
      <c r="A8090" s="76" t="s">
        <v>1392</v>
      </c>
      <c r="B8090" s="76" t="s">
        <v>1066</v>
      </c>
      <c r="C8090" s="76" t="s">
        <v>1067</v>
      </c>
      <c r="D8090" s="75"/>
    </row>
    <row hidden="true" r="8091">
      <c r="A8091" s="76" t="s">
        <v>1392</v>
      </c>
      <c r="B8091" s="76" t="s">
        <v>1068</v>
      </c>
      <c r="C8091" s="76" t="s">
        <v>1069</v>
      </c>
      <c r="D8091" s="75"/>
    </row>
    <row hidden="true" r="8092">
      <c r="A8092" s="76" t="s">
        <v>1392</v>
      </c>
      <c r="B8092" s="76" t="s">
        <v>1070</v>
      </c>
      <c r="C8092" s="76" t="s">
        <v>1069</v>
      </c>
      <c r="D8092" s="75"/>
    </row>
    <row hidden="true" r="8093">
      <c r="A8093" s="76" t="s">
        <v>1392</v>
      </c>
      <c r="B8093" s="76" t="s">
        <v>1071</v>
      </c>
      <c r="C8093" s="76" t="s">
        <v>1069</v>
      </c>
      <c r="D8093" s="75"/>
    </row>
    <row hidden="true" r="8094">
      <c r="A8094" s="76" t="s">
        <v>1392</v>
      </c>
      <c r="B8094" s="76" t="s">
        <v>1072</v>
      </c>
      <c r="C8094" s="76" t="s">
        <v>1073</v>
      </c>
      <c r="D8094" s="75"/>
    </row>
    <row hidden="true" r="8095">
      <c r="A8095" s="76" t="s">
        <v>1392</v>
      </c>
      <c r="B8095" s="76" t="s">
        <v>1074</v>
      </c>
      <c r="C8095" s="76" t="s">
        <v>1073</v>
      </c>
      <c r="D8095" s="75"/>
    </row>
    <row hidden="true" r="8096">
      <c r="A8096" s="76" t="s">
        <v>1392</v>
      </c>
      <c r="B8096" s="76" t="s">
        <v>1075</v>
      </c>
      <c r="C8096" s="76" t="s">
        <v>1073</v>
      </c>
      <c r="D8096" s="75"/>
    </row>
    <row hidden="true" r="8097">
      <c r="A8097" s="76" t="s">
        <v>1392</v>
      </c>
      <c r="B8097" s="76" t="s">
        <v>1082</v>
      </c>
      <c r="C8097" s="76" t="s">
        <v>1083</v>
      </c>
      <c r="D8097" s="75"/>
    </row>
    <row hidden="true" r="8098">
      <c r="A8098" s="76" t="s">
        <v>1392</v>
      </c>
      <c r="B8098" s="76" t="s">
        <v>1084</v>
      </c>
      <c r="C8098" s="76" t="s">
        <v>1085</v>
      </c>
      <c r="D8098" s="75"/>
    </row>
    <row hidden="true" r="8099">
      <c r="A8099" s="76" t="s">
        <v>1392</v>
      </c>
      <c r="B8099" s="76" t="s">
        <v>1086</v>
      </c>
      <c r="C8099" s="76" t="s">
        <v>1087</v>
      </c>
      <c r="D8099" s="75"/>
    </row>
    <row hidden="true" r="8100">
      <c r="A8100" s="76" t="s">
        <v>1392</v>
      </c>
      <c r="B8100" s="76" t="s">
        <v>1088</v>
      </c>
      <c r="C8100" s="76" t="s">
        <v>1089</v>
      </c>
      <c r="D8100" s="75"/>
    </row>
    <row hidden="true" r="8101">
      <c r="A8101" s="76" t="s">
        <v>1392</v>
      </c>
      <c r="B8101" s="76" t="s">
        <v>1076</v>
      </c>
      <c r="C8101" s="76" t="s">
        <v>1077</v>
      </c>
      <c r="D8101" s="75"/>
    </row>
    <row hidden="true" r="8102">
      <c r="A8102" s="76" t="s">
        <v>1392</v>
      </c>
      <c r="B8102" s="76" t="s">
        <v>1078</v>
      </c>
      <c r="C8102" s="76" t="s">
        <v>1079</v>
      </c>
      <c r="D8102" s="75"/>
    </row>
    <row hidden="true" r="8103">
      <c r="A8103" s="76" t="s">
        <v>1392</v>
      </c>
      <c r="B8103" s="76" t="s">
        <v>1040</v>
      </c>
      <c r="C8103" s="76" t="s">
        <v>1041</v>
      </c>
      <c r="D8103" s="75"/>
    </row>
    <row hidden="true" r="8104">
      <c r="A8104" s="76" t="s">
        <v>1392</v>
      </c>
      <c r="B8104" s="76" t="s">
        <v>839</v>
      </c>
      <c r="C8104" s="76" t="s">
        <v>840</v>
      </c>
      <c r="D8104" s="75"/>
    </row>
    <row hidden="true" r="8105">
      <c r="A8105" s="76" t="s">
        <v>1392</v>
      </c>
      <c r="B8105" s="76" t="s">
        <v>1121</v>
      </c>
      <c r="C8105" s="76" t="s">
        <v>1122</v>
      </c>
      <c r="D8105" s="75"/>
    </row>
    <row hidden="true" r="8106">
      <c r="A8106" s="76" t="s">
        <v>1392</v>
      </c>
      <c r="B8106" s="76" t="s">
        <v>1325</v>
      </c>
      <c r="C8106" s="76" t="s">
        <v>1326</v>
      </c>
      <c r="D8106" s="75"/>
    </row>
    <row hidden="true" r="8107">
      <c r="A8107" s="76" t="s">
        <v>1392</v>
      </c>
      <c r="B8107" s="76" t="s">
        <v>1080</v>
      </c>
      <c r="C8107" s="76" t="s">
        <v>1081</v>
      </c>
      <c r="D8107" s="75"/>
    </row>
    <row hidden="true" r="8108">
      <c r="A8108" s="76" t="s">
        <v>1392</v>
      </c>
      <c r="B8108" s="76" t="s">
        <v>1327</v>
      </c>
      <c r="C8108" s="76" t="s">
        <v>1328</v>
      </c>
      <c r="D8108" s="75"/>
    </row>
    <row hidden="true" r="8109">
      <c r="A8109" s="76" t="s">
        <v>1392</v>
      </c>
      <c r="B8109" s="76" t="s">
        <v>1090</v>
      </c>
      <c r="C8109" s="76" t="s">
        <v>1091</v>
      </c>
      <c r="D8109" s="75"/>
    </row>
    <row hidden="true" r="8110">
      <c r="A8110" s="76" t="s">
        <v>1392</v>
      </c>
      <c r="B8110" s="76" t="s">
        <v>1092</v>
      </c>
      <c r="C8110" s="76" t="s">
        <v>1091</v>
      </c>
      <c r="D8110" s="75"/>
    </row>
    <row hidden="true" r="8111">
      <c r="A8111" s="76" t="s">
        <v>1392</v>
      </c>
      <c r="B8111" s="76" t="s">
        <v>1093</v>
      </c>
      <c r="C8111" s="76" t="s">
        <v>1094</v>
      </c>
      <c r="D8111" s="75"/>
    </row>
    <row hidden="true" r="8112">
      <c r="A8112" s="76" t="s">
        <v>1392</v>
      </c>
      <c r="B8112" s="76" t="s">
        <v>1095</v>
      </c>
      <c r="C8112" s="76" t="s">
        <v>1096</v>
      </c>
      <c r="D8112" s="75"/>
    </row>
    <row hidden="true" r="8113">
      <c r="A8113" s="76" t="s">
        <v>1392</v>
      </c>
      <c r="B8113" s="76" t="s">
        <v>1097</v>
      </c>
      <c r="C8113" s="76" t="s">
        <v>1098</v>
      </c>
      <c r="D8113" s="75"/>
    </row>
    <row hidden="true" r="8114">
      <c r="A8114" s="76" t="s">
        <v>1392</v>
      </c>
      <c r="B8114" s="76" t="s">
        <v>1103</v>
      </c>
      <c r="C8114" s="76" t="s">
        <v>1104</v>
      </c>
      <c r="D8114" s="75"/>
    </row>
    <row hidden="true" r="8115">
      <c r="A8115" s="76" t="s">
        <v>1392</v>
      </c>
      <c r="B8115" s="76" t="s">
        <v>1329</v>
      </c>
      <c r="C8115" s="76" t="s">
        <v>1353</v>
      </c>
      <c r="D8115" s="75"/>
    </row>
    <row hidden="true" r="8116">
      <c r="A8116" s="76" t="s">
        <v>1392</v>
      </c>
      <c r="B8116" s="76" t="s">
        <v>1113</v>
      </c>
      <c r="C8116" s="76" t="s">
        <v>1114</v>
      </c>
      <c r="D8116" s="75"/>
    </row>
    <row hidden="true" r="8117">
      <c r="A8117" s="76" t="s">
        <v>1392</v>
      </c>
      <c r="B8117" s="76" t="s">
        <v>1115</v>
      </c>
      <c r="C8117" s="76" t="s">
        <v>1116</v>
      </c>
      <c r="D8117" s="75"/>
    </row>
    <row hidden="true" r="8118">
      <c r="A8118" s="76" t="s">
        <v>1392</v>
      </c>
      <c r="B8118" s="76" t="s">
        <v>1117</v>
      </c>
      <c r="C8118" s="76" t="s">
        <v>1244</v>
      </c>
      <c r="D8118" s="75"/>
    </row>
    <row hidden="true" r="8119">
      <c r="A8119" s="76" t="s">
        <v>1392</v>
      </c>
      <c r="B8119" s="76" t="s">
        <v>1119</v>
      </c>
      <c r="C8119" s="76" t="s">
        <v>1120</v>
      </c>
      <c r="D8119" s="75"/>
    </row>
    <row hidden="true" r="8120">
      <c r="A8120" s="76" t="s">
        <v>1392</v>
      </c>
      <c r="B8120" s="76" t="s">
        <v>1127</v>
      </c>
      <c r="C8120" s="76" t="s">
        <v>1128</v>
      </c>
      <c r="D8120" s="75"/>
    </row>
    <row hidden="true" r="8121">
      <c r="A8121" s="76" t="s">
        <v>1392</v>
      </c>
      <c r="B8121" s="76" t="s">
        <v>1129</v>
      </c>
      <c r="C8121" s="76" t="s">
        <v>1130</v>
      </c>
      <c r="D8121" s="75"/>
    </row>
    <row hidden="true" r="8122">
      <c r="A8122" s="76" t="s">
        <v>1392</v>
      </c>
      <c r="B8122" s="76" t="s">
        <v>1131</v>
      </c>
      <c r="C8122" s="76" t="s">
        <v>1132</v>
      </c>
      <c r="D8122" s="75"/>
    </row>
    <row hidden="true" r="8123">
      <c r="A8123" s="76" t="s">
        <v>1392</v>
      </c>
      <c r="B8123" s="76" t="s">
        <v>1137</v>
      </c>
      <c r="C8123" s="76" t="s">
        <v>1138</v>
      </c>
      <c r="D8123" s="75"/>
    </row>
    <row hidden="true" r="8124">
      <c r="A8124" s="76" t="s">
        <v>1392</v>
      </c>
      <c r="B8124" s="76" t="s">
        <v>1139</v>
      </c>
      <c r="C8124" s="76" t="s">
        <v>1140</v>
      </c>
      <c r="D8124" s="75"/>
    </row>
    <row hidden="true" r="8125">
      <c r="A8125" s="76" t="s">
        <v>1392</v>
      </c>
      <c r="B8125" s="76" t="s">
        <v>1141</v>
      </c>
      <c r="C8125" s="76" t="s">
        <v>1142</v>
      </c>
      <c r="D8125" s="75"/>
    </row>
    <row hidden="true" r="8126">
      <c r="A8126" s="76" t="s">
        <v>1392</v>
      </c>
      <c r="B8126" s="76" t="s">
        <v>1143</v>
      </c>
      <c r="C8126" s="76" t="s">
        <v>1144</v>
      </c>
      <c r="D8126" s="75"/>
    </row>
    <row hidden="true" r="8127">
      <c r="A8127" s="76" t="s">
        <v>1392</v>
      </c>
      <c r="B8127" s="76" t="s">
        <v>1145</v>
      </c>
      <c r="C8127" s="76" t="s">
        <v>1223</v>
      </c>
      <c r="D8127" s="75"/>
    </row>
    <row hidden="true" r="8128">
      <c r="A8128" s="76" t="s">
        <v>1392</v>
      </c>
      <c r="B8128" s="76" t="s">
        <v>1147</v>
      </c>
      <c r="C8128" s="76" t="s">
        <v>1148</v>
      </c>
      <c r="D8128" s="75"/>
    </row>
    <row hidden="true" r="8129">
      <c r="A8129" s="76" t="s">
        <v>1392</v>
      </c>
      <c r="B8129" s="76" t="s">
        <v>1153</v>
      </c>
      <c r="C8129" s="76" t="s">
        <v>1154</v>
      </c>
      <c r="D8129" s="75"/>
    </row>
    <row hidden="true" r="8130">
      <c r="A8130" s="76" t="s">
        <v>1392</v>
      </c>
      <c r="B8130" s="76" t="s">
        <v>1155</v>
      </c>
      <c r="C8130" s="76" t="s">
        <v>1156</v>
      </c>
      <c r="D8130" s="75"/>
    </row>
    <row hidden="true" r="8131">
      <c r="A8131" s="76" t="s">
        <v>1392</v>
      </c>
      <c r="B8131" s="76" t="s">
        <v>1157</v>
      </c>
      <c r="C8131" s="76" t="s">
        <v>1158</v>
      </c>
      <c r="D8131" s="75"/>
    </row>
    <row hidden="true" r="8132">
      <c r="A8132" s="76" t="s">
        <v>1392</v>
      </c>
      <c r="B8132" s="76" t="s">
        <v>1159</v>
      </c>
      <c r="C8132" s="76" t="s">
        <v>1160</v>
      </c>
      <c r="D8132" s="75"/>
    </row>
    <row hidden="true" r="8133">
      <c r="A8133" s="76" t="s">
        <v>1392</v>
      </c>
      <c r="B8133" s="76" t="s">
        <v>1161</v>
      </c>
      <c r="C8133" s="76" t="s">
        <v>1162</v>
      </c>
      <c r="D8133" s="75"/>
    </row>
    <row hidden="true" r="8134">
      <c r="A8134" s="76" t="s">
        <v>1392</v>
      </c>
      <c r="B8134" s="76" t="s">
        <v>1163</v>
      </c>
      <c r="C8134" s="76" t="s">
        <v>1164</v>
      </c>
      <c r="D8134" s="75"/>
    </row>
    <row hidden="true" r="8135">
      <c r="A8135" s="76" t="s">
        <v>1392</v>
      </c>
      <c r="B8135" s="76" t="s">
        <v>1165</v>
      </c>
      <c r="C8135" s="76" t="s">
        <v>1166</v>
      </c>
      <c r="D8135" s="75"/>
    </row>
    <row hidden="true" r="8136">
      <c r="A8136" s="76" t="s">
        <v>1392</v>
      </c>
      <c r="B8136" s="76" t="s">
        <v>1331</v>
      </c>
      <c r="C8136" s="76" t="s">
        <v>1345</v>
      </c>
      <c r="D8136" s="75"/>
    </row>
    <row hidden="true" r="8137">
      <c r="A8137" s="76" t="s">
        <v>1392</v>
      </c>
      <c r="B8137" s="76" t="s">
        <v>1333</v>
      </c>
      <c r="C8137" s="76" t="s">
        <v>1346</v>
      </c>
      <c r="D8137" s="75"/>
    </row>
    <row hidden="true" r="8138">
      <c r="A8138" s="76" t="s">
        <v>1392</v>
      </c>
      <c r="B8138" s="76" t="s">
        <v>1335</v>
      </c>
      <c r="C8138" s="76" t="s">
        <v>1347</v>
      </c>
      <c r="D8138" s="75"/>
    </row>
    <row hidden="true" r="8139">
      <c r="A8139" s="76" t="s">
        <v>1392</v>
      </c>
      <c r="B8139" s="76" t="s">
        <v>1337</v>
      </c>
      <c r="C8139" s="76" t="s">
        <v>1348</v>
      </c>
      <c r="D8139" s="75"/>
    </row>
    <row hidden="true" r="8140">
      <c r="A8140" s="76" t="s">
        <v>1392</v>
      </c>
      <c r="B8140" s="76" t="s">
        <v>1339</v>
      </c>
      <c r="C8140" s="76" t="s">
        <v>1349</v>
      </c>
      <c r="D8140" s="75"/>
    </row>
    <row hidden="true" r="8141">
      <c r="A8141" s="76" t="s">
        <v>1392</v>
      </c>
      <c r="B8141" s="76" t="s">
        <v>1341</v>
      </c>
      <c r="C8141" s="76" t="s">
        <v>1342</v>
      </c>
      <c r="D8141" s="75"/>
    </row>
    <row hidden="true" r="8142">
      <c r="A8142" s="76" t="s">
        <v>1392</v>
      </c>
      <c r="B8142" s="76" t="s">
        <v>1044</v>
      </c>
      <c r="C8142" s="76" t="s">
        <v>1045</v>
      </c>
      <c r="D8142" s="75"/>
    </row>
    <row hidden="true" r="8143">
      <c r="A8143" s="76" t="s">
        <v>1392</v>
      </c>
      <c r="B8143" s="76" t="s">
        <v>1046</v>
      </c>
      <c r="C8143" s="76" t="s">
        <v>1047</v>
      </c>
      <c r="D8143" s="75"/>
    </row>
    <row hidden="true" r="8144">
      <c r="A8144" s="76" t="s">
        <v>1392</v>
      </c>
      <c r="B8144" s="76" t="s">
        <v>1048</v>
      </c>
      <c r="C8144" s="76" t="s">
        <v>1241</v>
      </c>
      <c r="D8144" s="75"/>
    </row>
    <row hidden="true" r="8145">
      <c r="A8145" s="76" t="s">
        <v>1392</v>
      </c>
      <c r="B8145" s="76" t="s">
        <v>1167</v>
      </c>
      <c r="C8145" s="76" t="s">
        <v>1246</v>
      </c>
      <c r="D8145" s="75"/>
    </row>
    <row hidden="true" r="8146">
      <c r="A8146" s="76" t="s">
        <v>1392</v>
      </c>
      <c r="B8146" s="76" t="s">
        <v>1169</v>
      </c>
      <c r="C8146" s="76" t="s">
        <v>1170</v>
      </c>
      <c r="D8146" s="75"/>
    </row>
    <row hidden="true" r="8147">
      <c r="A8147" s="76" t="s">
        <v>1392</v>
      </c>
      <c r="B8147" s="76" t="s">
        <v>1171</v>
      </c>
      <c r="C8147" s="76" t="s">
        <v>1172</v>
      </c>
      <c r="D8147" s="75"/>
    </row>
    <row hidden="true" r="8148">
      <c r="A8148" s="76" t="s">
        <v>1392</v>
      </c>
      <c r="B8148" s="76" t="s">
        <v>1173</v>
      </c>
      <c r="C8148" s="76" t="s">
        <v>1247</v>
      </c>
      <c r="D8148" s="75"/>
    </row>
    <row hidden="true" r="8149">
      <c r="A8149" s="76" t="s">
        <v>1392</v>
      </c>
      <c r="B8149" s="76" t="s">
        <v>1175</v>
      </c>
      <c r="C8149" s="76" t="s">
        <v>1176</v>
      </c>
      <c r="D8149" s="75"/>
    </row>
    <row hidden="true" r="8150">
      <c r="A8150" s="76" t="s">
        <v>1392</v>
      </c>
      <c r="B8150" s="76" t="s">
        <v>1177</v>
      </c>
      <c r="C8150" s="76" t="s">
        <v>1178</v>
      </c>
      <c r="D8150" s="75"/>
    </row>
    <row hidden="true" r="8151">
      <c r="A8151" s="76" t="s">
        <v>1392</v>
      </c>
      <c r="B8151" s="76" t="s">
        <v>1135</v>
      </c>
      <c r="C8151" s="76" t="s">
        <v>1136</v>
      </c>
      <c r="D8151" s="75"/>
    </row>
    <row hidden="true" r="8152">
      <c r="A8152" s="76" t="s">
        <v>1392</v>
      </c>
      <c r="B8152" s="76" t="s">
        <v>1179</v>
      </c>
      <c r="C8152" s="76" t="s">
        <v>1180</v>
      </c>
      <c r="D8152" s="75"/>
    </row>
    <row hidden="true" r="8153">
      <c r="A8153" s="76" t="s">
        <v>1392</v>
      </c>
      <c r="B8153" s="76" t="s">
        <v>1181</v>
      </c>
      <c r="C8153" s="76" t="s">
        <v>1182</v>
      </c>
      <c r="D8153" s="75"/>
    </row>
    <row hidden="true" r="8154">
      <c r="A8154" s="76" t="s">
        <v>1392</v>
      </c>
      <c r="B8154" s="76" t="s">
        <v>1183</v>
      </c>
      <c r="C8154" s="76" t="s">
        <v>1184</v>
      </c>
      <c r="D8154" s="75"/>
    </row>
    <row hidden="true" r="8155">
      <c r="A8155" s="76" t="s">
        <v>1392</v>
      </c>
      <c r="B8155" s="76" t="s">
        <v>1185</v>
      </c>
      <c r="C8155" s="76" t="s">
        <v>1186</v>
      </c>
      <c r="D8155" s="75"/>
    </row>
    <row hidden="true" r="8156">
      <c r="A8156" s="76" t="s">
        <v>1392</v>
      </c>
      <c r="B8156" s="76" t="s">
        <v>1187</v>
      </c>
      <c r="C8156" s="76" t="s">
        <v>1188</v>
      </c>
      <c r="D8156" s="75"/>
    </row>
    <row hidden="true" r="8157">
      <c r="A8157" s="76" t="s">
        <v>1392</v>
      </c>
      <c r="B8157" s="76" t="s">
        <v>1199</v>
      </c>
      <c r="C8157" s="76" t="s">
        <v>1200</v>
      </c>
      <c r="D8157" s="75"/>
    </row>
    <row hidden="true" r="8158">
      <c r="A8158" s="76" t="s">
        <v>1392</v>
      </c>
      <c r="B8158" s="76" t="s">
        <v>1201</v>
      </c>
      <c r="C8158" s="76" t="s">
        <v>1202</v>
      </c>
      <c r="D8158" s="75"/>
    </row>
    <row hidden="true" r="8159">
      <c r="A8159" s="76" t="s">
        <v>1392</v>
      </c>
      <c r="B8159" s="76" t="s">
        <v>1203</v>
      </c>
      <c r="C8159" s="76" t="s">
        <v>1204</v>
      </c>
      <c r="D8159" s="75"/>
    </row>
    <row hidden="true" r="8160">
      <c r="A8160" s="76" t="s">
        <v>1392</v>
      </c>
      <c r="B8160" s="76" t="s">
        <v>1205</v>
      </c>
      <c r="C8160" s="76" t="s">
        <v>1206</v>
      </c>
      <c r="D8160" s="75"/>
    </row>
    <row hidden="true" r="8161">
      <c r="A8161" s="76" t="s">
        <v>1392</v>
      </c>
      <c r="B8161" s="76" t="s">
        <v>1207</v>
      </c>
      <c r="C8161" s="76" t="s">
        <v>1208</v>
      </c>
      <c r="D8161" s="75"/>
    </row>
    <row hidden="true" r="8162">
      <c r="A8162" s="76" t="s">
        <v>1392</v>
      </c>
      <c r="B8162" s="76" t="s">
        <v>1209</v>
      </c>
      <c r="C8162" s="76" t="s">
        <v>1210</v>
      </c>
      <c r="D8162" s="75"/>
    </row>
    <row hidden="true" r="8163">
      <c r="A8163" s="76" t="s">
        <v>1392</v>
      </c>
      <c r="B8163" s="76" t="s">
        <v>735</v>
      </c>
      <c r="C8163" s="76"/>
      <c r="D8163" s="75"/>
    </row>
    <row hidden="true" r="8164">
      <c r="A8164" s="76" t="s">
        <v>1393</v>
      </c>
      <c r="B8164" s="76" t="s">
        <v>407</v>
      </c>
      <c r="C8164" s="76" t="s">
        <v>408</v>
      </c>
      <c r="D8164" s="75"/>
    </row>
    <row hidden="true" r="8165">
      <c r="A8165" s="76" t="s">
        <v>1393</v>
      </c>
      <c r="B8165" s="76" t="s">
        <v>744</v>
      </c>
      <c r="C8165" s="76" t="s">
        <v>745</v>
      </c>
      <c r="D8165" s="75"/>
    </row>
    <row hidden="true" r="8166">
      <c r="A8166" s="76" t="s">
        <v>1393</v>
      </c>
      <c r="B8166" s="76" t="s">
        <v>480</v>
      </c>
      <c r="C8166" s="76" t="s">
        <v>481</v>
      </c>
      <c r="D8166" s="75"/>
    </row>
    <row hidden="true" r="8167">
      <c r="A8167" s="76" t="s">
        <v>1393</v>
      </c>
      <c r="B8167" s="76" t="s">
        <v>884</v>
      </c>
      <c r="C8167" s="76" t="s">
        <v>885</v>
      </c>
      <c r="D8167" s="75"/>
    </row>
    <row hidden="true" r="8168">
      <c r="A8168" s="76" t="s">
        <v>1393</v>
      </c>
      <c r="B8168" s="76" t="s">
        <v>886</v>
      </c>
      <c r="C8168" s="76" t="s">
        <v>887</v>
      </c>
      <c r="D8168" s="75"/>
    </row>
    <row hidden="true" r="8169">
      <c r="A8169" s="76" t="s">
        <v>1393</v>
      </c>
      <c r="B8169" s="76" t="s">
        <v>888</v>
      </c>
      <c r="C8169" s="76" t="s">
        <v>889</v>
      </c>
      <c r="D8169" s="75"/>
    </row>
    <row hidden="true" r="8170">
      <c r="A8170" s="76" t="s">
        <v>1393</v>
      </c>
      <c r="B8170" s="76" t="s">
        <v>890</v>
      </c>
      <c r="C8170" s="76" t="s">
        <v>891</v>
      </c>
      <c r="D8170" s="75"/>
    </row>
    <row hidden="true" r="8171">
      <c r="A8171" s="76" t="s">
        <v>1393</v>
      </c>
      <c r="B8171" s="76" t="s">
        <v>892</v>
      </c>
      <c r="C8171" s="76" t="s">
        <v>893</v>
      </c>
      <c r="D8171" s="75"/>
    </row>
    <row hidden="true" r="8172">
      <c r="A8172" s="76" t="s">
        <v>1393</v>
      </c>
      <c r="B8172" s="76" t="s">
        <v>894</v>
      </c>
      <c r="C8172" s="76" t="s">
        <v>1217</v>
      </c>
      <c r="D8172" s="75"/>
    </row>
    <row hidden="true" r="8173">
      <c r="A8173" s="76" t="s">
        <v>1393</v>
      </c>
      <c r="B8173" s="76" t="s">
        <v>896</v>
      </c>
      <c r="C8173" s="76" t="s">
        <v>897</v>
      </c>
      <c r="D8173" s="75"/>
    </row>
    <row hidden="true" r="8174">
      <c r="A8174" s="76" t="s">
        <v>1393</v>
      </c>
      <c r="B8174" s="76" t="s">
        <v>898</v>
      </c>
      <c r="C8174" s="76" t="s">
        <v>899</v>
      </c>
      <c r="D8174" s="75"/>
    </row>
    <row hidden="true" r="8175">
      <c r="A8175" s="76" t="s">
        <v>1393</v>
      </c>
      <c r="B8175" s="76" t="s">
        <v>900</v>
      </c>
      <c r="C8175" s="76" t="s">
        <v>1218</v>
      </c>
      <c r="D8175" s="75"/>
    </row>
    <row hidden="true" r="8176">
      <c r="A8176" s="76" t="s">
        <v>1393</v>
      </c>
      <c r="B8176" s="76" t="s">
        <v>902</v>
      </c>
      <c r="C8176" s="76" t="s">
        <v>903</v>
      </c>
      <c r="D8176" s="75"/>
    </row>
    <row hidden="true" r="8177">
      <c r="A8177" s="76" t="s">
        <v>1393</v>
      </c>
      <c r="B8177" s="76" t="s">
        <v>904</v>
      </c>
      <c r="C8177" s="76" t="s">
        <v>905</v>
      </c>
      <c r="D8177" s="75"/>
    </row>
    <row hidden="true" r="8178">
      <c r="A8178" s="76" t="s">
        <v>1393</v>
      </c>
      <c r="B8178" s="76" t="s">
        <v>906</v>
      </c>
      <c r="C8178" s="76" t="s">
        <v>907</v>
      </c>
      <c r="D8178" s="75"/>
    </row>
    <row hidden="true" r="8179">
      <c r="A8179" s="76" t="s">
        <v>1393</v>
      </c>
      <c r="B8179" s="76" t="s">
        <v>908</v>
      </c>
      <c r="C8179" s="76" t="s">
        <v>909</v>
      </c>
      <c r="D8179" s="75"/>
    </row>
    <row hidden="true" r="8180">
      <c r="A8180" s="76" t="s">
        <v>1393</v>
      </c>
      <c r="B8180" s="76" t="s">
        <v>910</v>
      </c>
      <c r="C8180" s="76" t="s">
        <v>911</v>
      </c>
      <c r="D8180" s="75"/>
    </row>
    <row hidden="true" r="8181">
      <c r="A8181" s="76" t="s">
        <v>1393</v>
      </c>
      <c r="B8181" s="76" t="s">
        <v>912</v>
      </c>
      <c r="C8181" s="76" t="s">
        <v>913</v>
      </c>
      <c r="D8181" s="75"/>
    </row>
    <row hidden="true" r="8182">
      <c r="A8182" s="76" t="s">
        <v>1393</v>
      </c>
      <c r="B8182" s="76" t="s">
        <v>914</v>
      </c>
      <c r="C8182" s="76" t="s">
        <v>915</v>
      </c>
      <c r="D8182" s="75"/>
    </row>
    <row hidden="true" r="8183">
      <c r="A8183" s="76" t="s">
        <v>1393</v>
      </c>
      <c r="B8183" s="76" t="s">
        <v>916</v>
      </c>
      <c r="C8183" s="76" t="s">
        <v>917</v>
      </c>
      <c r="D8183" s="75"/>
    </row>
    <row hidden="true" r="8184">
      <c r="A8184" s="76" t="s">
        <v>1393</v>
      </c>
      <c r="B8184" s="76" t="s">
        <v>918</v>
      </c>
      <c r="C8184" s="76" t="s">
        <v>919</v>
      </c>
      <c r="D8184" s="75"/>
    </row>
    <row hidden="true" r="8185">
      <c r="A8185" s="76" t="s">
        <v>1393</v>
      </c>
      <c r="B8185" s="76" t="s">
        <v>920</v>
      </c>
      <c r="C8185" s="76" t="s">
        <v>921</v>
      </c>
      <c r="D8185" s="75"/>
    </row>
    <row hidden="true" r="8186">
      <c r="A8186" s="76" t="s">
        <v>1393</v>
      </c>
      <c r="B8186" s="76" t="s">
        <v>922</v>
      </c>
      <c r="C8186" s="76" t="s">
        <v>1219</v>
      </c>
      <c r="D8186" s="75"/>
    </row>
    <row hidden="true" r="8187">
      <c r="A8187" s="76" t="s">
        <v>1393</v>
      </c>
      <c r="B8187" s="76" t="s">
        <v>924</v>
      </c>
      <c r="C8187" s="76" t="s">
        <v>925</v>
      </c>
      <c r="D8187" s="75"/>
    </row>
    <row hidden="true" r="8188">
      <c r="A8188" s="76" t="s">
        <v>1393</v>
      </c>
      <c r="B8188" s="76" t="s">
        <v>926</v>
      </c>
      <c r="C8188" s="76" t="s">
        <v>927</v>
      </c>
      <c r="D8188" s="75"/>
    </row>
    <row hidden="true" r="8189">
      <c r="A8189" s="76" t="s">
        <v>1393</v>
      </c>
      <c r="B8189" s="76" t="s">
        <v>928</v>
      </c>
      <c r="C8189" s="76" t="s">
        <v>929</v>
      </c>
      <c r="D8189" s="75"/>
    </row>
    <row hidden="true" r="8190">
      <c r="A8190" s="76" t="s">
        <v>1393</v>
      </c>
      <c r="B8190" s="76" t="s">
        <v>930</v>
      </c>
      <c r="C8190" s="76" t="s">
        <v>931</v>
      </c>
      <c r="D8190" s="75"/>
    </row>
    <row hidden="true" r="8191">
      <c r="A8191" s="76" t="s">
        <v>1393</v>
      </c>
      <c r="B8191" s="76" t="s">
        <v>932</v>
      </c>
      <c r="C8191" s="76" t="s">
        <v>933</v>
      </c>
      <c r="D8191" s="75"/>
    </row>
    <row hidden="true" r="8192">
      <c r="A8192" s="76" t="s">
        <v>1393</v>
      </c>
      <c r="B8192" s="76" t="s">
        <v>934</v>
      </c>
      <c r="C8192" s="76" t="s">
        <v>935</v>
      </c>
      <c r="D8192" s="75"/>
    </row>
    <row hidden="true" r="8193">
      <c r="A8193" s="76" t="s">
        <v>1393</v>
      </c>
      <c r="B8193" s="76" t="s">
        <v>936</v>
      </c>
      <c r="C8193" s="76" t="s">
        <v>937</v>
      </c>
      <c r="D8193" s="75"/>
    </row>
    <row hidden="true" r="8194">
      <c r="A8194" s="76" t="s">
        <v>1393</v>
      </c>
      <c r="B8194" s="76" t="s">
        <v>938</v>
      </c>
      <c r="C8194" s="76" t="s">
        <v>1220</v>
      </c>
      <c r="D8194" s="75"/>
    </row>
    <row hidden="true" r="8195">
      <c r="A8195" s="76" t="s">
        <v>1393</v>
      </c>
      <c r="B8195" s="76" t="s">
        <v>940</v>
      </c>
      <c r="C8195" s="76" t="s">
        <v>941</v>
      </c>
      <c r="D8195" s="75"/>
    </row>
    <row hidden="true" r="8196">
      <c r="A8196" s="76" t="s">
        <v>1393</v>
      </c>
      <c r="B8196" s="76" t="s">
        <v>942</v>
      </c>
      <c r="C8196" s="76" t="s">
        <v>943</v>
      </c>
      <c r="D8196" s="75"/>
    </row>
    <row hidden="true" r="8197">
      <c r="A8197" s="76" t="s">
        <v>1393</v>
      </c>
      <c r="B8197" s="76" t="s">
        <v>944</v>
      </c>
      <c r="C8197" s="76" t="s">
        <v>945</v>
      </c>
      <c r="D8197" s="75"/>
    </row>
    <row hidden="true" r="8198">
      <c r="A8198" s="76" t="s">
        <v>1393</v>
      </c>
      <c r="B8198" s="76" t="s">
        <v>1305</v>
      </c>
      <c r="C8198" s="76" t="s">
        <v>1306</v>
      </c>
      <c r="D8198" s="75"/>
    </row>
    <row hidden="true" r="8199">
      <c r="A8199" s="76" t="s">
        <v>1393</v>
      </c>
      <c r="B8199" s="76" t="s">
        <v>1307</v>
      </c>
      <c r="C8199" s="76" t="s">
        <v>1308</v>
      </c>
      <c r="D8199" s="75"/>
    </row>
    <row hidden="true" r="8200">
      <c r="A8200" s="76" t="s">
        <v>1393</v>
      </c>
      <c r="B8200" s="76" t="s">
        <v>946</v>
      </c>
      <c r="C8200" s="76" t="s">
        <v>1221</v>
      </c>
      <c r="D8200" s="75"/>
    </row>
    <row hidden="true" r="8201">
      <c r="A8201" s="76" t="s">
        <v>1393</v>
      </c>
      <c r="B8201" s="76" t="s">
        <v>948</v>
      </c>
      <c r="C8201" s="76" t="s">
        <v>1222</v>
      </c>
      <c r="D8201" s="75"/>
    </row>
    <row hidden="true" r="8202">
      <c r="A8202" s="76" t="s">
        <v>1393</v>
      </c>
      <c r="B8202" s="76" t="s">
        <v>950</v>
      </c>
      <c r="C8202" s="76" t="s">
        <v>951</v>
      </c>
      <c r="D8202" s="75"/>
    </row>
    <row hidden="true" r="8203">
      <c r="A8203" s="76" t="s">
        <v>1393</v>
      </c>
      <c r="B8203" s="76" t="s">
        <v>952</v>
      </c>
      <c r="C8203" s="76" t="s">
        <v>953</v>
      </c>
      <c r="D8203" s="75"/>
    </row>
    <row hidden="true" r="8204">
      <c r="A8204" s="76" t="s">
        <v>1393</v>
      </c>
      <c r="B8204" s="76" t="s">
        <v>954</v>
      </c>
      <c r="C8204" s="76" t="s">
        <v>955</v>
      </c>
      <c r="D8204" s="75"/>
    </row>
    <row hidden="true" r="8205">
      <c r="A8205" s="76" t="s">
        <v>1393</v>
      </c>
      <c r="B8205" s="76" t="s">
        <v>775</v>
      </c>
      <c r="C8205" s="76" t="s">
        <v>776</v>
      </c>
      <c r="D8205" s="75"/>
    </row>
    <row hidden="true" r="8206">
      <c r="A8206" s="76" t="s">
        <v>1393</v>
      </c>
      <c r="B8206" s="76" t="s">
        <v>956</v>
      </c>
      <c r="C8206" s="76" t="s">
        <v>957</v>
      </c>
      <c r="D8206" s="75"/>
    </row>
    <row hidden="true" r="8207">
      <c r="A8207" s="76" t="s">
        <v>1393</v>
      </c>
      <c r="B8207" s="76" t="s">
        <v>958</v>
      </c>
      <c r="C8207" s="76" t="s">
        <v>959</v>
      </c>
      <c r="D8207" s="75"/>
    </row>
    <row hidden="true" r="8208">
      <c r="A8208" s="76" t="s">
        <v>1393</v>
      </c>
      <c r="B8208" s="76" t="s">
        <v>960</v>
      </c>
      <c r="C8208" s="76" t="s">
        <v>961</v>
      </c>
      <c r="D8208" s="75"/>
    </row>
    <row hidden="true" r="8209">
      <c r="A8209" s="76" t="s">
        <v>1393</v>
      </c>
      <c r="B8209" s="76" t="s">
        <v>962</v>
      </c>
      <c r="C8209" s="76" t="s">
        <v>963</v>
      </c>
      <c r="D8209" s="75"/>
    </row>
    <row hidden="true" r="8210">
      <c r="A8210" s="76" t="s">
        <v>1393</v>
      </c>
      <c r="B8210" s="76" t="s">
        <v>964</v>
      </c>
      <c r="C8210" s="76" t="s">
        <v>965</v>
      </c>
      <c r="D8210" s="75"/>
    </row>
    <row hidden="true" r="8211">
      <c r="A8211" s="76" t="s">
        <v>1393</v>
      </c>
      <c r="B8211" s="76" t="s">
        <v>966</v>
      </c>
      <c r="C8211" s="76" t="s">
        <v>967</v>
      </c>
      <c r="D8211" s="75"/>
    </row>
    <row hidden="true" r="8212">
      <c r="A8212" s="76" t="s">
        <v>1393</v>
      </c>
      <c r="B8212" s="76" t="s">
        <v>968</v>
      </c>
      <c r="C8212" s="76" t="s">
        <v>969</v>
      </c>
      <c r="D8212" s="75"/>
    </row>
    <row hidden="true" r="8213">
      <c r="A8213" s="76" t="s">
        <v>1393</v>
      </c>
      <c r="B8213" s="76" t="s">
        <v>970</v>
      </c>
      <c r="C8213" s="76" t="s">
        <v>971</v>
      </c>
      <c r="D8213" s="75"/>
    </row>
    <row hidden="true" r="8214">
      <c r="A8214" s="76" t="s">
        <v>1393</v>
      </c>
      <c r="B8214" s="76" t="s">
        <v>972</v>
      </c>
      <c r="C8214" s="76" t="s">
        <v>973</v>
      </c>
      <c r="D8214" s="75"/>
    </row>
    <row hidden="true" r="8215">
      <c r="A8215" s="76" t="s">
        <v>1393</v>
      </c>
      <c r="B8215" s="76" t="s">
        <v>974</v>
      </c>
      <c r="C8215" s="76" t="s">
        <v>975</v>
      </c>
      <c r="D8215" s="75"/>
    </row>
    <row hidden="true" r="8216">
      <c r="A8216" s="76" t="s">
        <v>1393</v>
      </c>
      <c r="B8216" s="76" t="s">
        <v>976</v>
      </c>
      <c r="C8216" s="76" t="s">
        <v>977</v>
      </c>
      <c r="D8216" s="75"/>
    </row>
    <row hidden="true" r="8217">
      <c r="A8217" s="76" t="s">
        <v>1393</v>
      </c>
      <c r="B8217" s="76" t="s">
        <v>823</v>
      </c>
      <c r="C8217" s="76" t="s">
        <v>824</v>
      </c>
      <c r="D8217" s="75"/>
    </row>
    <row hidden="true" r="8218">
      <c r="A8218" s="76" t="s">
        <v>1393</v>
      </c>
      <c r="B8218" s="76" t="s">
        <v>978</v>
      </c>
      <c r="C8218" s="76" t="s">
        <v>979</v>
      </c>
      <c r="D8218" s="75"/>
    </row>
    <row hidden="true" r="8219">
      <c r="A8219" s="76" t="s">
        <v>1393</v>
      </c>
      <c r="B8219" s="76" t="s">
        <v>980</v>
      </c>
      <c r="C8219" s="76" t="s">
        <v>981</v>
      </c>
      <c r="D8219" s="75"/>
    </row>
    <row hidden="true" r="8220">
      <c r="A8220" s="76" t="s">
        <v>1393</v>
      </c>
      <c r="B8220" s="76" t="s">
        <v>982</v>
      </c>
      <c r="C8220" s="76" t="s">
        <v>983</v>
      </c>
      <c r="D8220" s="75"/>
    </row>
    <row hidden="true" r="8221">
      <c r="A8221" s="76" t="s">
        <v>1393</v>
      </c>
      <c r="B8221" s="76" t="s">
        <v>984</v>
      </c>
      <c r="C8221" s="76" t="s">
        <v>985</v>
      </c>
      <c r="D8221" s="75"/>
    </row>
    <row hidden="true" r="8222">
      <c r="A8222" s="76" t="s">
        <v>1393</v>
      </c>
      <c r="B8222" s="76" t="s">
        <v>986</v>
      </c>
      <c r="C8222" s="76" t="s">
        <v>987</v>
      </c>
      <c r="D8222" s="75"/>
    </row>
    <row hidden="true" r="8223">
      <c r="A8223" s="76" t="s">
        <v>1393</v>
      </c>
      <c r="B8223" s="76" t="s">
        <v>1309</v>
      </c>
      <c r="C8223" s="76" t="s">
        <v>1310</v>
      </c>
      <c r="D8223" s="75"/>
    </row>
    <row hidden="true" r="8224">
      <c r="A8224" s="76" t="s">
        <v>1393</v>
      </c>
      <c r="B8224" s="76" t="s">
        <v>1311</v>
      </c>
      <c r="C8224" s="76" t="s">
        <v>1312</v>
      </c>
      <c r="D8224" s="75"/>
    </row>
    <row hidden="true" r="8225">
      <c r="A8225" s="76" t="s">
        <v>1393</v>
      </c>
      <c r="B8225" s="76" t="s">
        <v>1099</v>
      </c>
      <c r="C8225" s="76" t="s">
        <v>1100</v>
      </c>
      <c r="D8225" s="75"/>
    </row>
    <row hidden="true" r="8226">
      <c r="A8226" s="76" t="s">
        <v>1393</v>
      </c>
      <c r="B8226" s="76" t="s">
        <v>1101</v>
      </c>
      <c r="C8226" s="76" t="s">
        <v>1102</v>
      </c>
      <c r="D8226" s="75"/>
    </row>
    <row hidden="true" r="8227">
      <c r="A8227" s="76" t="s">
        <v>1393</v>
      </c>
      <c r="B8227" s="76" t="s">
        <v>1313</v>
      </c>
      <c r="C8227" s="76" t="s">
        <v>1314</v>
      </c>
      <c r="D8227" s="75"/>
    </row>
    <row hidden="true" r="8228">
      <c r="A8228" s="76" t="s">
        <v>1393</v>
      </c>
      <c r="B8228" s="76" t="s">
        <v>996</v>
      </c>
      <c r="C8228" s="76" t="s">
        <v>997</v>
      </c>
      <c r="D8228" s="75"/>
    </row>
    <row hidden="true" r="8229">
      <c r="A8229" s="76" t="s">
        <v>1393</v>
      </c>
      <c r="B8229" s="76" t="s">
        <v>998</v>
      </c>
      <c r="C8229" s="76" t="s">
        <v>999</v>
      </c>
      <c r="D8229" s="75"/>
    </row>
    <row hidden="true" r="8230">
      <c r="A8230" s="76" t="s">
        <v>1393</v>
      </c>
      <c r="B8230" s="76" t="s">
        <v>1000</v>
      </c>
      <c r="C8230" s="76" t="s">
        <v>1001</v>
      </c>
      <c r="D8230" s="75"/>
    </row>
    <row hidden="true" r="8231">
      <c r="A8231" s="76" t="s">
        <v>1393</v>
      </c>
      <c r="B8231" s="76" t="s">
        <v>1002</v>
      </c>
      <c r="C8231" s="76" t="s">
        <v>1003</v>
      </c>
      <c r="D8231" s="75"/>
    </row>
    <row hidden="true" r="8232">
      <c r="A8232" s="76" t="s">
        <v>1393</v>
      </c>
      <c r="B8232" s="76" t="s">
        <v>1004</v>
      </c>
      <c r="C8232" s="76" t="s">
        <v>1005</v>
      </c>
      <c r="D8232" s="75"/>
    </row>
    <row hidden="true" r="8233">
      <c r="A8233" s="76" t="s">
        <v>1393</v>
      </c>
      <c r="B8233" s="76" t="s">
        <v>1006</v>
      </c>
      <c r="C8233" s="76" t="s">
        <v>1007</v>
      </c>
      <c r="D8233" s="75"/>
    </row>
    <row hidden="true" r="8234">
      <c r="A8234" s="76" t="s">
        <v>1393</v>
      </c>
      <c r="B8234" s="76" t="s">
        <v>1008</v>
      </c>
      <c r="C8234" s="76" t="s">
        <v>1009</v>
      </c>
      <c r="D8234" s="75"/>
    </row>
    <row hidden="true" r="8235">
      <c r="A8235" s="76" t="s">
        <v>1393</v>
      </c>
      <c r="B8235" s="76" t="s">
        <v>1010</v>
      </c>
      <c r="C8235" s="76" t="s">
        <v>1011</v>
      </c>
      <c r="D8235" s="75"/>
    </row>
    <row hidden="true" r="8236">
      <c r="A8236" s="76" t="s">
        <v>1393</v>
      </c>
      <c r="B8236" s="76" t="s">
        <v>1315</v>
      </c>
      <c r="C8236" s="76" t="s">
        <v>1316</v>
      </c>
      <c r="D8236" s="75"/>
    </row>
    <row hidden="true" r="8237">
      <c r="A8237" s="76" t="s">
        <v>1393</v>
      </c>
      <c r="B8237" s="76" t="s">
        <v>1014</v>
      </c>
      <c r="C8237" s="76" t="s">
        <v>1015</v>
      </c>
      <c r="D8237" s="75"/>
    </row>
    <row hidden="true" r="8238">
      <c r="A8238" s="76" t="s">
        <v>1393</v>
      </c>
      <c r="B8238" s="76" t="s">
        <v>1016</v>
      </c>
      <c r="C8238" s="76" t="s">
        <v>1017</v>
      </c>
      <c r="D8238" s="75"/>
    </row>
    <row hidden="true" r="8239">
      <c r="A8239" s="76" t="s">
        <v>1393</v>
      </c>
      <c r="B8239" s="76" t="s">
        <v>1018</v>
      </c>
      <c r="C8239" s="76" t="s">
        <v>1019</v>
      </c>
      <c r="D8239" s="75"/>
    </row>
    <row hidden="true" r="8240">
      <c r="A8240" s="76" t="s">
        <v>1393</v>
      </c>
      <c r="B8240" s="76" t="s">
        <v>1020</v>
      </c>
      <c r="C8240" s="76" t="s">
        <v>1021</v>
      </c>
      <c r="D8240" s="75"/>
    </row>
    <row hidden="true" r="8241">
      <c r="A8241" s="76" t="s">
        <v>1393</v>
      </c>
      <c r="B8241" s="76" t="s">
        <v>1022</v>
      </c>
      <c r="C8241" s="76" t="s">
        <v>1017</v>
      </c>
      <c r="D8241" s="75"/>
    </row>
    <row hidden="true" r="8242">
      <c r="A8242" s="76" t="s">
        <v>1393</v>
      </c>
      <c r="B8242" s="76" t="s">
        <v>1023</v>
      </c>
      <c r="C8242" s="76" t="s">
        <v>1019</v>
      </c>
      <c r="D8242" s="75"/>
    </row>
    <row hidden="true" r="8243">
      <c r="A8243" s="76" t="s">
        <v>1393</v>
      </c>
      <c r="B8243" s="76" t="s">
        <v>1024</v>
      </c>
      <c r="C8243" s="76" t="s">
        <v>1021</v>
      </c>
      <c r="D8243" s="75"/>
    </row>
    <row hidden="true" r="8244">
      <c r="A8244" s="76" t="s">
        <v>1393</v>
      </c>
      <c r="B8244" s="76" t="s">
        <v>1025</v>
      </c>
      <c r="C8244" s="76" t="s">
        <v>1017</v>
      </c>
      <c r="D8244" s="75"/>
    </row>
    <row hidden="true" r="8245">
      <c r="A8245" s="76" t="s">
        <v>1393</v>
      </c>
      <c r="B8245" s="76" t="s">
        <v>1026</v>
      </c>
      <c r="C8245" s="76" t="s">
        <v>1019</v>
      </c>
      <c r="D8245" s="75"/>
    </row>
    <row hidden="true" r="8246">
      <c r="A8246" s="76" t="s">
        <v>1393</v>
      </c>
      <c r="B8246" s="76" t="s">
        <v>1027</v>
      </c>
      <c r="C8246" s="76" t="s">
        <v>1021</v>
      </c>
      <c r="D8246" s="75"/>
    </row>
    <row hidden="true" r="8247">
      <c r="A8247" s="76" t="s">
        <v>1393</v>
      </c>
      <c r="B8247" s="76" t="s">
        <v>1133</v>
      </c>
      <c r="C8247" s="76" t="s">
        <v>1134</v>
      </c>
      <c r="D8247" s="75"/>
    </row>
    <row hidden="true" r="8248">
      <c r="A8248" s="76" t="s">
        <v>1393</v>
      </c>
      <c r="B8248" s="76" t="s">
        <v>1317</v>
      </c>
      <c r="C8248" s="76" t="s">
        <v>1318</v>
      </c>
      <c r="D8248" s="75"/>
    </row>
    <row hidden="true" r="8249">
      <c r="A8249" s="76" t="s">
        <v>1393</v>
      </c>
      <c r="B8249" s="76" t="s">
        <v>1319</v>
      </c>
      <c r="C8249" s="76" t="s">
        <v>1320</v>
      </c>
      <c r="D8249" s="75"/>
    </row>
    <row hidden="true" r="8250">
      <c r="A8250" s="76" t="s">
        <v>1393</v>
      </c>
      <c r="B8250" s="76" t="s">
        <v>1028</v>
      </c>
      <c r="C8250" s="76" t="s">
        <v>1029</v>
      </c>
      <c r="D8250" s="75"/>
    </row>
    <row hidden="true" r="8251">
      <c r="A8251" s="76" t="s">
        <v>1393</v>
      </c>
      <c r="B8251" s="76" t="s">
        <v>988</v>
      </c>
      <c r="C8251" s="76" t="s">
        <v>989</v>
      </c>
      <c r="D8251" s="75"/>
    </row>
    <row hidden="true" r="8252">
      <c r="A8252" s="76" t="s">
        <v>1393</v>
      </c>
      <c r="B8252" s="76" t="s">
        <v>990</v>
      </c>
      <c r="C8252" s="76" t="s">
        <v>991</v>
      </c>
      <c r="D8252" s="75"/>
    </row>
    <row hidden="true" r="8253">
      <c r="A8253" s="76" t="s">
        <v>1393</v>
      </c>
      <c r="B8253" s="76" t="s">
        <v>992</v>
      </c>
      <c r="C8253" s="76" t="s">
        <v>993</v>
      </c>
      <c r="D8253" s="75"/>
    </row>
    <row hidden="true" r="8254">
      <c r="A8254" s="76" t="s">
        <v>1393</v>
      </c>
      <c r="B8254" s="76" t="s">
        <v>530</v>
      </c>
      <c r="C8254" s="76" t="s">
        <v>531</v>
      </c>
      <c r="D8254" s="75"/>
    </row>
    <row hidden="true" r="8255">
      <c r="A8255" s="76" t="s">
        <v>1393</v>
      </c>
      <c r="B8255" s="76" t="s">
        <v>1032</v>
      </c>
      <c r="C8255" s="76" t="s">
        <v>1033</v>
      </c>
      <c r="D8255" s="75"/>
    </row>
    <row hidden="true" r="8256">
      <c r="A8256" s="76" t="s">
        <v>1393</v>
      </c>
      <c r="B8256" s="76" t="s">
        <v>532</v>
      </c>
      <c r="C8256" s="76" t="s">
        <v>533</v>
      </c>
      <c r="D8256" s="75"/>
    </row>
    <row hidden="true" r="8257">
      <c r="A8257" s="76" t="s">
        <v>1393</v>
      </c>
      <c r="B8257" s="76" t="s">
        <v>1036</v>
      </c>
      <c r="C8257" s="76" t="s">
        <v>1037</v>
      </c>
      <c r="D8257" s="75"/>
    </row>
    <row hidden="true" r="8258">
      <c r="A8258" s="76" t="s">
        <v>1393</v>
      </c>
      <c r="B8258" s="76" t="s">
        <v>1038</v>
      </c>
      <c r="C8258" s="76" t="s">
        <v>1039</v>
      </c>
      <c r="D8258" s="75"/>
    </row>
    <row hidden="true" r="8259">
      <c r="A8259" s="76" t="s">
        <v>1393</v>
      </c>
      <c r="B8259" s="76" t="s">
        <v>1321</v>
      </c>
      <c r="C8259" s="76" t="s">
        <v>1322</v>
      </c>
      <c r="D8259" s="75"/>
    </row>
    <row hidden="true" r="8260">
      <c r="A8260" s="76" t="s">
        <v>1393</v>
      </c>
      <c r="B8260" s="76" t="s">
        <v>1323</v>
      </c>
      <c r="C8260" s="76" t="s">
        <v>1324</v>
      </c>
      <c r="D8260" s="75"/>
    </row>
    <row hidden="true" r="8261">
      <c r="A8261" s="76" t="s">
        <v>1393</v>
      </c>
      <c r="B8261" s="76" t="s">
        <v>1012</v>
      </c>
      <c r="C8261" s="76" t="s">
        <v>1013</v>
      </c>
      <c r="D8261" s="75"/>
    </row>
    <row hidden="true" r="8262">
      <c r="A8262" s="76" t="s">
        <v>1393</v>
      </c>
      <c r="B8262" s="76" t="s">
        <v>1052</v>
      </c>
      <c r="C8262" s="76" t="s">
        <v>1053</v>
      </c>
      <c r="D8262" s="75"/>
    </row>
    <row hidden="true" r="8263">
      <c r="A8263" s="76" t="s">
        <v>1393</v>
      </c>
      <c r="B8263" s="76" t="s">
        <v>1054</v>
      </c>
      <c r="C8263" s="76" t="s">
        <v>1055</v>
      </c>
      <c r="D8263" s="75"/>
    </row>
    <row hidden="true" r="8264">
      <c r="A8264" s="76" t="s">
        <v>1393</v>
      </c>
      <c r="B8264" s="76" t="s">
        <v>1056</v>
      </c>
      <c r="C8264" s="76" t="s">
        <v>1057</v>
      </c>
      <c r="D8264" s="75"/>
    </row>
    <row hidden="true" r="8265">
      <c r="A8265" s="76" t="s">
        <v>1393</v>
      </c>
      <c r="B8265" s="76" t="s">
        <v>1058</v>
      </c>
      <c r="C8265" s="76" t="s">
        <v>1059</v>
      </c>
      <c r="D8265" s="75"/>
    </row>
    <row hidden="true" r="8266">
      <c r="A8266" s="76" t="s">
        <v>1393</v>
      </c>
      <c r="B8266" s="76" t="s">
        <v>1060</v>
      </c>
      <c r="C8266" s="76" t="s">
        <v>1061</v>
      </c>
      <c r="D8266" s="75"/>
    </row>
    <row hidden="true" r="8267">
      <c r="A8267" s="76" t="s">
        <v>1393</v>
      </c>
      <c r="B8267" s="76" t="s">
        <v>1062</v>
      </c>
      <c r="C8267" s="76" t="s">
        <v>1063</v>
      </c>
      <c r="D8267" s="75"/>
    </row>
    <row hidden="true" r="8268">
      <c r="A8268" s="76" t="s">
        <v>1393</v>
      </c>
      <c r="B8268" s="76" t="s">
        <v>1064</v>
      </c>
      <c r="C8268" s="76" t="s">
        <v>1065</v>
      </c>
      <c r="D8268" s="75"/>
    </row>
    <row hidden="true" r="8269">
      <c r="A8269" s="76" t="s">
        <v>1393</v>
      </c>
      <c r="B8269" s="76" t="s">
        <v>1066</v>
      </c>
      <c r="C8269" s="76" t="s">
        <v>1067</v>
      </c>
      <c r="D8269" s="75"/>
    </row>
    <row hidden="true" r="8270">
      <c r="A8270" s="76" t="s">
        <v>1393</v>
      </c>
      <c r="B8270" s="76" t="s">
        <v>1068</v>
      </c>
      <c r="C8270" s="76" t="s">
        <v>1069</v>
      </c>
      <c r="D8270" s="75"/>
    </row>
    <row hidden="true" r="8271">
      <c r="A8271" s="76" t="s">
        <v>1393</v>
      </c>
      <c r="B8271" s="76" t="s">
        <v>1070</v>
      </c>
      <c r="C8271" s="76" t="s">
        <v>1069</v>
      </c>
      <c r="D8271" s="75"/>
    </row>
    <row hidden="true" r="8272">
      <c r="A8272" s="76" t="s">
        <v>1393</v>
      </c>
      <c r="B8272" s="76" t="s">
        <v>1071</v>
      </c>
      <c r="C8272" s="76" t="s">
        <v>1069</v>
      </c>
      <c r="D8272" s="75"/>
    </row>
    <row hidden="true" r="8273">
      <c r="A8273" s="76" t="s">
        <v>1393</v>
      </c>
      <c r="B8273" s="76" t="s">
        <v>1072</v>
      </c>
      <c r="C8273" s="76" t="s">
        <v>1073</v>
      </c>
      <c r="D8273" s="75"/>
    </row>
    <row hidden="true" r="8274">
      <c r="A8274" s="76" t="s">
        <v>1393</v>
      </c>
      <c r="B8274" s="76" t="s">
        <v>1074</v>
      </c>
      <c r="C8274" s="76" t="s">
        <v>1073</v>
      </c>
      <c r="D8274" s="75"/>
    </row>
    <row hidden="true" r="8275">
      <c r="A8275" s="76" t="s">
        <v>1393</v>
      </c>
      <c r="B8275" s="76" t="s">
        <v>1075</v>
      </c>
      <c r="C8275" s="76" t="s">
        <v>1073</v>
      </c>
      <c r="D8275" s="75"/>
    </row>
    <row hidden="true" r="8276">
      <c r="A8276" s="76" t="s">
        <v>1393</v>
      </c>
      <c r="B8276" s="76" t="s">
        <v>1082</v>
      </c>
      <c r="C8276" s="76" t="s">
        <v>1083</v>
      </c>
      <c r="D8276" s="75"/>
    </row>
    <row hidden="true" r="8277">
      <c r="A8277" s="76" t="s">
        <v>1393</v>
      </c>
      <c r="B8277" s="76" t="s">
        <v>1084</v>
      </c>
      <c r="C8277" s="76" t="s">
        <v>1085</v>
      </c>
      <c r="D8277" s="75"/>
    </row>
    <row hidden="true" r="8278">
      <c r="A8278" s="76" t="s">
        <v>1393</v>
      </c>
      <c r="B8278" s="76" t="s">
        <v>1086</v>
      </c>
      <c r="C8278" s="76" t="s">
        <v>1087</v>
      </c>
      <c r="D8278" s="75"/>
    </row>
    <row hidden="true" r="8279">
      <c r="A8279" s="76" t="s">
        <v>1393</v>
      </c>
      <c r="B8279" s="76" t="s">
        <v>1088</v>
      </c>
      <c r="C8279" s="76" t="s">
        <v>1089</v>
      </c>
      <c r="D8279" s="75"/>
    </row>
    <row hidden="true" r="8280">
      <c r="A8280" s="76" t="s">
        <v>1393</v>
      </c>
      <c r="B8280" s="76" t="s">
        <v>1076</v>
      </c>
      <c r="C8280" s="76" t="s">
        <v>1077</v>
      </c>
      <c r="D8280" s="75"/>
    </row>
    <row hidden="true" r="8281">
      <c r="A8281" s="76" t="s">
        <v>1393</v>
      </c>
      <c r="B8281" s="76" t="s">
        <v>1078</v>
      </c>
      <c r="C8281" s="76" t="s">
        <v>1079</v>
      </c>
      <c r="D8281" s="75"/>
    </row>
    <row hidden="true" r="8282">
      <c r="A8282" s="76" t="s">
        <v>1393</v>
      </c>
      <c r="B8282" s="76" t="s">
        <v>1040</v>
      </c>
      <c r="C8282" s="76" t="s">
        <v>1041</v>
      </c>
      <c r="D8282" s="75"/>
    </row>
    <row hidden="true" r="8283">
      <c r="A8283" s="76" t="s">
        <v>1393</v>
      </c>
      <c r="B8283" s="76" t="s">
        <v>839</v>
      </c>
      <c r="C8283" s="76" t="s">
        <v>840</v>
      </c>
      <c r="D8283" s="75"/>
    </row>
    <row hidden="true" r="8284">
      <c r="A8284" s="76" t="s">
        <v>1393</v>
      </c>
      <c r="B8284" s="76" t="s">
        <v>1121</v>
      </c>
      <c r="C8284" s="76" t="s">
        <v>1122</v>
      </c>
      <c r="D8284" s="75"/>
    </row>
    <row hidden="true" r="8285">
      <c r="A8285" s="76" t="s">
        <v>1393</v>
      </c>
      <c r="B8285" s="76" t="s">
        <v>1325</v>
      </c>
      <c r="C8285" s="76" t="s">
        <v>1326</v>
      </c>
      <c r="D8285" s="75"/>
    </row>
    <row hidden="true" r="8286">
      <c r="A8286" s="76" t="s">
        <v>1393</v>
      </c>
      <c r="B8286" s="76" t="s">
        <v>1080</v>
      </c>
      <c r="C8286" s="76" t="s">
        <v>1081</v>
      </c>
      <c r="D8286" s="75"/>
    </row>
    <row hidden="true" r="8287">
      <c r="A8287" s="76" t="s">
        <v>1393</v>
      </c>
      <c r="B8287" s="76" t="s">
        <v>1327</v>
      </c>
      <c r="C8287" s="76" t="s">
        <v>1328</v>
      </c>
      <c r="D8287" s="75"/>
    </row>
    <row hidden="true" r="8288">
      <c r="A8288" s="76" t="s">
        <v>1393</v>
      </c>
      <c r="B8288" s="76" t="s">
        <v>1090</v>
      </c>
      <c r="C8288" s="76" t="s">
        <v>1091</v>
      </c>
      <c r="D8288" s="75"/>
    </row>
    <row hidden="true" r="8289">
      <c r="A8289" s="76" t="s">
        <v>1393</v>
      </c>
      <c r="B8289" s="76" t="s">
        <v>1092</v>
      </c>
      <c r="C8289" s="76" t="s">
        <v>1091</v>
      </c>
      <c r="D8289" s="75"/>
    </row>
    <row hidden="true" r="8290">
      <c r="A8290" s="76" t="s">
        <v>1393</v>
      </c>
      <c r="B8290" s="76" t="s">
        <v>1093</v>
      </c>
      <c r="C8290" s="76" t="s">
        <v>1094</v>
      </c>
      <c r="D8290" s="75"/>
    </row>
    <row hidden="true" r="8291">
      <c r="A8291" s="76" t="s">
        <v>1393</v>
      </c>
      <c r="B8291" s="76" t="s">
        <v>1095</v>
      </c>
      <c r="C8291" s="76" t="s">
        <v>1096</v>
      </c>
      <c r="D8291" s="75"/>
    </row>
    <row hidden="true" r="8292">
      <c r="A8292" s="76" t="s">
        <v>1393</v>
      </c>
      <c r="B8292" s="76" t="s">
        <v>1097</v>
      </c>
      <c r="C8292" s="76" t="s">
        <v>1098</v>
      </c>
      <c r="D8292" s="75"/>
    </row>
    <row hidden="true" r="8293">
      <c r="A8293" s="76" t="s">
        <v>1393</v>
      </c>
      <c r="B8293" s="76" t="s">
        <v>1103</v>
      </c>
      <c r="C8293" s="76" t="s">
        <v>1104</v>
      </c>
      <c r="D8293" s="75"/>
    </row>
    <row hidden="true" r="8294">
      <c r="A8294" s="76" t="s">
        <v>1393</v>
      </c>
      <c r="B8294" s="76" t="s">
        <v>1329</v>
      </c>
      <c r="C8294" s="76" t="s">
        <v>1330</v>
      </c>
      <c r="D8294" s="75"/>
    </row>
    <row hidden="true" r="8295">
      <c r="A8295" s="76" t="s">
        <v>1393</v>
      </c>
      <c r="B8295" s="76" t="s">
        <v>1113</v>
      </c>
      <c r="C8295" s="76" t="s">
        <v>1114</v>
      </c>
      <c r="D8295" s="75"/>
    </row>
    <row hidden="true" r="8296">
      <c r="A8296" s="76" t="s">
        <v>1393</v>
      </c>
      <c r="B8296" s="76" t="s">
        <v>1115</v>
      </c>
      <c r="C8296" s="76" t="s">
        <v>1116</v>
      </c>
      <c r="D8296" s="75"/>
    </row>
    <row hidden="true" r="8297">
      <c r="A8297" s="76" t="s">
        <v>1393</v>
      </c>
      <c r="B8297" s="76" t="s">
        <v>1117</v>
      </c>
      <c r="C8297" s="76" t="s">
        <v>1118</v>
      </c>
      <c r="D8297" s="75"/>
    </row>
    <row hidden="true" r="8298">
      <c r="A8298" s="76" t="s">
        <v>1393</v>
      </c>
      <c r="B8298" s="76" t="s">
        <v>1119</v>
      </c>
      <c r="C8298" s="76" t="s">
        <v>1120</v>
      </c>
      <c r="D8298" s="75"/>
    </row>
    <row hidden="true" r="8299">
      <c r="A8299" s="76" t="s">
        <v>1393</v>
      </c>
      <c r="B8299" s="76" t="s">
        <v>1127</v>
      </c>
      <c r="C8299" s="76" t="s">
        <v>1128</v>
      </c>
      <c r="D8299" s="75"/>
    </row>
    <row hidden="true" r="8300">
      <c r="A8300" s="76" t="s">
        <v>1393</v>
      </c>
      <c r="B8300" s="76" t="s">
        <v>1129</v>
      </c>
      <c r="C8300" s="76" t="s">
        <v>1130</v>
      </c>
      <c r="D8300" s="75"/>
    </row>
    <row hidden="true" r="8301">
      <c r="A8301" s="76" t="s">
        <v>1393</v>
      </c>
      <c r="B8301" s="76" t="s">
        <v>1131</v>
      </c>
      <c r="C8301" s="76" t="s">
        <v>1132</v>
      </c>
      <c r="D8301" s="75"/>
    </row>
    <row hidden="true" r="8302">
      <c r="A8302" s="76" t="s">
        <v>1393</v>
      </c>
      <c r="B8302" s="76" t="s">
        <v>1137</v>
      </c>
      <c r="C8302" s="76" t="s">
        <v>1138</v>
      </c>
      <c r="D8302" s="75"/>
    </row>
    <row hidden="true" r="8303">
      <c r="A8303" s="76" t="s">
        <v>1393</v>
      </c>
      <c r="B8303" s="76" t="s">
        <v>1139</v>
      </c>
      <c r="C8303" s="76" t="s">
        <v>1140</v>
      </c>
      <c r="D8303" s="75"/>
    </row>
    <row hidden="true" r="8304">
      <c r="A8304" s="76" t="s">
        <v>1393</v>
      </c>
      <c r="B8304" s="76" t="s">
        <v>1141</v>
      </c>
      <c r="C8304" s="76" t="s">
        <v>1142</v>
      </c>
      <c r="D8304" s="75"/>
    </row>
    <row hidden="true" r="8305">
      <c r="A8305" s="76" t="s">
        <v>1393</v>
      </c>
      <c r="B8305" s="76" t="s">
        <v>1143</v>
      </c>
      <c r="C8305" s="76" t="s">
        <v>1144</v>
      </c>
      <c r="D8305" s="75"/>
    </row>
    <row hidden="true" r="8306">
      <c r="A8306" s="76" t="s">
        <v>1393</v>
      </c>
      <c r="B8306" s="76" t="s">
        <v>1145</v>
      </c>
      <c r="C8306" s="76" t="s">
        <v>1223</v>
      </c>
      <c r="D8306" s="75"/>
    </row>
    <row hidden="true" r="8307">
      <c r="A8307" s="76" t="s">
        <v>1393</v>
      </c>
      <c r="B8307" s="76" t="s">
        <v>1147</v>
      </c>
      <c r="C8307" s="76" t="s">
        <v>1148</v>
      </c>
      <c r="D8307" s="75"/>
    </row>
    <row hidden="true" r="8308">
      <c r="A8308" s="76" t="s">
        <v>1393</v>
      </c>
      <c r="B8308" s="76" t="s">
        <v>1153</v>
      </c>
      <c r="C8308" s="76" t="s">
        <v>1154</v>
      </c>
      <c r="D8308" s="75"/>
    </row>
    <row hidden="true" r="8309">
      <c r="A8309" s="76" t="s">
        <v>1393</v>
      </c>
      <c r="B8309" s="76" t="s">
        <v>1155</v>
      </c>
      <c r="C8309" s="76" t="s">
        <v>1156</v>
      </c>
      <c r="D8309" s="75"/>
    </row>
    <row hidden="true" r="8310">
      <c r="A8310" s="76" t="s">
        <v>1393</v>
      </c>
      <c r="B8310" s="76" t="s">
        <v>1157</v>
      </c>
      <c r="C8310" s="76" t="s">
        <v>1158</v>
      </c>
      <c r="D8310" s="75"/>
    </row>
    <row hidden="true" r="8311">
      <c r="A8311" s="76" t="s">
        <v>1393</v>
      </c>
      <c r="B8311" s="76" t="s">
        <v>1159</v>
      </c>
      <c r="C8311" s="76" t="s">
        <v>1160</v>
      </c>
      <c r="D8311" s="75"/>
    </row>
    <row hidden="true" r="8312">
      <c r="A8312" s="76" t="s">
        <v>1393</v>
      </c>
      <c r="B8312" s="76" t="s">
        <v>1161</v>
      </c>
      <c r="C8312" s="76" t="s">
        <v>1162</v>
      </c>
      <c r="D8312" s="75"/>
    </row>
    <row hidden="true" r="8313">
      <c r="A8313" s="76" t="s">
        <v>1393</v>
      </c>
      <c r="B8313" s="76" t="s">
        <v>1163</v>
      </c>
      <c r="C8313" s="76" t="s">
        <v>1164</v>
      </c>
      <c r="D8313" s="75"/>
    </row>
    <row hidden="true" r="8314">
      <c r="A8314" s="76" t="s">
        <v>1393</v>
      </c>
      <c r="B8314" s="76" t="s">
        <v>1165</v>
      </c>
      <c r="C8314" s="76" t="s">
        <v>1166</v>
      </c>
      <c r="D8314" s="75"/>
    </row>
    <row hidden="true" r="8315">
      <c r="A8315" s="76" t="s">
        <v>1393</v>
      </c>
      <c r="B8315" s="76" t="s">
        <v>1331</v>
      </c>
      <c r="C8315" s="76" t="s">
        <v>1345</v>
      </c>
      <c r="D8315" s="75"/>
    </row>
    <row hidden="true" r="8316">
      <c r="A8316" s="76" t="s">
        <v>1393</v>
      </c>
      <c r="B8316" s="76" t="s">
        <v>1333</v>
      </c>
      <c r="C8316" s="76" t="s">
        <v>1346</v>
      </c>
      <c r="D8316" s="75"/>
    </row>
    <row hidden="true" r="8317">
      <c r="A8317" s="76" t="s">
        <v>1393</v>
      </c>
      <c r="B8317" s="76" t="s">
        <v>1335</v>
      </c>
      <c r="C8317" s="76" t="s">
        <v>1347</v>
      </c>
      <c r="D8317" s="75"/>
    </row>
    <row hidden="true" r="8318">
      <c r="A8318" s="76" t="s">
        <v>1393</v>
      </c>
      <c r="B8318" s="76" t="s">
        <v>1337</v>
      </c>
      <c r="C8318" s="76" t="s">
        <v>1348</v>
      </c>
      <c r="D8318" s="75"/>
    </row>
    <row hidden="true" r="8319">
      <c r="A8319" s="76" t="s">
        <v>1393</v>
      </c>
      <c r="B8319" s="76" t="s">
        <v>1339</v>
      </c>
      <c r="C8319" s="76" t="s">
        <v>1349</v>
      </c>
      <c r="D8319" s="75"/>
    </row>
    <row hidden="true" r="8320">
      <c r="A8320" s="76" t="s">
        <v>1393</v>
      </c>
      <c r="B8320" s="76" t="s">
        <v>1341</v>
      </c>
      <c r="C8320" s="76" t="s">
        <v>1342</v>
      </c>
      <c r="D8320" s="75"/>
    </row>
    <row hidden="true" r="8321">
      <c r="A8321" s="76" t="s">
        <v>1393</v>
      </c>
      <c r="B8321" s="76" t="s">
        <v>1044</v>
      </c>
      <c r="C8321" s="76" t="s">
        <v>1045</v>
      </c>
      <c r="D8321" s="75"/>
    </row>
    <row hidden="true" r="8322">
      <c r="A8322" s="76" t="s">
        <v>1393</v>
      </c>
      <c r="B8322" s="76" t="s">
        <v>1046</v>
      </c>
      <c r="C8322" s="76" t="s">
        <v>1047</v>
      </c>
      <c r="D8322" s="75"/>
    </row>
    <row hidden="true" r="8323">
      <c r="A8323" s="76" t="s">
        <v>1393</v>
      </c>
      <c r="B8323" s="76" t="s">
        <v>1048</v>
      </c>
      <c r="C8323" s="76" t="s">
        <v>1049</v>
      </c>
      <c r="D8323" s="75"/>
    </row>
    <row hidden="true" r="8324">
      <c r="A8324" s="76" t="s">
        <v>1393</v>
      </c>
      <c r="B8324" s="76" t="s">
        <v>1167</v>
      </c>
      <c r="C8324" s="76" t="s">
        <v>1168</v>
      </c>
      <c r="D8324" s="75"/>
    </row>
    <row hidden="true" r="8325">
      <c r="A8325" s="76" t="s">
        <v>1393</v>
      </c>
      <c r="B8325" s="76" t="s">
        <v>1169</v>
      </c>
      <c r="C8325" s="76" t="s">
        <v>1170</v>
      </c>
      <c r="D8325" s="75"/>
    </row>
    <row hidden="true" r="8326">
      <c r="A8326" s="76" t="s">
        <v>1393</v>
      </c>
      <c r="B8326" s="76" t="s">
        <v>1171</v>
      </c>
      <c r="C8326" s="76" t="s">
        <v>1172</v>
      </c>
      <c r="D8326" s="75"/>
    </row>
    <row hidden="true" r="8327">
      <c r="A8327" s="76" t="s">
        <v>1393</v>
      </c>
      <c r="B8327" s="76" t="s">
        <v>1173</v>
      </c>
      <c r="C8327" s="76" t="s">
        <v>1174</v>
      </c>
      <c r="D8327" s="75"/>
    </row>
    <row hidden="true" r="8328">
      <c r="A8328" s="76" t="s">
        <v>1393</v>
      </c>
      <c r="B8328" s="76" t="s">
        <v>1175</v>
      </c>
      <c r="C8328" s="76" t="s">
        <v>1176</v>
      </c>
      <c r="D8328" s="75"/>
    </row>
    <row hidden="true" r="8329">
      <c r="A8329" s="76" t="s">
        <v>1393</v>
      </c>
      <c r="B8329" s="76" t="s">
        <v>1177</v>
      </c>
      <c r="C8329" s="76" t="s">
        <v>1178</v>
      </c>
      <c r="D8329" s="75"/>
    </row>
    <row hidden="true" r="8330">
      <c r="A8330" s="76" t="s">
        <v>1393</v>
      </c>
      <c r="B8330" s="76" t="s">
        <v>1135</v>
      </c>
      <c r="C8330" s="76" t="s">
        <v>1136</v>
      </c>
      <c r="D8330" s="75"/>
    </row>
    <row hidden="true" r="8331">
      <c r="A8331" s="76" t="s">
        <v>1393</v>
      </c>
      <c r="B8331" s="76" t="s">
        <v>1179</v>
      </c>
      <c r="C8331" s="76" t="s">
        <v>1180</v>
      </c>
      <c r="D8331" s="75"/>
    </row>
    <row hidden="true" r="8332">
      <c r="A8332" s="76" t="s">
        <v>1393</v>
      </c>
      <c r="B8332" s="76" t="s">
        <v>1181</v>
      </c>
      <c r="C8332" s="76" t="s">
        <v>1182</v>
      </c>
      <c r="D8332" s="75"/>
    </row>
    <row hidden="true" r="8333">
      <c r="A8333" s="76" t="s">
        <v>1393</v>
      </c>
      <c r="B8333" s="76" t="s">
        <v>1183</v>
      </c>
      <c r="C8333" s="76" t="s">
        <v>1184</v>
      </c>
      <c r="D8333" s="75"/>
    </row>
    <row hidden="true" r="8334">
      <c r="A8334" s="76" t="s">
        <v>1393</v>
      </c>
      <c r="B8334" s="76" t="s">
        <v>1185</v>
      </c>
      <c r="C8334" s="76" t="s">
        <v>1186</v>
      </c>
      <c r="D8334" s="75"/>
    </row>
    <row hidden="true" r="8335">
      <c r="A8335" s="76" t="s">
        <v>1393</v>
      </c>
      <c r="B8335" s="76" t="s">
        <v>1187</v>
      </c>
      <c r="C8335" s="76" t="s">
        <v>1188</v>
      </c>
      <c r="D8335" s="75"/>
    </row>
    <row hidden="true" r="8336">
      <c r="A8336" s="76" t="s">
        <v>1393</v>
      </c>
      <c r="B8336" s="76" t="s">
        <v>1189</v>
      </c>
      <c r="C8336" s="76" t="s">
        <v>1190</v>
      </c>
      <c r="D8336" s="75"/>
    </row>
    <row hidden="true" r="8337">
      <c r="A8337" s="76" t="s">
        <v>1393</v>
      </c>
      <c r="B8337" s="76" t="s">
        <v>1191</v>
      </c>
      <c r="C8337" s="76" t="s">
        <v>1192</v>
      </c>
      <c r="D8337" s="75"/>
    </row>
    <row hidden="true" r="8338">
      <c r="A8338" s="76" t="s">
        <v>1393</v>
      </c>
      <c r="B8338" s="76" t="s">
        <v>1199</v>
      </c>
      <c r="C8338" s="76" t="s">
        <v>1200</v>
      </c>
      <c r="D8338" s="75"/>
    </row>
    <row hidden="true" r="8339">
      <c r="A8339" s="76" t="s">
        <v>1393</v>
      </c>
      <c r="B8339" s="76" t="s">
        <v>1201</v>
      </c>
      <c r="C8339" s="76" t="s">
        <v>1202</v>
      </c>
      <c r="D8339" s="75"/>
    </row>
    <row hidden="true" r="8340">
      <c r="A8340" s="76" t="s">
        <v>1393</v>
      </c>
      <c r="B8340" s="76" t="s">
        <v>1203</v>
      </c>
      <c r="C8340" s="76" t="s">
        <v>1204</v>
      </c>
      <c r="D8340" s="75"/>
    </row>
    <row hidden="true" r="8341">
      <c r="A8341" s="76" t="s">
        <v>1393</v>
      </c>
      <c r="B8341" s="76" t="s">
        <v>1205</v>
      </c>
      <c r="C8341" s="76" t="s">
        <v>1206</v>
      </c>
      <c r="D8341" s="75"/>
    </row>
    <row hidden="true" r="8342">
      <c r="A8342" s="76" t="s">
        <v>1393</v>
      </c>
      <c r="B8342" s="76" t="s">
        <v>1207</v>
      </c>
      <c r="C8342" s="76" t="s">
        <v>1208</v>
      </c>
      <c r="D8342" s="75"/>
    </row>
    <row hidden="true" r="8343">
      <c r="A8343" s="76" t="s">
        <v>1393</v>
      </c>
      <c r="B8343" s="76" t="s">
        <v>1209</v>
      </c>
      <c r="C8343" s="76" t="s">
        <v>1210</v>
      </c>
      <c r="D8343" s="75"/>
    </row>
    <row hidden="true" r="8344">
      <c r="A8344" s="76" t="s">
        <v>1393</v>
      </c>
      <c r="B8344" s="76" t="s">
        <v>1211</v>
      </c>
      <c r="C8344" s="76"/>
      <c r="D8344" s="75"/>
    </row>
    <row hidden="true" r="8345">
      <c r="A8345" s="76" t="s">
        <v>1393</v>
      </c>
      <c r="B8345" s="76" t="s">
        <v>735</v>
      </c>
      <c r="C8345" s="76"/>
      <c r="D8345" s="75"/>
    </row>
    <row hidden="true" r="8346">
      <c r="A8346" s="76" t="s">
        <v>1394</v>
      </c>
      <c r="B8346" s="76" t="s">
        <v>407</v>
      </c>
      <c r="C8346" s="76" t="s">
        <v>408</v>
      </c>
      <c r="D8346" s="75"/>
    </row>
    <row hidden="true" r="8347">
      <c r="A8347" s="76" t="s">
        <v>1394</v>
      </c>
      <c r="B8347" s="76" t="s">
        <v>744</v>
      </c>
      <c r="C8347" s="76" t="s">
        <v>745</v>
      </c>
      <c r="D8347" s="75"/>
    </row>
    <row hidden="true" r="8348">
      <c r="A8348" s="76" t="s">
        <v>1394</v>
      </c>
      <c r="B8348" s="76" t="s">
        <v>480</v>
      </c>
      <c r="C8348" s="76" t="s">
        <v>481</v>
      </c>
      <c r="D8348" s="75"/>
    </row>
    <row hidden="true" r="8349">
      <c r="A8349" s="76" t="s">
        <v>1394</v>
      </c>
      <c r="B8349" s="76" t="s">
        <v>884</v>
      </c>
      <c r="C8349" s="76" t="s">
        <v>885</v>
      </c>
      <c r="D8349" s="75"/>
    </row>
    <row hidden="true" r="8350">
      <c r="A8350" s="76" t="s">
        <v>1394</v>
      </c>
      <c r="B8350" s="76" t="s">
        <v>886</v>
      </c>
      <c r="C8350" s="76" t="s">
        <v>887</v>
      </c>
      <c r="D8350" s="75"/>
    </row>
    <row hidden="true" r="8351">
      <c r="A8351" s="76" t="s">
        <v>1394</v>
      </c>
      <c r="B8351" s="76" t="s">
        <v>888</v>
      </c>
      <c r="C8351" s="76" t="s">
        <v>889</v>
      </c>
      <c r="D8351" s="75"/>
    </row>
    <row hidden="true" r="8352">
      <c r="A8352" s="76" t="s">
        <v>1394</v>
      </c>
      <c r="B8352" s="76" t="s">
        <v>890</v>
      </c>
      <c r="C8352" s="76" t="s">
        <v>891</v>
      </c>
      <c r="D8352" s="75"/>
    </row>
    <row hidden="true" r="8353">
      <c r="A8353" s="76" t="s">
        <v>1394</v>
      </c>
      <c r="B8353" s="76" t="s">
        <v>892</v>
      </c>
      <c r="C8353" s="76" t="s">
        <v>893</v>
      </c>
      <c r="D8353" s="75"/>
    </row>
    <row hidden="true" r="8354">
      <c r="A8354" s="76" t="s">
        <v>1394</v>
      </c>
      <c r="B8354" s="76" t="s">
        <v>894</v>
      </c>
      <c r="C8354" s="76" t="s">
        <v>895</v>
      </c>
      <c r="D8354" s="75"/>
    </row>
    <row hidden="true" r="8355">
      <c r="A8355" s="76" t="s">
        <v>1394</v>
      </c>
      <c r="B8355" s="76" t="s">
        <v>896</v>
      </c>
      <c r="C8355" s="76" t="s">
        <v>897</v>
      </c>
      <c r="D8355" s="75"/>
    </row>
    <row hidden="true" r="8356">
      <c r="A8356" s="76" t="s">
        <v>1394</v>
      </c>
      <c r="B8356" s="76" t="s">
        <v>898</v>
      </c>
      <c r="C8356" s="76" t="s">
        <v>899</v>
      </c>
      <c r="D8356" s="75"/>
    </row>
    <row hidden="true" r="8357">
      <c r="A8357" s="76" t="s">
        <v>1394</v>
      </c>
      <c r="B8357" s="76" t="s">
        <v>900</v>
      </c>
      <c r="C8357" s="76" t="s">
        <v>901</v>
      </c>
      <c r="D8357" s="75"/>
    </row>
    <row hidden="true" r="8358">
      <c r="A8358" s="76" t="s">
        <v>1394</v>
      </c>
      <c r="B8358" s="76" t="s">
        <v>902</v>
      </c>
      <c r="C8358" s="76" t="s">
        <v>903</v>
      </c>
      <c r="D8358" s="75"/>
    </row>
    <row hidden="true" r="8359">
      <c r="A8359" s="76" t="s">
        <v>1394</v>
      </c>
      <c r="B8359" s="76" t="s">
        <v>904</v>
      </c>
      <c r="C8359" s="76" t="s">
        <v>905</v>
      </c>
      <c r="D8359" s="75"/>
    </row>
    <row hidden="true" r="8360">
      <c r="A8360" s="76" t="s">
        <v>1394</v>
      </c>
      <c r="B8360" s="76" t="s">
        <v>906</v>
      </c>
      <c r="C8360" s="76" t="s">
        <v>907</v>
      </c>
      <c r="D8360" s="75"/>
    </row>
    <row hidden="true" r="8361">
      <c r="A8361" s="76" t="s">
        <v>1394</v>
      </c>
      <c r="B8361" s="76" t="s">
        <v>908</v>
      </c>
      <c r="C8361" s="76" t="s">
        <v>909</v>
      </c>
      <c r="D8361" s="75"/>
    </row>
    <row hidden="true" r="8362">
      <c r="A8362" s="76" t="s">
        <v>1394</v>
      </c>
      <c r="B8362" s="76" t="s">
        <v>910</v>
      </c>
      <c r="C8362" s="76" t="s">
        <v>911</v>
      </c>
      <c r="D8362" s="75"/>
    </row>
    <row hidden="true" r="8363">
      <c r="A8363" s="76" t="s">
        <v>1394</v>
      </c>
      <c r="B8363" s="76" t="s">
        <v>912</v>
      </c>
      <c r="C8363" s="76" t="s">
        <v>913</v>
      </c>
      <c r="D8363" s="75"/>
    </row>
    <row hidden="true" r="8364">
      <c r="A8364" s="76" t="s">
        <v>1394</v>
      </c>
      <c r="B8364" s="76" t="s">
        <v>914</v>
      </c>
      <c r="C8364" s="76" t="s">
        <v>915</v>
      </c>
      <c r="D8364" s="75"/>
    </row>
    <row hidden="true" r="8365">
      <c r="A8365" s="76" t="s">
        <v>1394</v>
      </c>
      <c r="B8365" s="76" t="s">
        <v>916</v>
      </c>
      <c r="C8365" s="76" t="s">
        <v>917</v>
      </c>
      <c r="D8365" s="75"/>
    </row>
    <row hidden="true" r="8366">
      <c r="A8366" s="76" t="s">
        <v>1394</v>
      </c>
      <c r="B8366" s="76" t="s">
        <v>918</v>
      </c>
      <c r="C8366" s="76" t="s">
        <v>919</v>
      </c>
      <c r="D8366" s="75"/>
    </row>
    <row hidden="true" r="8367">
      <c r="A8367" s="76" t="s">
        <v>1394</v>
      </c>
      <c r="B8367" s="76" t="s">
        <v>920</v>
      </c>
      <c r="C8367" s="76" t="s">
        <v>921</v>
      </c>
      <c r="D8367" s="75"/>
    </row>
    <row hidden="true" r="8368">
      <c r="A8368" s="76" t="s">
        <v>1394</v>
      </c>
      <c r="B8368" s="76" t="s">
        <v>922</v>
      </c>
      <c r="C8368" s="76" t="s">
        <v>923</v>
      </c>
      <c r="D8368" s="75"/>
    </row>
    <row hidden="true" r="8369">
      <c r="A8369" s="76" t="s">
        <v>1394</v>
      </c>
      <c r="B8369" s="76" t="s">
        <v>924</v>
      </c>
      <c r="C8369" s="76" t="s">
        <v>925</v>
      </c>
      <c r="D8369" s="75"/>
    </row>
    <row hidden="true" r="8370">
      <c r="A8370" s="76" t="s">
        <v>1394</v>
      </c>
      <c r="B8370" s="76" t="s">
        <v>926</v>
      </c>
      <c r="C8370" s="76" t="s">
        <v>927</v>
      </c>
      <c r="D8370" s="75"/>
    </row>
    <row hidden="true" r="8371">
      <c r="A8371" s="76" t="s">
        <v>1394</v>
      </c>
      <c r="B8371" s="76" t="s">
        <v>928</v>
      </c>
      <c r="C8371" s="76" t="s">
        <v>929</v>
      </c>
      <c r="D8371" s="75"/>
    </row>
    <row hidden="true" r="8372">
      <c r="A8372" s="76" t="s">
        <v>1394</v>
      </c>
      <c r="B8372" s="76" t="s">
        <v>930</v>
      </c>
      <c r="C8372" s="76" t="s">
        <v>931</v>
      </c>
      <c r="D8372" s="75"/>
    </row>
    <row hidden="true" r="8373">
      <c r="A8373" s="76" t="s">
        <v>1394</v>
      </c>
      <c r="B8373" s="76" t="s">
        <v>932</v>
      </c>
      <c r="C8373" s="76" t="s">
        <v>933</v>
      </c>
      <c r="D8373" s="75"/>
    </row>
    <row hidden="true" r="8374">
      <c r="A8374" s="76" t="s">
        <v>1394</v>
      </c>
      <c r="B8374" s="76" t="s">
        <v>934</v>
      </c>
      <c r="C8374" s="76" t="s">
        <v>935</v>
      </c>
      <c r="D8374" s="75"/>
    </row>
    <row hidden="true" r="8375">
      <c r="A8375" s="76" t="s">
        <v>1394</v>
      </c>
      <c r="B8375" s="76" t="s">
        <v>936</v>
      </c>
      <c r="C8375" s="76" t="s">
        <v>937</v>
      </c>
      <c r="D8375" s="75"/>
    </row>
    <row hidden="true" r="8376">
      <c r="A8376" s="76" t="s">
        <v>1394</v>
      </c>
      <c r="B8376" s="76" t="s">
        <v>938</v>
      </c>
      <c r="C8376" s="76" t="s">
        <v>939</v>
      </c>
      <c r="D8376" s="75"/>
    </row>
    <row hidden="true" r="8377">
      <c r="A8377" s="76" t="s">
        <v>1394</v>
      </c>
      <c r="B8377" s="76" t="s">
        <v>940</v>
      </c>
      <c r="C8377" s="76" t="s">
        <v>941</v>
      </c>
      <c r="D8377" s="75"/>
    </row>
    <row hidden="true" r="8378">
      <c r="A8378" s="76" t="s">
        <v>1394</v>
      </c>
      <c r="B8378" s="76" t="s">
        <v>942</v>
      </c>
      <c r="C8378" s="76" t="s">
        <v>943</v>
      </c>
      <c r="D8378" s="75"/>
    </row>
    <row hidden="true" r="8379">
      <c r="A8379" s="76" t="s">
        <v>1394</v>
      </c>
      <c r="B8379" s="76" t="s">
        <v>944</v>
      </c>
      <c r="C8379" s="76" t="s">
        <v>945</v>
      </c>
      <c r="D8379" s="75"/>
    </row>
    <row hidden="true" r="8380">
      <c r="A8380" s="76" t="s">
        <v>1394</v>
      </c>
      <c r="B8380" s="76" t="s">
        <v>1305</v>
      </c>
      <c r="C8380" s="76" t="s">
        <v>1306</v>
      </c>
      <c r="D8380" s="75"/>
    </row>
    <row hidden="true" r="8381">
      <c r="A8381" s="76" t="s">
        <v>1394</v>
      </c>
      <c r="B8381" s="76" t="s">
        <v>1307</v>
      </c>
      <c r="C8381" s="76" t="s">
        <v>1308</v>
      </c>
      <c r="D8381" s="75"/>
    </row>
    <row hidden="true" r="8382">
      <c r="A8382" s="76" t="s">
        <v>1394</v>
      </c>
      <c r="B8382" s="76" t="s">
        <v>946</v>
      </c>
      <c r="C8382" s="76" t="s">
        <v>947</v>
      </c>
      <c r="D8382" s="75"/>
    </row>
    <row hidden="true" r="8383">
      <c r="A8383" s="76" t="s">
        <v>1394</v>
      </c>
      <c r="B8383" s="76" t="s">
        <v>948</v>
      </c>
      <c r="C8383" s="76" t="s">
        <v>949</v>
      </c>
      <c r="D8383" s="75"/>
    </row>
    <row hidden="true" r="8384">
      <c r="A8384" s="76" t="s">
        <v>1394</v>
      </c>
      <c r="B8384" s="76" t="s">
        <v>950</v>
      </c>
      <c r="C8384" s="76" t="s">
        <v>951</v>
      </c>
      <c r="D8384" s="75"/>
    </row>
    <row hidden="true" r="8385">
      <c r="A8385" s="76" t="s">
        <v>1394</v>
      </c>
      <c r="B8385" s="76" t="s">
        <v>952</v>
      </c>
      <c r="C8385" s="76" t="s">
        <v>953</v>
      </c>
      <c r="D8385" s="75"/>
    </row>
    <row hidden="true" r="8386">
      <c r="A8386" s="76" t="s">
        <v>1394</v>
      </c>
      <c r="B8386" s="76" t="s">
        <v>954</v>
      </c>
      <c r="C8386" s="76" t="s">
        <v>955</v>
      </c>
      <c r="D8386" s="75"/>
    </row>
    <row hidden="true" r="8387">
      <c r="A8387" s="76" t="s">
        <v>1394</v>
      </c>
      <c r="B8387" s="76" t="s">
        <v>775</v>
      </c>
      <c r="C8387" s="76" t="s">
        <v>776</v>
      </c>
      <c r="D8387" s="75"/>
    </row>
    <row hidden="true" r="8388">
      <c r="A8388" s="76" t="s">
        <v>1394</v>
      </c>
      <c r="B8388" s="76" t="s">
        <v>956</v>
      </c>
      <c r="C8388" s="76" t="s">
        <v>957</v>
      </c>
      <c r="D8388" s="75"/>
    </row>
    <row hidden="true" r="8389">
      <c r="A8389" s="76" t="s">
        <v>1394</v>
      </c>
      <c r="B8389" s="76" t="s">
        <v>958</v>
      </c>
      <c r="C8389" s="76" t="s">
        <v>959</v>
      </c>
      <c r="D8389" s="75"/>
    </row>
    <row hidden="true" r="8390">
      <c r="A8390" s="76" t="s">
        <v>1394</v>
      </c>
      <c r="B8390" s="76" t="s">
        <v>960</v>
      </c>
      <c r="C8390" s="76" t="s">
        <v>961</v>
      </c>
      <c r="D8390" s="75"/>
    </row>
    <row hidden="true" r="8391">
      <c r="A8391" s="76" t="s">
        <v>1394</v>
      </c>
      <c r="B8391" s="76" t="s">
        <v>962</v>
      </c>
      <c r="C8391" s="76" t="s">
        <v>963</v>
      </c>
      <c r="D8391" s="75"/>
    </row>
    <row hidden="true" r="8392">
      <c r="A8392" s="76" t="s">
        <v>1394</v>
      </c>
      <c r="B8392" s="76" t="s">
        <v>964</v>
      </c>
      <c r="C8392" s="76" t="s">
        <v>965</v>
      </c>
      <c r="D8392" s="75"/>
    </row>
    <row hidden="true" r="8393">
      <c r="A8393" s="76" t="s">
        <v>1394</v>
      </c>
      <c r="B8393" s="76" t="s">
        <v>966</v>
      </c>
      <c r="C8393" s="76" t="s">
        <v>967</v>
      </c>
      <c r="D8393" s="75"/>
    </row>
    <row hidden="true" r="8394">
      <c r="A8394" s="76" t="s">
        <v>1394</v>
      </c>
      <c r="B8394" s="76" t="s">
        <v>968</v>
      </c>
      <c r="C8394" s="76" t="s">
        <v>969</v>
      </c>
      <c r="D8394" s="75"/>
    </row>
    <row hidden="true" r="8395">
      <c r="A8395" s="76" t="s">
        <v>1394</v>
      </c>
      <c r="B8395" s="76" t="s">
        <v>970</v>
      </c>
      <c r="C8395" s="76" t="s">
        <v>971</v>
      </c>
      <c r="D8395" s="75"/>
    </row>
    <row hidden="true" r="8396">
      <c r="A8396" s="76" t="s">
        <v>1394</v>
      </c>
      <c r="B8396" s="76" t="s">
        <v>972</v>
      </c>
      <c r="C8396" s="76" t="s">
        <v>973</v>
      </c>
      <c r="D8396" s="75"/>
    </row>
    <row hidden="true" r="8397">
      <c r="A8397" s="76" t="s">
        <v>1394</v>
      </c>
      <c r="B8397" s="76" t="s">
        <v>974</v>
      </c>
      <c r="C8397" s="76" t="s">
        <v>975</v>
      </c>
      <c r="D8397" s="75"/>
    </row>
    <row hidden="true" r="8398">
      <c r="A8398" s="76" t="s">
        <v>1394</v>
      </c>
      <c r="B8398" s="76" t="s">
        <v>976</v>
      </c>
      <c r="C8398" s="76" t="s">
        <v>977</v>
      </c>
      <c r="D8398" s="75"/>
    </row>
    <row hidden="true" r="8399">
      <c r="A8399" s="76" t="s">
        <v>1394</v>
      </c>
      <c r="B8399" s="76" t="s">
        <v>823</v>
      </c>
      <c r="C8399" s="76" t="s">
        <v>824</v>
      </c>
      <c r="D8399" s="75"/>
    </row>
    <row hidden="true" r="8400">
      <c r="A8400" s="76" t="s">
        <v>1394</v>
      </c>
      <c r="B8400" s="76" t="s">
        <v>978</v>
      </c>
      <c r="C8400" s="76" t="s">
        <v>979</v>
      </c>
      <c r="D8400" s="75"/>
    </row>
    <row hidden="true" r="8401">
      <c r="A8401" s="76" t="s">
        <v>1394</v>
      </c>
      <c r="B8401" s="76" t="s">
        <v>980</v>
      </c>
      <c r="C8401" s="76" t="s">
        <v>981</v>
      </c>
      <c r="D8401" s="75"/>
    </row>
    <row hidden="true" r="8402">
      <c r="A8402" s="76" t="s">
        <v>1394</v>
      </c>
      <c r="B8402" s="76" t="s">
        <v>982</v>
      </c>
      <c r="C8402" s="76" t="s">
        <v>983</v>
      </c>
      <c r="D8402" s="75"/>
    </row>
    <row hidden="true" r="8403">
      <c r="A8403" s="76" t="s">
        <v>1394</v>
      </c>
      <c r="B8403" s="76" t="s">
        <v>984</v>
      </c>
      <c r="C8403" s="76" t="s">
        <v>985</v>
      </c>
      <c r="D8403" s="75"/>
    </row>
    <row hidden="true" r="8404">
      <c r="A8404" s="76" t="s">
        <v>1394</v>
      </c>
      <c r="B8404" s="76" t="s">
        <v>986</v>
      </c>
      <c r="C8404" s="76" t="s">
        <v>987</v>
      </c>
      <c r="D8404" s="75"/>
    </row>
    <row hidden="true" r="8405">
      <c r="A8405" s="76" t="s">
        <v>1394</v>
      </c>
      <c r="B8405" s="76" t="s">
        <v>1309</v>
      </c>
      <c r="C8405" s="76" t="s">
        <v>1310</v>
      </c>
      <c r="D8405" s="75"/>
    </row>
    <row hidden="true" r="8406">
      <c r="A8406" s="76" t="s">
        <v>1394</v>
      </c>
      <c r="B8406" s="76" t="s">
        <v>1311</v>
      </c>
      <c r="C8406" s="76" t="s">
        <v>1312</v>
      </c>
      <c r="D8406" s="75"/>
    </row>
    <row hidden="true" r="8407">
      <c r="A8407" s="76" t="s">
        <v>1394</v>
      </c>
      <c r="B8407" s="76" t="s">
        <v>1099</v>
      </c>
      <c r="C8407" s="76" t="s">
        <v>1100</v>
      </c>
      <c r="D8407" s="75"/>
    </row>
    <row hidden="true" r="8408">
      <c r="A8408" s="76" t="s">
        <v>1394</v>
      </c>
      <c r="B8408" s="76" t="s">
        <v>1101</v>
      </c>
      <c r="C8408" s="76" t="s">
        <v>1102</v>
      </c>
      <c r="D8408" s="75"/>
    </row>
    <row hidden="true" r="8409">
      <c r="A8409" s="76" t="s">
        <v>1394</v>
      </c>
      <c r="B8409" s="76" t="s">
        <v>1313</v>
      </c>
      <c r="C8409" s="76" t="s">
        <v>1314</v>
      </c>
      <c r="D8409" s="75"/>
    </row>
    <row hidden="true" r="8410">
      <c r="A8410" s="76" t="s">
        <v>1394</v>
      </c>
      <c r="B8410" s="76" t="s">
        <v>996</v>
      </c>
      <c r="C8410" s="76" t="s">
        <v>997</v>
      </c>
      <c r="D8410" s="75"/>
    </row>
    <row hidden="true" r="8411">
      <c r="A8411" s="76" t="s">
        <v>1394</v>
      </c>
      <c r="B8411" s="76" t="s">
        <v>998</v>
      </c>
      <c r="C8411" s="76" t="s">
        <v>999</v>
      </c>
      <c r="D8411" s="75"/>
    </row>
    <row hidden="true" r="8412">
      <c r="A8412" s="76" t="s">
        <v>1394</v>
      </c>
      <c r="B8412" s="76" t="s">
        <v>1000</v>
      </c>
      <c r="C8412" s="76" t="s">
        <v>1001</v>
      </c>
      <c r="D8412" s="75"/>
    </row>
    <row hidden="true" r="8413">
      <c r="A8413" s="76" t="s">
        <v>1394</v>
      </c>
      <c r="B8413" s="76" t="s">
        <v>1002</v>
      </c>
      <c r="C8413" s="76" t="s">
        <v>1003</v>
      </c>
      <c r="D8413" s="75"/>
    </row>
    <row hidden="true" r="8414">
      <c r="A8414" s="76" t="s">
        <v>1394</v>
      </c>
      <c r="B8414" s="76" t="s">
        <v>1004</v>
      </c>
      <c r="C8414" s="76" t="s">
        <v>1005</v>
      </c>
      <c r="D8414" s="75"/>
    </row>
    <row hidden="true" r="8415">
      <c r="A8415" s="76" t="s">
        <v>1394</v>
      </c>
      <c r="B8415" s="76" t="s">
        <v>1006</v>
      </c>
      <c r="C8415" s="76" t="s">
        <v>1007</v>
      </c>
      <c r="D8415" s="75"/>
    </row>
    <row hidden="true" r="8416">
      <c r="A8416" s="76" t="s">
        <v>1394</v>
      </c>
      <c r="B8416" s="76" t="s">
        <v>1008</v>
      </c>
      <c r="C8416" s="76" t="s">
        <v>1009</v>
      </c>
      <c r="D8416" s="75"/>
    </row>
    <row hidden="true" r="8417">
      <c r="A8417" s="76" t="s">
        <v>1394</v>
      </c>
      <c r="B8417" s="76" t="s">
        <v>1010</v>
      </c>
      <c r="C8417" s="76" t="s">
        <v>1011</v>
      </c>
      <c r="D8417" s="75"/>
    </row>
    <row hidden="true" r="8418">
      <c r="A8418" s="76" t="s">
        <v>1394</v>
      </c>
      <c r="B8418" s="76" t="s">
        <v>1315</v>
      </c>
      <c r="C8418" s="76" t="s">
        <v>1316</v>
      </c>
      <c r="D8418" s="75"/>
    </row>
    <row hidden="true" r="8419">
      <c r="A8419" s="76" t="s">
        <v>1394</v>
      </c>
      <c r="B8419" s="76" t="s">
        <v>1014</v>
      </c>
      <c r="C8419" s="76" t="s">
        <v>1015</v>
      </c>
      <c r="D8419" s="75"/>
    </row>
    <row hidden="true" r="8420">
      <c r="A8420" s="76" t="s">
        <v>1394</v>
      </c>
      <c r="B8420" s="76" t="s">
        <v>1016</v>
      </c>
      <c r="C8420" s="76" t="s">
        <v>1017</v>
      </c>
      <c r="D8420" s="75"/>
    </row>
    <row hidden="true" r="8421">
      <c r="A8421" s="76" t="s">
        <v>1394</v>
      </c>
      <c r="B8421" s="76" t="s">
        <v>1018</v>
      </c>
      <c r="C8421" s="76" t="s">
        <v>1019</v>
      </c>
      <c r="D8421" s="75"/>
    </row>
    <row hidden="true" r="8422">
      <c r="A8422" s="76" t="s">
        <v>1394</v>
      </c>
      <c r="B8422" s="76" t="s">
        <v>1020</v>
      </c>
      <c r="C8422" s="76" t="s">
        <v>1021</v>
      </c>
      <c r="D8422" s="75"/>
    </row>
    <row hidden="true" r="8423">
      <c r="A8423" s="76" t="s">
        <v>1394</v>
      </c>
      <c r="B8423" s="76" t="s">
        <v>1022</v>
      </c>
      <c r="C8423" s="76" t="s">
        <v>1017</v>
      </c>
      <c r="D8423" s="75"/>
    </row>
    <row hidden="true" r="8424">
      <c r="A8424" s="76" t="s">
        <v>1394</v>
      </c>
      <c r="B8424" s="76" t="s">
        <v>1023</v>
      </c>
      <c r="C8424" s="76" t="s">
        <v>1019</v>
      </c>
      <c r="D8424" s="75"/>
    </row>
    <row hidden="true" r="8425">
      <c r="A8425" s="76" t="s">
        <v>1394</v>
      </c>
      <c r="B8425" s="76" t="s">
        <v>1024</v>
      </c>
      <c r="C8425" s="76" t="s">
        <v>1021</v>
      </c>
      <c r="D8425" s="75"/>
    </row>
    <row hidden="true" r="8426">
      <c r="A8426" s="76" t="s">
        <v>1394</v>
      </c>
      <c r="B8426" s="76" t="s">
        <v>1025</v>
      </c>
      <c r="C8426" s="76" t="s">
        <v>1017</v>
      </c>
      <c r="D8426" s="75"/>
    </row>
    <row hidden="true" r="8427">
      <c r="A8427" s="76" t="s">
        <v>1394</v>
      </c>
      <c r="B8427" s="76" t="s">
        <v>1026</v>
      </c>
      <c r="C8427" s="76" t="s">
        <v>1019</v>
      </c>
      <c r="D8427" s="75"/>
    </row>
    <row hidden="true" r="8428">
      <c r="A8428" s="76" t="s">
        <v>1394</v>
      </c>
      <c r="B8428" s="76" t="s">
        <v>1027</v>
      </c>
      <c r="C8428" s="76" t="s">
        <v>1021</v>
      </c>
      <c r="D8428" s="75"/>
    </row>
    <row hidden="true" r="8429">
      <c r="A8429" s="76" t="s">
        <v>1394</v>
      </c>
      <c r="B8429" s="76" t="s">
        <v>1133</v>
      </c>
      <c r="C8429" s="76" t="s">
        <v>1134</v>
      </c>
      <c r="D8429" s="75"/>
    </row>
    <row hidden="true" r="8430">
      <c r="A8430" s="76" t="s">
        <v>1394</v>
      </c>
      <c r="B8430" s="76" t="s">
        <v>1317</v>
      </c>
      <c r="C8430" s="76" t="s">
        <v>1318</v>
      </c>
      <c r="D8430" s="75"/>
    </row>
    <row hidden="true" r="8431">
      <c r="A8431" s="76" t="s">
        <v>1394</v>
      </c>
      <c r="B8431" s="76" t="s">
        <v>1319</v>
      </c>
      <c r="C8431" s="76" t="s">
        <v>1320</v>
      </c>
      <c r="D8431" s="75"/>
    </row>
    <row hidden="true" r="8432">
      <c r="A8432" s="76" t="s">
        <v>1394</v>
      </c>
      <c r="B8432" s="76" t="s">
        <v>1028</v>
      </c>
      <c r="C8432" s="76" t="s">
        <v>1029</v>
      </c>
      <c r="D8432" s="75"/>
    </row>
    <row hidden="true" r="8433">
      <c r="A8433" s="76" t="s">
        <v>1394</v>
      </c>
      <c r="B8433" s="76" t="s">
        <v>988</v>
      </c>
      <c r="C8433" s="76" t="s">
        <v>989</v>
      </c>
      <c r="D8433" s="75"/>
    </row>
    <row hidden="true" r="8434">
      <c r="A8434" s="76" t="s">
        <v>1394</v>
      </c>
      <c r="B8434" s="76" t="s">
        <v>990</v>
      </c>
      <c r="C8434" s="76" t="s">
        <v>991</v>
      </c>
      <c r="D8434" s="75"/>
    </row>
    <row hidden="true" r="8435">
      <c r="A8435" s="76" t="s">
        <v>1394</v>
      </c>
      <c r="B8435" s="76" t="s">
        <v>992</v>
      </c>
      <c r="C8435" s="76" t="s">
        <v>993</v>
      </c>
      <c r="D8435" s="75"/>
    </row>
    <row hidden="true" r="8436">
      <c r="A8436" s="76" t="s">
        <v>1394</v>
      </c>
      <c r="B8436" s="76" t="s">
        <v>530</v>
      </c>
      <c r="C8436" s="76" t="s">
        <v>531</v>
      </c>
      <c r="D8436" s="75"/>
    </row>
    <row hidden="true" r="8437">
      <c r="A8437" s="76" t="s">
        <v>1394</v>
      </c>
      <c r="B8437" s="76" t="s">
        <v>1032</v>
      </c>
      <c r="C8437" s="76" t="s">
        <v>1033</v>
      </c>
      <c r="D8437" s="75"/>
    </row>
    <row hidden="true" r="8438">
      <c r="A8438" s="76" t="s">
        <v>1394</v>
      </c>
      <c r="B8438" s="76" t="s">
        <v>532</v>
      </c>
      <c r="C8438" s="76" t="s">
        <v>533</v>
      </c>
      <c r="D8438" s="75"/>
    </row>
    <row hidden="true" r="8439">
      <c r="A8439" s="76" t="s">
        <v>1394</v>
      </c>
      <c r="B8439" s="76" t="s">
        <v>1036</v>
      </c>
      <c r="C8439" s="76" t="s">
        <v>1037</v>
      </c>
      <c r="D8439" s="75"/>
    </row>
    <row hidden="true" r="8440">
      <c r="A8440" s="76" t="s">
        <v>1394</v>
      </c>
      <c r="B8440" s="76" t="s">
        <v>1038</v>
      </c>
      <c r="C8440" s="76" t="s">
        <v>1039</v>
      </c>
      <c r="D8440" s="75"/>
    </row>
    <row hidden="true" r="8441">
      <c r="A8441" s="76" t="s">
        <v>1394</v>
      </c>
      <c r="B8441" s="76" t="s">
        <v>1321</v>
      </c>
      <c r="C8441" s="76" t="s">
        <v>1322</v>
      </c>
      <c r="D8441" s="75"/>
    </row>
    <row hidden="true" r="8442">
      <c r="A8442" s="76" t="s">
        <v>1394</v>
      </c>
      <c r="B8442" s="76" t="s">
        <v>1323</v>
      </c>
      <c r="C8442" s="76" t="s">
        <v>1324</v>
      </c>
      <c r="D8442" s="75"/>
    </row>
    <row hidden="true" r="8443">
      <c r="A8443" s="76" t="s">
        <v>1394</v>
      </c>
      <c r="B8443" s="76" t="s">
        <v>1012</v>
      </c>
      <c r="C8443" s="76" t="s">
        <v>1013</v>
      </c>
      <c r="D8443" s="75"/>
    </row>
    <row hidden="true" r="8444">
      <c r="A8444" s="76" t="s">
        <v>1394</v>
      </c>
      <c r="B8444" s="76" t="s">
        <v>1052</v>
      </c>
      <c r="C8444" s="76" t="s">
        <v>1053</v>
      </c>
      <c r="D8444" s="75"/>
    </row>
    <row hidden="true" r="8445">
      <c r="A8445" s="76" t="s">
        <v>1394</v>
      </c>
      <c r="B8445" s="76" t="s">
        <v>1054</v>
      </c>
      <c r="C8445" s="76" t="s">
        <v>1055</v>
      </c>
      <c r="D8445" s="75"/>
    </row>
    <row hidden="true" r="8446">
      <c r="A8446" s="76" t="s">
        <v>1394</v>
      </c>
      <c r="B8446" s="76" t="s">
        <v>1056</v>
      </c>
      <c r="C8446" s="76" t="s">
        <v>1057</v>
      </c>
      <c r="D8446" s="75"/>
    </row>
    <row hidden="true" r="8447">
      <c r="A8447" s="76" t="s">
        <v>1394</v>
      </c>
      <c r="B8447" s="76" t="s">
        <v>1058</v>
      </c>
      <c r="C8447" s="76" t="s">
        <v>1059</v>
      </c>
      <c r="D8447" s="75"/>
    </row>
    <row hidden="true" r="8448">
      <c r="A8448" s="76" t="s">
        <v>1394</v>
      </c>
      <c r="B8448" s="76" t="s">
        <v>1060</v>
      </c>
      <c r="C8448" s="76" t="s">
        <v>1061</v>
      </c>
      <c r="D8448" s="75"/>
    </row>
    <row hidden="true" r="8449">
      <c r="A8449" s="76" t="s">
        <v>1394</v>
      </c>
      <c r="B8449" s="76" t="s">
        <v>1062</v>
      </c>
      <c r="C8449" s="76" t="s">
        <v>1063</v>
      </c>
      <c r="D8449" s="75"/>
    </row>
    <row hidden="true" r="8450">
      <c r="A8450" s="76" t="s">
        <v>1394</v>
      </c>
      <c r="B8450" s="76" t="s">
        <v>1064</v>
      </c>
      <c r="C8450" s="76" t="s">
        <v>1065</v>
      </c>
      <c r="D8450" s="75"/>
    </row>
    <row hidden="true" r="8451">
      <c r="A8451" s="76" t="s">
        <v>1394</v>
      </c>
      <c r="B8451" s="76" t="s">
        <v>1066</v>
      </c>
      <c r="C8451" s="76" t="s">
        <v>1067</v>
      </c>
      <c r="D8451" s="75"/>
    </row>
    <row hidden="true" r="8452">
      <c r="A8452" s="76" t="s">
        <v>1394</v>
      </c>
      <c r="B8452" s="76" t="s">
        <v>1068</v>
      </c>
      <c r="C8452" s="76" t="s">
        <v>1069</v>
      </c>
      <c r="D8452" s="75"/>
    </row>
    <row hidden="true" r="8453">
      <c r="A8453" s="76" t="s">
        <v>1394</v>
      </c>
      <c r="B8453" s="76" t="s">
        <v>1070</v>
      </c>
      <c r="C8453" s="76" t="s">
        <v>1069</v>
      </c>
      <c r="D8453" s="75"/>
    </row>
    <row hidden="true" r="8454">
      <c r="A8454" s="76" t="s">
        <v>1394</v>
      </c>
      <c r="B8454" s="76" t="s">
        <v>1071</v>
      </c>
      <c r="C8454" s="76" t="s">
        <v>1069</v>
      </c>
      <c r="D8454" s="75"/>
    </row>
    <row hidden="true" r="8455">
      <c r="A8455" s="76" t="s">
        <v>1394</v>
      </c>
      <c r="B8455" s="76" t="s">
        <v>1072</v>
      </c>
      <c r="C8455" s="76" t="s">
        <v>1073</v>
      </c>
      <c r="D8455" s="75"/>
    </row>
    <row hidden="true" r="8456">
      <c r="A8456" s="76" t="s">
        <v>1394</v>
      </c>
      <c r="B8456" s="76" t="s">
        <v>1074</v>
      </c>
      <c r="C8456" s="76" t="s">
        <v>1073</v>
      </c>
      <c r="D8456" s="75"/>
    </row>
    <row hidden="true" r="8457">
      <c r="A8457" s="76" t="s">
        <v>1394</v>
      </c>
      <c r="B8457" s="76" t="s">
        <v>1075</v>
      </c>
      <c r="C8457" s="76" t="s">
        <v>1073</v>
      </c>
      <c r="D8457" s="75"/>
    </row>
    <row hidden="true" r="8458">
      <c r="A8458" s="76" t="s">
        <v>1394</v>
      </c>
      <c r="B8458" s="76" t="s">
        <v>1082</v>
      </c>
      <c r="C8458" s="76" t="s">
        <v>1083</v>
      </c>
      <c r="D8458" s="75"/>
    </row>
    <row hidden="true" r="8459">
      <c r="A8459" s="76" t="s">
        <v>1394</v>
      </c>
      <c r="B8459" s="76" t="s">
        <v>1084</v>
      </c>
      <c r="C8459" s="76" t="s">
        <v>1085</v>
      </c>
      <c r="D8459" s="75"/>
    </row>
    <row hidden="true" r="8460">
      <c r="A8460" s="76" t="s">
        <v>1394</v>
      </c>
      <c r="B8460" s="76" t="s">
        <v>1086</v>
      </c>
      <c r="C8460" s="76" t="s">
        <v>1087</v>
      </c>
      <c r="D8460" s="75"/>
    </row>
    <row hidden="true" r="8461">
      <c r="A8461" s="76" t="s">
        <v>1394</v>
      </c>
      <c r="B8461" s="76" t="s">
        <v>1088</v>
      </c>
      <c r="C8461" s="76" t="s">
        <v>1089</v>
      </c>
      <c r="D8461" s="75"/>
    </row>
    <row hidden="true" r="8462">
      <c r="A8462" s="76" t="s">
        <v>1394</v>
      </c>
      <c r="B8462" s="76" t="s">
        <v>1076</v>
      </c>
      <c r="C8462" s="76" t="s">
        <v>1077</v>
      </c>
      <c r="D8462" s="75"/>
    </row>
    <row hidden="true" r="8463">
      <c r="A8463" s="76" t="s">
        <v>1394</v>
      </c>
      <c r="B8463" s="76" t="s">
        <v>1078</v>
      </c>
      <c r="C8463" s="76" t="s">
        <v>1079</v>
      </c>
      <c r="D8463" s="75"/>
    </row>
    <row hidden="true" r="8464">
      <c r="A8464" s="76" t="s">
        <v>1394</v>
      </c>
      <c r="B8464" s="76" t="s">
        <v>1040</v>
      </c>
      <c r="C8464" s="76" t="s">
        <v>1041</v>
      </c>
      <c r="D8464" s="75"/>
    </row>
    <row hidden="true" r="8465">
      <c r="A8465" s="76" t="s">
        <v>1394</v>
      </c>
      <c r="B8465" s="76" t="s">
        <v>839</v>
      </c>
      <c r="C8465" s="76" t="s">
        <v>840</v>
      </c>
      <c r="D8465" s="75"/>
    </row>
    <row hidden="true" r="8466">
      <c r="A8466" s="76" t="s">
        <v>1394</v>
      </c>
      <c r="B8466" s="76" t="s">
        <v>1121</v>
      </c>
      <c r="C8466" s="76" t="s">
        <v>1122</v>
      </c>
      <c r="D8466" s="75"/>
    </row>
    <row hidden="true" r="8467">
      <c r="A8467" s="76" t="s">
        <v>1394</v>
      </c>
      <c r="B8467" s="76" t="s">
        <v>1325</v>
      </c>
      <c r="C8467" s="76" t="s">
        <v>1326</v>
      </c>
      <c r="D8467" s="75"/>
    </row>
    <row hidden="true" r="8468">
      <c r="A8468" s="76" t="s">
        <v>1394</v>
      </c>
      <c r="B8468" s="76" t="s">
        <v>1080</v>
      </c>
      <c r="C8468" s="76" t="s">
        <v>1081</v>
      </c>
      <c r="D8468" s="75"/>
    </row>
    <row hidden="true" r="8469">
      <c r="A8469" s="76" t="s">
        <v>1394</v>
      </c>
      <c r="B8469" s="76" t="s">
        <v>1327</v>
      </c>
      <c r="C8469" s="76" t="s">
        <v>1328</v>
      </c>
      <c r="D8469" s="75"/>
    </row>
    <row hidden="true" r="8470">
      <c r="A8470" s="76" t="s">
        <v>1394</v>
      </c>
      <c r="B8470" s="76" t="s">
        <v>1090</v>
      </c>
      <c r="C8470" s="76" t="s">
        <v>1091</v>
      </c>
      <c r="D8470" s="75"/>
    </row>
    <row hidden="true" r="8471">
      <c r="A8471" s="76" t="s">
        <v>1394</v>
      </c>
      <c r="B8471" s="76" t="s">
        <v>1092</v>
      </c>
      <c r="C8471" s="76" t="s">
        <v>1091</v>
      </c>
      <c r="D8471" s="75"/>
    </row>
    <row hidden="true" r="8472">
      <c r="A8472" s="76" t="s">
        <v>1394</v>
      </c>
      <c r="B8472" s="76" t="s">
        <v>1093</v>
      </c>
      <c r="C8472" s="76" t="s">
        <v>1094</v>
      </c>
      <c r="D8472" s="75"/>
    </row>
    <row hidden="true" r="8473">
      <c r="A8473" s="76" t="s">
        <v>1394</v>
      </c>
      <c r="B8473" s="76" t="s">
        <v>1095</v>
      </c>
      <c r="C8473" s="76" t="s">
        <v>1096</v>
      </c>
      <c r="D8473" s="75"/>
    </row>
    <row hidden="true" r="8474">
      <c r="A8474" s="76" t="s">
        <v>1394</v>
      </c>
      <c r="B8474" s="76" t="s">
        <v>1097</v>
      </c>
      <c r="C8474" s="76" t="s">
        <v>1098</v>
      </c>
      <c r="D8474" s="75"/>
    </row>
    <row hidden="true" r="8475">
      <c r="A8475" s="76" t="s">
        <v>1394</v>
      </c>
      <c r="B8475" s="76" t="s">
        <v>1103</v>
      </c>
      <c r="C8475" s="76" t="s">
        <v>1104</v>
      </c>
      <c r="D8475" s="75"/>
    </row>
    <row hidden="true" r="8476">
      <c r="A8476" s="76" t="s">
        <v>1394</v>
      </c>
      <c r="B8476" s="76" t="s">
        <v>1329</v>
      </c>
      <c r="C8476" s="76" t="s">
        <v>1330</v>
      </c>
      <c r="D8476" s="75"/>
    </row>
    <row hidden="true" r="8477">
      <c r="A8477" s="76" t="s">
        <v>1394</v>
      </c>
      <c r="B8477" s="76" t="s">
        <v>1113</v>
      </c>
      <c r="C8477" s="76" t="s">
        <v>1114</v>
      </c>
      <c r="D8477" s="75"/>
    </row>
    <row hidden="true" r="8478">
      <c r="A8478" s="76" t="s">
        <v>1394</v>
      </c>
      <c r="B8478" s="76" t="s">
        <v>1115</v>
      </c>
      <c r="C8478" s="76" t="s">
        <v>1116</v>
      </c>
      <c r="D8478" s="75"/>
    </row>
    <row hidden="true" r="8479">
      <c r="A8479" s="76" t="s">
        <v>1394</v>
      </c>
      <c r="B8479" s="76" t="s">
        <v>1117</v>
      </c>
      <c r="C8479" s="76" t="s">
        <v>1118</v>
      </c>
      <c r="D8479" s="75"/>
    </row>
    <row hidden="true" r="8480">
      <c r="A8480" s="76" t="s">
        <v>1394</v>
      </c>
      <c r="B8480" s="76" t="s">
        <v>1119</v>
      </c>
      <c r="C8480" s="76" t="s">
        <v>1120</v>
      </c>
      <c r="D8480" s="75"/>
    </row>
    <row hidden="true" r="8481">
      <c r="A8481" s="76" t="s">
        <v>1394</v>
      </c>
      <c r="B8481" s="76" t="s">
        <v>1127</v>
      </c>
      <c r="C8481" s="76" t="s">
        <v>1128</v>
      </c>
      <c r="D8481" s="75"/>
    </row>
    <row hidden="true" r="8482">
      <c r="A8482" s="76" t="s">
        <v>1394</v>
      </c>
      <c r="B8482" s="76" t="s">
        <v>1129</v>
      </c>
      <c r="C8482" s="76" t="s">
        <v>1130</v>
      </c>
      <c r="D8482" s="75"/>
    </row>
    <row hidden="true" r="8483">
      <c r="A8483" s="76" t="s">
        <v>1394</v>
      </c>
      <c r="B8483" s="76" t="s">
        <v>1131</v>
      </c>
      <c r="C8483" s="76" t="s">
        <v>1132</v>
      </c>
      <c r="D8483" s="75"/>
    </row>
    <row hidden="true" r="8484">
      <c r="A8484" s="76" t="s">
        <v>1394</v>
      </c>
      <c r="B8484" s="76" t="s">
        <v>1137</v>
      </c>
      <c r="C8484" s="76" t="s">
        <v>1138</v>
      </c>
      <c r="D8484" s="75"/>
    </row>
    <row hidden="true" r="8485">
      <c r="A8485" s="76" t="s">
        <v>1394</v>
      </c>
      <c r="B8485" s="76" t="s">
        <v>1139</v>
      </c>
      <c r="C8485" s="76" t="s">
        <v>1140</v>
      </c>
      <c r="D8485" s="75"/>
    </row>
    <row hidden="true" r="8486">
      <c r="A8486" s="76" t="s">
        <v>1394</v>
      </c>
      <c r="B8486" s="76" t="s">
        <v>1141</v>
      </c>
      <c r="C8486" s="76" t="s">
        <v>1142</v>
      </c>
      <c r="D8486" s="75"/>
    </row>
    <row hidden="true" r="8487">
      <c r="A8487" s="76" t="s">
        <v>1394</v>
      </c>
      <c r="B8487" s="76" t="s">
        <v>1143</v>
      </c>
      <c r="C8487" s="76" t="s">
        <v>1144</v>
      </c>
      <c r="D8487" s="75"/>
    </row>
    <row hidden="true" r="8488">
      <c r="A8488" s="76" t="s">
        <v>1394</v>
      </c>
      <c r="B8488" s="76" t="s">
        <v>1145</v>
      </c>
      <c r="C8488" s="76" t="s">
        <v>1146</v>
      </c>
      <c r="D8488" s="75"/>
    </row>
    <row hidden="true" r="8489">
      <c r="A8489" s="76" t="s">
        <v>1394</v>
      </c>
      <c r="B8489" s="76" t="s">
        <v>1147</v>
      </c>
      <c r="C8489" s="76" t="s">
        <v>1148</v>
      </c>
      <c r="D8489" s="75"/>
    </row>
    <row hidden="true" r="8490">
      <c r="A8490" s="76" t="s">
        <v>1394</v>
      </c>
      <c r="B8490" s="76" t="s">
        <v>1153</v>
      </c>
      <c r="C8490" s="76" t="s">
        <v>1154</v>
      </c>
      <c r="D8490" s="75"/>
    </row>
    <row hidden="true" r="8491">
      <c r="A8491" s="76" t="s">
        <v>1394</v>
      </c>
      <c r="B8491" s="76" t="s">
        <v>1155</v>
      </c>
      <c r="C8491" s="76" t="s">
        <v>1156</v>
      </c>
      <c r="D8491" s="75"/>
    </row>
    <row hidden="true" r="8492">
      <c r="A8492" s="76" t="s">
        <v>1394</v>
      </c>
      <c r="B8492" s="76" t="s">
        <v>1157</v>
      </c>
      <c r="C8492" s="76" t="s">
        <v>1158</v>
      </c>
      <c r="D8492" s="75"/>
    </row>
    <row hidden="true" r="8493">
      <c r="A8493" s="76" t="s">
        <v>1394</v>
      </c>
      <c r="B8493" s="76" t="s">
        <v>1159</v>
      </c>
      <c r="C8493" s="76" t="s">
        <v>1160</v>
      </c>
      <c r="D8493" s="75"/>
    </row>
    <row hidden="true" r="8494">
      <c r="A8494" s="76" t="s">
        <v>1394</v>
      </c>
      <c r="B8494" s="76" t="s">
        <v>1161</v>
      </c>
      <c r="C8494" s="76" t="s">
        <v>1162</v>
      </c>
      <c r="D8494" s="75"/>
    </row>
    <row hidden="true" r="8495">
      <c r="A8495" s="76" t="s">
        <v>1394</v>
      </c>
      <c r="B8495" s="76" t="s">
        <v>1163</v>
      </c>
      <c r="C8495" s="76" t="s">
        <v>1164</v>
      </c>
      <c r="D8495" s="75"/>
    </row>
    <row hidden="true" r="8496">
      <c r="A8496" s="76" t="s">
        <v>1394</v>
      </c>
      <c r="B8496" s="76" t="s">
        <v>1165</v>
      </c>
      <c r="C8496" s="76" t="s">
        <v>1166</v>
      </c>
      <c r="D8496" s="75"/>
    </row>
    <row hidden="true" r="8497">
      <c r="A8497" s="76" t="s">
        <v>1394</v>
      </c>
      <c r="B8497" s="76" t="s">
        <v>1331</v>
      </c>
      <c r="C8497" s="76" t="s">
        <v>1332</v>
      </c>
      <c r="D8497" s="75"/>
    </row>
    <row hidden="true" r="8498">
      <c r="A8498" s="76" t="s">
        <v>1394</v>
      </c>
      <c r="B8498" s="76" t="s">
        <v>1333</v>
      </c>
      <c r="C8498" s="76" t="s">
        <v>1334</v>
      </c>
      <c r="D8498" s="75"/>
    </row>
    <row hidden="true" r="8499">
      <c r="A8499" s="76" t="s">
        <v>1394</v>
      </c>
      <c r="B8499" s="76" t="s">
        <v>1335</v>
      </c>
      <c r="C8499" s="76" t="s">
        <v>1336</v>
      </c>
      <c r="D8499" s="75"/>
    </row>
    <row hidden="true" r="8500">
      <c r="A8500" s="76" t="s">
        <v>1394</v>
      </c>
      <c r="B8500" s="76" t="s">
        <v>1337</v>
      </c>
      <c r="C8500" s="76" t="s">
        <v>1338</v>
      </c>
      <c r="D8500" s="75"/>
    </row>
    <row hidden="true" r="8501">
      <c r="A8501" s="76" t="s">
        <v>1394</v>
      </c>
      <c r="B8501" s="76" t="s">
        <v>1339</v>
      </c>
      <c r="C8501" s="76" t="s">
        <v>1340</v>
      </c>
      <c r="D8501" s="75"/>
    </row>
    <row hidden="true" r="8502">
      <c r="A8502" s="76" t="s">
        <v>1394</v>
      </c>
      <c r="B8502" s="76" t="s">
        <v>1341</v>
      </c>
      <c r="C8502" s="76" t="s">
        <v>1342</v>
      </c>
      <c r="D8502" s="75"/>
    </row>
    <row hidden="true" r="8503">
      <c r="A8503" s="76" t="s">
        <v>1394</v>
      </c>
      <c r="B8503" s="76" t="s">
        <v>1044</v>
      </c>
      <c r="C8503" s="76" t="s">
        <v>1045</v>
      </c>
      <c r="D8503" s="75"/>
    </row>
    <row hidden="true" r="8504">
      <c r="A8504" s="76" t="s">
        <v>1394</v>
      </c>
      <c r="B8504" s="76" t="s">
        <v>1046</v>
      </c>
      <c r="C8504" s="76" t="s">
        <v>1047</v>
      </c>
      <c r="D8504" s="75"/>
    </row>
    <row hidden="true" r="8505">
      <c r="A8505" s="76" t="s">
        <v>1394</v>
      </c>
      <c r="B8505" s="76" t="s">
        <v>1048</v>
      </c>
      <c r="C8505" s="76" t="s">
        <v>1049</v>
      </c>
      <c r="D8505" s="75"/>
    </row>
    <row hidden="true" r="8506">
      <c r="A8506" s="76" t="s">
        <v>1394</v>
      </c>
      <c r="B8506" s="76" t="s">
        <v>1167</v>
      </c>
      <c r="C8506" s="76" t="s">
        <v>1168</v>
      </c>
      <c r="D8506" s="75"/>
    </row>
    <row hidden="true" r="8507">
      <c r="A8507" s="76" t="s">
        <v>1394</v>
      </c>
      <c r="B8507" s="76" t="s">
        <v>1169</v>
      </c>
      <c r="C8507" s="76" t="s">
        <v>1170</v>
      </c>
      <c r="D8507" s="75"/>
    </row>
    <row hidden="true" r="8508">
      <c r="A8508" s="76" t="s">
        <v>1394</v>
      </c>
      <c r="B8508" s="76" t="s">
        <v>1171</v>
      </c>
      <c r="C8508" s="76" t="s">
        <v>1172</v>
      </c>
      <c r="D8508" s="75"/>
    </row>
    <row hidden="true" r="8509">
      <c r="A8509" s="76" t="s">
        <v>1394</v>
      </c>
      <c r="B8509" s="76" t="s">
        <v>1173</v>
      </c>
      <c r="C8509" s="76" t="s">
        <v>1174</v>
      </c>
      <c r="D8509" s="75"/>
    </row>
    <row hidden="true" r="8510">
      <c r="A8510" s="76" t="s">
        <v>1394</v>
      </c>
      <c r="B8510" s="76" t="s">
        <v>1175</v>
      </c>
      <c r="C8510" s="76" t="s">
        <v>1176</v>
      </c>
      <c r="D8510" s="75"/>
    </row>
    <row hidden="true" r="8511">
      <c r="A8511" s="76" t="s">
        <v>1394</v>
      </c>
      <c r="B8511" s="76" t="s">
        <v>1177</v>
      </c>
      <c r="C8511" s="76" t="s">
        <v>1178</v>
      </c>
      <c r="D8511" s="75"/>
    </row>
    <row hidden="true" r="8512">
      <c r="A8512" s="76" t="s">
        <v>1394</v>
      </c>
      <c r="B8512" s="76" t="s">
        <v>1135</v>
      </c>
      <c r="C8512" s="76" t="s">
        <v>1136</v>
      </c>
      <c r="D8512" s="75"/>
    </row>
    <row hidden="true" r="8513">
      <c r="A8513" s="76" t="s">
        <v>1394</v>
      </c>
      <c r="B8513" s="76" t="s">
        <v>1179</v>
      </c>
      <c r="C8513" s="76" t="s">
        <v>1180</v>
      </c>
      <c r="D8513" s="75"/>
    </row>
    <row hidden="true" r="8514">
      <c r="A8514" s="76" t="s">
        <v>1394</v>
      </c>
      <c r="B8514" s="76" t="s">
        <v>1181</v>
      </c>
      <c r="C8514" s="76" t="s">
        <v>1182</v>
      </c>
      <c r="D8514" s="75"/>
    </row>
    <row hidden="true" r="8515">
      <c r="A8515" s="76" t="s">
        <v>1394</v>
      </c>
      <c r="B8515" s="76" t="s">
        <v>1183</v>
      </c>
      <c r="C8515" s="76" t="s">
        <v>1184</v>
      </c>
      <c r="D8515" s="75"/>
    </row>
    <row hidden="true" r="8516">
      <c r="A8516" s="76" t="s">
        <v>1394</v>
      </c>
      <c r="B8516" s="76" t="s">
        <v>1185</v>
      </c>
      <c r="C8516" s="76" t="s">
        <v>1186</v>
      </c>
      <c r="D8516" s="75"/>
    </row>
    <row hidden="true" r="8517">
      <c r="A8517" s="76" t="s">
        <v>1394</v>
      </c>
      <c r="B8517" s="76" t="s">
        <v>1187</v>
      </c>
      <c r="C8517" s="76" t="s">
        <v>1188</v>
      </c>
      <c r="D8517" s="75"/>
    </row>
    <row hidden="true" r="8518">
      <c r="A8518" s="76" t="s">
        <v>1394</v>
      </c>
      <c r="B8518" s="76" t="s">
        <v>1189</v>
      </c>
      <c r="C8518" s="76" t="s">
        <v>1190</v>
      </c>
      <c r="D8518" s="75"/>
    </row>
    <row hidden="true" r="8519">
      <c r="A8519" s="76" t="s">
        <v>1394</v>
      </c>
      <c r="B8519" s="76" t="s">
        <v>1199</v>
      </c>
      <c r="C8519" s="76" t="s">
        <v>1200</v>
      </c>
      <c r="D8519" s="75"/>
    </row>
    <row hidden="true" r="8520">
      <c r="A8520" s="76" t="s">
        <v>1394</v>
      </c>
      <c r="B8520" s="76" t="s">
        <v>1201</v>
      </c>
      <c r="C8520" s="76" t="s">
        <v>1202</v>
      </c>
      <c r="D8520" s="75"/>
    </row>
    <row hidden="true" r="8521">
      <c r="A8521" s="76" t="s">
        <v>1394</v>
      </c>
      <c r="B8521" s="76" t="s">
        <v>1203</v>
      </c>
      <c r="C8521" s="76" t="s">
        <v>1204</v>
      </c>
      <c r="D8521" s="75"/>
    </row>
    <row hidden="true" r="8522">
      <c r="A8522" s="76" t="s">
        <v>1394</v>
      </c>
      <c r="B8522" s="76" t="s">
        <v>1205</v>
      </c>
      <c r="C8522" s="76" t="s">
        <v>1206</v>
      </c>
      <c r="D8522" s="75"/>
    </row>
    <row hidden="true" r="8523">
      <c r="A8523" s="76" t="s">
        <v>1394</v>
      </c>
      <c r="B8523" s="76" t="s">
        <v>1207</v>
      </c>
      <c r="C8523" s="76" t="s">
        <v>1208</v>
      </c>
      <c r="D8523" s="75"/>
    </row>
    <row hidden="true" r="8524">
      <c r="A8524" s="76" t="s">
        <v>1394</v>
      </c>
      <c r="B8524" s="76" t="s">
        <v>1209</v>
      </c>
      <c r="C8524" s="76" t="s">
        <v>1210</v>
      </c>
      <c r="D8524" s="75"/>
    </row>
    <row hidden="true" r="8525">
      <c r="A8525" s="76" t="s">
        <v>1394</v>
      </c>
      <c r="B8525" s="76" t="s">
        <v>1211</v>
      </c>
      <c r="C8525" s="76" t="s">
        <v>1212</v>
      </c>
      <c r="D8525" s="75"/>
    </row>
    <row hidden="true" r="8526">
      <c r="A8526" s="76" t="s">
        <v>1394</v>
      </c>
      <c r="B8526" s="76" t="s">
        <v>735</v>
      </c>
      <c r="C8526" s="76"/>
      <c r="D8526" s="75"/>
    </row>
    <row hidden="true" r="8527">
      <c r="A8527" s="76" t="s">
        <v>1395</v>
      </c>
      <c r="B8527" s="76" t="s">
        <v>407</v>
      </c>
      <c r="C8527" s="76" t="s">
        <v>1226</v>
      </c>
      <c r="D8527" s="75"/>
    </row>
    <row hidden="true" r="8528">
      <c r="A8528" s="76" t="s">
        <v>1395</v>
      </c>
      <c r="B8528" s="76" t="s">
        <v>744</v>
      </c>
      <c r="C8528" s="76" t="s">
        <v>745</v>
      </c>
      <c r="D8528" s="75"/>
    </row>
    <row hidden="true" r="8529">
      <c r="A8529" s="76" t="s">
        <v>1395</v>
      </c>
      <c r="B8529" s="76" t="s">
        <v>480</v>
      </c>
      <c r="C8529" s="76" t="s">
        <v>481</v>
      </c>
      <c r="D8529" s="75"/>
    </row>
    <row hidden="true" r="8530">
      <c r="A8530" s="76" t="s">
        <v>1395</v>
      </c>
      <c r="B8530" s="76" t="s">
        <v>884</v>
      </c>
      <c r="C8530" s="76" t="s">
        <v>1227</v>
      </c>
      <c r="D8530" s="75"/>
    </row>
    <row hidden="true" r="8531">
      <c r="A8531" s="76" t="s">
        <v>1395</v>
      </c>
      <c r="B8531" s="76" t="s">
        <v>886</v>
      </c>
      <c r="C8531" s="76" t="s">
        <v>1228</v>
      </c>
      <c r="D8531" s="75"/>
    </row>
    <row hidden="true" r="8532">
      <c r="A8532" s="76" t="s">
        <v>1395</v>
      </c>
      <c r="B8532" s="76" t="s">
        <v>888</v>
      </c>
      <c r="C8532" s="76" t="s">
        <v>889</v>
      </c>
      <c r="D8532" s="75"/>
    </row>
    <row hidden="true" r="8533">
      <c r="A8533" s="76" t="s">
        <v>1395</v>
      </c>
      <c r="B8533" s="76" t="s">
        <v>890</v>
      </c>
      <c r="C8533" s="76" t="s">
        <v>891</v>
      </c>
      <c r="D8533" s="75"/>
    </row>
    <row hidden="true" r="8534">
      <c r="A8534" s="76" t="s">
        <v>1395</v>
      </c>
      <c r="B8534" s="76" t="s">
        <v>892</v>
      </c>
      <c r="C8534" s="76" t="s">
        <v>893</v>
      </c>
      <c r="D8534" s="75"/>
    </row>
    <row hidden="true" r="8535">
      <c r="A8535" s="76" t="s">
        <v>1395</v>
      </c>
      <c r="B8535" s="76" t="s">
        <v>894</v>
      </c>
      <c r="C8535" s="76" t="s">
        <v>1217</v>
      </c>
      <c r="D8535" s="75"/>
    </row>
    <row hidden="true" r="8536">
      <c r="A8536" s="76" t="s">
        <v>1395</v>
      </c>
      <c r="B8536" s="76" t="s">
        <v>896</v>
      </c>
      <c r="C8536" s="76" t="s">
        <v>1229</v>
      </c>
      <c r="D8536" s="75"/>
    </row>
    <row hidden="true" r="8537">
      <c r="A8537" s="76" t="s">
        <v>1395</v>
      </c>
      <c r="B8537" s="76" t="s">
        <v>898</v>
      </c>
      <c r="C8537" s="76" t="s">
        <v>899</v>
      </c>
      <c r="D8537" s="75"/>
    </row>
    <row hidden="true" r="8538">
      <c r="A8538" s="76" t="s">
        <v>1395</v>
      </c>
      <c r="B8538" s="76" t="s">
        <v>900</v>
      </c>
      <c r="C8538" s="76" t="s">
        <v>1230</v>
      </c>
      <c r="D8538" s="75"/>
    </row>
    <row hidden="true" r="8539">
      <c r="A8539" s="76" t="s">
        <v>1395</v>
      </c>
      <c r="B8539" s="76" t="s">
        <v>902</v>
      </c>
      <c r="C8539" s="76" t="s">
        <v>903</v>
      </c>
      <c r="D8539" s="75"/>
    </row>
    <row hidden="true" r="8540">
      <c r="A8540" s="76" t="s">
        <v>1395</v>
      </c>
      <c r="B8540" s="76" t="s">
        <v>904</v>
      </c>
      <c r="C8540" s="76" t="s">
        <v>905</v>
      </c>
      <c r="D8540" s="75"/>
    </row>
    <row hidden="true" r="8541">
      <c r="A8541" s="76" t="s">
        <v>1395</v>
      </c>
      <c r="B8541" s="76" t="s">
        <v>906</v>
      </c>
      <c r="C8541" s="76" t="s">
        <v>1231</v>
      </c>
      <c r="D8541" s="75"/>
    </row>
    <row hidden="true" r="8542">
      <c r="A8542" s="76" t="s">
        <v>1395</v>
      </c>
      <c r="B8542" s="76" t="s">
        <v>908</v>
      </c>
      <c r="C8542" s="76" t="s">
        <v>909</v>
      </c>
      <c r="D8542" s="75"/>
    </row>
    <row hidden="true" r="8543">
      <c r="A8543" s="76" t="s">
        <v>1395</v>
      </c>
      <c r="B8543" s="76" t="s">
        <v>910</v>
      </c>
      <c r="C8543" s="76" t="s">
        <v>911</v>
      </c>
      <c r="D8543" s="75"/>
    </row>
    <row hidden="true" r="8544">
      <c r="A8544" s="76" t="s">
        <v>1395</v>
      </c>
      <c r="B8544" s="76" t="s">
        <v>912</v>
      </c>
      <c r="C8544" s="76" t="s">
        <v>913</v>
      </c>
      <c r="D8544" s="75"/>
    </row>
    <row hidden="true" r="8545">
      <c r="A8545" s="76" t="s">
        <v>1395</v>
      </c>
      <c r="B8545" s="76" t="s">
        <v>914</v>
      </c>
      <c r="C8545" s="76" t="s">
        <v>915</v>
      </c>
      <c r="D8545" s="75"/>
    </row>
    <row hidden="true" r="8546">
      <c r="A8546" s="76" t="s">
        <v>1395</v>
      </c>
      <c r="B8546" s="76" t="s">
        <v>916</v>
      </c>
      <c r="C8546" s="76" t="s">
        <v>917</v>
      </c>
      <c r="D8546" s="75"/>
    </row>
    <row hidden="true" r="8547">
      <c r="A8547" s="76" t="s">
        <v>1395</v>
      </c>
      <c r="B8547" s="76" t="s">
        <v>918</v>
      </c>
      <c r="C8547" s="76" t="s">
        <v>919</v>
      </c>
      <c r="D8547" s="75"/>
    </row>
    <row hidden="true" r="8548">
      <c r="A8548" s="76" t="s">
        <v>1395</v>
      </c>
      <c r="B8548" s="76" t="s">
        <v>920</v>
      </c>
      <c r="C8548" s="76" t="s">
        <v>921</v>
      </c>
      <c r="D8548" s="75"/>
    </row>
    <row hidden="true" r="8549">
      <c r="A8549" s="76" t="s">
        <v>1395</v>
      </c>
      <c r="B8549" s="76" t="s">
        <v>922</v>
      </c>
      <c r="C8549" s="76" t="s">
        <v>923</v>
      </c>
      <c r="D8549" s="75"/>
    </row>
    <row hidden="true" r="8550">
      <c r="A8550" s="76" t="s">
        <v>1395</v>
      </c>
      <c r="B8550" s="76" t="s">
        <v>924</v>
      </c>
      <c r="C8550" s="76" t="s">
        <v>925</v>
      </c>
      <c r="D8550" s="75"/>
    </row>
    <row hidden="true" r="8551">
      <c r="A8551" s="76" t="s">
        <v>1395</v>
      </c>
      <c r="B8551" s="76" t="s">
        <v>926</v>
      </c>
      <c r="C8551" s="76" t="s">
        <v>927</v>
      </c>
      <c r="D8551" s="75"/>
    </row>
    <row hidden="true" r="8552">
      <c r="A8552" s="76" t="s">
        <v>1395</v>
      </c>
      <c r="B8552" s="76" t="s">
        <v>928</v>
      </c>
      <c r="C8552" s="76" t="s">
        <v>929</v>
      </c>
      <c r="D8552" s="75"/>
    </row>
    <row hidden="true" r="8553">
      <c r="A8553" s="76" t="s">
        <v>1395</v>
      </c>
      <c r="B8553" s="76" t="s">
        <v>930</v>
      </c>
      <c r="C8553" s="76" t="s">
        <v>931</v>
      </c>
      <c r="D8553" s="75"/>
    </row>
    <row hidden="true" r="8554">
      <c r="A8554" s="76" t="s">
        <v>1395</v>
      </c>
      <c r="B8554" s="76" t="s">
        <v>932</v>
      </c>
      <c r="C8554" s="76" t="s">
        <v>933</v>
      </c>
      <c r="D8554" s="75"/>
    </row>
    <row hidden="true" r="8555">
      <c r="A8555" s="76" t="s">
        <v>1395</v>
      </c>
      <c r="B8555" s="76" t="s">
        <v>934</v>
      </c>
      <c r="C8555" s="76" t="s">
        <v>935</v>
      </c>
      <c r="D8555" s="75"/>
    </row>
    <row hidden="true" r="8556">
      <c r="A8556" s="76" t="s">
        <v>1395</v>
      </c>
      <c r="B8556" s="76" t="s">
        <v>936</v>
      </c>
      <c r="C8556" s="76" t="s">
        <v>937</v>
      </c>
      <c r="D8556" s="75"/>
    </row>
    <row hidden="true" r="8557">
      <c r="A8557" s="76" t="s">
        <v>1395</v>
      </c>
      <c r="B8557" s="76" t="s">
        <v>938</v>
      </c>
      <c r="C8557" s="76" t="s">
        <v>939</v>
      </c>
      <c r="D8557" s="75"/>
    </row>
    <row hidden="true" r="8558">
      <c r="A8558" s="76" t="s">
        <v>1395</v>
      </c>
      <c r="B8558" s="76" t="s">
        <v>940</v>
      </c>
      <c r="C8558" s="76" t="s">
        <v>1232</v>
      </c>
      <c r="D8558" s="75"/>
    </row>
    <row hidden="true" r="8559">
      <c r="A8559" s="76" t="s">
        <v>1395</v>
      </c>
      <c r="B8559" s="76" t="s">
        <v>942</v>
      </c>
      <c r="C8559" s="76" t="s">
        <v>943</v>
      </c>
      <c r="D8559" s="75"/>
    </row>
    <row hidden="true" r="8560">
      <c r="A8560" s="76" t="s">
        <v>1395</v>
      </c>
      <c r="B8560" s="76" t="s">
        <v>944</v>
      </c>
      <c r="C8560" s="76" t="s">
        <v>945</v>
      </c>
      <c r="D8560" s="75"/>
    </row>
    <row hidden="true" r="8561">
      <c r="A8561" s="76" t="s">
        <v>1395</v>
      </c>
      <c r="B8561" s="76" t="s">
        <v>1305</v>
      </c>
      <c r="C8561" s="76" t="s">
        <v>1306</v>
      </c>
      <c r="D8561" s="75"/>
    </row>
    <row hidden="true" r="8562">
      <c r="A8562" s="76" t="s">
        <v>1395</v>
      </c>
      <c r="B8562" s="76" t="s">
        <v>1307</v>
      </c>
      <c r="C8562" s="76" t="s">
        <v>1308</v>
      </c>
      <c r="D8562" s="75"/>
    </row>
    <row hidden="true" r="8563">
      <c r="A8563" s="76" t="s">
        <v>1395</v>
      </c>
      <c r="B8563" s="76" t="s">
        <v>946</v>
      </c>
      <c r="C8563" s="76" t="s">
        <v>1233</v>
      </c>
      <c r="D8563" s="75"/>
    </row>
    <row hidden="true" r="8564">
      <c r="A8564" s="76" t="s">
        <v>1395</v>
      </c>
      <c r="B8564" s="76" t="s">
        <v>948</v>
      </c>
      <c r="C8564" s="76" t="s">
        <v>1222</v>
      </c>
      <c r="D8564" s="75"/>
    </row>
    <row hidden="true" r="8565">
      <c r="A8565" s="76" t="s">
        <v>1395</v>
      </c>
      <c r="B8565" s="76" t="s">
        <v>950</v>
      </c>
      <c r="C8565" s="76" t="s">
        <v>951</v>
      </c>
      <c r="D8565" s="75"/>
    </row>
    <row hidden="true" r="8566">
      <c r="A8566" s="76" t="s">
        <v>1395</v>
      </c>
      <c r="B8566" s="76" t="s">
        <v>952</v>
      </c>
      <c r="C8566" s="76" t="s">
        <v>953</v>
      </c>
      <c r="D8566" s="75"/>
    </row>
    <row hidden="true" r="8567">
      <c r="A8567" s="76" t="s">
        <v>1395</v>
      </c>
      <c r="B8567" s="76" t="s">
        <v>954</v>
      </c>
      <c r="C8567" s="76" t="s">
        <v>955</v>
      </c>
      <c r="D8567" s="75"/>
    </row>
    <row hidden="true" r="8568">
      <c r="A8568" s="76" t="s">
        <v>1395</v>
      </c>
      <c r="B8568" s="76" t="s">
        <v>775</v>
      </c>
      <c r="C8568" s="76" t="s">
        <v>1234</v>
      </c>
      <c r="D8568" s="75"/>
    </row>
    <row hidden="true" r="8569">
      <c r="A8569" s="76" t="s">
        <v>1395</v>
      </c>
      <c r="B8569" s="76" t="s">
        <v>956</v>
      </c>
      <c r="C8569" s="76" t="s">
        <v>957</v>
      </c>
      <c r="D8569" s="75"/>
    </row>
    <row hidden="true" r="8570">
      <c r="A8570" s="76" t="s">
        <v>1395</v>
      </c>
      <c r="B8570" s="76" t="s">
        <v>958</v>
      </c>
      <c r="C8570" s="76" t="s">
        <v>959</v>
      </c>
      <c r="D8570" s="75"/>
    </row>
    <row hidden="true" r="8571">
      <c r="A8571" s="76" t="s">
        <v>1395</v>
      </c>
      <c r="B8571" s="76" t="s">
        <v>960</v>
      </c>
      <c r="C8571" s="76" t="s">
        <v>961</v>
      </c>
      <c r="D8571" s="75"/>
    </row>
    <row hidden="true" r="8572">
      <c r="A8572" s="76" t="s">
        <v>1395</v>
      </c>
      <c r="B8572" s="76" t="s">
        <v>962</v>
      </c>
      <c r="C8572" s="76" t="s">
        <v>1235</v>
      </c>
      <c r="D8572" s="75"/>
    </row>
    <row hidden="true" r="8573">
      <c r="A8573" s="76" t="s">
        <v>1395</v>
      </c>
      <c r="B8573" s="76" t="s">
        <v>964</v>
      </c>
      <c r="C8573" s="76" t="s">
        <v>1236</v>
      </c>
      <c r="D8573" s="75"/>
    </row>
    <row hidden="true" r="8574">
      <c r="A8574" s="76" t="s">
        <v>1395</v>
      </c>
      <c r="B8574" s="76" t="s">
        <v>966</v>
      </c>
      <c r="C8574" s="76" t="s">
        <v>967</v>
      </c>
      <c r="D8574" s="75"/>
    </row>
    <row hidden="true" r="8575">
      <c r="A8575" s="76" t="s">
        <v>1395</v>
      </c>
      <c r="B8575" s="76" t="s">
        <v>968</v>
      </c>
      <c r="C8575" s="76" t="s">
        <v>969</v>
      </c>
      <c r="D8575" s="75"/>
    </row>
    <row hidden="true" r="8576">
      <c r="A8576" s="76" t="s">
        <v>1395</v>
      </c>
      <c r="B8576" s="76" t="s">
        <v>970</v>
      </c>
      <c r="C8576" s="76" t="s">
        <v>971</v>
      </c>
      <c r="D8576" s="75"/>
    </row>
    <row hidden="true" r="8577">
      <c r="A8577" s="76" t="s">
        <v>1395</v>
      </c>
      <c r="B8577" s="76" t="s">
        <v>972</v>
      </c>
      <c r="C8577" s="76" t="s">
        <v>1237</v>
      </c>
      <c r="D8577" s="75"/>
    </row>
    <row hidden="true" r="8578">
      <c r="A8578" s="76" t="s">
        <v>1395</v>
      </c>
      <c r="B8578" s="76" t="s">
        <v>974</v>
      </c>
      <c r="C8578" s="76" t="s">
        <v>975</v>
      </c>
      <c r="D8578" s="75"/>
    </row>
    <row hidden="true" r="8579">
      <c r="A8579" s="76" t="s">
        <v>1395</v>
      </c>
      <c r="B8579" s="76" t="s">
        <v>976</v>
      </c>
      <c r="C8579" s="76" t="s">
        <v>977</v>
      </c>
      <c r="D8579" s="75"/>
    </row>
    <row hidden="true" r="8580">
      <c r="A8580" s="76" t="s">
        <v>1395</v>
      </c>
      <c r="B8580" s="76" t="s">
        <v>823</v>
      </c>
      <c r="C8580" s="76" t="s">
        <v>824</v>
      </c>
      <c r="D8580" s="75"/>
    </row>
    <row hidden="true" r="8581">
      <c r="A8581" s="76" t="s">
        <v>1395</v>
      </c>
      <c r="B8581" s="76" t="s">
        <v>978</v>
      </c>
      <c r="C8581" s="76" t="s">
        <v>1238</v>
      </c>
      <c r="D8581" s="75"/>
    </row>
    <row hidden="true" r="8582">
      <c r="A8582" s="76" t="s">
        <v>1395</v>
      </c>
      <c r="B8582" s="76" t="s">
        <v>980</v>
      </c>
      <c r="C8582" s="76" t="s">
        <v>981</v>
      </c>
      <c r="D8582" s="75"/>
    </row>
    <row hidden="true" r="8583">
      <c r="A8583" s="76" t="s">
        <v>1395</v>
      </c>
      <c r="B8583" s="76" t="s">
        <v>982</v>
      </c>
      <c r="C8583" s="76" t="s">
        <v>983</v>
      </c>
      <c r="D8583" s="75"/>
    </row>
    <row hidden="true" r="8584">
      <c r="A8584" s="76" t="s">
        <v>1395</v>
      </c>
      <c r="B8584" s="76" t="s">
        <v>984</v>
      </c>
      <c r="C8584" s="76" t="s">
        <v>985</v>
      </c>
      <c r="D8584" s="75"/>
    </row>
    <row hidden="true" r="8585">
      <c r="A8585" s="76" t="s">
        <v>1395</v>
      </c>
      <c r="B8585" s="76" t="s">
        <v>1309</v>
      </c>
      <c r="C8585" s="76" t="s">
        <v>1310</v>
      </c>
      <c r="D8585" s="75"/>
    </row>
    <row hidden="true" r="8586">
      <c r="A8586" s="76" t="s">
        <v>1395</v>
      </c>
      <c r="B8586" s="76" t="s">
        <v>1311</v>
      </c>
      <c r="C8586" s="76" t="s">
        <v>1312</v>
      </c>
      <c r="D8586" s="75"/>
    </row>
    <row hidden="true" r="8587">
      <c r="A8587" s="76" t="s">
        <v>1395</v>
      </c>
      <c r="B8587" s="76" t="s">
        <v>1099</v>
      </c>
      <c r="C8587" s="76" t="s">
        <v>1242</v>
      </c>
      <c r="D8587" s="75"/>
    </row>
    <row hidden="true" r="8588">
      <c r="A8588" s="76" t="s">
        <v>1395</v>
      </c>
      <c r="B8588" s="76" t="s">
        <v>1101</v>
      </c>
      <c r="C8588" s="76" t="s">
        <v>1102</v>
      </c>
      <c r="D8588" s="75"/>
    </row>
    <row hidden="true" r="8589">
      <c r="A8589" s="76" t="s">
        <v>1395</v>
      </c>
      <c r="B8589" s="76" t="s">
        <v>1313</v>
      </c>
      <c r="C8589" s="76" t="s">
        <v>1351</v>
      </c>
      <c r="D8589" s="75"/>
    </row>
    <row hidden="true" r="8590">
      <c r="A8590" s="76" t="s">
        <v>1395</v>
      </c>
      <c r="B8590" s="76" t="s">
        <v>996</v>
      </c>
      <c r="C8590" s="76" t="s">
        <v>997</v>
      </c>
      <c r="D8590" s="75"/>
    </row>
    <row hidden="true" r="8591">
      <c r="A8591" s="76" t="s">
        <v>1395</v>
      </c>
      <c r="B8591" s="76" t="s">
        <v>998</v>
      </c>
      <c r="C8591" s="76" t="s">
        <v>1239</v>
      </c>
      <c r="D8591" s="75"/>
    </row>
    <row hidden="true" r="8592">
      <c r="A8592" s="76" t="s">
        <v>1395</v>
      </c>
      <c r="B8592" s="76" t="s">
        <v>1000</v>
      </c>
      <c r="C8592" s="76" t="s">
        <v>1001</v>
      </c>
      <c r="D8592" s="75"/>
    </row>
    <row hidden="true" r="8593">
      <c r="A8593" s="76" t="s">
        <v>1395</v>
      </c>
      <c r="B8593" s="76" t="s">
        <v>1002</v>
      </c>
      <c r="C8593" s="76" t="s">
        <v>1003</v>
      </c>
      <c r="D8593" s="75"/>
    </row>
    <row hidden="true" r="8594">
      <c r="A8594" s="76" t="s">
        <v>1395</v>
      </c>
      <c r="B8594" s="76" t="s">
        <v>1004</v>
      </c>
      <c r="C8594" s="76" t="s">
        <v>1005</v>
      </c>
      <c r="D8594" s="75"/>
    </row>
    <row hidden="true" r="8595">
      <c r="A8595" s="76" t="s">
        <v>1395</v>
      </c>
      <c r="B8595" s="76" t="s">
        <v>1006</v>
      </c>
      <c r="C8595" s="76" t="s">
        <v>1007</v>
      </c>
      <c r="D8595" s="75"/>
    </row>
    <row hidden="true" r="8596">
      <c r="A8596" s="76" t="s">
        <v>1395</v>
      </c>
      <c r="B8596" s="76" t="s">
        <v>1008</v>
      </c>
      <c r="C8596" s="76" t="s">
        <v>1009</v>
      </c>
      <c r="D8596" s="75"/>
    </row>
    <row hidden="true" r="8597">
      <c r="A8597" s="76" t="s">
        <v>1395</v>
      </c>
      <c r="B8597" s="76" t="s">
        <v>1010</v>
      </c>
      <c r="C8597" s="76" t="s">
        <v>1011</v>
      </c>
      <c r="D8597" s="75"/>
    </row>
    <row hidden="true" r="8598">
      <c r="A8598" s="76" t="s">
        <v>1395</v>
      </c>
      <c r="B8598" s="76" t="s">
        <v>1315</v>
      </c>
      <c r="C8598" s="76" t="s">
        <v>1352</v>
      </c>
      <c r="D8598" s="75"/>
    </row>
    <row hidden="true" r="8599">
      <c r="A8599" s="76" t="s">
        <v>1395</v>
      </c>
      <c r="B8599" s="76" t="s">
        <v>1014</v>
      </c>
      <c r="C8599" s="76" t="s">
        <v>1015</v>
      </c>
      <c r="D8599" s="75"/>
    </row>
    <row hidden="true" r="8600">
      <c r="A8600" s="76" t="s">
        <v>1395</v>
      </c>
      <c r="B8600" s="76" t="s">
        <v>1016</v>
      </c>
      <c r="C8600" s="76" t="s">
        <v>1017</v>
      </c>
      <c r="D8600" s="75"/>
    </row>
    <row hidden="true" r="8601">
      <c r="A8601" s="76" t="s">
        <v>1395</v>
      </c>
      <c r="B8601" s="76" t="s">
        <v>1018</v>
      </c>
      <c r="C8601" s="76" t="s">
        <v>1019</v>
      </c>
      <c r="D8601" s="75"/>
    </row>
    <row hidden="true" r="8602">
      <c r="A8602" s="76" t="s">
        <v>1395</v>
      </c>
      <c r="B8602" s="76" t="s">
        <v>1020</v>
      </c>
      <c r="C8602" s="76" t="s">
        <v>1021</v>
      </c>
      <c r="D8602" s="75"/>
    </row>
    <row hidden="true" r="8603">
      <c r="A8603" s="76" t="s">
        <v>1395</v>
      </c>
      <c r="B8603" s="76" t="s">
        <v>1022</v>
      </c>
      <c r="C8603" s="76" t="s">
        <v>1017</v>
      </c>
      <c r="D8603" s="75"/>
    </row>
    <row hidden="true" r="8604">
      <c r="A8604" s="76" t="s">
        <v>1395</v>
      </c>
      <c r="B8604" s="76" t="s">
        <v>1023</v>
      </c>
      <c r="C8604" s="76" t="s">
        <v>1019</v>
      </c>
      <c r="D8604" s="75"/>
    </row>
    <row hidden="true" r="8605">
      <c r="A8605" s="76" t="s">
        <v>1395</v>
      </c>
      <c r="B8605" s="76" t="s">
        <v>1024</v>
      </c>
      <c r="C8605" s="76" t="s">
        <v>1021</v>
      </c>
      <c r="D8605" s="75"/>
    </row>
    <row hidden="true" r="8606">
      <c r="A8606" s="76" t="s">
        <v>1395</v>
      </c>
      <c r="B8606" s="76" t="s">
        <v>1025</v>
      </c>
      <c r="C8606" s="76" t="s">
        <v>1017</v>
      </c>
      <c r="D8606" s="75"/>
    </row>
    <row hidden="true" r="8607">
      <c r="A8607" s="76" t="s">
        <v>1395</v>
      </c>
      <c r="B8607" s="76" t="s">
        <v>1026</v>
      </c>
      <c r="C8607" s="76" t="s">
        <v>1019</v>
      </c>
      <c r="D8607" s="75"/>
    </row>
    <row hidden="true" r="8608">
      <c r="A8608" s="76" t="s">
        <v>1395</v>
      </c>
      <c r="B8608" s="76" t="s">
        <v>1027</v>
      </c>
      <c r="C8608" s="76" t="s">
        <v>1021</v>
      </c>
      <c r="D8608" s="75"/>
    </row>
    <row hidden="true" r="8609">
      <c r="A8609" s="76" t="s">
        <v>1395</v>
      </c>
      <c r="B8609" s="76" t="s">
        <v>1133</v>
      </c>
      <c r="C8609" s="76" t="s">
        <v>1134</v>
      </c>
      <c r="D8609" s="75"/>
    </row>
    <row hidden="true" r="8610">
      <c r="A8610" s="76" t="s">
        <v>1395</v>
      </c>
      <c r="B8610" s="76" t="s">
        <v>1317</v>
      </c>
      <c r="C8610" s="76" t="s">
        <v>1318</v>
      </c>
      <c r="D8610" s="75"/>
    </row>
    <row hidden="true" r="8611">
      <c r="A8611" s="76" t="s">
        <v>1395</v>
      </c>
      <c r="B8611" s="76" t="s">
        <v>1319</v>
      </c>
      <c r="C8611" s="76" t="s">
        <v>1320</v>
      </c>
      <c r="D8611" s="75"/>
    </row>
    <row hidden="true" r="8612">
      <c r="A8612" s="76" t="s">
        <v>1395</v>
      </c>
      <c r="B8612" s="76" t="s">
        <v>1028</v>
      </c>
      <c r="C8612" s="76" t="s">
        <v>1029</v>
      </c>
      <c r="D8612" s="75"/>
    </row>
    <row hidden="true" r="8613">
      <c r="A8613" s="76" t="s">
        <v>1395</v>
      </c>
      <c r="B8613" s="76" t="s">
        <v>988</v>
      </c>
      <c r="C8613" s="76" t="s">
        <v>989</v>
      </c>
      <c r="D8613" s="75"/>
    </row>
    <row hidden="true" r="8614">
      <c r="A8614" s="76" t="s">
        <v>1395</v>
      </c>
      <c r="B8614" s="76" t="s">
        <v>990</v>
      </c>
      <c r="C8614" s="76" t="s">
        <v>991</v>
      </c>
      <c r="D8614" s="75"/>
    </row>
    <row hidden="true" r="8615">
      <c r="A8615" s="76" t="s">
        <v>1395</v>
      </c>
      <c r="B8615" s="76" t="s">
        <v>992</v>
      </c>
      <c r="C8615" s="76" t="s">
        <v>993</v>
      </c>
      <c r="D8615" s="75"/>
    </row>
    <row hidden="true" r="8616">
      <c r="A8616" s="76" t="s">
        <v>1395</v>
      </c>
      <c r="B8616" s="76" t="s">
        <v>530</v>
      </c>
      <c r="C8616" s="76" t="s">
        <v>1240</v>
      </c>
      <c r="D8616" s="75"/>
    </row>
    <row hidden="true" r="8617">
      <c r="A8617" s="76" t="s">
        <v>1395</v>
      </c>
      <c r="B8617" s="76" t="s">
        <v>1032</v>
      </c>
      <c r="C8617" s="76" t="s">
        <v>1033</v>
      </c>
      <c r="D8617" s="75"/>
    </row>
    <row hidden="true" r="8618">
      <c r="A8618" s="76" t="s">
        <v>1395</v>
      </c>
      <c r="B8618" s="76" t="s">
        <v>532</v>
      </c>
      <c r="C8618" s="76" t="s">
        <v>533</v>
      </c>
      <c r="D8618" s="75"/>
    </row>
    <row hidden="true" r="8619">
      <c r="A8619" s="76" t="s">
        <v>1395</v>
      </c>
      <c r="B8619" s="76" t="s">
        <v>1036</v>
      </c>
      <c r="C8619" s="76" t="s">
        <v>1037</v>
      </c>
      <c r="D8619" s="75"/>
    </row>
    <row hidden="true" r="8620">
      <c r="A8620" s="76" t="s">
        <v>1395</v>
      </c>
      <c r="B8620" s="76" t="s">
        <v>1038</v>
      </c>
      <c r="C8620" s="76" t="s">
        <v>1039</v>
      </c>
      <c r="D8620" s="75"/>
    </row>
    <row hidden="true" r="8621">
      <c r="A8621" s="76" t="s">
        <v>1395</v>
      </c>
      <c r="B8621" s="76" t="s">
        <v>1321</v>
      </c>
      <c r="C8621" s="76" t="s">
        <v>1322</v>
      </c>
      <c r="D8621" s="75"/>
    </row>
    <row hidden="true" r="8622">
      <c r="A8622" s="76" t="s">
        <v>1395</v>
      </c>
      <c r="B8622" s="76" t="s">
        <v>1323</v>
      </c>
      <c r="C8622" s="76" t="s">
        <v>1324</v>
      </c>
      <c r="D8622" s="75"/>
    </row>
    <row hidden="true" r="8623">
      <c r="A8623" s="76" t="s">
        <v>1395</v>
      </c>
      <c r="B8623" s="76" t="s">
        <v>1012</v>
      </c>
      <c r="C8623" s="76" t="s">
        <v>1013</v>
      </c>
      <c r="D8623" s="75"/>
    </row>
    <row hidden="true" r="8624">
      <c r="A8624" s="76" t="s">
        <v>1395</v>
      </c>
      <c r="B8624" s="76" t="s">
        <v>1052</v>
      </c>
      <c r="C8624" s="76" t="s">
        <v>1053</v>
      </c>
      <c r="D8624" s="75"/>
    </row>
    <row hidden="true" r="8625">
      <c r="A8625" s="76" t="s">
        <v>1395</v>
      </c>
      <c r="B8625" s="76" t="s">
        <v>1054</v>
      </c>
      <c r="C8625" s="76" t="s">
        <v>1055</v>
      </c>
      <c r="D8625" s="75"/>
    </row>
    <row hidden="true" r="8626">
      <c r="A8626" s="76" t="s">
        <v>1395</v>
      </c>
      <c r="B8626" s="76" t="s">
        <v>1056</v>
      </c>
      <c r="C8626" s="76" t="s">
        <v>1057</v>
      </c>
      <c r="D8626" s="75"/>
    </row>
    <row hidden="true" r="8627">
      <c r="A8627" s="76" t="s">
        <v>1395</v>
      </c>
      <c r="B8627" s="76" t="s">
        <v>1058</v>
      </c>
      <c r="C8627" s="76" t="s">
        <v>1059</v>
      </c>
      <c r="D8627" s="75"/>
    </row>
    <row hidden="true" r="8628">
      <c r="A8628" s="76" t="s">
        <v>1395</v>
      </c>
      <c r="B8628" s="76" t="s">
        <v>1060</v>
      </c>
      <c r="C8628" s="76" t="s">
        <v>1061</v>
      </c>
      <c r="D8628" s="75"/>
    </row>
    <row hidden="true" r="8629">
      <c r="A8629" s="76" t="s">
        <v>1395</v>
      </c>
      <c r="B8629" s="76" t="s">
        <v>1062</v>
      </c>
      <c r="C8629" s="76" t="s">
        <v>1063</v>
      </c>
      <c r="D8629" s="75"/>
    </row>
    <row hidden="true" r="8630">
      <c r="A8630" s="76" t="s">
        <v>1395</v>
      </c>
      <c r="B8630" s="76" t="s">
        <v>1064</v>
      </c>
      <c r="C8630" s="76" t="s">
        <v>1065</v>
      </c>
      <c r="D8630" s="75"/>
    </row>
    <row hidden="true" r="8631">
      <c r="A8631" s="76" t="s">
        <v>1395</v>
      </c>
      <c r="B8631" s="76" t="s">
        <v>1066</v>
      </c>
      <c r="C8631" s="76" t="s">
        <v>1067</v>
      </c>
      <c r="D8631" s="75"/>
    </row>
    <row hidden="true" r="8632">
      <c r="A8632" s="76" t="s">
        <v>1395</v>
      </c>
      <c r="B8632" s="76" t="s">
        <v>1068</v>
      </c>
      <c r="C8632" s="76" t="s">
        <v>1069</v>
      </c>
      <c r="D8632" s="75"/>
    </row>
    <row hidden="true" r="8633">
      <c r="A8633" s="76" t="s">
        <v>1395</v>
      </c>
      <c r="B8633" s="76" t="s">
        <v>1070</v>
      </c>
      <c r="C8633" s="76" t="s">
        <v>1069</v>
      </c>
      <c r="D8633" s="75"/>
    </row>
    <row hidden="true" r="8634">
      <c r="A8634" s="76" t="s">
        <v>1395</v>
      </c>
      <c r="B8634" s="76" t="s">
        <v>1071</v>
      </c>
      <c r="C8634" s="76" t="s">
        <v>1069</v>
      </c>
      <c r="D8634" s="75"/>
    </row>
    <row hidden="true" r="8635">
      <c r="A8635" s="76" t="s">
        <v>1395</v>
      </c>
      <c r="B8635" s="76" t="s">
        <v>1072</v>
      </c>
      <c r="C8635" s="76" t="s">
        <v>1073</v>
      </c>
      <c r="D8635" s="75"/>
    </row>
    <row hidden="true" r="8636">
      <c r="A8636" s="76" t="s">
        <v>1395</v>
      </c>
      <c r="B8636" s="76" t="s">
        <v>1074</v>
      </c>
      <c r="C8636" s="76" t="s">
        <v>1073</v>
      </c>
      <c r="D8636" s="75"/>
    </row>
    <row hidden="true" r="8637">
      <c r="A8637" s="76" t="s">
        <v>1395</v>
      </c>
      <c r="B8637" s="76" t="s">
        <v>1075</v>
      </c>
      <c r="C8637" s="76" t="s">
        <v>1073</v>
      </c>
      <c r="D8637" s="75"/>
    </row>
    <row hidden="true" r="8638">
      <c r="A8638" s="76" t="s">
        <v>1395</v>
      </c>
      <c r="B8638" s="76" t="s">
        <v>1082</v>
      </c>
      <c r="C8638" s="76" t="s">
        <v>1083</v>
      </c>
      <c r="D8638" s="75"/>
    </row>
    <row hidden="true" r="8639">
      <c r="A8639" s="76" t="s">
        <v>1395</v>
      </c>
      <c r="B8639" s="76" t="s">
        <v>1084</v>
      </c>
      <c r="C8639" s="76" t="s">
        <v>1085</v>
      </c>
      <c r="D8639" s="75"/>
    </row>
    <row hidden="true" r="8640">
      <c r="A8640" s="76" t="s">
        <v>1395</v>
      </c>
      <c r="B8640" s="76" t="s">
        <v>1086</v>
      </c>
      <c r="C8640" s="76" t="s">
        <v>1087</v>
      </c>
      <c r="D8640" s="75"/>
    </row>
    <row hidden="true" r="8641">
      <c r="A8641" s="76" t="s">
        <v>1395</v>
      </c>
      <c r="B8641" s="76" t="s">
        <v>1088</v>
      </c>
      <c r="C8641" s="76" t="s">
        <v>1089</v>
      </c>
      <c r="D8641" s="75"/>
    </row>
    <row hidden="true" r="8642">
      <c r="A8642" s="76" t="s">
        <v>1395</v>
      </c>
      <c r="B8642" s="76" t="s">
        <v>1076</v>
      </c>
      <c r="C8642" s="76" t="s">
        <v>1077</v>
      </c>
      <c r="D8642" s="75"/>
    </row>
    <row hidden="true" r="8643">
      <c r="A8643" s="76" t="s">
        <v>1395</v>
      </c>
      <c r="B8643" s="76" t="s">
        <v>1078</v>
      </c>
      <c r="C8643" s="76" t="s">
        <v>1079</v>
      </c>
      <c r="D8643" s="75"/>
    </row>
    <row hidden="true" r="8644">
      <c r="A8644" s="76" t="s">
        <v>1395</v>
      </c>
      <c r="B8644" s="76" t="s">
        <v>1040</v>
      </c>
      <c r="C8644" s="76" t="s">
        <v>1041</v>
      </c>
      <c r="D8644" s="75"/>
    </row>
    <row hidden="true" r="8645">
      <c r="A8645" s="76" t="s">
        <v>1395</v>
      </c>
      <c r="B8645" s="76" t="s">
        <v>839</v>
      </c>
      <c r="C8645" s="76" t="s">
        <v>840</v>
      </c>
      <c r="D8645" s="75"/>
    </row>
    <row hidden="true" r="8646">
      <c r="A8646" s="76" t="s">
        <v>1395</v>
      </c>
      <c r="B8646" s="76" t="s">
        <v>1121</v>
      </c>
      <c r="C8646" s="76" t="s">
        <v>1122</v>
      </c>
      <c r="D8646" s="75"/>
    </row>
    <row hidden="true" r="8647">
      <c r="A8647" s="76" t="s">
        <v>1395</v>
      </c>
      <c r="B8647" s="76" t="s">
        <v>1325</v>
      </c>
      <c r="C8647" s="76" t="s">
        <v>1326</v>
      </c>
      <c r="D8647" s="75"/>
    </row>
    <row hidden="true" r="8648">
      <c r="A8648" s="76" t="s">
        <v>1395</v>
      </c>
      <c r="B8648" s="76" t="s">
        <v>1080</v>
      </c>
      <c r="C8648" s="76" t="s">
        <v>1081</v>
      </c>
      <c r="D8648" s="75"/>
    </row>
    <row hidden="true" r="8649">
      <c r="A8649" s="76" t="s">
        <v>1395</v>
      </c>
      <c r="B8649" s="76" t="s">
        <v>1327</v>
      </c>
      <c r="C8649" s="76" t="s">
        <v>1328</v>
      </c>
      <c r="D8649" s="75"/>
    </row>
    <row hidden="true" r="8650">
      <c r="A8650" s="76" t="s">
        <v>1395</v>
      </c>
      <c r="B8650" s="76" t="s">
        <v>1090</v>
      </c>
      <c r="C8650" s="76" t="s">
        <v>1091</v>
      </c>
      <c r="D8650" s="75"/>
    </row>
    <row hidden="true" r="8651">
      <c r="A8651" s="76" t="s">
        <v>1395</v>
      </c>
      <c r="B8651" s="76" t="s">
        <v>1092</v>
      </c>
      <c r="C8651" s="76" t="s">
        <v>1091</v>
      </c>
      <c r="D8651" s="75"/>
    </row>
    <row hidden="true" r="8652">
      <c r="A8652" s="76" t="s">
        <v>1395</v>
      </c>
      <c r="B8652" s="76" t="s">
        <v>1093</v>
      </c>
      <c r="C8652" s="76" t="s">
        <v>1094</v>
      </c>
      <c r="D8652" s="75"/>
    </row>
    <row hidden="true" r="8653">
      <c r="A8653" s="76" t="s">
        <v>1395</v>
      </c>
      <c r="B8653" s="76" t="s">
        <v>1095</v>
      </c>
      <c r="C8653" s="76" t="s">
        <v>1096</v>
      </c>
      <c r="D8653" s="75"/>
    </row>
    <row hidden="true" r="8654">
      <c r="A8654" s="76" t="s">
        <v>1395</v>
      </c>
      <c r="B8654" s="76" t="s">
        <v>1097</v>
      </c>
      <c r="C8654" s="76" t="s">
        <v>1098</v>
      </c>
      <c r="D8654" s="75"/>
    </row>
    <row hidden="true" r="8655">
      <c r="A8655" s="76" t="s">
        <v>1395</v>
      </c>
      <c r="B8655" s="76" t="s">
        <v>1103</v>
      </c>
      <c r="C8655" s="76" t="s">
        <v>1104</v>
      </c>
      <c r="D8655" s="75"/>
    </row>
    <row hidden="true" r="8656">
      <c r="A8656" s="76" t="s">
        <v>1395</v>
      </c>
      <c r="B8656" s="76" t="s">
        <v>1329</v>
      </c>
      <c r="C8656" s="76" t="s">
        <v>1353</v>
      </c>
      <c r="D8656" s="75"/>
    </row>
    <row hidden="true" r="8657">
      <c r="A8657" s="76" t="s">
        <v>1395</v>
      </c>
      <c r="B8657" s="76" t="s">
        <v>1113</v>
      </c>
      <c r="C8657" s="76" t="s">
        <v>1114</v>
      </c>
      <c r="D8657" s="75"/>
    </row>
    <row hidden="true" r="8658">
      <c r="A8658" s="76" t="s">
        <v>1395</v>
      </c>
      <c r="B8658" s="76" t="s">
        <v>1115</v>
      </c>
      <c r="C8658" s="76" t="s">
        <v>1116</v>
      </c>
      <c r="D8658" s="75"/>
    </row>
    <row hidden="true" r="8659">
      <c r="A8659" s="76" t="s">
        <v>1395</v>
      </c>
      <c r="B8659" s="76" t="s">
        <v>1117</v>
      </c>
      <c r="C8659" s="76" t="s">
        <v>1244</v>
      </c>
      <c r="D8659" s="75"/>
    </row>
    <row hidden="true" r="8660">
      <c r="A8660" s="76" t="s">
        <v>1395</v>
      </c>
      <c r="B8660" s="76" t="s">
        <v>1119</v>
      </c>
      <c r="C8660" s="76" t="s">
        <v>1120</v>
      </c>
      <c r="D8660" s="75"/>
    </row>
    <row hidden="true" r="8661">
      <c r="A8661" s="76" t="s">
        <v>1395</v>
      </c>
      <c r="B8661" s="76" t="s">
        <v>1127</v>
      </c>
      <c r="C8661" s="76" t="s">
        <v>1128</v>
      </c>
      <c r="D8661" s="75"/>
    </row>
    <row hidden="true" r="8662">
      <c r="A8662" s="76" t="s">
        <v>1395</v>
      </c>
      <c r="B8662" s="76" t="s">
        <v>1129</v>
      </c>
      <c r="C8662" s="76" t="s">
        <v>1130</v>
      </c>
      <c r="D8662" s="75"/>
    </row>
    <row hidden="true" r="8663">
      <c r="A8663" s="76" t="s">
        <v>1395</v>
      </c>
      <c r="B8663" s="76" t="s">
        <v>1131</v>
      </c>
      <c r="C8663" s="76" t="s">
        <v>1132</v>
      </c>
      <c r="D8663" s="75"/>
    </row>
    <row hidden="true" r="8664">
      <c r="A8664" s="76" t="s">
        <v>1395</v>
      </c>
      <c r="B8664" s="76" t="s">
        <v>1137</v>
      </c>
      <c r="C8664" s="76" t="s">
        <v>1138</v>
      </c>
      <c r="D8664" s="75"/>
    </row>
    <row hidden="true" r="8665">
      <c r="A8665" s="76" t="s">
        <v>1395</v>
      </c>
      <c r="B8665" s="76" t="s">
        <v>1139</v>
      </c>
      <c r="C8665" s="76" t="s">
        <v>1140</v>
      </c>
      <c r="D8665" s="75"/>
    </row>
    <row hidden="true" r="8666">
      <c r="A8666" s="76" t="s">
        <v>1395</v>
      </c>
      <c r="B8666" s="76" t="s">
        <v>1141</v>
      </c>
      <c r="C8666" s="76" t="s">
        <v>1142</v>
      </c>
      <c r="D8666" s="75"/>
    </row>
    <row hidden="true" r="8667">
      <c r="A8667" s="76" t="s">
        <v>1395</v>
      </c>
      <c r="B8667" s="76" t="s">
        <v>1143</v>
      </c>
      <c r="C8667" s="76" t="s">
        <v>1144</v>
      </c>
      <c r="D8667" s="75"/>
    </row>
    <row hidden="true" r="8668">
      <c r="A8668" s="76" t="s">
        <v>1395</v>
      </c>
      <c r="B8668" s="76" t="s">
        <v>1145</v>
      </c>
      <c r="C8668" s="76" t="s">
        <v>1223</v>
      </c>
      <c r="D8668" s="75"/>
    </row>
    <row hidden="true" r="8669">
      <c r="A8669" s="76" t="s">
        <v>1395</v>
      </c>
      <c r="B8669" s="76" t="s">
        <v>1147</v>
      </c>
      <c r="C8669" s="76" t="s">
        <v>1148</v>
      </c>
      <c r="D8669" s="75"/>
    </row>
    <row hidden="true" r="8670">
      <c r="A8670" s="76" t="s">
        <v>1395</v>
      </c>
      <c r="B8670" s="76" t="s">
        <v>1153</v>
      </c>
      <c r="C8670" s="76" t="s">
        <v>1154</v>
      </c>
      <c r="D8670" s="75"/>
    </row>
    <row hidden="true" r="8671">
      <c r="A8671" s="76" t="s">
        <v>1395</v>
      </c>
      <c r="B8671" s="76" t="s">
        <v>1155</v>
      </c>
      <c r="C8671" s="76" t="s">
        <v>1156</v>
      </c>
      <c r="D8671" s="75"/>
    </row>
    <row hidden="true" r="8672">
      <c r="A8672" s="76" t="s">
        <v>1395</v>
      </c>
      <c r="B8672" s="76" t="s">
        <v>1157</v>
      </c>
      <c r="C8672" s="76" t="s">
        <v>1158</v>
      </c>
      <c r="D8672" s="75"/>
    </row>
    <row hidden="true" r="8673">
      <c r="A8673" s="76" t="s">
        <v>1395</v>
      </c>
      <c r="B8673" s="76" t="s">
        <v>1159</v>
      </c>
      <c r="C8673" s="76" t="s">
        <v>1160</v>
      </c>
      <c r="D8673" s="75"/>
    </row>
    <row hidden="true" r="8674">
      <c r="A8674" s="76" t="s">
        <v>1395</v>
      </c>
      <c r="B8674" s="76" t="s">
        <v>1161</v>
      </c>
      <c r="C8674" s="76" t="s">
        <v>1162</v>
      </c>
      <c r="D8674" s="75"/>
    </row>
    <row hidden="true" r="8675">
      <c r="A8675" s="76" t="s">
        <v>1395</v>
      </c>
      <c r="B8675" s="76" t="s">
        <v>1163</v>
      </c>
      <c r="C8675" s="76" t="s">
        <v>1164</v>
      </c>
      <c r="D8675" s="75"/>
    </row>
    <row hidden="true" r="8676">
      <c r="A8676" s="76" t="s">
        <v>1395</v>
      </c>
      <c r="B8676" s="76" t="s">
        <v>1165</v>
      </c>
      <c r="C8676" s="76" t="s">
        <v>1166</v>
      </c>
      <c r="D8676" s="75"/>
    </row>
    <row hidden="true" r="8677">
      <c r="A8677" s="76" t="s">
        <v>1395</v>
      </c>
      <c r="B8677" s="76" t="s">
        <v>1331</v>
      </c>
      <c r="C8677" s="76" t="s">
        <v>1345</v>
      </c>
      <c r="D8677" s="75"/>
    </row>
    <row hidden="true" r="8678">
      <c r="A8678" s="76" t="s">
        <v>1395</v>
      </c>
      <c r="B8678" s="76" t="s">
        <v>1333</v>
      </c>
      <c r="C8678" s="76" t="s">
        <v>1346</v>
      </c>
      <c r="D8678" s="75"/>
    </row>
    <row hidden="true" r="8679">
      <c r="A8679" s="76" t="s">
        <v>1395</v>
      </c>
      <c r="B8679" s="76" t="s">
        <v>1335</v>
      </c>
      <c r="C8679" s="76" t="s">
        <v>1347</v>
      </c>
      <c r="D8679" s="75"/>
    </row>
    <row hidden="true" r="8680">
      <c r="A8680" s="76" t="s">
        <v>1395</v>
      </c>
      <c r="B8680" s="76" t="s">
        <v>1337</v>
      </c>
      <c r="C8680" s="76" t="s">
        <v>1348</v>
      </c>
      <c r="D8680" s="75"/>
    </row>
    <row hidden="true" r="8681">
      <c r="A8681" s="76" t="s">
        <v>1395</v>
      </c>
      <c r="B8681" s="76" t="s">
        <v>1339</v>
      </c>
      <c r="C8681" s="76" t="s">
        <v>1349</v>
      </c>
      <c r="D8681" s="75"/>
    </row>
    <row hidden="true" r="8682">
      <c r="A8682" s="76" t="s">
        <v>1395</v>
      </c>
      <c r="B8682" s="76" t="s">
        <v>1341</v>
      </c>
      <c r="C8682" s="76" t="s">
        <v>1342</v>
      </c>
      <c r="D8682" s="75"/>
    </row>
    <row hidden="true" r="8683">
      <c r="A8683" s="76" t="s">
        <v>1395</v>
      </c>
      <c r="B8683" s="76" t="s">
        <v>1044</v>
      </c>
      <c r="C8683" s="76" t="s">
        <v>1045</v>
      </c>
      <c r="D8683" s="75"/>
    </row>
    <row hidden="true" r="8684">
      <c r="A8684" s="76" t="s">
        <v>1395</v>
      </c>
      <c r="B8684" s="76" t="s">
        <v>1046</v>
      </c>
      <c r="C8684" s="76" t="s">
        <v>1047</v>
      </c>
      <c r="D8684" s="75"/>
    </row>
    <row hidden="true" r="8685">
      <c r="A8685" s="76" t="s">
        <v>1395</v>
      </c>
      <c r="B8685" s="76" t="s">
        <v>1048</v>
      </c>
      <c r="C8685" s="76" t="s">
        <v>1241</v>
      </c>
      <c r="D8685" s="75"/>
    </row>
    <row hidden="true" r="8686">
      <c r="A8686" s="76" t="s">
        <v>1395</v>
      </c>
      <c r="B8686" s="76" t="s">
        <v>1167</v>
      </c>
      <c r="C8686" s="76" t="s">
        <v>1246</v>
      </c>
      <c r="D8686" s="75"/>
    </row>
    <row hidden="true" r="8687">
      <c r="A8687" s="76" t="s">
        <v>1395</v>
      </c>
      <c r="B8687" s="76" t="s">
        <v>1169</v>
      </c>
      <c r="C8687" s="76" t="s">
        <v>1170</v>
      </c>
      <c r="D8687" s="75"/>
    </row>
    <row hidden="true" r="8688">
      <c r="A8688" s="76" t="s">
        <v>1395</v>
      </c>
      <c r="B8688" s="76" t="s">
        <v>1171</v>
      </c>
      <c r="C8688" s="76" t="s">
        <v>1172</v>
      </c>
      <c r="D8688" s="75"/>
    </row>
    <row hidden="true" r="8689">
      <c r="A8689" s="76" t="s">
        <v>1395</v>
      </c>
      <c r="B8689" s="76" t="s">
        <v>1173</v>
      </c>
      <c r="C8689" s="76" t="s">
        <v>1247</v>
      </c>
      <c r="D8689" s="75"/>
    </row>
    <row hidden="true" r="8690">
      <c r="A8690" s="76" t="s">
        <v>1395</v>
      </c>
      <c r="B8690" s="76" t="s">
        <v>1175</v>
      </c>
      <c r="C8690" s="76" t="s">
        <v>1176</v>
      </c>
      <c r="D8690" s="75"/>
    </row>
    <row hidden="true" r="8691">
      <c r="A8691" s="76" t="s">
        <v>1395</v>
      </c>
      <c r="B8691" s="76" t="s">
        <v>1177</v>
      </c>
      <c r="C8691" s="76" t="s">
        <v>1178</v>
      </c>
      <c r="D8691" s="75"/>
    </row>
    <row hidden="true" r="8692">
      <c r="A8692" s="76" t="s">
        <v>1395</v>
      </c>
      <c r="B8692" s="76" t="s">
        <v>1135</v>
      </c>
      <c r="C8692" s="76" t="s">
        <v>1136</v>
      </c>
      <c r="D8692" s="75"/>
    </row>
    <row hidden="true" r="8693">
      <c r="A8693" s="76" t="s">
        <v>1395</v>
      </c>
      <c r="B8693" s="76" t="s">
        <v>1179</v>
      </c>
      <c r="C8693" s="76" t="s">
        <v>1180</v>
      </c>
      <c r="D8693" s="75"/>
    </row>
    <row hidden="true" r="8694">
      <c r="A8694" s="76" t="s">
        <v>1395</v>
      </c>
      <c r="B8694" s="76" t="s">
        <v>1181</v>
      </c>
      <c r="C8694" s="76" t="s">
        <v>1182</v>
      </c>
      <c r="D8694" s="75"/>
    </row>
    <row hidden="true" r="8695">
      <c r="A8695" s="76" t="s">
        <v>1395</v>
      </c>
      <c r="B8695" s="76" t="s">
        <v>1183</v>
      </c>
      <c r="C8695" s="76" t="s">
        <v>1184</v>
      </c>
      <c r="D8695" s="75"/>
    </row>
    <row hidden="true" r="8696">
      <c r="A8696" s="76" t="s">
        <v>1395</v>
      </c>
      <c r="B8696" s="76" t="s">
        <v>1185</v>
      </c>
      <c r="C8696" s="76" t="s">
        <v>1186</v>
      </c>
      <c r="D8696" s="75"/>
    </row>
    <row hidden="true" r="8697">
      <c r="A8697" s="76" t="s">
        <v>1395</v>
      </c>
      <c r="B8697" s="76" t="s">
        <v>1187</v>
      </c>
      <c r="C8697" s="76" t="s">
        <v>1188</v>
      </c>
      <c r="D8697" s="75"/>
    </row>
    <row hidden="true" r="8698">
      <c r="A8698" s="76" t="s">
        <v>1395</v>
      </c>
      <c r="B8698" s="76" t="s">
        <v>1199</v>
      </c>
      <c r="C8698" s="76" t="s">
        <v>1200</v>
      </c>
      <c r="D8698" s="75"/>
    </row>
    <row hidden="true" r="8699">
      <c r="A8699" s="76" t="s">
        <v>1395</v>
      </c>
      <c r="B8699" s="76" t="s">
        <v>1201</v>
      </c>
      <c r="C8699" s="76" t="s">
        <v>1202</v>
      </c>
      <c r="D8699" s="75"/>
    </row>
    <row hidden="true" r="8700">
      <c r="A8700" s="76" t="s">
        <v>1395</v>
      </c>
      <c r="B8700" s="76" t="s">
        <v>1203</v>
      </c>
      <c r="C8700" s="76" t="s">
        <v>1204</v>
      </c>
      <c r="D8700" s="75"/>
    </row>
    <row hidden="true" r="8701">
      <c r="A8701" s="76" t="s">
        <v>1395</v>
      </c>
      <c r="B8701" s="76" t="s">
        <v>1205</v>
      </c>
      <c r="C8701" s="76" t="s">
        <v>1206</v>
      </c>
      <c r="D8701" s="75"/>
    </row>
    <row hidden="true" r="8702">
      <c r="A8702" s="76" t="s">
        <v>1395</v>
      </c>
      <c r="B8702" s="76" t="s">
        <v>1207</v>
      </c>
      <c r="C8702" s="76" t="s">
        <v>1208</v>
      </c>
      <c r="D8702" s="75"/>
    </row>
    <row hidden="true" r="8703">
      <c r="A8703" s="76" t="s">
        <v>1395</v>
      </c>
      <c r="B8703" s="76" t="s">
        <v>1209</v>
      </c>
      <c r="C8703" s="76" t="s">
        <v>1210</v>
      </c>
      <c r="D8703" s="75"/>
    </row>
    <row hidden="true" r="8704">
      <c r="A8704" s="76" t="s">
        <v>1395</v>
      </c>
      <c r="B8704" s="76" t="s">
        <v>735</v>
      </c>
      <c r="C8704" s="76"/>
      <c r="D8704" s="75"/>
    </row>
    <row hidden="true" r="8705">
      <c r="A8705" s="76" t="s">
        <v>1396</v>
      </c>
      <c r="B8705" s="76" t="s">
        <v>407</v>
      </c>
      <c r="C8705" s="76" t="s">
        <v>1281</v>
      </c>
      <c r="D8705" s="75"/>
    </row>
    <row hidden="true" r="8706">
      <c r="A8706" s="76" t="s">
        <v>1396</v>
      </c>
      <c r="B8706" s="76" t="s">
        <v>744</v>
      </c>
      <c r="C8706" s="76" t="s">
        <v>1281</v>
      </c>
      <c r="D8706" s="75"/>
    </row>
    <row hidden="true" r="8707">
      <c r="A8707" s="76" t="s">
        <v>1396</v>
      </c>
      <c r="B8707" s="76" t="s">
        <v>480</v>
      </c>
      <c r="C8707" s="76" t="s">
        <v>1281</v>
      </c>
      <c r="D8707" s="75"/>
    </row>
    <row hidden="true" r="8708">
      <c r="A8708" s="76" t="s">
        <v>1396</v>
      </c>
      <c r="B8708" s="76" t="s">
        <v>884</v>
      </c>
      <c r="C8708" s="76" t="s">
        <v>1281</v>
      </c>
      <c r="D8708" s="75"/>
    </row>
    <row hidden="true" r="8709">
      <c r="A8709" s="76" t="s">
        <v>1396</v>
      </c>
      <c r="B8709" s="76" t="s">
        <v>886</v>
      </c>
      <c r="C8709" s="76" t="s">
        <v>1281</v>
      </c>
      <c r="D8709" s="75"/>
    </row>
    <row hidden="true" r="8710">
      <c r="A8710" s="76" t="s">
        <v>1396</v>
      </c>
      <c r="B8710" s="76" t="s">
        <v>888</v>
      </c>
      <c r="C8710" s="76" t="s">
        <v>1281</v>
      </c>
      <c r="D8710" s="75"/>
    </row>
    <row hidden="true" r="8711">
      <c r="A8711" s="76" t="s">
        <v>1396</v>
      </c>
      <c r="B8711" s="76" t="s">
        <v>890</v>
      </c>
      <c r="C8711" s="76" t="s">
        <v>1281</v>
      </c>
      <c r="D8711" s="75"/>
    </row>
    <row hidden="true" r="8712">
      <c r="A8712" s="76" t="s">
        <v>1396</v>
      </c>
      <c r="B8712" s="76" t="s">
        <v>892</v>
      </c>
      <c r="C8712" s="76" t="s">
        <v>1281</v>
      </c>
      <c r="D8712" s="75"/>
    </row>
    <row hidden="true" r="8713">
      <c r="A8713" s="76" t="s">
        <v>1396</v>
      </c>
      <c r="B8713" s="76" t="s">
        <v>894</v>
      </c>
      <c r="C8713" s="76" t="s">
        <v>1281</v>
      </c>
      <c r="D8713" s="75"/>
    </row>
    <row hidden="true" r="8714">
      <c r="A8714" s="76" t="s">
        <v>1396</v>
      </c>
      <c r="B8714" s="76" t="s">
        <v>896</v>
      </c>
      <c r="C8714" s="76" t="s">
        <v>1281</v>
      </c>
      <c r="D8714" s="75"/>
    </row>
    <row hidden="true" r="8715">
      <c r="A8715" s="76" t="s">
        <v>1396</v>
      </c>
      <c r="B8715" s="76" t="s">
        <v>898</v>
      </c>
      <c r="C8715" s="76" t="s">
        <v>1281</v>
      </c>
      <c r="D8715" s="75"/>
    </row>
    <row hidden="true" r="8716">
      <c r="A8716" s="76" t="s">
        <v>1396</v>
      </c>
      <c r="B8716" s="76" t="s">
        <v>900</v>
      </c>
      <c r="C8716" s="76" t="s">
        <v>1281</v>
      </c>
      <c r="D8716" s="75"/>
    </row>
    <row hidden="true" r="8717">
      <c r="A8717" s="76" t="s">
        <v>1396</v>
      </c>
      <c r="B8717" s="76" t="s">
        <v>902</v>
      </c>
      <c r="C8717" s="76" t="s">
        <v>1281</v>
      </c>
      <c r="D8717" s="75"/>
    </row>
    <row hidden="true" r="8718">
      <c r="A8718" s="76" t="s">
        <v>1396</v>
      </c>
      <c r="B8718" s="76" t="s">
        <v>904</v>
      </c>
      <c r="C8718" s="76" t="s">
        <v>1281</v>
      </c>
      <c r="D8718" s="75"/>
    </row>
    <row hidden="true" r="8719">
      <c r="A8719" s="76" t="s">
        <v>1396</v>
      </c>
      <c r="B8719" s="76" t="s">
        <v>906</v>
      </c>
      <c r="C8719" s="76" t="s">
        <v>1281</v>
      </c>
      <c r="D8719" s="75"/>
    </row>
    <row hidden="true" r="8720">
      <c r="A8720" s="76" t="s">
        <v>1396</v>
      </c>
      <c r="B8720" s="76" t="s">
        <v>908</v>
      </c>
      <c r="C8720" s="76" t="s">
        <v>1281</v>
      </c>
      <c r="D8720" s="75"/>
    </row>
    <row hidden="true" r="8721">
      <c r="A8721" s="76" t="s">
        <v>1396</v>
      </c>
      <c r="B8721" s="76" t="s">
        <v>910</v>
      </c>
      <c r="C8721" s="76" t="s">
        <v>1281</v>
      </c>
      <c r="D8721" s="75"/>
    </row>
    <row hidden="true" r="8722">
      <c r="A8722" s="76" t="s">
        <v>1396</v>
      </c>
      <c r="B8722" s="76" t="s">
        <v>912</v>
      </c>
      <c r="C8722" s="76" t="s">
        <v>1281</v>
      </c>
      <c r="D8722" s="75"/>
    </row>
    <row hidden="true" r="8723">
      <c r="A8723" s="76" t="s">
        <v>1396</v>
      </c>
      <c r="B8723" s="76" t="s">
        <v>914</v>
      </c>
      <c r="C8723" s="76" t="s">
        <v>1281</v>
      </c>
      <c r="D8723" s="75"/>
    </row>
    <row hidden="true" r="8724">
      <c r="A8724" s="76" t="s">
        <v>1396</v>
      </c>
      <c r="B8724" s="76" t="s">
        <v>916</v>
      </c>
      <c r="C8724" s="76" t="s">
        <v>1281</v>
      </c>
      <c r="D8724" s="75"/>
    </row>
    <row hidden="true" r="8725">
      <c r="A8725" s="76" t="s">
        <v>1396</v>
      </c>
      <c r="B8725" s="76" t="s">
        <v>918</v>
      </c>
      <c r="C8725" s="76" t="s">
        <v>1281</v>
      </c>
      <c r="D8725" s="75"/>
    </row>
    <row hidden="true" r="8726">
      <c r="A8726" s="76" t="s">
        <v>1396</v>
      </c>
      <c r="B8726" s="76" t="s">
        <v>920</v>
      </c>
      <c r="C8726" s="76" t="s">
        <v>1281</v>
      </c>
      <c r="D8726" s="75"/>
    </row>
    <row hidden="true" r="8727">
      <c r="A8727" s="76" t="s">
        <v>1396</v>
      </c>
      <c r="B8727" s="76" t="s">
        <v>922</v>
      </c>
      <c r="C8727" s="76" t="s">
        <v>1281</v>
      </c>
      <c r="D8727" s="75"/>
    </row>
    <row hidden="true" r="8728">
      <c r="A8728" s="76" t="s">
        <v>1396</v>
      </c>
      <c r="B8728" s="76" t="s">
        <v>924</v>
      </c>
      <c r="C8728" s="76" t="s">
        <v>1281</v>
      </c>
      <c r="D8728" s="75"/>
    </row>
    <row hidden="true" r="8729">
      <c r="A8729" s="76" t="s">
        <v>1396</v>
      </c>
      <c r="B8729" s="76" t="s">
        <v>926</v>
      </c>
      <c r="C8729" s="76" t="s">
        <v>1281</v>
      </c>
      <c r="D8729" s="75"/>
    </row>
    <row hidden="true" r="8730">
      <c r="A8730" s="76" t="s">
        <v>1396</v>
      </c>
      <c r="B8730" s="76" t="s">
        <v>928</v>
      </c>
      <c r="C8730" s="76" t="s">
        <v>1281</v>
      </c>
      <c r="D8730" s="75"/>
    </row>
    <row hidden="true" r="8731">
      <c r="A8731" s="76" t="s">
        <v>1396</v>
      </c>
      <c r="B8731" s="76" t="s">
        <v>930</v>
      </c>
      <c r="C8731" s="76" t="s">
        <v>1281</v>
      </c>
      <c r="D8731" s="75"/>
    </row>
    <row hidden="true" r="8732">
      <c r="A8732" s="76" t="s">
        <v>1396</v>
      </c>
      <c r="B8732" s="76" t="s">
        <v>932</v>
      </c>
      <c r="C8732" s="76" t="s">
        <v>1281</v>
      </c>
      <c r="D8732" s="75"/>
    </row>
    <row hidden="true" r="8733">
      <c r="A8733" s="76" t="s">
        <v>1396</v>
      </c>
      <c r="B8733" s="76" t="s">
        <v>934</v>
      </c>
      <c r="C8733" s="76" t="s">
        <v>1281</v>
      </c>
      <c r="D8733" s="75"/>
    </row>
    <row hidden="true" r="8734">
      <c r="A8734" s="76" t="s">
        <v>1396</v>
      </c>
      <c r="B8734" s="76" t="s">
        <v>936</v>
      </c>
      <c r="C8734" s="76" t="s">
        <v>1281</v>
      </c>
      <c r="D8734" s="75"/>
    </row>
    <row hidden="true" r="8735">
      <c r="A8735" s="76" t="s">
        <v>1396</v>
      </c>
      <c r="B8735" s="76" t="s">
        <v>938</v>
      </c>
      <c r="C8735" s="76" t="s">
        <v>1281</v>
      </c>
      <c r="D8735" s="75"/>
    </row>
    <row hidden="true" r="8736">
      <c r="A8736" s="76" t="s">
        <v>1396</v>
      </c>
      <c r="B8736" s="76" t="s">
        <v>940</v>
      </c>
      <c r="C8736" s="76" t="s">
        <v>1281</v>
      </c>
      <c r="D8736" s="75"/>
    </row>
    <row hidden="true" r="8737">
      <c r="A8737" s="76" t="s">
        <v>1396</v>
      </c>
      <c r="B8737" s="76" t="s">
        <v>942</v>
      </c>
      <c r="C8737" s="76" t="s">
        <v>1281</v>
      </c>
      <c r="D8737" s="75"/>
    </row>
    <row hidden="true" r="8738">
      <c r="A8738" s="76" t="s">
        <v>1396</v>
      </c>
      <c r="B8738" s="76" t="s">
        <v>944</v>
      </c>
      <c r="C8738" s="76" t="s">
        <v>1281</v>
      </c>
      <c r="D8738" s="75"/>
    </row>
    <row hidden="true" r="8739">
      <c r="A8739" s="76" t="s">
        <v>1396</v>
      </c>
      <c r="B8739" s="76" t="s">
        <v>1305</v>
      </c>
      <c r="C8739" s="76" t="s">
        <v>1281</v>
      </c>
      <c r="D8739" s="75"/>
    </row>
    <row hidden="true" r="8740">
      <c r="A8740" s="76" t="s">
        <v>1396</v>
      </c>
      <c r="B8740" s="76" t="s">
        <v>1307</v>
      </c>
      <c r="C8740" s="76" t="s">
        <v>1281</v>
      </c>
      <c r="D8740" s="75"/>
    </row>
    <row hidden="true" r="8741">
      <c r="A8741" s="76" t="s">
        <v>1396</v>
      </c>
      <c r="B8741" s="76" t="s">
        <v>946</v>
      </c>
      <c r="C8741" s="76" t="s">
        <v>1281</v>
      </c>
      <c r="D8741" s="75"/>
    </row>
    <row hidden="true" r="8742">
      <c r="A8742" s="76" t="s">
        <v>1396</v>
      </c>
      <c r="B8742" s="76" t="s">
        <v>948</v>
      </c>
      <c r="C8742" s="76" t="s">
        <v>1281</v>
      </c>
      <c r="D8742" s="75"/>
    </row>
    <row hidden="true" r="8743">
      <c r="A8743" s="76" t="s">
        <v>1396</v>
      </c>
      <c r="B8743" s="76" t="s">
        <v>950</v>
      </c>
      <c r="C8743" s="76" t="s">
        <v>1281</v>
      </c>
      <c r="D8743" s="75"/>
    </row>
    <row hidden="true" r="8744">
      <c r="A8744" s="76" t="s">
        <v>1396</v>
      </c>
      <c r="B8744" s="76" t="s">
        <v>952</v>
      </c>
      <c r="C8744" s="76" t="s">
        <v>1281</v>
      </c>
      <c r="D8744" s="75"/>
    </row>
    <row hidden="true" r="8745">
      <c r="A8745" s="76" t="s">
        <v>1396</v>
      </c>
      <c r="B8745" s="76" t="s">
        <v>954</v>
      </c>
      <c r="C8745" s="76" t="s">
        <v>1281</v>
      </c>
      <c r="D8745" s="75"/>
    </row>
    <row hidden="true" r="8746">
      <c r="A8746" s="76" t="s">
        <v>1396</v>
      </c>
      <c r="B8746" s="76" t="s">
        <v>775</v>
      </c>
      <c r="C8746" s="76" t="s">
        <v>1281</v>
      </c>
      <c r="D8746" s="75"/>
    </row>
    <row hidden="true" r="8747">
      <c r="A8747" s="76" t="s">
        <v>1396</v>
      </c>
      <c r="B8747" s="76" t="s">
        <v>956</v>
      </c>
      <c r="C8747" s="76" t="s">
        <v>1281</v>
      </c>
      <c r="D8747" s="75"/>
    </row>
    <row hidden="true" r="8748">
      <c r="A8748" s="76" t="s">
        <v>1396</v>
      </c>
      <c r="B8748" s="76" t="s">
        <v>958</v>
      </c>
      <c r="C8748" s="76" t="s">
        <v>1281</v>
      </c>
      <c r="D8748" s="75"/>
    </row>
    <row hidden="true" r="8749">
      <c r="A8749" s="76" t="s">
        <v>1396</v>
      </c>
      <c r="B8749" s="76" t="s">
        <v>960</v>
      </c>
      <c r="C8749" s="76" t="s">
        <v>1281</v>
      </c>
      <c r="D8749" s="75"/>
    </row>
    <row hidden="true" r="8750">
      <c r="A8750" s="76" t="s">
        <v>1396</v>
      </c>
      <c r="B8750" s="76" t="s">
        <v>962</v>
      </c>
      <c r="C8750" s="76" t="s">
        <v>1281</v>
      </c>
      <c r="D8750" s="75"/>
    </row>
    <row hidden="true" r="8751">
      <c r="A8751" s="76" t="s">
        <v>1396</v>
      </c>
      <c r="B8751" s="76" t="s">
        <v>964</v>
      </c>
      <c r="C8751" s="76" t="s">
        <v>1281</v>
      </c>
      <c r="D8751" s="75"/>
    </row>
    <row hidden="true" r="8752">
      <c r="A8752" s="76" t="s">
        <v>1396</v>
      </c>
      <c r="B8752" s="76" t="s">
        <v>966</v>
      </c>
      <c r="C8752" s="76" t="s">
        <v>1281</v>
      </c>
      <c r="D8752" s="75"/>
    </row>
    <row hidden="true" r="8753">
      <c r="A8753" s="76" t="s">
        <v>1396</v>
      </c>
      <c r="B8753" s="76" t="s">
        <v>968</v>
      </c>
      <c r="C8753" s="76" t="s">
        <v>1281</v>
      </c>
      <c r="D8753" s="75"/>
    </row>
    <row hidden="true" r="8754">
      <c r="A8754" s="76" t="s">
        <v>1396</v>
      </c>
      <c r="B8754" s="76" t="s">
        <v>970</v>
      </c>
      <c r="C8754" s="76" t="s">
        <v>1281</v>
      </c>
      <c r="D8754" s="75"/>
    </row>
    <row hidden="true" r="8755">
      <c r="A8755" s="76" t="s">
        <v>1396</v>
      </c>
      <c r="B8755" s="76" t="s">
        <v>972</v>
      </c>
      <c r="C8755" s="76" t="s">
        <v>1281</v>
      </c>
      <c r="D8755" s="75"/>
    </row>
    <row hidden="true" r="8756">
      <c r="A8756" s="76" t="s">
        <v>1396</v>
      </c>
      <c r="B8756" s="76" t="s">
        <v>974</v>
      </c>
      <c r="C8756" s="76" t="s">
        <v>1281</v>
      </c>
      <c r="D8756" s="75"/>
    </row>
    <row hidden="true" r="8757">
      <c r="A8757" s="76" t="s">
        <v>1396</v>
      </c>
      <c r="B8757" s="76" t="s">
        <v>976</v>
      </c>
      <c r="C8757" s="76" t="s">
        <v>1281</v>
      </c>
      <c r="D8757" s="75"/>
    </row>
    <row hidden="true" r="8758">
      <c r="A8758" s="76" t="s">
        <v>1396</v>
      </c>
      <c r="B8758" s="76" t="s">
        <v>823</v>
      </c>
      <c r="C8758" s="76" t="s">
        <v>1281</v>
      </c>
      <c r="D8758" s="75"/>
    </row>
    <row hidden="true" r="8759">
      <c r="A8759" s="76" t="s">
        <v>1396</v>
      </c>
      <c r="B8759" s="76" t="s">
        <v>978</v>
      </c>
      <c r="C8759" s="76" t="s">
        <v>1281</v>
      </c>
      <c r="D8759" s="75"/>
    </row>
    <row hidden="true" r="8760">
      <c r="A8760" s="76" t="s">
        <v>1396</v>
      </c>
      <c r="B8760" s="76" t="s">
        <v>980</v>
      </c>
      <c r="C8760" s="76" t="s">
        <v>1281</v>
      </c>
      <c r="D8760" s="75"/>
    </row>
    <row hidden="true" r="8761">
      <c r="A8761" s="76" t="s">
        <v>1396</v>
      </c>
      <c r="B8761" s="76" t="s">
        <v>982</v>
      </c>
      <c r="C8761" s="76" t="s">
        <v>1281</v>
      </c>
      <c r="D8761" s="75"/>
    </row>
    <row hidden="true" r="8762">
      <c r="A8762" s="76" t="s">
        <v>1396</v>
      </c>
      <c r="B8762" s="76" t="s">
        <v>984</v>
      </c>
      <c r="C8762" s="76" t="s">
        <v>1281</v>
      </c>
      <c r="D8762" s="75"/>
    </row>
    <row hidden="true" r="8763">
      <c r="A8763" s="76" t="s">
        <v>1396</v>
      </c>
      <c r="B8763" s="76" t="s">
        <v>986</v>
      </c>
      <c r="C8763" s="76" t="s">
        <v>1281</v>
      </c>
      <c r="D8763" s="75"/>
    </row>
    <row hidden="true" r="8764">
      <c r="A8764" s="76" t="s">
        <v>1396</v>
      </c>
      <c r="B8764" s="76" t="s">
        <v>1309</v>
      </c>
      <c r="C8764" s="76" t="s">
        <v>1281</v>
      </c>
      <c r="D8764" s="75"/>
    </row>
    <row hidden="true" r="8765">
      <c r="A8765" s="76" t="s">
        <v>1396</v>
      </c>
      <c r="B8765" s="76" t="s">
        <v>1311</v>
      </c>
      <c r="C8765" s="76" t="s">
        <v>1281</v>
      </c>
      <c r="D8765" s="75"/>
    </row>
    <row hidden="true" r="8766">
      <c r="A8766" s="76" t="s">
        <v>1396</v>
      </c>
      <c r="B8766" s="76" t="s">
        <v>1099</v>
      </c>
      <c r="C8766" s="76" t="s">
        <v>1281</v>
      </c>
      <c r="D8766" s="75"/>
    </row>
    <row hidden="true" r="8767">
      <c r="A8767" s="76" t="s">
        <v>1396</v>
      </c>
      <c r="B8767" s="76" t="s">
        <v>1101</v>
      </c>
      <c r="C8767" s="76" t="s">
        <v>1281</v>
      </c>
      <c r="D8767" s="75"/>
    </row>
    <row hidden="true" r="8768">
      <c r="A8768" s="76" t="s">
        <v>1396</v>
      </c>
      <c r="B8768" s="76" t="s">
        <v>1313</v>
      </c>
      <c r="C8768" s="76" t="s">
        <v>1281</v>
      </c>
      <c r="D8768" s="75"/>
    </row>
    <row hidden="true" r="8769">
      <c r="A8769" s="76" t="s">
        <v>1396</v>
      </c>
      <c r="B8769" s="76" t="s">
        <v>996</v>
      </c>
      <c r="C8769" s="76" t="s">
        <v>1281</v>
      </c>
      <c r="D8769" s="75"/>
    </row>
    <row hidden="true" r="8770">
      <c r="A8770" s="76" t="s">
        <v>1396</v>
      </c>
      <c r="B8770" s="76" t="s">
        <v>998</v>
      </c>
      <c r="C8770" s="76" t="s">
        <v>1281</v>
      </c>
      <c r="D8770" s="75"/>
    </row>
    <row hidden="true" r="8771">
      <c r="A8771" s="76" t="s">
        <v>1396</v>
      </c>
      <c r="B8771" s="76" t="s">
        <v>1000</v>
      </c>
      <c r="C8771" s="76" t="s">
        <v>1281</v>
      </c>
      <c r="D8771" s="75"/>
    </row>
    <row hidden="true" r="8772">
      <c r="A8772" s="76" t="s">
        <v>1396</v>
      </c>
      <c r="B8772" s="76" t="s">
        <v>1002</v>
      </c>
      <c r="C8772" s="76" t="s">
        <v>1281</v>
      </c>
      <c r="D8772" s="75"/>
    </row>
    <row hidden="true" r="8773">
      <c r="A8773" s="76" t="s">
        <v>1396</v>
      </c>
      <c r="B8773" s="76" t="s">
        <v>1004</v>
      </c>
      <c r="C8773" s="76" t="s">
        <v>1281</v>
      </c>
      <c r="D8773" s="75"/>
    </row>
    <row hidden="true" r="8774">
      <c r="A8774" s="76" t="s">
        <v>1396</v>
      </c>
      <c r="B8774" s="76" t="s">
        <v>1006</v>
      </c>
      <c r="C8774" s="76" t="s">
        <v>1281</v>
      </c>
      <c r="D8774" s="75"/>
    </row>
    <row hidden="true" r="8775">
      <c r="A8775" s="76" t="s">
        <v>1396</v>
      </c>
      <c r="B8775" s="76" t="s">
        <v>1008</v>
      </c>
      <c r="C8775" s="76" t="s">
        <v>1281</v>
      </c>
      <c r="D8775" s="75"/>
    </row>
    <row hidden="true" r="8776">
      <c r="A8776" s="76" t="s">
        <v>1396</v>
      </c>
      <c r="B8776" s="76" t="s">
        <v>1010</v>
      </c>
      <c r="C8776" s="76" t="s">
        <v>1281</v>
      </c>
      <c r="D8776" s="75"/>
    </row>
    <row hidden="true" r="8777">
      <c r="A8777" s="76" t="s">
        <v>1396</v>
      </c>
      <c r="B8777" s="76" t="s">
        <v>1315</v>
      </c>
      <c r="C8777" s="76" t="s">
        <v>1281</v>
      </c>
      <c r="D8777" s="75"/>
    </row>
    <row hidden="true" r="8778">
      <c r="A8778" s="76" t="s">
        <v>1396</v>
      </c>
      <c r="B8778" s="76" t="s">
        <v>1014</v>
      </c>
      <c r="C8778" s="76" t="s">
        <v>1281</v>
      </c>
      <c r="D8778" s="75"/>
    </row>
    <row hidden="true" r="8779">
      <c r="A8779" s="76" t="s">
        <v>1396</v>
      </c>
      <c r="B8779" s="76" t="s">
        <v>1016</v>
      </c>
      <c r="C8779" s="76" t="s">
        <v>1281</v>
      </c>
      <c r="D8779" s="75"/>
    </row>
    <row hidden="true" r="8780">
      <c r="A8780" s="76" t="s">
        <v>1396</v>
      </c>
      <c r="B8780" s="76" t="s">
        <v>1018</v>
      </c>
      <c r="C8780" s="76" t="s">
        <v>1281</v>
      </c>
      <c r="D8780" s="75"/>
    </row>
    <row hidden="true" r="8781">
      <c r="A8781" s="76" t="s">
        <v>1396</v>
      </c>
      <c r="B8781" s="76" t="s">
        <v>1020</v>
      </c>
      <c r="C8781" s="76" t="s">
        <v>1281</v>
      </c>
      <c r="D8781" s="75"/>
    </row>
    <row hidden="true" r="8782">
      <c r="A8782" s="76" t="s">
        <v>1396</v>
      </c>
      <c r="B8782" s="76" t="s">
        <v>1022</v>
      </c>
      <c r="C8782" s="76" t="s">
        <v>1281</v>
      </c>
      <c r="D8782" s="75"/>
    </row>
    <row hidden="true" r="8783">
      <c r="A8783" s="76" t="s">
        <v>1396</v>
      </c>
      <c r="B8783" s="76" t="s">
        <v>1023</v>
      </c>
      <c r="C8783" s="76" t="s">
        <v>1281</v>
      </c>
      <c r="D8783" s="75"/>
    </row>
    <row hidden="true" r="8784">
      <c r="A8784" s="76" t="s">
        <v>1396</v>
      </c>
      <c r="B8784" s="76" t="s">
        <v>1024</v>
      </c>
      <c r="C8784" s="76" t="s">
        <v>1281</v>
      </c>
      <c r="D8784" s="75"/>
    </row>
    <row hidden="true" r="8785">
      <c r="A8785" s="76" t="s">
        <v>1396</v>
      </c>
      <c r="B8785" s="76" t="s">
        <v>1025</v>
      </c>
      <c r="C8785" s="76" t="s">
        <v>1281</v>
      </c>
      <c r="D8785" s="75"/>
    </row>
    <row hidden="true" r="8786">
      <c r="A8786" s="76" t="s">
        <v>1396</v>
      </c>
      <c r="B8786" s="76" t="s">
        <v>1026</v>
      </c>
      <c r="C8786" s="76" t="s">
        <v>1281</v>
      </c>
      <c r="D8786" s="75"/>
    </row>
    <row hidden="true" r="8787">
      <c r="A8787" s="76" t="s">
        <v>1396</v>
      </c>
      <c r="B8787" s="76" t="s">
        <v>1027</v>
      </c>
      <c r="C8787" s="76" t="s">
        <v>1281</v>
      </c>
      <c r="D8787" s="75"/>
    </row>
    <row hidden="true" r="8788">
      <c r="A8788" s="76" t="s">
        <v>1396</v>
      </c>
      <c r="B8788" s="76" t="s">
        <v>1133</v>
      </c>
      <c r="C8788" s="76" t="s">
        <v>1281</v>
      </c>
      <c r="D8788" s="75"/>
    </row>
    <row hidden="true" r="8789">
      <c r="A8789" s="76" t="s">
        <v>1396</v>
      </c>
      <c r="B8789" s="76" t="s">
        <v>1317</v>
      </c>
      <c r="C8789" s="76" t="s">
        <v>1281</v>
      </c>
      <c r="D8789" s="75"/>
    </row>
    <row hidden="true" r="8790">
      <c r="A8790" s="76" t="s">
        <v>1396</v>
      </c>
      <c r="B8790" s="76" t="s">
        <v>1319</v>
      </c>
      <c r="C8790" s="76" t="s">
        <v>1281</v>
      </c>
      <c r="D8790" s="75"/>
    </row>
    <row hidden="true" r="8791">
      <c r="A8791" s="76" t="s">
        <v>1396</v>
      </c>
      <c r="B8791" s="76" t="s">
        <v>1028</v>
      </c>
      <c r="C8791" s="76" t="s">
        <v>1281</v>
      </c>
      <c r="D8791" s="75"/>
    </row>
    <row hidden="true" r="8792">
      <c r="A8792" s="76" t="s">
        <v>1396</v>
      </c>
      <c r="B8792" s="76" t="s">
        <v>988</v>
      </c>
      <c r="C8792" s="76" t="s">
        <v>1281</v>
      </c>
      <c r="D8792" s="75"/>
    </row>
    <row hidden="true" r="8793">
      <c r="A8793" s="76" t="s">
        <v>1396</v>
      </c>
      <c r="B8793" s="76" t="s">
        <v>990</v>
      </c>
      <c r="C8793" s="76" t="s">
        <v>1281</v>
      </c>
      <c r="D8793" s="75"/>
    </row>
    <row hidden="true" r="8794">
      <c r="A8794" s="76" t="s">
        <v>1396</v>
      </c>
      <c r="B8794" s="76" t="s">
        <v>992</v>
      </c>
      <c r="C8794" s="76" t="s">
        <v>1281</v>
      </c>
      <c r="D8794" s="75"/>
    </row>
    <row hidden="true" r="8795">
      <c r="A8795" s="76" t="s">
        <v>1396</v>
      </c>
      <c r="B8795" s="76" t="s">
        <v>530</v>
      </c>
      <c r="C8795" s="76" t="s">
        <v>1281</v>
      </c>
      <c r="D8795" s="75"/>
    </row>
    <row hidden="true" r="8796">
      <c r="A8796" s="76" t="s">
        <v>1396</v>
      </c>
      <c r="B8796" s="76" t="s">
        <v>1032</v>
      </c>
      <c r="C8796" s="76" t="s">
        <v>1281</v>
      </c>
      <c r="D8796" s="75"/>
    </row>
    <row hidden="true" r="8797">
      <c r="A8797" s="76" t="s">
        <v>1396</v>
      </c>
      <c r="B8797" s="76" t="s">
        <v>532</v>
      </c>
      <c r="C8797" s="76" t="s">
        <v>1281</v>
      </c>
      <c r="D8797" s="75"/>
    </row>
    <row hidden="true" r="8798">
      <c r="A8798" s="76" t="s">
        <v>1396</v>
      </c>
      <c r="B8798" s="76" t="s">
        <v>1036</v>
      </c>
      <c r="C8798" s="76" t="s">
        <v>1281</v>
      </c>
      <c r="D8798" s="75"/>
    </row>
    <row hidden="true" r="8799">
      <c r="A8799" s="76" t="s">
        <v>1396</v>
      </c>
      <c r="B8799" s="76" t="s">
        <v>1038</v>
      </c>
      <c r="C8799" s="76" t="s">
        <v>1281</v>
      </c>
      <c r="D8799" s="75"/>
    </row>
    <row hidden="true" r="8800">
      <c r="A8800" s="76" t="s">
        <v>1396</v>
      </c>
      <c r="B8800" s="76" t="s">
        <v>1321</v>
      </c>
      <c r="C8800" s="76" t="s">
        <v>1281</v>
      </c>
      <c r="D8800" s="75"/>
    </row>
    <row hidden="true" r="8801">
      <c r="A8801" s="76" t="s">
        <v>1396</v>
      </c>
      <c r="B8801" s="76" t="s">
        <v>1323</v>
      </c>
      <c r="C8801" s="76" t="s">
        <v>1281</v>
      </c>
      <c r="D8801" s="75"/>
    </row>
    <row hidden="true" r="8802">
      <c r="A8802" s="76" t="s">
        <v>1396</v>
      </c>
      <c r="B8802" s="76" t="s">
        <v>1012</v>
      </c>
      <c r="C8802" s="76" t="s">
        <v>1281</v>
      </c>
      <c r="D8802" s="75"/>
    </row>
    <row hidden="true" r="8803">
      <c r="A8803" s="76" t="s">
        <v>1396</v>
      </c>
      <c r="B8803" s="76" t="s">
        <v>1052</v>
      </c>
      <c r="C8803" s="76" t="s">
        <v>1281</v>
      </c>
      <c r="D8803" s="75"/>
    </row>
    <row hidden="true" r="8804">
      <c r="A8804" s="76" t="s">
        <v>1396</v>
      </c>
      <c r="B8804" s="76" t="s">
        <v>1054</v>
      </c>
      <c r="C8804" s="76" t="s">
        <v>1281</v>
      </c>
      <c r="D8804" s="75"/>
    </row>
    <row hidden="true" r="8805">
      <c r="A8805" s="76" t="s">
        <v>1396</v>
      </c>
      <c r="B8805" s="76" t="s">
        <v>1056</v>
      </c>
      <c r="C8805" s="76" t="s">
        <v>1281</v>
      </c>
      <c r="D8805" s="75"/>
    </row>
    <row hidden="true" r="8806">
      <c r="A8806" s="76" t="s">
        <v>1396</v>
      </c>
      <c r="B8806" s="76" t="s">
        <v>1058</v>
      </c>
      <c r="C8806" s="76" t="s">
        <v>1281</v>
      </c>
      <c r="D8806" s="75"/>
    </row>
    <row hidden="true" r="8807">
      <c r="A8807" s="76" t="s">
        <v>1396</v>
      </c>
      <c r="B8807" s="76" t="s">
        <v>1060</v>
      </c>
      <c r="C8807" s="76" t="s">
        <v>1281</v>
      </c>
      <c r="D8807" s="75"/>
    </row>
    <row hidden="true" r="8808">
      <c r="A8808" s="76" t="s">
        <v>1396</v>
      </c>
      <c r="B8808" s="76" t="s">
        <v>1062</v>
      </c>
      <c r="C8808" s="76" t="s">
        <v>1281</v>
      </c>
      <c r="D8808" s="75"/>
    </row>
    <row hidden="true" r="8809">
      <c r="A8809" s="76" t="s">
        <v>1396</v>
      </c>
      <c r="B8809" s="76" t="s">
        <v>1064</v>
      </c>
      <c r="C8809" s="76" t="s">
        <v>1281</v>
      </c>
      <c r="D8809" s="75"/>
    </row>
    <row hidden="true" r="8810">
      <c r="A8810" s="76" t="s">
        <v>1396</v>
      </c>
      <c r="B8810" s="76" t="s">
        <v>1066</v>
      </c>
      <c r="C8810" s="76" t="s">
        <v>1281</v>
      </c>
      <c r="D8810" s="75"/>
    </row>
    <row hidden="true" r="8811">
      <c r="A8811" s="76" t="s">
        <v>1396</v>
      </c>
      <c r="B8811" s="76" t="s">
        <v>1068</v>
      </c>
      <c r="C8811" s="76" t="s">
        <v>1281</v>
      </c>
      <c r="D8811" s="75"/>
    </row>
    <row hidden="true" r="8812">
      <c r="A8812" s="76" t="s">
        <v>1396</v>
      </c>
      <c r="B8812" s="76" t="s">
        <v>1070</v>
      </c>
      <c r="C8812" s="76" t="s">
        <v>1281</v>
      </c>
      <c r="D8812" s="75"/>
    </row>
    <row hidden="true" r="8813">
      <c r="A8813" s="76" t="s">
        <v>1396</v>
      </c>
      <c r="B8813" s="76" t="s">
        <v>1071</v>
      </c>
      <c r="C8813" s="76" t="s">
        <v>1281</v>
      </c>
      <c r="D8813" s="75"/>
    </row>
    <row hidden="true" r="8814">
      <c r="A8814" s="76" t="s">
        <v>1396</v>
      </c>
      <c r="B8814" s="76" t="s">
        <v>1072</v>
      </c>
      <c r="C8814" s="76" t="s">
        <v>1281</v>
      </c>
      <c r="D8814" s="75"/>
    </row>
    <row hidden="true" r="8815">
      <c r="A8815" s="76" t="s">
        <v>1396</v>
      </c>
      <c r="B8815" s="76" t="s">
        <v>1074</v>
      </c>
      <c r="C8815" s="76" t="s">
        <v>1281</v>
      </c>
      <c r="D8815" s="75"/>
    </row>
    <row hidden="true" r="8816">
      <c r="A8816" s="76" t="s">
        <v>1396</v>
      </c>
      <c r="B8816" s="76" t="s">
        <v>1075</v>
      </c>
      <c r="C8816" s="76" t="s">
        <v>1281</v>
      </c>
      <c r="D8816" s="75"/>
    </row>
    <row hidden="true" r="8817">
      <c r="A8817" s="76" t="s">
        <v>1396</v>
      </c>
      <c r="B8817" s="76" t="s">
        <v>1082</v>
      </c>
      <c r="C8817" s="76" t="s">
        <v>1281</v>
      </c>
      <c r="D8817" s="75"/>
    </row>
    <row hidden="true" r="8818">
      <c r="A8818" s="76" t="s">
        <v>1396</v>
      </c>
      <c r="B8818" s="76" t="s">
        <v>1084</v>
      </c>
      <c r="C8818" s="76" t="s">
        <v>1281</v>
      </c>
      <c r="D8818" s="75"/>
    </row>
    <row hidden="true" r="8819">
      <c r="A8819" s="76" t="s">
        <v>1396</v>
      </c>
      <c r="B8819" s="76" t="s">
        <v>1086</v>
      </c>
      <c r="C8819" s="76" t="s">
        <v>1281</v>
      </c>
      <c r="D8819" s="75"/>
    </row>
    <row hidden="true" r="8820">
      <c r="A8820" s="76" t="s">
        <v>1396</v>
      </c>
      <c r="B8820" s="76" t="s">
        <v>1088</v>
      </c>
      <c r="C8820" s="76" t="s">
        <v>1281</v>
      </c>
      <c r="D8820" s="75"/>
    </row>
    <row hidden="true" r="8821">
      <c r="A8821" s="76" t="s">
        <v>1396</v>
      </c>
      <c r="B8821" s="76" t="s">
        <v>1076</v>
      </c>
      <c r="C8821" s="76" t="s">
        <v>1281</v>
      </c>
      <c r="D8821" s="75"/>
    </row>
    <row hidden="true" r="8822">
      <c r="A8822" s="76" t="s">
        <v>1396</v>
      </c>
      <c r="B8822" s="76" t="s">
        <v>1078</v>
      </c>
      <c r="C8822" s="76" t="s">
        <v>1281</v>
      </c>
      <c r="D8822" s="75"/>
    </row>
    <row hidden="true" r="8823">
      <c r="A8823" s="76" t="s">
        <v>1396</v>
      </c>
      <c r="B8823" s="76" t="s">
        <v>1040</v>
      </c>
      <c r="C8823" s="76" t="s">
        <v>1281</v>
      </c>
      <c r="D8823" s="75"/>
    </row>
    <row hidden="true" r="8824">
      <c r="A8824" s="76" t="s">
        <v>1396</v>
      </c>
      <c r="B8824" s="76" t="s">
        <v>839</v>
      </c>
      <c r="C8824" s="76" t="s">
        <v>1281</v>
      </c>
      <c r="D8824" s="75"/>
    </row>
    <row hidden="true" r="8825">
      <c r="A8825" s="76" t="s">
        <v>1396</v>
      </c>
      <c r="B8825" s="76" t="s">
        <v>1121</v>
      </c>
      <c r="C8825" s="76" t="s">
        <v>1281</v>
      </c>
      <c r="D8825" s="75"/>
    </row>
    <row hidden="true" r="8826">
      <c r="A8826" s="76" t="s">
        <v>1396</v>
      </c>
      <c r="B8826" s="76" t="s">
        <v>1325</v>
      </c>
      <c r="C8826" s="76" t="s">
        <v>1281</v>
      </c>
      <c r="D8826" s="75"/>
    </row>
    <row hidden="true" r="8827">
      <c r="A8827" s="76" t="s">
        <v>1396</v>
      </c>
      <c r="B8827" s="76" t="s">
        <v>1080</v>
      </c>
      <c r="C8827" s="76" t="s">
        <v>1281</v>
      </c>
      <c r="D8827" s="75"/>
    </row>
    <row hidden="true" r="8828">
      <c r="A8828" s="76" t="s">
        <v>1396</v>
      </c>
      <c r="B8828" s="76" t="s">
        <v>1327</v>
      </c>
      <c r="C8828" s="76" t="s">
        <v>1281</v>
      </c>
      <c r="D8828" s="75"/>
    </row>
    <row hidden="true" r="8829">
      <c r="A8829" s="76" t="s">
        <v>1396</v>
      </c>
      <c r="B8829" s="76" t="s">
        <v>1090</v>
      </c>
      <c r="C8829" s="76" t="s">
        <v>1281</v>
      </c>
      <c r="D8829" s="75"/>
    </row>
    <row hidden="true" r="8830">
      <c r="A8830" s="76" t="s">
        <v>1396</v>
      </c>
      <c r="B8830" s="76" t="s">
        <v>1092</v>
      </c>
      <c r="C8830" s="76" t="s">
        <v>1281</v>
      </c>
      <c r="D8830" s="75"/>
    </row>
    <row hidden="true" r="8831">
      <c r="A8831" s="76" t="s">
        <v>1396</v>
      </c>
      <c r="B8831" s="76" t="s">
        <v>1093</v>
      </c>
      <c r="C8831" s="76" t="s">
        <v>1281</v>
      </c>
      <c r="D8831" s="75"/>
    </row>
    <row hidden="true" r="8832">
      <c r="A8832" s="76" t="s">
        <v>1396</v>
      </c>
      <c r="B8832" s="76" t="s">
        <v>1095</v>
      </c>
      <c r="C8832" s="76" t="s">
        <v>1281</v>
      </c>
      <c r="D8832" s="75"/>
    </row>
    <row hidden="true" r="8833">
      <c r="A8833" s="76" t="s">
        <v>1396</v>
      </c>
      <c r="B8833" s="76" t="s">
        <v>1097</v>
      </c>
      <c r="C8833" s="76" t="s">
        <v>1281</v>
      </c>
      <c r="D8833" s="75"/>
    </row>
    <row hidden="true" r="8834">
      <c r="A8834" s="76" t="s">
        <v>1396</v>
      </c>
      <c r="B8834" s="76" t="s">
        <v>1103</v>
      </c>
      <c r="C8834" s="76" t="s">
        <v>1281</v>
      </c>
      <c r="D8834" s="75"/>
    </row>
    <row hidden="true" r="8835">
      <c r="A8835" s="76" t="s">
        <v>1396</v>
      </c>
      <c r="B8835" s="76" t="s">
        <v>1329</v>
      </c>
      <c r="C8835" s="76" t="s">
        <v>1281</v>
      </c>
      <c r="D8835" s="75"/>
    </row>
    <row hidden="true" r="8836">
      <c r="A8836" s="76" t="s">
        <v>1396</v>
      </c>
      <c r="B8836" s="76" t="s">
        <v>1113</v>
      </c>
      <c r="C8836" s="76" t="s">
        <v>1281</v>
      </c>
      <c r="D8836" s="75"/>
    </row>
    <row hidden="true" r="8837">
      <c r="A8837" s="76" t="s">
        <v>1396</v>
      </c>
      <c r="B8837" s="76" t="s">
        <v>1115</v>
      </c>
      <c r="C8837" s="76" t="s">
        <v>1281</v>
      </c>
      <c r="D8837" s="75"/>
    </row>
    <row hidden="true" r="8838">
      <c r="A8838" s="76" t="s">
        <v>1396</v>
      </c>
      <c r="B8838" s="76" t="s">
        <v>1117</v>
      </c>
      <c r="C8838" s="76" t="s">
        <v>1281</v>
      </c>
      <c r="D8838" s="75"/>
    </row>
    <row hidden="true" r="8839">
      <c r="A8839" s="76" t="s">
        <v>1396</v>
      </c>
      <c r="B8839" s="76" t="s">
        <v>1119</v>
      </c>
      <c r="C8839" s="76" t="s">
        <v>1281</v>
      </c>
      <c r="D8839" s="75"/>
    </row>
    <row hidden="true" r="8840">
      <c r="A8840" s="76" t="s">
        <v>1396</v>
      </c>
      <c r="B8840" s="76" t="s">
        <v>1127</v>
      </c>
      <c r="C8840" s="76" t="s">
        <v>1281</v>
      </c>
      <c r="D8840" s="75"/>
    </row>
    <row hidden="true" r="8841">
      <c r="A8841" s="76" t="s">
        <v>1396</v>
      </c>
      <c r="B8841" s="76" t="s">
        <v>1129</v>
      </c>
      <c r="C8841" s="76" t="s">
        <v>1281</v>
      </c>
      <c r="D8841" s="75"/>
    </row>
    <row hidden="true" r="8842">
      <c r="A8842" s="76" t="s">
        <v>1396</v>
      </c>
      <c r="B8842" s="76" t="s">
        <v>1131</v>
      </c>
      <c r="C8842" s="76" t="s">
        <v>1281</v>
      </c>
      <c r="D8842" s="75"/>
    </row>
    <row hidden="true" r="8843">
      <c r="A8843" s="76" t="s">
        <v>1396</v>
      </c>
      <c r="B8843" s="76" t="s">
        <v>1137</v>
      </c>
      <c r="C8843" s="76" t="s">
        <v>1281</v>
      </c>
      <c r="D8843" s="75"/>
    </row>
    <row hidden="true" r="8844">
      <c r="A8844" s="76" t="s">
        <v>1396</v>
      </c>
      <c r="B8844" s="76" t="s">
        <v>1139</v>
      </c>
      <c r="C8844" s="76" t="s">
        <v>1281</v>
      </c>
      <c r="D8844" s="75"/>
    </row>
    <row hidden="true" r="8845">
      <c r="A8845" s="76" t="s">
        <v>1396</v>
      </c>
      <c r="B8845" s="76" t="s">
        <v>1141</v>
      </c>
      <c r="C8845" s="76" t="s">
        <v>1281</v>
      </c>
      <c r="D8845" s="75"/>
    </row>
    <row hidden="true" r="8846">
      <c r="A8846" s="76" t="s">
        <v>1396</v>
      </c>
      <c r="B8846" s="76" t="s">
        <v>1143</v>
      </c>
      <c r="C8846" s="76" t="s">
        <v>1281</v>
      </c>
      <c r="D8846" s="75"/>
    </row>
    <row hidden="true" r="8847">
      <c r="A8847" s="76" t="s">
        <v>1396</v>
      </c>
      <c r="B8847" s="76" t="s">
        <v>1145</v>
      </c>
      <c r="C8847" s="76" t="s">
        <v>1281</v>
      </c>
      <c r="D8847" s="75"/>
    </row>
    <row hidden="true" r="8848">
      <c r="A8848" s="76" t="s">
        <v>1396</v>
      </c>
      <c r="B8848" s="76" t="s">
        <v>1147</v>
      </c>
      <c r="C8848" s="76" t="s">
        <v>1281</v>
      </c>
      <c r="D8848" s="75"/>
    </row>
    <row hidden="true" r="8849">
      <c r="A8849" s="76" t="s">
        <v>1396</v>
      </c>
      <c r="B8849" s="76" t="s">
        <v>1153</v>
      </c>
      <c r="C8849" s="76" t="s">
        <v>1281</v>
      </c>
      <c r="D8849" s="75"/>
    </row>
    <row hidden="true" r="8850">
      <c r="A8850" s="76" t="s">
        <v>1396</v>
      </c>
      <c r="B8850" s="76" t="s">
        <v>1155</v>
      </c>
      <c r="C8850" s="76" t="s">
        <v>1281</v>
      </c>
      <c r="D8850" s="75"/>
    </row>
    <row hidden="true" r="8851">
      <c r="A8851" s="76" t="s">
        <v>1396</v>
      </c>
      <c r="B8851" s="76" t="s">
        <v>1157</v>
      </c>
      <c r="C8851" s="76" t="s">
        <v>1281</v>
      </c>
      <c r="D8851" s="75"/>
    </row>
    <row hidden="true" r="8852">
      <c r="A8852" s="76" t="s">
        <v>1396</v>
      </c>
      <c r="B8852" s="76" t="s">
        <v>1159</v>
      </c>
      <c r="C8852" s="76" t="s">
        <v>1281</v>
      </c>
      <c r="D8852" s="75"/>
    </row>
    <row hidden="true" r="8853">
      <c r="A8853" s="76" t="s">
        <v>1396</v>
      </c>
      <c r="B8853" s="76" t="s">
        <v>1161</v>
      </c>
      <c r="C8853" s="76" t="s">
        <v>1281</v>
      </c>
      <c r="D8853" s="75"/>
    </row>
    <row hidden="true" r="8854">
      <c r="A8854" s="76" t="s">
        <v>1396</v>
      </c>
      <c r="B8854" s="76" t="s">
        <v>1163</v>
      </c>
      <c r="C8854" s="76" t="s">
        <v>1281</v>
      </c>
      <c r="D8854" s="75"/>
    </row>
    <row hidden="true" r="8855">
      <c r="A8855" s="76" t="s">
        <v>1396</v>
      </c>
      <c r="B8855" s="76" t="s">
        <v>1165</v>
      </c>
      <c r="C8855" s="76" t="s">
        <v>1281</v>
      </c>
      <c r="D8855" s="75"/>
    </row>
    <row hidden="true" r="8856">
      <c r="A8856" s="76" t="s">
        <v>1396</v>
      </c>
      <c r="B8856" s="76" t="s">
        <v>1331</v>
      </c>
      <c r="C8856" s="76" t="s">
        <v>1281</v>
      </c>
      <c r="D8856" s="75"/>
    </row>
    <row hidden="true" r="8857">
      <c r="A8857" s="76" t="s">
        <v>1396</v>
      </c>
      <c r="B8857" s="76" t="s">
        <v>1333</v>
      </c>
      <c r="C8857" s="76" t="s">
        <v>1281</v>
      </c>
      <c r="D8857" s="75"/>
    </row>
    <row hidden="true" r="8858">
      <c r="A8858" s="76" t="s">
        <v>1396</v>
      </c>
      <c r="B8858" s="76" t="s">
        <v>1335</v>
      </c>
      <c r="C8858" s="76" t="s">
        <v>1281</v>
      </c>
      <c r="D8858" s="75"/>
    </row>
    <row hidden="true" r="8859">
      <c r="A8859" s="76" t="s">
        <v>1396</v>
      </c>
      <c r="B8859" s="76" t="s">
        <v>1337</v>
      </c>
      <c r="C8859" s="76" t="s">
        <v>1281</v>
      </c>
      <c r="D8859" s="75"/>
    </row>
    <row hidden="true" r="8860">
      <c r="A8860" s="76" t="s">
        <v>1396</v>
      </c>
      <c r="B8860" s="76" t="s">
        <v>1339</v>
      </c>
      <c r="C8860" s="76" t="s">
        <v>1281</v>
      </c>
      <c r="D8860" s="75"/>
    </row>
    <row hidden="true" r="8861">
      <c r="A8861" s="76" t="s">
        <v>1396</v>
      </c>
      <c r="B8861" s="76" t="s">
        <v>1341</v>
      </c>
      <c r="C8861" s="76" t="s">
        <v>1281</v>
      </c>
      <c r="D8861" s="75"/>
    </row>
    <row hidden="true" r="8862">
      <c r="A8862" s="76" t="s">
        <v>1396</v>
      </c>
      <c r="B8862" s="76" t="s">
        <v>1044</v>
      </c>
      <c r="C8862" s="76" t="s">
        <v>1281</v>
      </c>
      <c r="D8862" s="75"/>
    </row>
    <row hidden="true" r="8863">
      <c r="A8863" s="76" t="s">
        <v>1396</v>
      </c>
      <c r="B8863" s="76" t="s">
        <v>1046</v>
      </c>
      <c r="C8863" s="76" t="s">
        <v>1281</v>
      </c>
      <c r="D8863" s="75"/>
    </row>
    <row hidden="true" r="8864">
      <c r="A8864" s="76" t="s">
        <v>1396</v>
      </c>
      <c r="B8864" s="76" t="s">
        <v>1048</v>
      </c>
      <c r="C8864" s="76" t="s">
        <v>1281</v>
      </c>
      <c r="D8864" s="75"/>
    </row>
    <row hidden="true" r="8865">
      <c r="A8865" s="76" t="s">
        <v>1396</v>
      </c>
      <c r="B8865" s="76" t="s">
        <v>1167</v>
      </c>
      <c r="C8865" s="76" t="s">
        <v>1281</v>
      </c>
      <c r="D8865" s="75"/>
    </row>
    <row hidden="true" r="8866">
      <c r="A8866" s="76" t="s">
        <v>1396</v>
      </c>
      <c r="B8866" s="76" t="s">
        <v>1169</v>
      </c>
      <c r="C8866" s="76" t="s">
        <v>1281</v>
      </c>
      <c r="D8866" s="75"/>
    </row>
    <row hidden="true" r="8867">
      <c r="A8867" s="76" t="s">
        <v>1396</v>
      </c>
      <c r="B8867" s="76" t="s">
        <v>1171</v>
      </c>
      <c r="C8867" s="76" t="s">
        <v>1281</v>
      </c>
      <c r="D8867" s="75"/>
    </row>
    <row hidden="true" r="8868">
      <c r="A8868" s="76" t="s">
        <v>1396</v>
      </c>
      <c r="B8868" s="76" t="s">
        <v>1173</v>
      </c>
      <c r="C8868" s="76" t="s">
        <v>1281</v>
      </c>
      <c r="D8868" s="75"/>
    </row>
    <row hidden="true" r="8869">
      <c r="A8869" s="76" t="s">
        <v>1396</v>
      </c>
      <c r="B8869" s="76" t="s">
        <v>1175</v>
      </c>
      <c r="C8869" s="76" t="s">
        <v>1281</v>
      </c>
      <c r="D8869" s="75"/>
    </row>
    <row hidden="true" r="8870">
      <c r="A8870" s="76" t="s">
        <v>1396</v>
      </c>
      <c r="B8870" s="76" t="s">
        <v>1177</v>
      </c>
      <c r="C8870" s="76" t="s">
        <v>1281</v>
      </c>
      <c r="D8870" s="75"/>
    </row>
    <row hidden="true" r="8871">
      <c r="A8871" s="76" t="s">
        <v>1396</v>
      </c>
      <c r="B8871" s="76" t="s">
        <v>1135</v>
      </c>
      <c r="C8871" s="76" t="s">
        <v>1281</v>
      </c>
      <c r="D8871" s="75"/>
    </row>
    <row hidden="true" r="8872">
      <c r="A8872" s="76" t="s">
        <v>1396</v>
      </c>
      <c r="B8872" s="76" t="s">
        <v>1179</v>
      </c>
      <c r="C8872" s="76" t="s">
        <v>1281</v>
      </c>
      <c r="D8872" s="75"/>
    </row>
    <row hidden="true" r="8873">
      <c r="A8873" s="76" t="s">
        <v>1396</v>
      </c>
      <c r="B8873" s="76" t="s">
        <v>1181</v>
      </c>
      <c r="C8873" s="76" t="s">
        <v>1281</v>
      </c>
      <c r="D8873" s="75"/>
    </row>
    <row hidden="true" r="8874">
      <c r="A8874" s="76" t="s">
        <v>1396</v>
      </c>
      <c r="B8874" s="76" t="s">
        <v>1183</v>
      </c>
      <c r="C8874" s="76" t="s">
        <v>1281</v>
      </c>
      <c r="D8874" s="75"/>
    </row>
    <row hidden="true" r="8875">
      <c r="A8875" s="76" t="s">
        <v>1396</v>
      </c>
      <c r="B8875" s="76" t="s">
        <v>1185</v>
      </c>
      <c r="C8875" s="76" t="s">
        <v>1281</v>
      </c>
      <c r="D8875" s="75"/>
    </row>
    <row hidden="true" r="8876">
      <c r="A8876" s="76" t="s">
        <v>1396</v>
      </c>
      <c r="B8876" s="76" t="s">
        <v>1187</v>
      </c>
      <c r="C8876" s="76" t="s">
        <v>1281</v>
      </c>
      <c r="D8876" s="75"/>
    </row>
    <row hidden="true" r="8877">
      <c r="A8877" s="76" t="s">
        <v>1396</v>
      </c>
      <c r="B8877" s="76" t="s">
        <v>1189</v>
      </c>
      <c r="C8877" s="76" t="s">
        <v>1281</v>
      </c>
      <c r="D8877" s="75"/>
    </row>
    <row hidden="true" r="8878">
      <c r="A8878" s="76" t="s">
        <v>1396</v>
      </c>
      <c r="B8878" s="76" t="s">
        <v>1191</v>
      </c>
      <c r="C8878" s="76" t="s">
        <v>1281</v>
      </c>
      <c r="D8878" s="75"/>
    </row>
    <row hidden="true" r="8879">
      <c r="A8879" s="76" t="s">
        <v>1396</v>
      </c>
      <c r="B8879" s="76" t="s">
        <v>1199</v>
      </c>
      <c r="C8879" s="76" t="s">
        <v>1281</v>
      </c>
      <c r="D8879" s="75"/>
    </row>
    <row hidden="true" r="8880">
      <c r="A8880" s="76" t="s">
        <v>1396</v>
      </c>
      <c r="B8880" s="76" t="s">
        <v>1201</v>
      </c>
      <c r="C8880" s="76" t="s">
        <v>1281</v>
      </c>
      <c r="D8880" s="75"/>
    </row>
    <row hidden="true" r="8881">
      <c r="A8881" s="76" t="s">
        <v>1396</v>
      </c>
      <c r="B8881" s="76" t="s">
        <v>1203</v>
      </c>
      <c r="C8881" s="76" t="s">
        <v>1281</v>
      </c>
      <c r="D8881" s="75"/>
    </row>
    <row hidden="true" r="8882">
      <c r="A8882" s="76" t="s">
        <v>1396</v>
      </c>
      <c r="B8882" s="76" t="s">
        <v>1205</v>
      </c>
      <c r="C8882" s="76" t="s">
        <v>1281</v>
      </c>
      <c r="D8882" s="75"/>
    </row>
    <row hidden="true" r="8883">
      <c r="A8883" s="76" t="s">
        <v>1396</v>
      </c>
      <c r="B8883" s="76" t="s">
        <v>1207</v>
      </c>
      <c r="C8883" s="76" t="s">
        <v>1281</v>
      </c>
      <c r="D8883" s="75"/>
    </row>
    <row hidden="true" r="8884">
      <c r="A8884" s="76" t="s">
        <v>1396</v>
      </c>
      <c r="B8884" s="76" t="s">
        <v>1209</v>
      </c>
      <c r="C8884" s="76" t="s">
        <v>1281</v>
      </c>
      <c r="D8884" s="75"/>
    </row>
    <row hidden="true" r="8885">
      <c r="A8885" s="76" t="s">
        <v>1396</v>
      </c>
      <c r="B8885" s="76" t="s">
        <v>1211</v>
      </c>
      <c r="C8885" s="76" t="s">
        <v>1281</v>
      </c>
      <c r="D8885" s="75"/>
    </row>
    <row hidden="true" r="8886">
      <c r="A8886" s="76" t="s">
        <v>1396</v>
      </c>
      <c r="B8886" s="76" t="s">
        <v>1282</v>
      </c>
      <c r="C8886" s="76" t="s">
        <v>1281</v>
      </c>
      <c r="D8886" s="75"/>
    </row>
    <row hidden="true" r="8887">
      <c r="A8887" s="76" t="s">
        <v>1396</v>
      </c>
      <c r="B8887" s="76" t="s">
        <v>735</v>
      </c>
      <c r="C8887" s="76" t="s">
        <v>1283</v>
      </c>
      <c r="D8887" s="75"/>
    </row>
    <row hidden="true" r="8888">
      <c r="A8888" s="76" t="s">
        <v>1397</v>
      </c>
      <c r="B8888" s="76" t="s">
        <v>407</v>
      </c>
      <c r="C8888" s="76" t="s">
        <v>1281</v>
      </c>
      <c r="D8888" s="75"/>
    </row>
    <row hidden="true" r="8889">
      <c r="A8889" s="76" t="s">
        <v>1397</v>
      </c>
      <c r="B8889" s="76" t="s">
        <v>744</v>
      </c>
      <c r="C8889" s="76" t="s">
        <v>1281</v>
      </c>
      <c r="D8889" s="75"/>
    </row>
    <row hidden="true" r="8890">
      <c r="A8890" s="76" t="s">
        <v>1397</v>
      </c>
      <c r="B8890" s="76" t="s">
        <v>480</v>
      </c>
      <c r="C8890" s="76" t="s">
        <v>1281</v>
      </c>
      <c r="D8890" s="75"/>
    </row>
    <row hidden="true" r="8891">
      <c r="A8891" s="76" t="s">
        <v>1397</v>
      </c>
      <c r="B8891" s="76" t="s">
        <v>884</v>
      </c>
      <c r="C8891" s="76" t="s">
        <v>1281</v>
      </c>
      <c r="D8891" s="75"/>
    </row>
    <row hidden="true" r="8892">
      <c r="A8892" s="76" t="s">
        <v>1397</v>
      </c>
      <c r="B8892" s="76" t="s">
        <v>886</v>
      </c>
      <c r="C8892" s="76" t="s">
        <v>1281</v>
      </c>
      <c r="D8892" s="75"/>
    </row>
    <row hidden="true" r="8893">
      <c r="A8893" s="76" t="s">
        <v>1397</v>
      </c>
      <c r="B8893" s="76" t="s">
        <v>888</v>
      </c>
      <c r="C8893" s="76" t="s">
        <v>1281</v>
      </c>
      <c r="D8893" s="75"/>
    </row>
    <row hidden="true" r="8894">
      <c r="A8894" s="76" t="s">
        <v>1397</v>
      </c>
      <c r="B8894" s="76" t="s">
        <v>890</v>
      </c>
      <c r="C8894" s="76" t="s">
        <v>1281</v>
      </c>
      <c r="D8894" s="75"/>
    </row>
    <row hidden="true" r="8895">
      <c r="A8895" s="76" t="s">
        <v>1397</v>
      </c>
      <c r="B8895" s="76" t="s">
        <v>892</v>
      </c>
      <c r="C8895" s="76" t="s">
        <v>1281</v>
      </c>
      <c r="D8895" s="75"/>
    </row>
    <row hidden="true" r="8896">
      <c r="A8896" s="76" t="s">
        <v>1397</v>
      </c>
      <c r="B8896" s="76" t="s">
        <v>894</v>
      </c>
      <c r="C8896" s="76" t="s">
        <v>1281</v>
      </c>
      <c r="D8896" s="75"/>
    </row>
    <row hidden="true" r="8897">
      <c r="A8897" s="76" t="s">
        <v>1397</v>
      </c>
      <c r="B8897" s="76" t="s">
        <v>896</v>
      </c>
      <c r="C8897" s="76" t="s">
        <v>1281</v>
      </c>
      <c r="D8897" s="75"/>
    </row>
    <row hidden="true" r="8898">
      <c r="A8898" s="76" t="s">
        <v>1397</v>
      </c>
      <c r="B8898" s="76" t="s">
        <v>898</v>
      </c>
      <c r="C8898" s="76" t="s">
        <v>1281</v>
      </c>
      <c r="D8898" s="75"/>
    </row>
    <row hidden="true" r="8899">
      <c r="A8899" s="76" t="s">
        <v>1397</v>
      </c>
      <c r="B8899" s="76" t="s">
        <v>900</v>
      </c>
      <c r="C8899" s="76" t="s">
        <v>1281</v>
      </c>
      <c r="D8899" s="75"/>
    </row>
    <row hidden="true" r="8900">
      <c r="A8900" s="76" t="s">
        <v>1397</v>
      </c>
      <c r="B8900" s="76" t="s">
        <v>902</v>
      </c>
      <c r="C8900" s="76" t="s">
        <v>1281</v>
      </c>
      <c r="D8900" s="75"/>
    </row>
    <row hidden="true" r="8901">
      <c r="A8901" s="76" t="s">
        <v>1397</v>
      </c>
      <c r="B8901" s="76" t="s">
        <v>904</v>
      </c>
      <c r="C8901" s="76" t="s">
        <v>1281</v>
      </c>
      <c r="D8901" s="75"/>
    </row>
    <row hidden="true" r="8902">
      <c r="A8902" s="76" t="s">
        <v>1397</v>
      </c>
      <c r="B8902" s="76" t="s">
        <v>906</v>
      </c>
      <c r="C8902" s="76" t="s">
        <v>1281</v>
      </c>
      <c r="D8902" s="75"/>
    </row>
    <row hidden="true" r="8903">
      <c r="A8903" s="76" t="s">
        <v>1397</v>
      </c>
      <c r="B8903" s="76" t="s">
        <v>908</v>
      </c>
      <c r="C8903" s="76" t="s">
        <v>1281</v>
      </c>
      <c r="D8903" s="75"/>
    </row>
    <row hidden="true" r="8904">
      <c r="A8904" s="76" t="s">
        <v>1397</v>
      </c>
      <c r="B8904" s="76" t="s">
        <v>910</v>
      </c>
      <c r="C8904" s="76" t="s">
        <v>1281</v>
      </c>
      <c r="D8904" s="75"/>
    </row>
    <row hidden="true" r="8905">
      <c r="A8905" s="76" t="s">
        <v>1397</v>
      </c>
      <c r="B8905" s="76" t="s">
        <v>912</v>
      </c>
      <c r="C8905" s="76" t="s">
        <v>1281</v>
      </c>
      <c r="D8905" s="75"/>
    </row>
    <row hidden="true" r="8906">
      <c r="A8906" s="76" t="s">
        <v>1397</v>
      </c>
      <c r="B8906" s="76" t="s">
        <v>914</v>
      </c>
      <c r="C8906" s="76" t="s">
        <v>1281</v>
      </c>
      <c r="D8906" s="75"/>
    </row>
    <row hidden="true" r="8907">
      <c r="A8907" s="76" t="s">
        <v>1397</v>
      </c>
      <c r="B8907" s="76" t="s">
        <v>916</v>
      </c>
      <c r="C8907" s="76" t="s">
        <v>1281</v>
      </c>
      <c r="D8907" s="75"/>
    </row>
    <row hidden="true" r="8908">
      <c r="A8908" s="76" t="s">
        <v>1397</v>
      </c>
      <c r="B8908" s="76" t="s">
        <v>918</v>
      </c>
      <c r="C8908" s="76" t="s">
        <v>1281</v>
      </c>
      <c r="D8908" s="75"/>
    </row>
    <row hidden="true" r="8909">
      <c r="A8909" s="76" t="s">
        <v>1397</v>
      </c>
      <c r="B8909" s="76" t="s">
        <v>920</v>
      </c>
      <c r="C8909" s="76" t="s">
        <v>1281</v>
      </c>
      <c r="D8909" s="75"/>
    </row>
    <row hidden="true" r="8910">
      <c r="A8910" s="76" t="s">
        <v>1397</v>
      </c>
      <c r="B8910" s="76" t="s">
        <v>922</v>
      </c>
      <c r="C8910" s="76" t="s">
        <v>1281</v>
      </c>
      <c r="D8910" s="75"/>
    </row>
    <row hidden="true" r="8911">
      <c r="A8911" s="76" t="s">
        <v>1397</v>
      </c>
      <c r="B8911" s="76" t="s">
        <v>924</v>
      </c>
      <c r="C8911" s="76" t="s">
        <v>1281</v>
      </c>
      <c r="D8911" s="75"/>
    </row>
    <row hidden="true" r="8912">
      <c r="A8912" s="76" t="s">
        <v>1397</v>
      </c>
      <c r="B8912" s="76" t="s">
        <v>926</v>
      </c>
      <c r="C8912" s="76" t="s">
        <v>1281</v>
      </c>
      <c r="D8912" s="75"/>
    </row>
    <row hidden="true" r="8913">
      <c r="A8913" s="76" t="s">
        <v>1397</v>
      </c>
      <c r="B8913" s="76" t="s">
        <v>928</v>
      </c>
      <c r="C8913" s="76" t="s">
        <v>1281</v>
      </c>
      <c r="D8913" s="75"/>
    </row>
    <row hidden="true" r="8914">
      <c r="A8914" s="76" t="s">
        <v>1397</v>
      </c>
      <c r="B8914" s="76" t="s">
        <v>930</v>
      </c>
      <c r="C8914" s="76" t="s">
        <v>1281</v>
      </c>
      <c r="D8914" s="75"/>
    </row>
    <row hidden="true" r="8915">
      <c r="A8915" s="76" t="s">
        <v>1397</v>
      </c>
      <c r="B8915" s="76" t="s">
        <v>932</v>
      </c>
      <c r="C8915" s="76" t="s">
        <v>1281</v>
      </c>
      <c r="D8915" s="75"/>
    </row>
    <row hidden="true" r="8916">
      <c r="A8916" s="76" t="s">
        <v>1397</v>
      </c>
      <c r="B8916" s="76" t="s">
        <v>934</v>
      </c>
      <c r="C8916" s="76" t="s">
        <v>1281</v>
      </c>
      <c r="D8916" s="75"/>
    </row>
    <row hidden="true" r="8917">
      <c r="A8917" s="76" t="s">
        <v>1397</v>
      </c>
      <c r="B8917" s="76" t="s">
        <v>936</v>
      </c>
      <c r="C8917" s="76" t="s">
        <v>1281</v>
      </c>
      <c r="D8917" s="75"/>
    </row>
    <row hidden="true" r="8918">
      <c r="A8918" s="76" t="s">
        <v>1397</v>
      </c>
      <c r="B8918" s="76" t="s">
        <v>938</v>
      </c>
      <c r="C8918" s="76" t="s">
        <v>1281</v>
      </c>
      <c r="D8918" s="75"/>
    </row>
    <row hidden="true" r="8919">
      <c r="A8919" s="76" t="s">
        <v>1397</v>
      </c>
      <c r="B8919" s="76" t="s">
        <v>940</v>
      </c>
      <c r="C8919" s="76" t="s">
        <v>1281</v>
      </c>
      <c r="D8919" s="75"/>
    </row>
    <row hidden="true" r="8920">
      <c r="A8920" s="76" t="s">
        <v>1397</v>
      </c>
      <c r="B8920" s="76" t="s">
        <v>942</v>
      </c>
      <c r="C8920" s="76" t="s">
        <v>1281</v>
      </c>
      <c r="D8920" s="75"/>
    </row>
    <row hidden="true" r="8921">
      <c r="A8921" s="76" t="s">
        <v>1397</v>
      </c>
      <c r="B8921" s="76" t="s">
        <v>944</v>
      </c>
      <c r="C8921" s="76" t="s">
        <v>1281</v>
      </c>
      <c r="D8921" s="75"/>
    </row>
    <row hidden="true" r="8922">
      <c r="A8922" s="76" t="s">
        <v>1397</v>
      </c>
      <c r="B8922" s="76" t="s">
        <v>1305</v>
      </c>
      <c r="C8922" s="76" t="s">
        <v>1281</v>
      </c>
      <c r="D8922" s="75"/>
    </row>
    <row hidden="true" r="8923">
      <c r="A8923" s="76" t="s">
        <v>1397</v>
      </c>
      <c r="B8923" s="76" t="s">
        <v>1307</v>
      </c>
      <c r="C8923" s="76" t="s">
        <v>1281</v>
      </c>
      <c r="D8923" s="75"/>
    </row>
    <row hidden="true" r="8924">
      <c r="A8924" s="76" t="s">
        <v>1397</v>
      </c>
      <c r="B8924" s="76" t="s">
        <v>946</v>
      </c>
      <c r="C8924" s="76" t="s">
        <v>1281</v>
      </c>
      <c r="D8924" s="75"/>
    </row>
    <row hidden="true" r="8925">
      <c r="A8925" s="76" t="s">
        <v>1397</v>
      </c>
      <c r="B8925" s="76" t="s">
        <v>948</v>
      </c>
      <c r="C8925" s="76" t="s">
        <v>1281</v>
      </c>
      <c r="D8925" s="75"/>
    </row>
    <row hidden="true" r="8926">
      <c r="A8926" s="76" t="s">
        <v>1397</v>
      </c>
      <c r="B8926" s="76" t="s">
        <v>950</v>
      </c>
      <c r="C8926" s="76" t="s">
        <v>1281</v>
      </c>
      <c r="D8926" s="75"/>
    </row>
    <row hidden="true" r="8927">
      <c r="A8927" s="76" t="s">
        <v>1397</v>
      </c>
      <c r="B8927" s="76" t="s">
        <v>952</v>
      </c>
      <c r="C8927" s="76" t="s">
        <v>1281</v>
      </c>
      <c r="D8927" s="75"/>
    </row>
    <row hidden="true" r="8928">
      <c r="A8928" s="76" t="s">
        <v>1397</v>
      </c>
      <c r="B8928" s="76" t="s">
        <v>954</v>
      </c>
      <c r="C8928" s="76" t="s">
        <v>1281</v>
      </c>
      <c r="D8928" s="75"/>
    </row>
    <row hidden="true" r="8929">
      <c r="A8929" s="76" t="s">
        <v>1397</v>
      </c>
      <c r="B8929" s="76" t="s">
        <v>775</v>
      </c>
      <c r="C8929" s="76" t="s">
        <v>1281</v>
      </c>
      <c r="D8929" s="75"/>
    </row>
    <row hidden="true" r="8930">
      <c r="A8930" s="76" t="s">
        <v>1397</v>
      </c>
      <c r="B8930" s="76" t="s">
        <v>956</v>
      </c>
      <c r="C8930" s="76" t="s">
        <v>1281</v>
      </c>
      <c r="D8930" s="75"/>
    </row>
    <row hidden="true" r="8931">
      <c r="A8931" s="76" t="s">
        <v>1397</v>
      </c>
      <c r="B8931" s="76" t="s">
        <v>958</v>
      </c>
      <c r="C8931" s="76" t="s">
        <v>1281</v>
      </c>
      <c r="D8931" s="75"/>
    </row>
    <row hidden="true" r="8932">
      <c r="A8932" s="76" t="s">
        <v>1397</v>
      </c>
      <c r="B8932" s="76" t="s">
        <v>960</v>
      </c>
      <c r="C8932" s="76" t="s">
        <v>1281</v>
      </c>
      <c r="D8932" s="75"/>
    </row>
    <row hidden="true" r="8933">
      <c r="A8933" s="76" t="s">
        <v>1397</v>
      </c>
      <c r="B8933" s="76" t="s">
        <v>962</v>
      </c>
      <c r="C8933" s="76" t="s">
        <v>1281</v>
      </c>
      <c r="D8933" s="75"/>
    </row>
    <row hidden="true" r="8934">
      <c r="A8934" s="76" t="s">
        <v>1397</v>
      </c>
      <c r="B8934" s="76" t="s">
        <v>964</v>
      </c>
      <c r="C8934" s="76" t="s">
        <v>1281</v>
      </c>
      <c r="D8934" s="75"/>
    </row>
    <row hidden="true" r="8935">
      <c r="A8935" s="76" t="s">
        <v>1397</v>
      </c>
      <c r="B8935" s="76" t="s">
        <v>966</v>
      </c>
      <c r="C8935" s="76" t="s">
        <v>1281</v>
      </c>
      <c r="D8935" s="75"/>
    </row>
    <row hidden="true" r="8936">
      <c r="A8936" s="76" t="s">
        <v>1397</v>
      </c>
      <c r="B8936" s="76" t="s">
        <v>968</v>
      </c>
      <c r="C8936" s="76" t="s">
        <v>1281</v>
      </c>
      <c r="D8936" s="75"/>
    </row>
    <row hidden="true" r="8937">
      <c r="A8937" s="76" t="s">
        <v>1397</v>
      </c>
      <c r="B8937" s="76" t="s">
        <v>970</v>
      </c>
      <c r="C8937" s="76" t="s">
        <v>1281</v>
      </c>
      <c r="D8937" s="75"/>
    </row>
    <row hidden="true" r="8938">
      <c r="A8938" s="76" t="s">
        <v>1397</v>
      </c>
      <c r="B8938" s="76" t="s">
        <v>972</v>
      </c>
      <c r="C8938" s="76" t="s">
        <v>1281</v>
      </c>
      <c r="D8938" s="75"/>
    </row>
    <row hidden="true" r="8939">
      <c r="A8939" s="76" t="s">
        <v>1397</v>
      </c>
      <c r="B8939" s="76" t="s">
        <v>974</v>
      </c>
      <c r="C8939" s="76" t="s">
        <v>1281</v>
      </c>
      <c r="D8939" s="75"/>
    </row>
    <row hidden="true" r="8940">
      <c r="A8940" s="76" t="s">
        <v>1397</v>
      </c>
      <c r="B8940" s="76" t="s">
        <v>976</v>
      </c>
      <c r="C8940" s="76" t="s">
        <v>1281</v>
      </c>
      <c r="D8940" s="75"/>
    </row>
    <row hidden="true" r="8941">
      <c r="A8941" s="76" t="s">
        <v>1397</v>
      </c>
      <c r="B8941" s="76" t="s">
        <v>823</v>
      </c>
      <c r="C8941" s="76" t="s">
        <v>1281</v>
      </c>
      <c r="D8941" s="75"/>
    </row>
    <row hidden="true" r="8942">
      <c r="A8942" s="76" t="s">
        <v>1397</v>
      </c>
      <c r="B8942" s="76" t="s">
        <v>978</v>
      </c>
      <c r="C8942" s="76" t="s">
        <v>1281</v>
      </c>
      <c r="D8942" s="75"/>
    </row>
    <row hidden="true" r="8943">
      <c r="A8943" s="76" t="s">
        <v>1397</v>
      </c>
      <c r="B8943" s="76" t="s">
        <v>980</v>
      </c>
      <c r="C8943" s="76" t="s">
        <v>1281</v>
      </c>
      <c r="D8943" s="75"/>
    </row>
    <row hidden="true" r="8944">
      <c r="A8944" s="76" t="s">
        <v>1397</v>
      </c>
      <c r="B8944" s="76" t="s">
        <v>982</v>
      </c>
      <c r="C8944" s="76" t="s">
        <v>1281</v>
      </c>
      <c r="D8944" s="75"/>
    </row>
    <row hidden="true" r="8945">
      <c r="A8945" s="76" t="s">
        <v>1397</v>
      </c>
      <c r="B8945" s="76" t="s">
        <v>984</v>
      </c>
      <c r="C8945" s="76" t="s">
        <v>1281</v>
      </c>
      <c r="D8945" s="75"/>
    </row>
    <row hidden="true" r="8946">
      <c r="A8946" s="76" t="s">
        <v>1397</v>
      </c>
      <c r="B8946" s="76" t="s">
        <v>986</v>
      </c>
      <c r="C8946" s="76" t="s">
        <v>1281</v>
      </c>
      <c r="D8946" s="75"/>
    </row>
    <row hidden="true" r="8947">
      <c r="A8947" s="76" t="s">
        <v>1397</v>
      </c>
      <c r="B8947" s="76" t="s">
        <v>1309</v>
      </c>
      <c r="C8947" s="76" t="s">
        <v>1281</v>
      </c>
      <c r="D8947" s="75"/>
    </row>
    <row hidden="true" r="8948">
      <c r="A8948" s="76" t="s">
        <v>1397</v>
      </c>
      <c r="B8948" s="76" t="s">
        <v>1311</v>
      </c>
      <c r="C8948" s="76" t="s">
        <v>1281</v>
      </c>
      <c r="D8948" s="75"/>
    </row>
    <row hidden="true" r="8949">
      <c r="A8949" s="76" t="s">
        <v>1397</v>
      </c>
      <c r="B8949" s="76" t="s">
        <v>1099</v>
      </c>
      <c r="C8949" s="76" t="s">
        <v>1281</v>
      </c>
      <c r="D8949" s="75"/>
    </row>
    <row hidden="true" r="8950">
      <c r="A8950" s="76" t="s">
        <v>1397</v>
      </c>
      <c r="B8950" s="76" t="s">
        <v>1101</v>
      </c>
      <c r="C8950" s="76" t="s">
        <v>1281</v>
      </c>
      <c r="D8950" s="75"/>
    </row>
    <row hidden="true" r="8951">
      <c r="A8951" s="76" t="s">
        <v>1397</v>
      </c>
      <c r="B8951" s="76" t="s">
        <v>1313</v>
      </c>
      <c r="C8951" s="76" t="s">
        <v>1281</v>
      </c>
      <c r="D8951" s="75"/>
    </row>
    <row hidden="true" r="8952">
      <c r="A8952" s="76" t="s">
        <v>1397</v>
      </c>
      <c r="B8952" s="76" t="s">
        <v>996</v>
      </c>
      <c r="C8952" s="76" t="s">
        <v>1281</v>
      </c>
      <c r="D8952" s="75"/>
    </row>
    <row hidden="true" r="8953">
      <c r="A8953" s="76" t="s">
        <v>1397</v>
      </c>
      <c r="B8953" s="76" t="s">
        <v>998</v>
      </c>
      <c r="C8953" s="76" t="s">
        <v>1281</v>
      </c>
      <c r="D8953" s="75"/>
    </row>
    <row hidden="true" r="8954">
      <c r="A8954" s="76" t="s">
        <v>1397</v>
      </c>
      <c r="B8954" s="76" t="s">
        <v>1000</v>
      </c>
      <c r="C8954" s="76" t="s">
        <v>1281</v>
      </c>
      <c r="D8954" s="75"/>
    </row>
    <row hidden="true" r="8955">
      <c r="A8955" s="76" t="s">
        <v>1397</v>
      </c>
      <c r="B8955" s="76" t="s">
        <v>1002</v>
      </c>
      <c r="C8955" s="76" t="s">
        <v>1281</v>
      </c>
      <c r="D8955" s="75"/>
    </row>
    <row hidden="true" r="8956">
      <c r="A8956" s="76" t="s">
        <v>1397</v>
      </c>
      <c r="B8956" s="76" t="s">
        <v>1004</v>
      </c>
      <c r="C8956" s="76" t="s">
        <v>1281</v>
      </c>
      <c r="D8956" s="75"/>
    </row>
    <row hidden="true" r="8957">
      <c r="A8957" s="76" t="s">
        <v>1397</v>
      </c>
      <c r="B8957" s="76" t="s">
        <v>1006</v>
      </c>
      <c r="C8957" s="76" t="s">
        <v>1281</v>
      </c>
      <c r="D8957" s="75"/>
    </row>
    <row hidden="true" r="8958">
      <c r="A8958" s="76" t="s">
        <v>1397</v>
      </c>
      <c r="B8958" s="76" t="s">
        <v>1008</v>
      </c>
      <c r="C8958" s="76" t="s">
        <v>1281</v>
      </c>
      <c r="D8958" s="75"/>
    </row>
    <row hidden="true" r="8959">
      <c r="A8959" s="76" t="s">
        <v>1397</v>
      </c>
      <c r="B8959" s="76" t="s">
        <v>1010</v>
      </c>
      <c r="C8959" s="76" t="s">
        <v>1281</v>
      </c>
      <c r="D8959" s="75"/>
    </row>
    <row hidden="true" r="8960">
      <c r="A8960" s="76" t="s">
        <v>1397</v>
      </c>
      <c r="B8960" s="76" t="s">
        <v>1315</v>
      </c>
      <c r="C8960" s="76" t="s">
        <v>1281</v>
      </c>
      <c r="D8960" s="75"/>
    </row>
    <row hidden="true" r="8961">
      <c r="A8961" s="76" t="s">
        <v>1397</v>
      </c>
      <c r="B8961" s="76" t="s">
        <v>1014</v>
      </c>
      <c r="C8961" s="76" t="s">
        <v>1281</v>
      </c>
      <c r="D8961" s="75"/>
    </row>
    <row hidden="true" r="8962">
      <c r="A8962" s="76" t="s">
        <v>1397</v>
      </c>
      <c r="B8962" s="76" t="s">
        <v>1016</v>
      </c>
      <c r="C8962" s="76" t="s">
        <v>1281</v>
      </c>
      <c r="D8962" s="75"/>
    </row>
    <row hidden="true" r="8963">
      <c r="A8963" s="76" t="s">
        <v>1397</v>
      </c>
      <c r="B8963" s="76" t="s">
        <v>1018</v>
      </c>
      <c r="C8963" s="76" t="s">
        <v>1281</v>
      </c>
      <c r="D8963" s="75"/>
    </row>
    <row hidden="true" r="8964">
      <c r="A8964" s="76" t="s">
        <v>1397</v>
      </c>
      <c r="B8964" s="76" t="s">
        <v>1020</v>
      </c>
      <c r="C8964" s="76" t="s">
        <v>1281</v>
      </c>
      <c r="D8964" s="75"/>
    </row>
    <row hidden="true" r="8965">
      <c r="A8965" s="76" t="s">
        <v>1397</v>
      </c>
      <c r="B8965" s="76" t="s">
        <v>1022</v>
      </c>
      <c r="C8965" s="76" t="s">
        <v>1281</v>
      </c>
      <c r="D8965" s="75"/>
    </row>
    <row hidden="true" r="8966">
      <c r="A8966" s="76" t="s">
        <v>1397</v>
      </c>
      <c r="B8966" s="76" t="s">
        <v>1023</v>
      </c>
      <c r="C8966" s="76" t="s">
        <v>1281</v>
      </c>
      <c r="D8966" s="75"/>
    </row>
    <row hidden="true" r="8967">
      <c r="A8967" s="76" t="s">
        <v>1397</v>
      </c>
      <c r="B8967" s="76" t="s">
        <v>1024</v>
      </c>
      <c r="C8967" s="76" t="s">
        <v>1281</v>
      </c>
      <c r="D8967" s="75"/>
    </row>
    <row hidden="true" r="8968">
      <c r="A8968" s="76" t="s">
        <v>1397</v>
      </c>
      <c r="B8968" s="76" t="s">
        <v>1025</v>
      </c>
      <c r="C8968" s="76" t="s">
        <v>1281</v>
      </c>
      <c r="D8968" s="75"/>
    </row>
    <row hidden="true" r="8969">
      <c r="A8969" s="76" t="s">
        <v>1397</v>
      </c>
      <c r="B8969" s="76" t="s">
        <v>1026</v>
      </c>
      <c r="C8969" s="76" t="s">
        <v>1281</v>
      </c>
      <c r="D8969" s="75"/>
    </row>
    <row hidden="true" r="8970">
      <c r="A8970" s="76" t="s">
        <v>1397</v>
      </c>
      <c r="B8970" s="76" t="s">
        <v>1027</v>
      </c>
      <c r="C8970" s="76" t="s">
        <v>1281</v>
      </c>
      <c r="D8970" s="75"/>
    </row>
    <row hidden="true" r="8971">
      <c r="A8971" s="76" t="s">
        <v>1397</v>
      </c>
      <c r="B8971" s="76" t="s">
        <v>1133</v>
      </c>
      <c r="C8971" s="76" t="s">
        <v>1281</v>
      </c>
      <c r="D8971" s="75"/>
    </row>
    <row hidden="true" r="8972">
      <c r="A8972" s="76" t="s">
        <v>1397</v>
      </c>
      <c r="B8972" s="76" t="s">
        <v>1317</v>
      </c>
      <c r="C8972" s="76" t="s">
        <v>1281</v>
      </c>
      <c r="D8972" s="75"/>
    </row>
    <row hidden="true" r="8973">
      <c r="A8973" s="76" t="s">
        <v>1397</v>
      </c>
      <c r="B8973" s="76" t="s">
        <v>1319</v>
      </c>
      <c r="C8973" s="76" t="s">
        <v>1281</v>
      </c>
      <c r="D8973" s="75"/>
    </row>
    <row hidden="true" r="8974">
      <c r="A8974" s="76" t="s">
        <v>1397</v>
      </c>
      <c r="B8974" s="76" t="s">
        <v>1028</v>
      </c>
      <c r="C8974" s="76" t="s">
        <v>1281</v>
      </c>
      <c r="D8974" s="75"/>
    </row>
    <row hidden="true" r="8975">
      <c r="A8975" s="76" t="s">
        <v>1397</v>
      </c>
      <c r="B8975" s="76" t="s">
        <v>988</v>
      </c>
      <c r="C8975" s="76" t="s">
        <v>1281</v>
      </c>
      <c r="D8975" s="75"/>
    </row>
    <row hidden="true" r="8976">
      <c r="A8976" s="76" t="s">
        <v>1397</v>
      </c>
      <c r="B8976" s="76" t="s">
        <v>990</v>
      </c>
      <c r="C8976" s="76" t="s">
        <v>1281</v>
      </c>
      <c r="D8976" s="75"/>
    </row>
    <row hidden="true" r="8977">
      <c r="A8977" s="76" t="s">
        <v>1397</v>
      </c>
      <c r="B8977" s="76" t="s">
        <v>992</v>
      </c>
      <c r="C8977" s="76" t="s">
        <v>1281</v>
      </c>
      <c r="D8977" s="75"/>
    </row>
    <row hidden="true" r="8978">
      <c r="A8978" s="76" t="s">
        <v>1397</v>
      </c>
      <c r="B8978" s="76" t="s">
        <v>530</v>
      </c>
      <c r="C8978" s="76" t="s">
        <v>1281</v>
      </c>
      <c r="D8978" s="75"/>
    </row>
    <row hidden="true" r="8979">
      <c r="A8979" s="76" t="s">
        <v>1397</v>
      </c>
      <c r="B8979" s="76" t="s">
        <v>1032</v>
      </c>
      <c r="C8979" s="76" t="s">
        <v>1281</v>
      </c>
      <c r="D8979" s="75"/>
    </row>
    <row hidden="true" r="8980">
      <c r="A8980" s="76" t="s">
        <v>1397</v>
      </c>
      <c r="B8980" s="76" t="s">
        <v>532</v>
      </c>
      <c r="C8980" s="76" t="s">
        <v>1281</v>
      </c>
      <c r="D8980" s="75"/>
    </row>
    <row hidden="true" r="8981">
      <c r="A8981" s="76" t="s">
        <v>1397</v>
      </c>
      <c r="B8981" s="76" t="s">
        <v>1036</v>
      </c>
      <c r="C8981" s="76" t="s">
        <v>1281</v>
      </c>
      <c r="D8981" s="75"/>
    </row>
    <row hidden="true" r="8982">
      <c r="A8982" s="76" t="s">
        <v>1397</v>
      </c>
      <c r="B8982" s="76" t="s">
        <v>1038</v>
      </c>
      <c r="C8982" s="76" t="s">
        <v>1281</v>
      </c>
      <c r="D8982" s="75"/>
    </row>
    <row hidden="true" r="8983">
      <c r="A8983" s="76" t="s">
        <v>1397</v>
      </c>
      <c r="B8983" s="76" t="s">
        <v>1321</v>
      </c>
      <c r="C8983" s="76" t="s">
        <v>1281</v>
      </c>
      <c r="D8983" s="75"/>
    </row>
    <row hidden="true" r="8984">
      <c r="A8984" s="76" t="s">
        <v>1397</v>
      </c>
      <c r="B8984" s="76" t="s">
        <v>1323</v>
      </c>
      <c r="C8984" s="76" t="s">
        <v>1281</v>
      </c>
      <c r="D8984" s="75"/>
    </row>
    <row hidden="true" r="8985">
      <c r="A8985" s="76" t="s">
        <v>1397</v>
      </c>
      <c r="B8985" s="76" t="s">
        <v>1012</v>
      </c>
      <c r="C8985" s="76" t="s">
        <v>1281</v>
      </c>
      <c r="D8985" s="75"/>
    </row>
    <row hidden="true" r="8986">
      <c r="A8986" s="76" t="s">
        <v>1397</v>
      </c>
      <c r="B8986" s="76" t="s">
        <v>1052</v>
      </c>
      <c r="C8986" s="76" t="s">
        <v>1281</v>
      </c>
      <c r="D8986" s="75"/>
    </row>
    <row hidden="true" r="8987">
      <c r="A8987" s="76" t="s">
        <v>1397</v>
      </c>
      <c r="B8987" s="76" t="s">
        <v>1054</v>
      </c>
      <c r="C8987" s="76" t="s">
        <v>1281</v>
      </c>
      <c r="D8987" s="75"/>
    </row>
    <row hidden="true" r="8988">
      <c r="A8988" s="76" t="s">
        <v>1397</v>
      </c>
      <c r="B8988" s="76" t="s">
        <v>1056</v>
      </c>
      <c r="C8988" s="76" t="s">
        <v>1281</v>
      </c>
      <c r="D8988" s="75"/>
    </row>
    <row hidden="true" r="8989">
      <c r="A8989" s="76" t="s">
        <v>1397</v>
      </c>
      <c r="B8989" s="76" t="s">
        <v>1058</v>
      </c>
      <c r="C8989" s="76" t="s">
        <v>1281</v>
      </c>
      <c r="D8989" s="75"/>
    </row>
    <row hidden="true" r="8990">
      <c r="A8990" s="76" t="s">
        <v>1397</v>
      </c>
      <c r="B8990" s="76" t="s">
        <v>1060</v>
      </c>
      <c r="C8990" s="76" t="s">
        <v>1281</v>
      </c>
      <c r="D8990" s="75"/>
    </row>
    <row hidden="true" r="8991">
      <c r="A8991" s="76" t="s">
        <v>1397</v>
      </c>
      <c r="B8991" s="76" t="s">
        <v>1062</v>
      </c>
      <c r="C8991" s="76" t="s">
        <v>1281</v>
      </c>
      <c r="D8991" s="75"/>
    </row>
    <row hidden="true" r="8992">
      <c r="A8992" s="76" t="s">
        <v>1397</v>
      </c>
      <c r="B8992" s="76" t="s">
        <v>1064</v>
      </c>
      <c r="C8992" s="76" t="s">
        <v>1281</v>
      </c>
      <c r="D8992" s="75"/>
    </row>
    <row hidden="true" r="8993">
      <c r="A8993" s="76" t="s">
        <v>1397</v>
      </c>
      <c r="B8993" s="76" t="s">
        <v>1066</v>
      </c>
      <c r="C8993" s="76" t="s">
        <v>1281</v>
      </c>
      <c r="D8993" s="75"/>
    </row>
    <row hidden="true" r="8994">
      <c r="A8994" s="76" t="s">
        <v>1397</v>
      </c>
      <c r="B8994" s="76" t="s">
        <v>1068</v>
      </c>
      <c r="C8994" s="76" t="s">
        <v>1281</v>
      </c>
      <c r="D8994" s="75"/>
    </row>
    <row hidden="true" r="8995">
      <c r="A8995" s="76" t="s">
        <v>1397</v>
      </c>
      <c r="B8995" s="76" t="s">
        <v>1070</v>
      </c>
      <c r="C8995" s="76" t="s">
        <v>1281</v>
      </c>
      <c r="D8995" s="75"/>
    </row>
    <row hidden="true" r="8996">
      <c r="A8996" s="76" t="s">
        <v>1397</v>
      </c>
      <c r="B8996" s="76" t="s">
        <v>1071</v>
      </c>
      <c r="C8996" s="76" t="s">
        <v>1281</v>
      </c>
      <c r="D8996" s="75"/>
    </row>
    <row hidden="true" r="8997">
      <c r="A8997" s="76" t="s">
        <v>1397</v>
      </c>
      <c r="B8997" s="76" t="s">
        <v>1072</v>
      </c>
      <c r="C8997" s="76" t="s">
        <v>1281</v>
      </c>
      <c r="D8997" s="75"/>
    </row>
    <row hidden="true" r="8998">
      <c r="A8998" s="76" t="s">
        <v>1397</v>
      </c>
      <c r="B8998" s="76" t="s">
        <v>1074</v>
      </c>
      <c r="C8998" s="76" t="s">
        <v>1281</v>
      </c>
      <c r="D8998" s="75"/>
    </row>
    <row hidden="true" r="8999">
      <c r="A8999" s="76" t="s">
        <v>1397</v>
      </c>
      <c r="B8999" s="76" t="s">
        <v>1075</v>
      </c>
      <c r="C8999" s="76" t="s">
        <v>1281</v>
      </c>
      <c r="D8999" s="75"/>
    </row>
    <row hidden="true" r="9000">
      <c r="A9000" s="76" t="s">
        <v>1397</v>
      </c>
      <c r="B9000" s="76" t="s">
        <v>1082</v>
      </c>
      <c r="C9000" s="76" t="s">
        <v>1281</v>
      </c>
      <c r="D9000" s="75"/>
    </row>
    <row hidden="true" r="9001">
      <c r="A9001" s="76" t="s">
        <v>1397</v>
      </c>
      <c r="B9001" s="76" t="s">
        <v>1084</v>
      </c>
      <c r="C9001" s="76" t="s">
        <v>1281</v>
      </c>
      <c r="D9001" s="75"/>
    </row>
    <row hidden="true" r="9002">
      <c r="A9002" s="76" t="s">
        <v>1397</v>
      </c>
      <c r="B9002" s="76" t="s">
        <v>1086</v>
      </c>
      <c r="C9002" s="76" t="s">
        <v>1281</v>
      </c>
      <c r="D9002" s="75"/>
    </row>
    <row hidden="true" r="9003">
      <c r="A9003" s="76" t="s">
        <v>1397</v>
      </c>
      <c r="B9003" s="76" t="s">
        <v>1088</v>
      </c>
      <c r="C9003" s="76" t="s">
        <v>1281</v>
      </c>
      <c r="D9003" s="75"/>
    </row>
    <row hidden="true" r="9004">
      <c r="A9004" s="76" t="s">
        <v>1397</v>
      </c>
      <c r="B9004" s="76" t="s">
        <v>1076</v>
      </c>
      <c r="C9004" s="76" t="s">
        <v>1281</v>
      </c>
      <c r="D9004" s="75"/>
    </row>
    <row hidden="true" r="9005">
      <c r="A9005" s="76" t="s">
        <v>1397</v>
      </c>
      <c r="B9005" s="76" t="s">
        <v>1078</v>
      </c>
      <c r="C9005" s="76" t="s">
        <v>1281</v>
      </c>
      <c r="D9005" s="75"/>
    </row>
    <row hidden="true" r="9006">
      <c r="A9006" s="76" t="s">
        <v>1397</v>
      </c>
      <c r="B9006" s="76" t="s">
        <v>1040</v>
      </c>
      <c r="C9006" s="76" t="s">
        <v>1281</v>
      </c>
      <c r="D9006" s="75"/>
    </row>
    <row hidden="true" r="9007">
      <c r="A9007" s="76" t="s">
        <v>1397</v>
      </c>
      <c r="B9007" s="76" t="s">
        <v>839</v>
      </c>
      <c r="C9007" s="76" t="s">
        <v>1281</v>
      </c>
      <c r="D9007" s="75"/>
    </row>
    <row hidden="true" r="9008">
      <c r="A9008" s="76" t="s">
        <v>1397</v>
      </c>
      <c r="B9008" s="76" t="s">
        <v>1121</v>
      </c>
      <c r="C9008" s="76" t="s">
        <v>1281</v>
      </c>
      <c r="D9008" s="75"/>
    </row>
    <row hidden="true" r="9009">
      <c r="A9009" s="76" t="s">
        <v>1397</v>
      </c>
      <c r="B9009" s="76" t="s">
        <v>1325</v>
      </c>
      <c r="C9009" s="76" t="s">
        <v>1281</v>
      </c>
      <c r="D9009" s="75"/>
    </row>
    <row hidden="true" r="9010">
      <c r="A9010" s="76" t="s">
        <v>1397</v>
      </c>
      <c r="B9010" s="76" t="s">
        <v>1080</v>
      </c>
      <c r="C9010" s="76" t="s">
        <v>1281</v>
      </c>
      <c r="D9010" s="75"/>
    </row>
    <row hidden="true" r="9011">
      <c r="A9011" s="76" t="s">
        <v>1397</v>
      </c>
      <c r="B9011" s="76" t="s">
        <v>1327</v>
      </c>
      <c r="C9011" s="76" t="s">
        <v>1281</v>
      </c>
      <c r="D9011" s="75"/>
    </row>
    <row hidden="true" r="9012">
      <c r="A9012" s="76" t="s">
        <v>1397</v>
      </c>
      <c r="B9012" s="76" t="s">
        <v>1090</v>
      </c>
      <c r="C9012" s="76" t="s">
        <v>1281</v>
      </c>
      <c r="D9012" s="75"/>
    </row>
    <row hidden="true" r="9013">
      <c r="A9013" s="76" t="s">
        <v>1397</v>
      </c>
      <c r="B9013" s="76" t="s">
        <v>1092</v>
      </c>
      <c r="C9013" s="76" t="s">
        <v>1281</v>
      </c>
      <c r="D9013" s="75"/>
    </row>
    <row hidden="true" r="9014">
      <c r="A9014" s="76" t="s">
        <v>1397</v>
      </c>
      <c r="B9014" s="76" t="s">
        <v>1093</v>
      </c>
      <c r="C9014" s="76" t="s">
        <v>1281</v>
      </c>
      <c r="D9014" s="75"/>
    </row>
    <row hidden="true" r="9015">
      <c r="A9015" s="76" t="s">
        <v>1397</v>
      </c>
      <c r="B9015" s="76" t="s">
        <v>1095</v>
      </c>
      <c r="C9015" s="76" t="s">
        <v>1281</v>
      </c>
      <c r="D9015" s="75"/>
    </row>
    <row hidden="true" r="9016">
      <c r="A9016" s="76" t="s">
        <v>1397</v>
      </c>
      <c r="B9016" s="76" t="s">
        <v>1097</v>
      </c>
      <c r="C9016" s="76" t="s">
        <v>1281</v>
      </c>
      <c r="D9016" s="75"/>
    </row>
    <row hidden="true" r="9017">
      <c r="A9017" s="76" t="s">
        <v>1397</v>
      </c>
      <c r="B9017" s="76" t="s">
        <v>1103</v>
      </c>
      <c r="C9017" s="76" t="s">
        <v>1281</v>
      </c>
      <c r="D9017" s="75"/>
    </row>
    <row hidden="true" r="9018">
      <c r="A9018" s="76" t="s">
        <v>1397</v>
      </c>
      <c r="B9018" s="76" t="s">
        <v>1329</v>
      </c>
      <c r="C9018" s="76" t="s">
        <v>1281</v>
      </c>
      <c r="D9018" s="75"/>
    </row>
    <row hidden="true" r="9019">
      <c r="A9019" s="76" t="s">
        <v>1397</v>
      </c>
      <c r="B9019" s="76" t="s">
        <v>1113</v>
      </c>
      <c r="C9019" s="76" t="s">
        <v>1281</v>
      </c>
      <c r="D9019" s="75"/>
    </row>
    <row hidden="true" r="9020">
      <c r="A9020" s="76" t="s">
        <v>1397</v>
      </c>
      <c r="B9020" s="76" t="s">
        <v>1115</v>
      </c>
      <c r="C9020" s="76" t="s">
        <v>1281</v>
      </c>
      <c r="D9020" s="75"/>
    </row>
    <row hidden="true" r="9021">
      <c r="A9021" s="76" t="s">
        <v>1397</v>
      </c>
      <c r="B9021" s="76" t="s">
        <v>1117</v>
      </c>
      <c r="C9021" s="76" t="s">
        <v>1281</v>
      </c>
      <c r="D9021" s="75"/>
    </row>
    <row hidden="true" r="9022">
      <c r="A9022" s="76" t="s">
        <v>1397</v>
      </c>
      <c r="B9022" s="76" t="s">
        <v>1119</v>
      </c>
      <c r="C9022" s="76" t="s">
        <v>1281</v>
      </c>
      <c r="D9022" s="75"/>
    </row>
    <row hidden="true" r="9023">
      <c r="A9023" s="76" t="s">
        <v>1397</v>
      </c>
      <c r="B9023" s="76" t="s">
        <v>1127</v>
      </c>
      <c r="C9023" s="76" t="s">
        <v>1281</v>
      </c>
      <c r="D9023" s="75"/>
    </row>
    <row hidden="true" r="9024">
      <c r="A9024" s="76" t="s">
        <v>1397</v>
      </c>
      <c r="B9024" s="76" t="s">
        <v>1129</v>
      </c>
      <c r="C9024" s="76" t="s">
        <v>1281</v>
      </c>
      <c r="D9024" s="75"/>
    </row>
    <row hidden="true" r="9025">
      <c r="A9025" s="76" t="s">
        <v>1397</v>
      </c>
      <c r="B9025" s="76" t="s">
        <v>1131</v>
      </c>
      <c r="C9025" s="76" t="s">
        <v>1281</v>
      </c>
      <c r="D9025" s="75"/>
    </row>
    <row hidden="true" r="9026">
      <c r="A9026" s="76" t="s">
        <v>1397</v>
      </c>
      <c r="B9026" s="76" t="s">
        <v>1137</v>
      </c>
      <c r="C9026" s="76" t="s">
        <v>1281</v>
      </c>
      <c r="D9026" s="75"/>
    </row>
    <row hidden="true" r="9027">
      <c r="A9027" s="76" t="s">
        <v>1397</v>
      </c>
      <c r="B9027" s="76" t="s">
        <v>1139</v>
      </c>
      <c r="C9027" s="76" t="s">
        <v>1281</v>
      </c>
      <c r="D9027" s="75"/>
    </row>
    <row hidden="true" r="9028">
      <c r="A9028" s="76" t="s">
        <v>1397</v>
      </c>
      <c r="B9028" s="76" t="s">
        <v>1141</v>
      </c>
      <c r="C9028" s="76" t="s">
        <v>1281</v>
      </c>
      <c r="D9028" s="75"/>
    </row>
    <row hidden="true" r="9029">
      <c r="A9029" s="76" t="s">
        <v>1397</v>
      </c>
      <c r="B9029" s="76" t="s">
        <v>1143</v>
      </c>
      <c r="C9029" s="76" t="s">
        <v>1281</v>
      </c>
      <c r="D9029" s="75"/>
    </row>
    <row hidden="true" r="9030">
      <c r="A9030" s="76" t="s">
        <v>1397</v>
      </c>
      <c r="B9030" s="76" t="s">
        <v>1145</v>
      </c>
      <c r="C9030" s="76" t="s">
        <v>1281</v>
      </c>
      <c r="D9030" s="75"/>
    </row>
    <row hidden="true" r="9031">
      <c r="A9031" s="76" t="s">
        <v>1397</v>
      </c>
      <c r="B9031" s="76" t="s">
        <v>1147</v>
      </c>
      <c r="C9031" s="76" t="s">
        <v>1281</v>
      </c>
      <c r="D9031" s="75"/>
    </row>
    <row hidden="true" r="9032">
      <c r="A9032" s="76" t="s">
        <v>1397</v>
      </c>
      <c r="B9032" s="76" t="s">
        <v>1153</v>
      </c>
      <c r="C9032" s="76" t="s">
        <v>1281</v>
      </c>
      <c r="D9032" s="75"/>
    </row>
    <row hidden="true" r="9033">
      <c r="A9033" s="76" t="s">
        <v>1397</v>
      </c>
      <c r="B9033" s="76" t="s">
        <v>1155</v>
      </c>
      <c r="C9033" s="76" t="s">
        <v>1281</v>
      </c>
      <c r="D9033" s="75"/>
    </row>
    <row hidden="true" r="9034">
      <c r="A9034" s="76" t="s">
        <v>1397</v>
      </c>
      <c r="B9034" s="76" t="s">
        <v>1157</v>
      </c>
      <c r="C9034" s="76" t="s">
        <v>1281</v>
      </c>
      <c r="D9034" s="75"/>
    </row>
    <row hidden="true" r="9035">
      <c r="A9035" s="76" t="s">
        <v>1397</v>
      </c>
      <c r="B9035" s="76" t="s">
        <v>1159</v>
      </c>
      <c r="C9035" s="76" t="s">
        <v>1281</v>
      </c>
      <c r="D9035" s="75"/>
    </row>
    <row hidden="true" r="9036">
      <c r="A9036" s="76" t="s">
        <v>1397</v>
      </c>
      <c r="B9036" s="76" t="s">
        <v>1161</v>
      </c>
      <c r="C9036" s="76" t="s">
        <v>1281</v>
      </c>
      <c r="D9036" s="75"/>
    </row>
    <row hidden="true" r="9037">
      <c r="A9037" s="76" t="s">
        <v>1397</v>
      </c>
      <c r="B9037" s="76" t="s">
        <v>1163</v>
      </c>
      <c r="C9037" s="76" t="s">
        <v>1281</v>
      </c>
      <c r="D9037" s="75"/>
    </row>
    <row hidden="true" r="9038">
      <c r="A9038" s="76" t="s">
        <v>1397</v>
      </c>
      <c r="B9038" s="76" t="s">
        <v>1165</v>
      </c>
      <c r="C9038" s="76" t="s">
        <v>1281</v>
      </c>
      <c r="D9038" s="75"/>
    </row>
    <row hidden="true" r="9039">
      <c r="A9039" s="76" t="s">
        <v>1397</v>
      </c>
      <c r="B9039" s="76" t="s">
        <v>1331</v>
      </c>
      <c r="C9039" s="76" t="s">
        <v>1281</v>
      </c>
      <c r="D9039" s="75"/>
    </row>
    <row hidden="true" r="9040">
      <c r="A9040" s="76" t="s">
        <v>1397</v>
      </c>
      <c r="B9040" s="76" t="s">
        <v>1333</v>
      </c>
      <c r="C9040" s="76" t="s">
        <v>1281</v>
      </c>
      <c r="D9040" s="75"/>
    </row>
    <row hidden="true" r="9041">
      <c r="A9041" s="76" t="s">
        <v>1397</v>
      </c>
      <c r="B9041" s="76" t="s">
        <v>1335</v>
      </c>
      <c r="C9041" s="76" t="s">
        <v>1281</v>
      </c>
      <c r="D9041" s="75"/>
    </row>
    <row hidden="true" r="9042">
      <c r="A9042" s="76" t="s">
        <v>1397</v>
      </c>
      <c r="B9042" s="76" t="s">
        <v>1337</v>
      </c>
      <c r="C9042" s="76" t="s">
        <v>1281</v>
      </c>
      <c r="D9042" s="75"/>
    </row>
    <row hidden="true" r="9043">
      <c r="A9043" s="76" t="s">
        <v>1397</v>
      </c>
      <c r="B9043" s="76" t="s">
        <v>1339</v>
      </c>
      <c r="C9043" s="76" t="s">
        <v>1281</v>
      </c>
      <c r="D9043" s="75"/>
    </row>
    <row hidden="true" r="9044">
      <c r="A9044" s="76" t="s">
        <v>1397</v>
      </c>
      <c r="B9044" s="76" t="s">
        <v>1341</v>
      </c>
      <c r="C9044" s="76" t="s">
        <v>1281</v>
      </c>
      <c r="D9044" s="75"/>
    </row>
    <row hidden="true" r="9045">
      <c r="A9045" s="76" t="s">
        <v>1397</v>
      </c>
      <c r="B9045" s="76" t="s">
        <v>1044</v>
      </c>
      <c r="C9045" s="76" t="s">
        <v>1281</v>
      </c>
      <c r="D9045" s="75"/>
    </row>
    <row hidden="true" r="9046">
      <c r="A9046" s="76" t="s">
        <v>1397</v>
      </c>
      <c r="B9046" s="76" t="s">
        <v>1046</v>
      </c>
      <c r="C9046" s="76" t="s">
        <v>1281</v>
      </c>
      <c r="D9046" s="75"/>
    </row>
    <row hidden="true" r="9047">
      <c r="A9047" s="76" t="s">
        <v>1397</v>
      </c>
      <c r="B9047" s="76" t="s">
        <v>1048</v>
      </c>
      <c r="C9047" s="76" t="s">
        <v>1281</v>
      </c>
      <c r="D9047" s="75"/>
    </row>
    <row hidden="true" r="9048">
      <c r="A9048" s="76" t="s">
        <v>1397</v>
      </c>
      <c r="B9048" s="76" t="s">
        <v>1167</v>
      </c>
      <c r="C9048" s="76" t="s">
        <v>1281</v>
      </c>
      <c r="D9048" s="75"/>
    </row>
    <row hidden="true" r="9049">
      <c r="A9049" s="76" t="s">
        <v>1397</v>
      </c>
      <c r="B9049" s="76" t="s">
        <v>1169</v>
      </c>
      <c r="C9049" s="76" t="s">
        <v>1281</v>
      </c>
      <c r="D9049" s="75"/>
    </row>
    <row hidden="true" r="9050">
      <c r="A9050" s="76" t="s">
        <v>1397</v>
      </c>
      <c r="B9050" s="76" t="s">
        <v>1171</v>
      </c>
      <c r="C9050" s="76" t="s">
        <v>1281</v>
      </c>
      <c r="D9050" s="75"/>
    </row>
    <row hidden="true" r="9051">
      <c r="A9051" s="76" t="s">
        <v>1397</v>
      </c>
      <c r="B9051" s="76" t="s">
        <v>1173</v>
      </c>
      <c r="C9051" s="76" t="s">
        <v>1281</v>
      </c>
      <c r="D9051" s="75"/>
    </row>
    <row hidden="true" r="9052">
      <c r="A9052" s="76" t="s">
        <v>1397</v>
      </c>
      <c r="B9052" s="76" t="s">
        <v>1175</v>
      </c>
      <c r="C9052" s="76" t="s">
        <v>1281</v>
      </c>
      <c r="D9052" s="75"/>
    </row>
    <row hidden="true" r="9053">
      <c r="A9053" s="76" t="s">
        <v>1397</v>
      </c>
      <c r="B9053" s="76" t="s">
        <v>1177</v>
      </c>
      <c r="C9053" s="76" t="s">
        <v>1281</v>
      </c>
      <c r="D9053" s="75"/>
    </row>
    <row hidden="true" r="9054">
      <c r="A9054" s="76" t="s">
        <v>1397</v>
      </c>
      <c r="B9054" s="76" t="s">
        <v>1135</v>
      </c>
      <c r="C9054" s="76" t="s">
        <v>1281</v>
      </c>
      <c r="D9054" s="75"/>
    </row>
    <row hidden="true" r="9055">
      <c r="A9055" s="76" t="s">
        <v>1397</v>
      </c>
      <c r="B9055" s="76" t="s">
        <v>1179</v>
      </c>
      <c r="C9055" s="76" t="s">
        <v>1281</v>
      </c>
      <c r="D9055" s="75"/>
    </row>
    <row hidden="true" r="9056">
      <c r="A9056" s="76" t="s">
        <v>1397</v>
      </c>
      <c r="B9056" s="76" t="s">
        <v>1181</v>
      </c>
      <c r="C9056" s="76" t="s">
        <v>1281</v>
      </c>
      <c r="D9056" s="75"/>
    </row>
    <row hidden="true" r="9057">
      <c r="A9057" s="76" t="s">
        <v>1397</v>
      </c>
      <c r="B9057" s="76" t="s">
        <v>1183</v>
      </c>
      <c r="C9057" s="76" t="s">
        <v>1281</v>
      </c>
      <c r="D9057" s="75"/>
    </row>
    <row hidden="true" r="9058">
      <c r="A9058" s="76" t="s">
        <v>1397</v>
      </c>
      <c r="B9058" s="76" t="s">
        <v>1185</v>
      </c>
      <c r="C9058" s="76" t="s">
        <v>1281</v>
      </c>
      <c r="D9058" s="75"/>
    </row>
    <row hidden="true" r="9059">
      <c r="A9059" s="76" t="s">
        <v>1397</v>
      </c>
      <c r="B9059" s="76" t="s">
        <v>1187</v>
      </c>
      <c r="C9059" s="76" t="s">
        <v>1281</v>
      </c>
      <c r="D9059" s="75"/>
    </row>
    <row hidden="true" r="9060">
      <c r="A9060" s="76" t="s">
        <v>1397</v>
      </c>
      <c r="B9060" s="76" t="s">
        <v>1189</v>
      </c>
      <c r="C9060" s="76" t="s">
        <v>1281</v>
      </c>
      <c r="D9060" s="75"/>
    </row>
    <row hidden="true" r="9061">
      <c r="A9061" s="76" t="s">
        <v>1397</v>
      </c>
      <c r="B9061" s="76" t="s">
        <v>1199</v>
      </c>
      <c r="C9061" s="76" t="s">
        <v>1281</v>
      </c>
      <c r="D9061" s="75"/>
    </row>
    <row hidden="true" r="9062">
      <c r="A9062" s="76" t="s">
        <v>1397</v>
      </c>
      <c r="B9062" s="76" t="s">
        <v>1201</v>
      </c>
      <c r="C9062" s="76" t="s">
        <v>1281</v>
      </c>
      <c r="D9062" s="75"/>
    </row>
    <row hidden="true" r="9063">
      <c r="A9063" s="76" t="s">
        <v>1397</v>
      </c>
      <c r="B9063" s="76" t="s">
        <v>1203</v>
      </c>
      <c r="C9063" s="76" t="s">
        <v>1281</v>
      </c>
      <c r="D9063" s="75"/>
    </row>
    <row hidden="true" r="9064">
      <c r="A9064" s="76" t="s">
        <v>1397</v>
      </c>
      <c r="B9064" s="76" t="s">
        <v>1205</v>
      </c>
      <c r="C9064" s="76" t="s">
        <v>1281</v>
      </c>
      <c r="D9064" s="75"/>
    </row>
    <row hidden="true" r="9065">
      <c r="A9065" s="76" t="s">
        <v>1397</v>
      </c>
      <c r="B9065" s="76" t="s">
        <v>1207</v>
      </c>
      <c r="C9065" s="76" t="s">
        <v>1281</v>
      </c>
      <c r="D9065" s="75"/>
    </row>
    <row hidden="true" r="9066">
      <c r="A9066" s="76" t="s">
        <v>1397</v>
      </c>
      <c r="B9066" s="76" t="s">
        <v>1209</v>
      </c>
      <c r="C9066" s="76" t="s">
        <v>1281</v>
      </c>
      <c r="D9066" s="75"/>
    </row>
    <row hidden="true" r="9067">
      <c r="A9067" s="76" t="s">
        <v>1397</v>
      </c>
      <c r="B9067" s="76" t="s">
        <v>1211</v>
      </c>
      <c r="C9067" s="76" t="s">
        <v>1281</v>
      </c>
      <c r="D9067" s="75"/>
    </row>
    <row hidden="true" r="9068">
      <c r="A9068" s="76" t="s">
        <v>1397</v>
      </c>
      <c r="B9068" s="76" t="s">
        <v>1282</v>
      </c>
      <c r="C9068" s="76" t="s">
        <v>1281</v>
      </c>
      <c r="D9068" s="75"/>
    </row>
    <row hidden="true" r="9069">
      <c r="A9069" s="76" t="s">
        <v>1397</v>
      </c>
      <c r="B9069" s="76" t="s">
        <v>735</v>
      </c>
      <c r="C9069" s="76" t="s">
        <v>1283</v>
      </c>
      <c r="D9069" s="75"/>
    </row>
    <row hidden="true" r="9070">
      <c r="A9070" s="76" t="s">
        <v>1398</v>
      </c>
      <c r="B9070" s="76" t="s">
        <v>407</v>
      </c>
      <c r="C9070" s="76" t="s">
        <v>1281</v>
      </c>
      <c r="D9070" s="75"/>
    </row>
    <row hidden="true" r="9071">
      <c r="A9071" s="76" t="s">
        <v>1398</v>
      </c>
      <c r="B9071" s="76" t="s">
        <v>744</v>
      </c>
      <c r="C9071" s="76" t="s">
        <v>1281</v>
      </c>
      <c r="D9071" s="75"/>
    </row>
    <row hidden="true" r="9072">
      <c r="A9072" s="76" t="s">
        <v>1398</v>
      </c>
      <c r="B9072" s="76" t="s">
        <v>480</v>
      </c>
      <c r="C9072" s="76" t="s">
        <v>1281</v>
      </c>
      <c r="D9072" s="75"/>
    </row>
    <row hidden="true" r="9073">
      <c r="A9073" s="76" t="s">
        <v>1398</v>
      </c>
      <c r="B9073" s="76" t="s">
        <v>884</v>
      </c>
      <c r="C9073" s="76" t="s">
        <v>1281</v>
      </c>
      <c r="D9073" s="75"/>
    </row>
    <row hidden="true" r="9074">
      <c r="A9074" s="76" t="s">
        <v>1398</v>
      </c>
      <c r="B9074" s="76" t="s">
        <v>886</v>
      </c>
      <c r="C9074" s="76" t="s">
        <v>1281</v>
      </c>
      <c r="D9074" s="75"/>
    </row>
    <row hidden="true" r="9075">
      <c r="A9075" s="76" t="s">
        <v>1398</v>
      </c>
      <c r="B9075" s="76" t="s">
        <v>888</v>
      </c>
      <c r="C9075" s="76" t="s">
        <v>1281</v>
      </c>
      <c r="D9075" s="75"/>
    </row>
    <row hidden="true" r="9076">
      <c r="A9076" s="76" t="s">
        <v>1398</v>
      </c>
      <c r="B9076" s="76" t="s">
        <v>890</v>
      </c>
      <c r="C9076" s="76" t="s">
        <v>1281</v>
      </c>
      <c r="D9076" s="75"/>
    </row>
    <row hidden="true" r="9077">
      <c r="A9077" s="76" t="s">
        <v>1398</v>
      </c>
      <c r="B9077" s="76" t="s">
        <v>892</v>
      </c>
      <c r="C9077" s="76" t="s">
        <v>1281</v>
      </c>
      <c r="D9077" s="75"/>
    </row>
    <row hidden="true" r="9078">
      <c r="A9078" s="76" t="s">
        <v>1398</v>
      </c>
      <c r="B9078" s="76" t="s">
        <v>894</v>
      </c>
      <c r="C9078" s="76" t="s">
        <v>1281</v>
      </c>
      <c r="D9078" s="75"/>
    </row>
    <row hidden="true" r="9079">
      <c r="A9079" s="76" t="s">
        <v>1398</v>
      </c>
      <c r="B9079" s="76" t="s">
        <v>896</v>
      </c>
      <c r="C9079" s="76" t="s">
        <v>1281</v>
      </c>
      <c r="D9079" s="75"/>
    </row>
    <row hidden="true" r="9080">
      <c r="A9080" s="76" t="s">
        <v>1398</v>
      </c>
      <c r="B9080" s="76" t="s">
        <v>898</v>
      </c>
      <c r="C9080" s="76" t="s">
        <v>1281</v>
      </c>
      <c r="D9080" s="75"/>
    </row>
    <row hidden="true" r="9081">
      <c r="A9081" s="76" t="s">
        <v>1398</v>
      </c>
      <c r="B9081" s="76" t="s">
        <v>900</v>
      </c>
      <c r="C9081" s="76" t="s">
        <v>1281</v>
      </c>
      <c r="D9081" s="75"/>
    </row>
    <row hidden="true" r="9082">
      <c r="A9082" s="76" t="s">
        <v>1398</v>
      </c>
      <c r="B9082" s="76" t="s">
        <v>902</v>
      </c>
      <c r="C9082" s="76" t="s">
        <v>1281</v>
      </c>
      <c r="D9082" s="75"/>
    </row>
    <row hidden="true" r="9083">
      <c r="A9083" s="76" t="s">
        <v>1398</v>
      </c>
      <c r="B9083" s="76" t="s">
        <v>904</v>
      </c>
      <c r="C9083" s="76" t="s">
        <v>1281</v>
      </c>
      <c r="D9083" s="75"/>
    </row>
    <row hidden="true" r="9084">
      <c r="A9084" s="76" t="s">
        <v>1398</v>
      </c>
      <c r="B9084" s="76" t="s">
        <v>906</v>
      </c>
      <c r="C9084" s="76" t="s">
        <v>1281</v>
      </c>
      <c r="D9084" s="75"/>
    </row>
    <row hidden="true" r="9085">
      <c r="A9085" s="76" t="s">
        <v>1398</v>
      </c>
      <c r="B9085" s="76" t="s">
        <v>908</v>
      </c>
      <c r="C9085" s="76" t="s">
        <v>1281</v>
      </c>
      <c r="D9085" s="75"/>
    </row>
    <row hidden="true" r="9086">
      <c r="A9086" s="76" t="s">
        <v>1398</v>
      </c>
      <c r="B9086" s="76" t="s">
        <v>910</v>
      </c>
      <c r="C9086" s="76" t="s">
        <v>1281</v>
      </c>
      <c r="D9086" s="75"/>
    </row>
    <row hidden="true" r="9087">
      <c r="A9087" s="76" t="s">
        <v>1398</v>
      </c>
      <c r="B9087" s="76" t="s">
        <v>912</v>
      </c>
      <c r="C9087" s="76" t="s">
        <v>1281</v>
      </c>
      <c r="D9087" s="75"/>
    </row>
    <row hidden="true" r="9088">
      <c r="A9088" s="76" t="s">
        <v>1398</v>
      </c>
      <c r="B9088" s="76" t="s">
        <v>914</v>
      </c>
      <c r="C9088" s="76" t="s">
        <v>1281</v>
      </c>
      <c r="D9088" s="75"/>
    </row>
    <row hidden="true" r="9089">
      <c r="A9089" s="76" t="s">
        <v>1398</v>
      </c>
      <c r="B9089" s="76" t="s">
        <v>916</v>
      </c>
      <c r="C9089" s="76" t="s">
        <v>1281</v>
      </c>
      <c r="D9089" s="75"/>
    </row>
    <row hidden="true" r="9090">
      <c r="A9090" s="76" t="s">
        <v>1398</v>
      </c>
      <c r="B9090" s="76" t="s">
        <v>918</v>
      </c>
      <c r="C9090" s="76" t="s">
        <v>1281</v>
      </c>
      <c r="D9090" s="75"/>
    </row>
    <row hidden="true" r="9091">
      <c r="A9091" s="76" t="s">
        <v>1398</v>
      </c>
      <c r="B9091" s="76" t="s">
        <v>920</v>
      </c>
      <c r="C9091" s="76" t="s">
        <v>1281</v>
      </c>
      <c r="D9091" s="75"/>
    </row>
    <row hidden="true" r="9092">
      <c r="A9092" s="76" t="s">
        <v>1398</v>
      </c>
      <c r="B9092" s="76" t="s">
        <v>922</v>
      </c>
      <c r="C9092" s="76" t="s">
        <v>1281</v>
      </c>
      <c r="D9092" s="75"/>
    </row>
    <row hidden="true" r="9093">
      <c r="A9093" s="76" t="s">
        <v>1398</v>
      </c>
      <c r="B9093" s="76" t="s">
        <v>924</v>
      </c>
      <c r="C9093" s="76" t="s">
        <v>1281</v>
      </c>
      <c r="D9093" s="75"/>
    </row>
    <row hidden="true" r="9094">
      <c r="A9094" s="76" t="s">
        <v>1398</v>
      </c>
      <c r="B9094" s="76" t="s">
        <v>926</v>
      </c>
      <c r="C9094" s="76" t="s">
        <v>1281</v>
      </c>
      <c r="D9094" s="75"/>
    </row>
    <row hidden="true" r="9095">
      <c r="A9095" s="76" t="s">
        <v>1398</v>
      </c>
      <c r="B9095" s="76" t="s">
        <v>928</v>
      </c>
      <c r="C9095" s="76" t="s">
        <v>1281</v>
      </c>
      <c r="D9095" s="75"/>
    </row>
    <row hidden="true" r="9096">
      <c r="A9096" s="76" t="s">
        <v>1398</v>
      </c>
      <c r="B9096" s="76" t="s">
        <v>930</v>
      </c>
      <c r="C9096" s="76" t="s">
        <v>1281</v>
      </c>
      <c r="D9096" s="75"/>
    </row>
    <row hidden="true" r="9097">
      <c r="A9097" s="76" t="s">
        <v>1398</v>
      </c>
      <c r="B9097" s="76" t="s">
        <v>932</v>
      </c>
      <c r="C9097" s="76" t="s">
        <v>1281</v>
      </c>
      <c r="D9097" s="75"/>
    </row>
    <row hidden="true" r="9098">
      <c r="A9098" s="76" t="s">
        <v>1398</v>
      </c>
      <c r="B9098" s="76" t="s">
        <v>934</v>
      </c>
      <c r="C9098" s="76" t="s">
        <v>1281</v>
      </c>
      <c r="D9098" s="75"/>
    </row>
    <row hidden="true" r="9099">
      <c r="A9099" s="76" t="s">
        <v>1398</v>
      </c>
      <c r="B9099" s="76" t="s">
        <v>936</v>
      </c>
      <c r="C9099" s="76" t="s">
        <v>1281</v>
      </c>
      <c r="D9099" s="75"/>
    </row>
    <row hidden="true" r="9100">
      <c r="A9100" s="76" t="s">
        <v>1398</v>
      </c>
      <c r="B9100" s="76" t="s">
        <v>938</v>
      </c>
      <c r="C9100" s="76" t="s">
        <v>1281</v>
      </c>
      <c r="D9100" s="75"/>
    </row>
    <row hidden="true" r="9101">
      <c r="A9101" s="76" t="s">
        <v>1398</v>
      </c>
      <c r="B9101" s="76" t="s">
        <v>940</v>
      </c>
      <c r="C9101" s="76" t="s">
        <v>1281</v>
      </c>
      <c r="D9101" s="75"/>
    </row>
    <row hidden="true" r="9102">
      <c r="A9102" s="76" t="s">
        <v>1398</v>
      </c>
      <c r="B9102" s="76" t="s">
        <v>942</v>
      </c>
      <c r="C9102" s="76" t="s">
        <v>1281</v>
      </c>
      <c r="D9102" s="75"/>
    </row>
    <row hidden="true" r="9103">
      <c r="A9103" s="76" t="s">
        <v>1398</v>
      </c>
      <c r="B9103" s="76" t="s">
        <v>944</v>
      </c>
      <c r="C9103" s="76" t="s">
        <v>1281</v>
      </c>
      <c r="D9103" s="75"/>
    </row>
    <row hidden="true" r="9104">
      <c r="A9104" s="76" t="s">
        <v>1398</v>
      </c>
      <c r="B9104" s="76" t="s">
        <v>1305</v>
      </c>
      <c r="C9104" s="76" t="s">
        <v>1281</v>
      </c>
      <c r="D9104" s="75"/>
    </row>
    <row hidden="true" r="9105">
      <c r="A9105" s="76" t="s">
        <v>1398</v>
      </c>
      <c r="B9105" s="76" t="s">
        <v>1307</v>
      </c>
      <c r="C9105" s="76" t="s">
        <v>1281</v>
      </c>
      <c r="D9105" s="75"/>
    </row>
    <row hidden="true" r="9106">
      <c r="A9106" s="76" t="s">
        <v>1398</v>
      </c>
      <c r="B9106" s="76" t="s">
        <v>946</v>
      </c>
      <c r="C9106" s="76" t="s">
        <v>1281</v>
      </c>
      <c r="D9106" s="75"/>
    </row>
    <row hidden="true" r="9107">
      <c r="A9107" s="76" t="s">
        <v>1398</v>
      </c>
      <c r="B9107" s="76" t="s">
        <v>948</v>
      </c>
      <c r="C9107" s="76" t="s">
        <v>1281</v>
      </c>
      <c r="D9107" s="75"/>
    </row>
    <row hidden="true" r="9108">
      <c r="A9108" s="76" t="s">
        <v>1398</v>
      </c>
      <c r="B9108" s="76" t="s">
        <v>950</v>
      </c>
      <c r="C9108" s="76" t="s">
        <v>1281</v>
      </c>
      <c r="D9108" s="75"/>
    </row>
    <row hidden="true" r="9109">
      <c r="A9109" s="76" t="s">
        <v>1398</v>
      </c>
      <c r="B9109" s="76" t="s">
        <v>952</v>
      </c>
      <c r="C9109" s="76" t="s">
        <v>1281</v>
      </c>
      <c r="D9109" s="75"/>
    </row>
    <row hidden="true" r="9110">
      <c r="A9110" s="76" t="s">
        <v>1398</v>
      </c>
      <c r="B9110" s="76" t="s">
        <v>954</v>
      </c>
      <c r="C9110" s="76" t="s">
        <v>1281</v>
      </c>
      <c r="D9110" s="75"/>
    </row>
    <row hidden="true" r="9111">
      <c r="A9111" s="76" t="s">
        <v>1398</v>
      </c>
      <c r="B9111" s="76" t="s">
        <v>775</v>
      </c>
      <c r="C9111" s="76" t="s">
        <v>1281</v>
      </c>
      <c r="D9111" s="75"/>
    </row>
    <row hidden="true" r="9112">
      <c r="A9112" s="76" t="s">
        <v>1398</v>
      </c>
      <c r="B9112" s="76" t="s">
        <v>956</v>
      </c>
      <c r="C9112" s="76" t="s">
        <v>1281</v>
      </c>
      <c r="D9112" s="75"/>
    </row>
    <row hidden="true" r="9113">
      <c r="A9113" s="76" t="s">
        <v>1398</v>
      </c>
      <c r="B9113" s="76" t="s">
        <v>958</v>
      </c>
      <c r="C9113" s="76" t="s">
        <v>1281</v>
      </c>
      <c r="D9113" s="75"/>
    </row>
    <row hidden="true" r="9114">
      <c r="A9114" s="76" t="s">
        <v>1398</v>
      </c>
      <c r="B9114" s="76" t="s">
        <v>960</v>
      </c>
      <c r="C9114" s="76" t="s">
        <v>1281</v>
      </c>
      <c r="D9114" s="75"/>
    </row>
    <row hidden="true" r="9115">
      <c r="A9115" s="76" t="s">
        <v>1398</v>
      </c>
      <c r="B9115" s="76" t="s">
        <v>962</v>
      </c>
      <c r="C9115" s="76" t="s">
        <v>1281</v>
      </c>
      <c r="D9115" s="75"/>
    </row>
    <row hidden="true" r="9116">
      <c r="A9116" s="76" t="s">
        <v>1398</v>
      </c>
      <c r="B9116" s="76" t="s">
        <v>964</v>
      </c>
      <c r="C9116" s="76" t="s">
        <v>1281</v>
      </c>
      <c r="D9116" s="75"/>
    </row>
    <row hidden="true" r="9117">
      <c r="A9117" s="76" t="s">
        <v>1398</v>
      </c>
      <c r="B9117" s="76" t="s">
        <v>966</v>
      </c>
      <c r="C9117" s="76" t="s">
        <v>1281</v>
      </c>
      <c r="D9117" s="75"/>
    </row>
    <row hidden="true" r="9118">
      <c r="A9118" s="76" t="s">
        <v>1398</v>
      </c>
      <c r="B9118" s="76" t="s">
        <v>968</v>
      </c>
      <c r="C9118" s="76" t="s">
        <v>1281</v>
      </c>
      <c r="D9118" s="75"/>
    </row>
    <row hidden="true" r="9119">
      <c r="A9119" s="76" t="s">
        <v>1398</v>
      </c>
      <c r="B9119" s="76" t="s">
        <v>970</v>
      </c>
      <c r="C9119" s="76" t="s">
        <v>1281</v>
      </c>
      <c r="D9119" s="75"/>
    </row>
    <row hidden="true" r="9120">
      <c r="A9120" s="76" t="s">
        <v>1398</v>
      </c>
      <c r="B9120" s="76" t="s">
        <v>972</v>
      </c>
      <c r="C9120" s="76" t="s">
        <v>1281</v>
      </c>
      <c r="D9120" s="75"/>
    </row>
    <row hidden="true" r="9121">
      <c r="A9121" s="76" t="s">
        <v>1398</v>
      </c>
      <c r="B9121" s="76" t="s">
        <v>974</v>
      </c>
      <c r="C9121" s="76" t="s">
        <v>1281</v>
      </c>
      <c r="D9121" s="75"/>
    </row>
    <row hidden="true" r="9122">
      <c r="A9122" s="76" t="s">
        <v>1398</v>
      </c>
      <c r="B9122" s="76" t="s">
        <v>976</v>
      </c>
      <c r="C9122" s="76" t="s">
        <v>1281</v>
      </c>
      <c r="D9122" s="75"/>
    </row>
    <row hidden="true" r="9123">
      <c r="A9123" s="76" t="s">
        <v>1398</v>
      </c>
      <c r="B9123" s="76" t="s">
        <v>823</v>
      </c>
      <c r="C9123" s="76" t="s">
        <v>1281</v>
      </c>
      <c r="D9123" s="75"/>
    </row>
    <row hidden="true" r="9124">
      <c r="A9124" s="76" t="s">
        <v>1398</v>
      </c>
      <c r="B9124" s="76" t="s">
        <v>978</v>
      </c>
      <c r="C9124" s="76" t="s">
        <v>1281</v>
      </c>
      <c r="D9124" s="75"/>
    </row>
    <row hidden="true" r="9125">
      <c r="A9125" s="76" t="s">
        <v>1398</v>
      </c>
      <c r="B9125" s="76" t="s">
        <v>980</v>
      </c>
      <c r="C9125" s="76" t="s">
        <v>1281</v>
      </c>
      <c r="D9125" s="75"/>
    </row>
    <row hidden="true" r="9126">
      <c r="A9126" s="76" t="s">
        <v>1398</v>
      </c>
      <c r="B9126" s="76" t="s">
        <v>982</v>
      </c>
      <c r="C9126" s="76" t="s">
        <v>1281</v>
      </c>
      <c r="D9126" s="75"/>
    </row>
    <row hidden="true" r="9127">
      <c r="A9127" s="76" t="s">
        <v>1398</v>
      </c>
      <c r="B9127" s="76" t="s">
        <v>984</v>
      </c>
      <c r="C9127" s="76" t="s">
        <v>1281</v>
      </c>
      <c r="D9127" s="75"/>
    </row>
    <row hidden="true" r="9128">
      <c r="A9128" s="76" t="s">
        <v>1398</v>
      </c>
      <c r="B9128" s="76" t="s">
        <v>1309</v>
      </c>
      <c r="C9128" s="76" t="s">
        <v>1281</v>
      </c>
      <c r="D9128" s="75"/>
    </row>
    <row hidden="true" r="9129">
      <c r="A9129" s="76" t="s">
        <v>1398</v>
      </c>
      <c r="B9129" s="76" t="s">
        <v>1311</v>
      </c>
      <c r="C9129" s="76" t="s">
        <v>1281</v>
      </c>
      <c r="D9129" s="75"/>
    </row>
    <row hidden="true" r="9130">
      <c r="A9130" s="76" t="s">
        <v>1398</v>
      </c>
      <c r="B9130" s="76" t="s">
        <v>1099</v>
      </c>
      <c r="C9130" s="76" t="s">
        <v>1281</v>
      </c>
      <c r="D9130" s="75"/>
    </row>
    <row hidden="true" r="9131">
      <c r="A9131" s="76" t="s">
        <v>1398</v>
      </c>
      <c r="B9131" s="76" t="s">
        <v>1101</v>
      </c>
      <c r="C9131" s="76" t="s">
        <v>1281</v>
      </c>
      <c r="D9131" s="75"/>
    </row>
    <row hidden="true" r="9132">
      <c r="A9132" s="76" t="s">
        <v>1398</v>
      </c>
      <c r="B9132" s="76" t="s">
        <v>1313</v>
      </c>
      <c r="C9132" s="76" t="s">
        <v>1281</v>
      </c>
      <c r="D9132" s="75"/>
    </row>
    <row hidden="true" r="9133">
      <c r="A9133" s="76" t="s">
        <v>1398</v>
      </c>
      <c r="B9133" s="76" t="s">
        <v>996</v>
      </c>
      <c r="C9133" s="76" t="s">
        <v>1281</v>
      </c>
      <c r="D9133" s="75"/>
    </row>
    <row hidden="true" r="9134">
      <c r="A9134" s="76" t="s">
        <v>1398</v>
      </c>
      <c r="B9134" s="76" t="s">
        <v>998</v>
      </c>
      <c r="C9134" s="76" t="s">
        <v>1281</v>
      </c>
      <c r="D9134" s="75"/>
    </row>
    <row hidden="true" r="9135">
      <c r="A9135" s="76" t="s">
        <v>1398</v>
      </c>
      <c r="B9135" s="76" t="s">
        <v>1000</v>
      </c>
      <c r="C9135" s="76" t="s">
        <v>1281</v>
      </c>
      <c r="D9135" s="75"/>
    </row>
    <row hidden="true" r="9136">
      <c r="A9136" s="76" t="s">
        <v>1398</v>
      </c>
      <c r="B9136" s="76" t="s">
        <v>1002</v>
      </c>
      <c r="C9136" s="76" t="s">
        <v>1281</v>
      </c>
      <c r="D9136" s="75"/>
    </row>
    <row hidden="true" r="9137">
      <c r="A9137" s="76" t="s">
        <v>1398</v>
      </c>
      <c r="B9137" s="76" t="s">
        <v>1004</v>
      </c>
      <c r="C9137" s="76" t="s">
        <v>1281</v>
      </c>
      <c r="D9137" s="75"/>
    </row>
    <row hidden="true" r="9138">
      <c r="A9138" s="76" t="s">
        <v>1398</v>
      </c>
      <c r="B9138" s="76" t="s">
        <v>1006</v>
      </c>
      <c r="C9138" s="76" t="s">
        <v>1281</v>
      </c>
      <c r="D9138" s="75"/>
    </row>
    <row hidden="true" r="9139">
      <c r="A9139" s="76" t="s">
        <v>1398</v>
      </c>
      <c r="B9139" s="76" t="s">
        <v>1008</v>
      </c>
      <c r="C9139" s="76" t="s">
        <v>1281</v>
      </c>
      <c r="D9139" s="75"/>
    </row>
    <row hidden="true" r="9140">
      <c r="A9140" s="76" t="s">
        <v>1398</v>
      </c>
      <c r="B9140" s="76" t="s">
        <v>1010</v>
      </c>
      <c r="C9140" s="76" t="s">
        <v>1281</v>
      </c>
      <c r="D9140" s="75"/>
    </row>
    <row hidden="true" r="9141">
      <c r="A9141" s="76" t="s">
        <v>1398</v>
      </c>
      <c r="B9141" s="76" t="s">
        <v>1315</v>
      </c>
      <c r="C9141" s="76" t="s">
        <v>1281</v>
      </c>
      <c r="D9141" s="75"/>
    </row>
    <row hidden="true" r="9142">
      <c r="A9142" s="76" t="s">
        <v>1398</v>
      </c>
      <c r="B9142" s="76" t="s">
        <v>1014</v>
      </c>
      <c r="C9142" s="76" t="s">
        <v>1281</v>
      </c>
      <c r="D9142" s="75"/>
    </row>
    <row hidden="true" r="9143">
      <c r="A9143" s="76" t="s">
        <v>1398</v>
      </c>
      <c r="B9143" s="76" t="s">
        <v>1016</v>
      </c>
      <c r="C9143" s="76" t="s">
        <v>1281</v>
      </c>
      <c r="D9143" s="75"/>
    </row>
    <row hidden="true" r="9144">
      <c r="A9144" s="76" t="s">
        <v>1398</v>
      </c>
      <c r="B9144" s="76" t="s">
        <v>1018</v>
      </c>
      <c r="C9144" s="76" t="s">
        <v>1281</v>
      </c>
      <c r="D9144" s="75"/>
    </row>
    <row hidden="true" r="9145">
      <c r="A9145" s="76" t="s">
        <v>1398</v>
      </c>
      <c r="B9145" s="76" t="s">
        <v>1020</v>
      </c>
      <c r="C9145" s="76" t="s">
        <v>1281</v>
      </c>
      <c r="D9145" s="75"/>
    </row>
    <row hidden="true" r="9146">
      <c r="A9146" s="76" t="s">
        <v>1398</v>
      </c>
      <c r="B9146" s="76" t="s">
        <v>1022</v>
      </c>
      <c r="C9146" s="76" t="s">
        <v>1281</v>
      </c>
      <c r="D9146" s="75"/>
    </row>
    <row hidden="true" r="9147">
      <c r="A9147" s="76" t="s">
        <v>1398</v>
      </c>
      <c r="B9147" s="76" t="s">
        <v>1023</v>
      </c>
      <c r="C9147" s="76" t="s">
        <v>1281</v>
      </c>
      <c r="D9147" s="75"/>
    </row>
    <row hidden="true" r="9148">
      <c r="A9148" s="76" t="s">
        <v>1398</v>
      </c>
      <c r="B9148" s="76" t="s">
        <v>1024</v>
      </c>
      <c r="C9148" s="76" t="s">
        <v>1281</v>
      </c>
      <c r="D9148" s="75"/>
    </row>
    <row hidden="true" r="9149">
      <c r="A9149" s="76" t="s">
        <v>1398</v>
      </c>
      <c r="B9149" s="76" t="s">
        <v>1025</v>
      </c>
      <c r="C9149" s="76" t="s">
        <v>1281</v>
      </c>
      <c r="D9149" s="75"/>
    </row>
    <row hidden="true" r="9150">
      <c r="A9150" s="76" t="s">
        <v>1398</v>
      </c>
      <c r="B9150" s="76" t="s">
        <v>1026</v>
      </c>
      <c r="C9150" s="76" t="s">
        <v>1281</v>
      </c>
      <c r="D9150" s="75"/>
    </row>
    <row hidden="true" r="9151">
      <c r="A9151" s="76" t="s">
        <v>1398</v>
      </c>
      <c r="B9151" s="76" t="s">
        <v>1027</v>
      </c>
      <c r="C9151" s="76" t="s">
        <v>1281</v>
      </c>
      <c r="D9151" s="75"/>
    </row>
    <row hidden="true" r="9152">
      <c r="A9152" s="76" t="s">
        <v>1398</v>
      </c>
      <c r="B9152" s="76" t="s">
        <v>1133</v>
      </c>
      <c r="C9152" s="76" t="s">
        <v>1281</v>
      </c>
      <c r="D9152" s="75"/>
    </row>
    <row hidden="true" r="9153">
      <c r="A9153" s="76" t="s">
        <v>1398</v>
      </c>
      <c r="B9153" s="76" t="s">
        <v>1317</v>
      </c>
      <c r="C9153" s="76" t="s">
        <v>1281</v>
      </c>
      <c r="D9153" s="75"/>
    </row>
    <row hidden="true" r="9154">
      <c r="A9154" s="76" t="s">
        <v>1398</v>
      </c>
      <c r="B9154" s="76" t="s">
        <v>1319</v>
      </c>
      <c r="C9154" s="76" t="s">
        <v>1281</v>
      </c>
      <c r="D9154" s="75"/>
    </row>
    <row hidden="true" r="9155">
      <c r="A9155" s="76" t="s">
        <v>1398</v>
      </c>
      <c r="B9155" s="76" t="s">
        <v>1028</v>
      </c>
      <c r="C9155" s="76" t="s">
        <v>1281</v>
      </c>
      <c r="D9155" s="75"/>
    </row>
    <row hidden="true" r="9156">
      <c r="A9156" s="76" t="s">
        <v>1398</v>
      </c>
      <c r="B9156" s="76" t="s">
        <v>988</v>
      </c>
      <c r="C9156" s="76" t="s">
        <v>1281</v>
      </c>
      <c r="D9156" s="75"/>
    </row>
    <row hidden="true" r="9157">
      <c r="A9157" s="76" t="s">
        <v>1398</v>
      </c>
      <c r="B9157" s="76" t="s">
        <v>990</v>
      </c>
      <c r="C9157" s="76" t="s">
        <v>1281</v>
      </c>
      <c r="D9157" s="75"/>
    </row>
    <row hidden="true" r="9158">
      <c r="A9158" s="76" t="s">
        <v>1398</v>
      </c>
      <c r="B9158" s="76" t="s">
        <v>992</v>
      </c>
      <c r="C9158" s="76" t="s">
        <v>1281</v>
      </c>
      <c r="D9158" s="75"/>
    </row>
    <row hidden="true" r="9159">
      <c r="A9159" s="76" t="s">
        <v>1398</v>
      </c>
      <c r="B9159" s="76" t="s">
        <v>530</v>
      </c>
      <c r="C9159" s="76" t="s">
        <v>1281</v>
      </c>
      <c r="D9159" s="75"/>
    </row>
    <row hidden="true" r="9160">
      <c r="A9160" s="76" t="s">
        <v>1398</v>
      </c>
      <c r="B9160" s="76" t="s">
        <v>1032</v>
      </c>
      <c r="C9160" s="76" t="s">
        <v>1281</v>
      </c>
      <c r="D9160" s="75"/>
    </row>
    <row hidden="true" r="9161">
      <c r="A9161" s="76" t="s">
        <v>1398</v>
      </c>
      <c r="B9161" s="76" t="s">
        <v>532</v>
      </c>
      <c r="C9161" s="76" t="s">
        <v>1281</v>
      </c>
      <c r="D9161" s="75"/>
    </row>
    <row hidden="true" r="9162">
      <c r="A9162" s="76" t="s">
        <v>1398</v>
      </c>
      <c r="B9162" s="76" t="s">
        <v>1036</v>
      </c>
      <c r="C9162" s="76" t="s">
        <v>1281</v>
      </c>
      <c r="D9162" s="75"/>
    </row>
    <row hidden="true" r="9163">
      <c r="A9163" s="76" t="s">
        <v>1398</v>
      </c>
      <c r="B9163" s="76" t="s">
        <v>1038</v>
      </c>
      <c r="C9163" s="76" t="s">
        <v>1281</v>
      </c>
      <c r="D9163" s="75"/>
    </row>
    <row hidden="true" r="9164">
      <c r="A9164" s="76" t="s">
        <v>1398</v>
      </c>
      <c r="B9164" s="76" t="s">
        <v>1321</v>
      </c>
      <c r="C9164" s="76" t="s">
        <v>1281</v>
      </c>
      <c r="D9164" s="75"/>
    </row>
    <row hidden="true" r="9165">
      <c r="A9165" s="76" t="s">
        <v>1398</v>
      </c>
      <c r="B9165" s="76" t="s">
        <v>1323</v>
      </c>
      <c r="C9165" s="76" t="s">
        <v>1281</v>
      </c>
      <c r="D9165" s="75"/>
    </row>
    <row hidden="true" r="9166">
      <c r="A9166" s="76" t="s">
        <v>1398</v>
      </c>
      <c r="B9166" s="76" t="s">
        <v>1012</v>
      </c>
      <c r="C9166" s="76" t="s">
        <v>1281</v>
      </c>
      <c r="D9166" s="75"/>
    </row>
    <row hidden="true" r="9167">
      <c r="A9167" s="76" t="s">
        <v>1398</v>
      </c>
      <c r="B9167" s="76" t="s">
        <v>1052</v>
      </c>
      <c r="C9167" s="76" t="s">
        <v>1281</v>
      </c>
      <c r="D9167" s="75"/>
    </row>
    <row hidden="true" r="9168">
      <c r="A9168" s="76" t="s">
        <v>1398</v>
      </c>
      <c r="B9168" s="76" t="s">
        <v>1054</v>
      </c>
      <c r="C9168" s="76" t="s">
        <v>1281</v>
      </c>
      <c r="D9168" s="75"/>
    </row>
    <row hidden="true" r="9169">
      <c r="A9169" s="76" t="s">
        <v>1398</v>
      </c>
      <c r="B9169" s="76" t="s">
        <v>1056</v>
      </c>
      <c r="C9169" s="76" t="s">
        <v>1281</v>
      </c>
      <c r="D9169" s="75"/>
    </row>
    <row hidden="true" r="9170">
      <c r="A9170" s="76" t="s">
        <v>1398</v>
      </c>
      <c r="B9170" s="76" t="s">
        <v>1058</v>
      </c>
      <c r="C9170" s="76" t="s">
        <v>1281</v>
      </c>
      <c r="D9170" s="75"/>
    </row>
    <row hidden="true" r="9171">
      <c r="A9171" s="76" t="s">
        <v>1398</v>
      </c>
      <c r="B9171" s="76" t="s">
        <v>1060</v>
      </c>
      <c r="C9171" s="76" t="s">
        <v>1281</v>
      </c>
      <c r="D9171" s="75"/>
    </row>
    <row hidden="true" r="9172">
      <c r="A9172" s="76" t="s">
        <v>1398</v>
      </c>
      <c r="B9172" s="76" t="s">
        <v>1062</v>
      </c>
      <c r="C9172" s="76" t="s">
        <v>1281</v>
      </c>
      <c r="D9172" s="75"/>
    </row>
    <row hidden="true" r="9173">
      <c r="A9173" s="76" t="s">
        <v>1398</v>
      </c>
      <c r="B9173" s="76" t="s">
        <v>1064</v>
      </c>
      <c r="C9173" s="76" t="s">
        <v>1281</v>
      </c>
      <c r="D9173" s="75"/>
    </row>
    <row hidden="true" r="9174">
      <c r="A9174" s="76" t="s">
        <v>1398</v>
      </c>
      <c r="B9174" s="76" t="s">
        <v>1066</v>
      </c>
      <c r="C9174" s="76" t="s">
        <v>1281</v>
      </c>
      <c r="D9174" s="75"/>
    </row>
    <row hidden="true" r="9175">
      <c r="A9175" s="76" t="s">
        <v>1398</v>
      </c>
      <c r="B9175" s="76" t="s">
        <v>1068</v>
      </c>
      <c r="C9175" s="76" t="s">
        <v>1281</v>
      </c>
      <c r="D9175" s="75"/>
    </row>
    <row hidden="true" r="9176">
      <c r="A9176" s="76" t="s">
        <v>1398</v>
      </c>
      <c r="B9176" s="76" t="s">
        <v>1070</v>
      </c>
      <c r="C9176" s="76" t="s">
        <v>1281</v>
      </c>
      <c r="D9176" s="75"/>
    </row>
    <row hidden="true" r="9177">
      <c r="A9177" s="76" t="s">
        <v>1398</v>
      </c>
      <c r="B9177" s="76" t="s">
        <v>1071</v>
      </c>
      <c r="C9177" s="76" t="s">
        <v>1281</v>
      </c>
      <c r="D9177" s="75"/>
    </row>
    <row hidden="true" r="9178">
      <c r="A9178" s="76" t="s">
        <v>1398</v>
      </c>
      <c r="B9178" s="76" t="s">
        <v>1072</v>
      </c>
      <c r="C9178" s="76" t="s">
        <v>1281</v>
      </c>
      <c r="D9178" s="75"/>
    </row>
    <row hidden="true" r="9179">
      <c r="A9179" s="76" t="s">
        <v>1398</v>
      </c>
      <c r="B9179" s="76" t="s">
        <v>1074</v>
      </c>
      <c r="C9179" s="76" t="s">
        <v>1281</v>
      </c>
      <c r="D9179" s="75"/>
    </row>
    <row hidden="true" r="9180">
      <c r="A9180" s="76" t="s">
        <v>1398</v>
      </c>
      <c r="B9180" s="76" t="s">
        <v>1075</v>
      </c>
      <c r="C9180" s="76" t="s">
        <v>1281</v>
      </c>
      <c r="D9180" s="75"/>
    </row>
    <row hidden="true" r="9181">
      <c r="A9181" s="76" t="s">
        <v>1398</v>
      </c>
      <c r="B9181" s="76" t="s">
        <v>1082</v>
      </c>
      <c r="C9181" s="76" t="s">
        <v>1281</v>
      </c>
      <c r="D9181" s="75"/>
    </row>
    <row hidden="true" r="9182">
      <c r="A9182" s="76" t="s">
        <v>1398</v>
      </c>
      <c r="B9182" s="76" t="s">
        <v>1084</v>
      </c>
      <c r="C9182" s="76" t="s">
        <v>1281</v>
      </c>
      <c r="D9182" s="75"/>
    </row>
    <row hidden="true" r="9183">
      <c r="A9183" s="76" t="s">
        <v>1398</v>
      </c>
      <c r="B9183" s="76" t="s">
        <v>1086</v>
      </c>
      <c r="C9183" s="76" t="s">
        <v>1281</v>
      </c>
      <c r="D9183" s="75"/>
    </row>
    <row hidden="true" r="9184">
      <c r="A9184" s="76" t="s">
        <v>1398</v>
      </c>
      <c r="B9184" s="76" t="s">
        <v>1088</v>
      </c>
      <c r="C9184" s="76" t="s">
        <v>1281</v>
      </c>
      <c r="D9184" s="75"/>
    </row>
    <row hidden="true" r="9185">
      <c r="A9185" s="76" t="s">
        <v>1398</v>
      </c>
      <c r="B9185" s="76" t="s">
        <v>1076</v>
      </c>
      <c r="C9185" s="76" t="s">
        <v>1281</v>
      </c>
      <c r="D9185" s="75"/>
    </row>
    <row hidden="true" r="9186">
      <c r="A9186" s="76" t="s">
        <v>1398</v>
      </c>
      <c r="B9186" s="76" t="s">
        <v>1078</v>
      </c>
      <c r="C9186" s="76" t="s">
        <v>1281</v>
      </c>
      <c r="D9186" s="75"/>
    </row>
    <row hidden="true" r="9187">
      <c r="A9187" s="76" t="s">
        <v>1398</v>
      </c>
      <c r="B9187" s="76" t="s">
        <v>1040</v>
      </c>
      <c r="C9187" s="76" t="s">
        <v>1281</v>
      </c>
      <c r="D9187" s="75"/>
    </row>
    <row hidden="true" r="9188">
      <c r="A9188" s="76" t="s">
        <v>1398</v>
      </c>
      <c r="B9188" s="76" t="s">
        <v>839</v>
      </c>
      <c r="C9188" s="76" t="s">
        <v>1281</v>
      </c>
      <c r="D9188" s="75"/>
    </row>
    <row hidden="true" r="9189">
      <c r="A9189" s="76" t="s">
        <v>1398</v>
      </c>
      <c r="B9189" s="76" t="s">
        <v>1121</v>
      </c>
      <c r="C9189" s="76" t="s">
        <v>1281</v>
      </c>
      <c r="D9189" s="75"/>
    </row>
    <row hidden="true" r="9190">
      <c r="A9190" s="76" t="s">
        <v>1398</v>
      </c>
      <c r="B9190" s="76" t="s">
        <v>1325</v>
      </c>
      <c r="C9190" s="76" t="s">
        <v>1281</v>
      </c>
      <c r="D9190" s="75"/>
    </row>
    <row hidden="true" r="9191">
      <c r="A9191" s="76" t="s">
        <v>1398</v>
      </c>
      <c r="B9191" s="76" t="s">
        <v>1080</v>
      </c>
      <c r="C9191" s="76" t="s">
        <v>1281</v>
      </c>
      <c r="D9191" s="75"/>
    </row>
    <row hidden="true" r="9192">
      <c r="A9192" s="76" t="s">
        <v>1398</v>
      </c>
      <c r="B9192" s="76" t="s">
        <v>1327</v>
      </c>
      <c r="C9192" s="76" t="s">
        <v>1281</v>
      </c>
      <c r="D9192" s="75"/>
    </row>
    <row hidden="true" r="9193">
      <c r="A9193" s="76" t="s">
        <v>1398</v>
      </c>
      <c r="B9193" s="76" t="s">
        <v>1090</v>
      </c>
      <c r="C9193" s="76" t="s">
        <v>1281</v>
      </c>
      <c r="D9193" s="75"/>
    </row>
    <row hidden="true" r="9194">
      <c r="A9194" s="76" t="s">
        <v>1398</v>
      </c>
      <c r="B9194" s="76" t="s">
        <v>1092</v>
      </c>
      <c r="C9194" s="76" t="s">
        <v>1281</v>
      </c>
      <c r="D9194" s="75"/>
    </row>
    <row hidden="true" r="9195">
      <c r="A9195" s="76" t="s">
        <v>1398</v>
      </c>
      <c r="B9195" s="76" t="s">
        <v>1093</v>
      </c>
      <c r="C9195" s="76" t="s">
        <v>1281</v>
      </c>
      <c r="D9195" s="75"/>
    </row>
    <row hidden="true" r="9196">
      <c r="A9196" s="76" t="s">
        <v>1398</v>
      </c>
      <c r="B9196" s="76" t="s">
        <v>1095</v>
      </c>
      <c r="C9196" s="76" t="s">
        <v>1281</v>
      </c>
      <c r="D9196" s="75"/>
    </row>
    <row hidden="true" r="9197">
      <c r="A9197" s="76" t="s">
        <v>1398</v>
      </c>
      <c r="B9197" s="76" t="s">
        <v>1097</v>
      </c>
      <c r="C9197" s="76" t="s">
        <v>1281</v>
      </c>
      <c r="D9197" s="75"/>
    </row>
    <row hidden="true" r="9198">
      <c r="A9198" s="76" t="s">
        <v>1398</v>
      </c>
      <c r="B9198" s="76" t="s">
        <v>1103</v>
      </c>
      <c r="C9198" s="76" t="s">
        <v>1281</v>
      </c>
      <c r="D9198" s="75"/>
    </row>
    <row hidden="true" r="9199">
      <c r="A9199" s="76" t="s">
        <v>1398</v>
      </c>
      <c r="B9199" s="76" t="s">
        <v>1329</v>
      </c>
      <c r="C9199" s="76" t="s">
        <v>1281</v>
      </c>
      <c r="D9199" s="75"/>
    </row>
    <row hidden="true" r="9200">
      <c r="A9200" s="76" t="s">
        <v>1398</v>
      </c>
      <c r="B9200" s="76" t="s">
        <v>1113</v>
      </c>
      <c r="C9200" s="76" t="s">
        <v>1281</v>
      </c>
      <c r="D9200" s="75"/>
    </row>
    <row hidden="true" r="9201">
      <c r="A9201" s="76" t="s">
        <v>1398</v>
      </c>
      <c r="B9201" s="76" t="s">
        <v>1115</v>
      </c>
      <c r="C9201" s="76" t="s">
        <v>1281</v>
      </c>
      <c r="D9201" s="75"/>
    </row>
    <row hidden="true" r="9202">
      <c r="A9202" s="76" t="s">
        <v>1398</v>
      </c>
      <c r="B9202" s="76" t="s">
        <v>1117</v>
      </c>
      <c r="C9202" s="76" t="s">
        <v>1281</v>
      </c>
      <c r="D9202" s="75"/>
    </row>
    <row hidden="true" r="9203">
      <c r="A9203" s="76" t="s">
        <v>1398</v>
      </c>
      <c r="B9203" s="76" t="s">
        <v>1119</v>
      </c>
      <c r="C9203" s="76" t="s">
        <v>1281</v>
      </c>
      <c r="D9203" s="75"/>
    </row>
    <row hidden="true" r="9204">
      <c r="A9204" s="76" t="s">
        <v>1398</v>
      </c>
      <c r="B9204" s="76" t="s">
        <v>1127</v>
      </c>
      <c r="C9204" s="76" t="s">
        <v>1281</v>
      </c>
      <c r="D9204" s="75"/>
    </row>
    <row hidden="true" r="9205">
      <c r="A9205" s="76" t="s">
        <v>1398</v>
      </c>
      <c r="B9205" s="76" t="s">
        <v>1129</v>
      </c>
      <c r="C9205" s="76" t="s">
        <v>1281</v>
      </c>
      <c r="D9205" s="75"/>
    </row>
    <row hidden="true" r="9206">
      <c r="A9206" s="76" t="s">
        <v>1398</v>
      </c>
      <c r="B9206" s="76" t="s">
        <v>1131</v>
      </c>
      <c r="C9206" s="76" t="s">
        <v>1281</v>
      </c>
      <c r="D9206" s="75"/>
    </row>
    <row hidden="true" r="9207">
      <c r="A9207" s="76" t="s">
        <v>1398</v>
      </c>
      <c r="B9207" s="76" t="s">
        <v>1137</v>
      </c>
      <c r="C9207" s="76" t="s">
        <v>1281</v>
      </c>
      <c r="D9207" s="75"/>
    </row>
    <row hidden="true" r="9208">
      <c r="A9208" s="76" t="s">
        <v>1398</v>
      </c>
      <c r="B9208" s="76" t="s">
        <v>1139</v>
      </c>
      <c r="C9208" s="76" t="s">
        <v>1281</v>
      </c>
      <c r="D9208" s="75"/>
    </row>
    <row hidden="true" r="9209">
      <c r="A9209" s="76" t="s">
        <v>1398</v>
      </c>
      <c r="B9209" s="76" t="s">
        <v>1141</v>
      </c>
      <c r="C9209" s="76" t="s">
        <v>1281</v>
      </c>
      <c r="D9209" s="75"/>
    </row>
    <row hidden="true" r="9210">
      <c r="A9210" s="76" t="s">
        <v>1398</v>
      </c>
      <c r="B9210" s="76" t="s">
        <v>1143</v>
      </c>
      <c r="C9210" s="76" t="s">
        <v>1281</v>
      </c>
      <c r="D9210" s="75"/>
    </row>
    <row hidden="true" r="9211">
      <c r="A9211" s="76" t="s">
        <v>1398</v>
      </c>
      <c r="B9211" s="76" t="s">
        <v>1145</v>
      </c>
      <c r="C9211" s="76" t="s">
        <v>1281</v>
      </c>
      <c r="D9211" s="75"/>
    </row>
    <row hidden="true" r="9212">
      <c r="A9212" s="76" t="s">
        <v>1398</v>
      </c>
      <c r="B9212" s="76" t="s">
        <v>1147</v>
      </c>
      <c r="C9212" s="76" t="s">
        <v>1281</v>
      </c>
      <c r="D9212" s="75"/>
    </row>
    <row hidden="true" r="9213">
      <c r="A9213" s="76" t="s">
        <v>1398</v>
      </c>
      <c r="B9213" s="76" t="s">
        <v>1153</v>
      </c>
      <c r="C9213" s="76" t="s">
        <v>1281</v>
      </c>
      <c r="D9213" s="75"/>
    </row>
    <row hidden="true" r="9214">
      <c r="A9214" s="76" t="s">
        <v>1398</v>
      </c>
      <c r="B9214" s="76" t="s">
        <v>1155</v>
      </c>
      <c r="C9214" s="76" t="s">
        <v>1281</v>
      </c>
      <c r="D9214" s="75"/>
    </row>
    <row hidden="true" r="9215">
      <c r="A9215" s="76" t="s">
        <v>1398</v>
      </c>
      <c r="B9215" s="76" t="s">
        <v>1157</v>
      </c>
      <c r="C9215" s="76" t="s">
        <v>1281</v>
      </c>
      <c r="D9215" s="75"/>
    </row>
    <row hidden="true" r="9216">
      <c r="A9216" s="76" t="s">
        <v>1398</v>
      </c>
      <c r="B9216" s="76" t="s">
        <v>1159</v>
      </c>
      <c r="C9216" s="76" t="s">
        <v>1281</v>
      </c>
      <c r="D9216" s="75"/>
    </row>
    <row hidden="true" r="9217">
      <c r="A9217" s="76" t="s">
        <v>1398</v>
      </c>
      <c r="B9217" s="76" t="s">
        <v>1161</v>
      </c>
      <c r="C9217" s="76" t="s">
        <v>1281</v>
      </c>
      <c r="D9217" s="75"/>
    </row>
    <row hidden="true" r="9218">
      <c r="A9218" s="76" t="s">
        <v>1398</v>
      </c>
      <c r="B9218" s="76" t="s">
        <v>1163</v>
      </c>
      <c r="C9218" s="76" t="s">
        <v>1281</v>
      </c>
      <c r="D9218" s="75"/>
    </row>
    <row hidden="true" r="9219">
      <c r="A9219" s="76" t="s">
        <v>1398</v>
      </c>
      <c r="B9219" s="76" t="s">
        <v>1165</v>
      </c>
      <c r="C9219" s="76" t="s">
        <v>1281</v>
      </c>
      <c r="D9219" s="75"/>
    </row>
    <row hidden="true" r="9220">
      <c r="A9220" s="76" t="s">
        <v>1398</v>
      </c>
      <c r="B9220" s="76" t="s">
        <v>1331</v>
      </c>
      <c r="C9220" s="76" t="s">
        <v>1281</v>
      </c>
      <c r="D9220" s="75"/>
    </row>
    <row hidden="true" r="9221">
      <c r="A9221" s="76" t="s">
        <v>1398</v>
      </c>
      <c r="B9221" s="76" t="s">
        <v>1333</v>
      </c>
      <c r="C9221" s="76" t="s">
        <v>1281</v>
      </c>
      <c r="D9221" s="75"/>
    </row>
    <row hidden="true" r="9222">
      <c r="A9222" s="76" t="s">
        <v>1398</v>
      </c>
      <c r="B9222" s="76" t="s">
        <v>1335</v>
      </c>
      <c r="C9222" s="76" t="s">
        <v>1281</v>
      </c>
      <c r="D9222" s="75"/>
    </row>
    <row hidden="true" r="9223">
      <c r="A9223" s="76" t="s">
        <v>1398</v>
      </c>
      <c r="B9223" s="76" t="s">
        <v>1337</v>
      </c>
      <c r="C9223" s="76" t="s">
        <v>1281</v>
      </c>
      <c r="D9223" s="75"/>
    </row>
    <row hidden="true" r="9224">
      <c r="A9224" s="76" t="s">
        <v>1398</v>
      </c>
      <c r="B9224" s="76" t="s">
        <v>1339</v>
      </c>
      <c r="C9224" s="76" t="s">
        <v>1281</v>
      </c>
      <c r="D9224" s="75"/>
    </row>
    <row hidden="true" r="9225">
      <c r="A9225" s="76" t="s">
        <v>1398</v>
      </c>
      <c r="B9225" s="76" t="s">
        <v>1341</v>
      </c>
      <c r="C9225" s="76" t="s">
        <v>1281</v>
      </c>
      <c r="D9225" s="75"/>
    </row>
    <row hidden="true" r="9226">
      <c r="A9226" s="76" t="s">
        <v>1398</v>
      </c>
      <c r="B9226" s="76" t="s">
        <v>1044</v>
      </c>
      <c r="C9226" s="76" t="s">
        <v>1281</v>
      </c>
      <c r="D9226" s="75"/>
    </row>
    <row hidden="true" r="9227">
      <c r="A9227" s="76" t="s">
        <v>1398</v>
      </c>
      <c r="B9227" s="76" t="s">
        <v>1046</v>
      </c>
      <c r="C9227" s="76" t="s">
        <v>1281</v>
      </c>
      <c r="D9227" s="75"/>
    </row>
    <row hidden="true" r="9228">
      <c r="A9228" s="76" t="s">
        <v>1398</v>
      </c>
      <c r="B9228" s="76" t="s">
        <v>1048</v>
      </c>
      <c r="C9228" s="76" t="s">
        <v>1281</v>
      </c>
      <c r="D9228" s="75"/>
    </row>
    <row hidden="true" r="9229">
      <c r="A9229" s="76" t="s">
        <v>1398</v>
      </c>
      <c r="B9229" s="76" t="s">
        <v>1167</v>
      </c>
      <c r="C9229" s="76" t="s">
        <v>1281</v>
      </c>
      <c r="D9229" s="75"/>
    </row>
    <row hidden="true" r="9230">
      <c r="A9230" s="76" t="s">
        <v>1398</v>
      </c>
      <c r="B9230" s="76" t="s">
        <v>1169</v>
      </c>
      <c r="C9230" s="76" t="s">
        <v>1281</v>
      </c>
      <c r="D9230" s="75"/>
    </row>
    <row hidden="true" r="9231">
      <c r="A9231" s="76" t="s">
        <v>1398</v>
      </c>
      <c r="B9231" s="76" t="s">
        <v>1171</v>
      </c>
      <c r="C9231" s="76" t="s">
        <v>1281</v>
      </c>
      <c r="D9231" s="75"/>
    </row>
    <row hidden="true" r="9232">
      <c r="A9232" s="76" t="s">
        <v>1398</v>
      </c>
      <c r="B9232" s="76" t="s">
        <v>1173</v>
      </c>
      <c r="C9232" s="76" t="s">
        <v>1281</v>
      </c>
      <c r="D9232" s="75"/>
    </row>
    <row hidden="true" r="9233">
      <c r="A9233" s="76" t="s">
        <v>1398</v>
      </c>
      <c r="B9233" s="76" t="s">
        <v>1175</v>
      </c>
      <c r="C9233" s="76" t="s">
        <v>1281</v>
      </c>
      <c r="D9233" s="75"/>
    </row>
    <row hidden="true" r="9234">
      <c r="A9234" s="76" t="s">
        <v>1398</v>
      </c>
      <c r="B9234" s="76" t="s">
        <v>1177</v>
      </c>
      <c r="C9234" s="76" t="s">
        <v>1281</v>
      </c>
      <c r="D9234" s="75"/>
    </row>
    <row hidden="true" r="9235">
      <c r="A9235" s="76" t="s">
        <v>1398</v>
      </c>
      <c r="B9235" s="76" t="s">
        <v>1135</v>
      </c>
      <c r="C9235" s="76" t="s">
        <v>1281</v>
      </c>
      <c r="D9235" s="75"/>
    </row>
    <row hidden="true" r="9236">
      <c r="A9236" s="76" t="s">
        <v>1398</v>
      </c>
      <c r="B9236" s="76" t="s">
        <v>1179</v>
      </c>
      <c r="C9236" s="76" t="s">
        <v>1281</v>
      </c>
      <c r="D9236" s="75"/>
    </row>
    <row hidden="true" r="9237">
      <c r="A9237" s="76" t="s">
        <v>1398</v>
      </c>
      <c r="B9237" s="76" t="s">
        <v>1181</v>
      </c>
      <c r="C9237" s="76" t="s">
        <v>1281</v>
      </c>
      <c r="D9237" s="75"/>
    </row>
    <row hidden="true" r="9238">
      <c r="A9238" s="76" t="s">
        <v>1398</v>
      </c>
      <c r="B9238" s="76" t="s">
        <v>1183</v>
      </c>
      <c r="C9238" s="76" t="s">
        <v>1281</v>
      </c>
      <c r="D9238" s="75"/>
    </row>
    <row hidden="true" r="9239">
      <c r="A9239" s="76" t="s">
        <v>1398</v>
      </c>
      <c r="B9239" s="76" t="s">
        <v>1185</v>
      </c>
      <c r="C9239" s="76" t="s">
        <v>1281</v>
      </c>
      <c r="D9239" s="75"/>
    </row>
    <row hidden="true" r="9240">
      <c r="A9240" s="76" t="s">
        <v>1398</v>
      </c>
      <c r="B9240" s="76" t="s">
        <v>1187</v>
      </c>
      <c r="C9240" s="76" t="s">
        <v>1281</v>
      </c>
      <c r="D9240" s="75"/>
    </row>
    <row hidden="true" r="9241">
      <c r="A9241" s="76" t="s">
        <v>1398</v>
      </c>
      <c r="B9241" s="76" t="s">
        <v>1199</v>
      </c>
      <c r="C9241" s="76" t="s">
        <v>1281</v>
      </c>
      <c r="D9241" s="75"/>
    </row>
    <row hidden="true" r="9242">
      <c r="A9242" s="76" t="s">
        <v>1398</v>
      </c>
      <c r="B9242" s="76" t="s">
        <v>1201</v>
      </c>
      <c r="C9242" s="76" t="s">
        <v>1281</v>
      </c>
      <c r="D9242" s="75"/>
    </row>
    <row hidden="true" r="9243">
      <c r="A9243" s="76" t="s">
        <v>1398</v>
      </c>
      <c r="B9243" s="76" t="s">
        <v>1203</v>
      </c>
      <c r="C9243" s="76" t="s">
        <v>1281</v>
      </c>
      <c r="D9243" s="75"/>
    </row>
    <row hidden="true" r="9244">
      <c r="A9244" s="76" t="s">
        <v>1398</v>
      </c>
      <c r="B9244" s="76" t="s">
        <v>1205</v>
      </c>
      <c r="C9244" s="76" t="s">
        <v>1281</v>
      </c>
      <c r="D9244" s="75"/>
    </row>
    <row hidden="true" r="9245">
      <c r="A9245" s="76" t="s">
        <v>1398</v>
      </c>
      <c r="B9245" s="76" t="s">
        <v>1207</v>
      </c>
      <c r="C9245" s="76" t="s">
        <v>1281</v>
      </c>
      <c r="D9245" s="75"/>
    </row>
    <row hidden="true" r="9246">
      <c r="A9246" s="76" t="s">
        <v>1398</v>
      </c>
      <c r="B9246" s="76" t="s">
        <v>1209</v>
      </c>
      <c r="C9246" s="76" t="s">
        <v>1281</v>
      </c>
      <c r="D9246" s="75"/>
    </row>
    <row hidden="true" r="9247">
      <c r="A9247" s="76" t="s">
        <v>1398</v>
      </c>
      <c r="B9247" s="76" t="s">
        <v>1282</v>
      </c>
      <c r="C9247" s="76" t="s">
        <v>1281</v>
      </c>
      <c r="D9247" s="75"/>
    </row>
    <row hidden="true" r="9248">
      <c r="A9248" s="76" t="s">
        <v>1398</v>
      </c>
      <c r="B9248" s="76" t="s">
        <v>735</v>
      </c>
      <c r="C9248" s="76" t="s">
        <v>1283</v>
      </c>
      <c r="D9248" s="75"/>
    </row>
    <row hidden="true" r="9249">
      <c r="A9249" s="76" t="s">
        <v>1399</v>
      </c>
      <c r="B9249" s="76" t="s">
        <v>407</v>
      </c>
      <c r="C9249" s="76" t="s">
        <v>1281</v>
      </c>
      <c r="D9249" s="75"/>
    </row>
    <row hidden="true" r="9250">
      <c r="A9250" s="76" t="s">
        <v>1399</v>
      </c>
      <c r="B9250" s="76" t="s">
        <v>744</v>
      </c>
      <c r="C9250" s="76" t="s">
        <v>1281</v>
      </c>
      <c r="D9250" s="75"/>
    </row>
    <row hidden="true" r="9251">
      <c r="A9251" s="76" t="s">
        <v>1399</v>
      </c>
      <c r="B9251" s="76" t="s">
        <v>480</v>
      </c>
      <c r="C9251" s="76" t="s">
        <v>1281</v>
      </c>
      <c r="D9251" s="75"/>
    </row>
    <row hidden="true" r="9252">
      <c r="A9252" s="76" t="s">
        <v>1399</v>
      </c>
      <c r="B9252" s="76" t="s">
        <v>884</v>
      </c>
      <c r="C9252" s="76" t="s">
        <v>1281</v>
      </c>
      <c r="D9252" s="75"/>
    </row>
    <row hidden="true" r="9253">
      <c r="A9253" s="76" t="s">
        <v>1399</v>
      </c>
      <c r="B9253" s="76" t="s">
        <v>886</v>
      </c>
      <c r="C9253" s="76" t="s">
        <v>1281</v>
      </c>
      <c r="D9253" s="75"/>
    </row>
    <row hidden="true" r="9254">
      <c r="A9254" s="76" t="s">
        <v>1399</v>
      </c>
      <c r="B9254" s="76" t="s">
        <v>888</v>
      </c>
      <c r="C9254" s="76" t="s">
        <v>1281</v>
      </c>
      <c r="D9254" s="75"/>
    </row>
    <row hidden="true" r="9255">
      <c r="A9255" s="76" t="s">
        <v>1399</v>
      </c>
      <c r="B9255" s="76" t="s">
        <v>890</v>
      </c>
      <c r="C9255" s="76" t="s">
        <v>1281</v>
      </c>
      <c r="D9255" s="75"/>
    </row>
    <row hidden="true" r="9256">
      <c r="A9256" s="76" t="s">
        <v>1399</v>
      </c>
      <c r="B9256" s="76" t="s">
        <v>892</v>
      </c>
      <c r="C9256" s="76" t="s">
        <v>1281</v>
      </c>
      <c r="D9256" s="75"/>
    </row>
    <row hidden="true" r="9257">
      <c r="A9257" s="76" t="s">
        <v>1399</v>
      </c>
      <c r="B9257" s="76" t="s">
        <v>894</v>
      </c>
      <c r="C9257" s="76" t="s">
        <v>1281</v>
      </c>
      <c r="D9257" s="75"/>
    </row>
    <row hidden="true" r="9258">
      <c r="A9258" s="76" t="s">
        <v>1399</v>
      </c>
      <c r="B9258" s="76" t="s">
        <v>896</v>
      </c>
      <c r="C9258" s="76" t="s">
        <v>1281</v>
      </c>
      <c r="D9258" s="75"/>
    </row>
    <row hidden="true" r="9259">
      <c r="A9259" s="76" t="s">
        <v>1399</v>
      </c>
      <c r="B9259" s="76" t="s">
        <v>898</v>
      </c>
      <c r="C9259" s="76" t="s">
        <v>1281</v>
      </c>
      <c r="D9259" s="75"/>
    </row>
    <row hidden="true" r="9260">
      <c r="A9260" s="76" t="s">
        <v>1399</v>
      </c>
      <c r="B9260" s="76" t="s">
        <v>900</v>
      </c>
      <c r="C9260" s="76" t="s">
        <v>1281</v>
      </c>
      <c r="D9260" s="75"/>
    </row>
    <row hidden="true" r="9261">
      <c r="A9261" s="76" t="s">
        <v>1399</v>
      </c>
      <c r="B9261" s="76" t="s">
        <v>902</v>
      </c>
      <c r="C9261" s="76" t="s">
        <v>1281</v>
      </c>
      <c r="D9261" s="75"/>
    </row>
    <row hidden="true" r="9262">
      <c r="A9262" s="76" t="s">
        <v>1399</v>
      </c>
      <c r="B9262" s="76" t="s">
        <v>904</v>
      </c>
      <c r="C9262" s="76" t="s">
        <v>1281</v>
      </c>
      <c r="D9262" s="75"/>
    </row>
    <row hidden="true" r="9263">
      <c r="A9263" s="76" t="s">
        <v>1399</v>
      </c>
      <c r="B9263" s="76" t="s">
        <v>906</v>
      </c>
      <c r="C9263" s="76" t="s">
        <v>1281</v>
      </c>
      <c r="D9263" s="75"/>
    </row>
    <row hidden="true" r="9264">
      <c r="A9264" s="76" t="s">
        <v>1399</v>
      </c>
      <c r="B9264" s="76" t="s">
        <v>908</v>
      </c>
      <c r="C9264" s="76" t="s">
        <v>1281</v>
      </c>
      <c r="D9264" s="75"/>
    </row>
    <row hidden="true" r="9265">
      <c r="A9265" s="76" t="s">
        <v>1399</v>
      </c>
      <c r="B9265" s="76" t="s">
        <v>910</v>
      </c>
      <c r="C9265" s="76" t="s">
        <v>1281</v>
      </c>
      <c r="D9265" s="75"/>
    </row>
    <row hidden="true" r="9266">
      <c r="A9266" s="76" t="s">
        <v>1399</v>
      </c>
      <c r="B9266" s="76" t="s">
        <v>912</v>
      </c>
      <c r="C9266" s="76" t="s">
        <v>1281</v>
      </c>
      <c r="D9266" s="75"/>
    </row>
    <row hidden="true" r="9267">
      <c r="A9267" s="76" t="s">
        <v>1399</v>
      </c>
      <c r="B9267" s="76" t="s">
        <v>914</v>
      </c>
      <c r="C9267" s="76" t="s">
        <v>1281</v>
      </c>
      <c r="D9267" s="75"/>
    </row>
    <row hidden="true" r="9268">
      <c r="A9268" s="76" t="s">
        <v>1399</v>
      </c>
      <c r="B9268" s="76" t="s">
        <v>916</v>
      </c>
      <c r="C9268" s="76" t="s">
        <v>1281</v>
      </c>
      <c r="D9268" s="75"/>
    </row>
    <row hidden="true" r="9269">
      <c r="A9269" s="76" t="s">
        <v>1399</v>
      </c>
      <c r="B9269" s="76" t="s">
        <v>918</v>
      </c>
      <c r="C9269" s="76" t="s">
        <v>1281</v>
      </c>
      <c r="D9269" s="75"/>
    </row>
    <row hidden="true" r="9270">
      <c r="A9270" s="76" t="s">
        <v>1399</v>
      </c>
      <c r="B9270" s="76" t="s">
        <v>920</v>
      </c>
      <c r="C9270" s="76" t="s">
        <v>1281</v>
      </c>
      <c r="D9270" s="75"/>
    </row>
    <row hidden="true" r="9271">
      <c r="A9271" s="76" t="s">
        <v>1399</v>
      </c>
      <c r="B9271" s="76" t="s">
        <v>922</v>
      </c>
      <c r="C9271" s="76" t="s">
        <v>1281</v>
      </c>
      <c r="D9271" s="75"/>
    </row>
    <row hidden="true" r="9272">
      <c r="A9272" s="76" t="s">
        <v>1399</v>
      </c>
      <c r="B9272" s="76" t="s">
        <v>924</v>
      </c>
      <c r="C9272" s="76" t="s">
        <v>1281</v>
      </c>
      <c r="D9272" s="75"/>
    </row>
    <row hidden="true" r="9273">
      <c r="A9273" s="76" t="s">
        <v>1399</v>
      </c>
      <c r="B9273" s="76" t="s">
        <v>926</v>
      </c>
      <c r="C9273" s="76" t="s">
        <v>1281</v>
      </c>
      <c r="D9273" s="75"/>
    </row>
    <row hidden="true" r="9274">
      <c r="A9274" s="76" t="s">
        <v>1399</v>
      </c>
      <c r="B9274" s="76" t="s">
        <v>928</v>
      </c>
      <c r="C9274" s="76" t="s">
        <v>1281</v>
      </c>
      <c r="D9274" s="75"/>
    </row>
    <row hidden="true" r="9275">
      <c r="A9275" s="76" t="s">
        <v>1399</v>
      </c>
      <c r="B9275" s="76" t="s">
        <v>930</v>
      </c>
      <c r="C9275" s="76" t="s">
        <v>1281</v>
      </c>
      <c r="D9275" s="75"/>
    </row>
    <row hidden="true" r="9276">
      <c r="A9276" s="76" t="s">
        <v>1399</v>
      </c>
      <c r="B9276" s="76" t="s">
        <v>932</v>
      </c>
      <c r="C9276" s="76" t="s">
        <v>1281</v>
      </c>
      <c r="D9276" s="75"/>
    </row>
    <row hidden="true" r="9277">
      <c r="A9277" s="76" t="s">
        <v>1399</v>
      </c>
      <c r="B9277" s="76" t="s">
        <v>934</v>
      </c>
      <c r="C9277" s="76" t="s">
        <v>1281</v>
      </c>
      <c r="D9277" s="75"/>
    </row>
    <row hidden="true" r="9278">
      <c r="A9278" s="76" t="s">
        <v>1399</v>
      </c>
      <c r="B9278" s="76" t="s">
        <v>936</v>
      </c>
      <c r="C9278" s="76" t="s">
        <v>1281</v>
      </c>
      <c r="D9278" s="75"/>
    </row>
    <row hidden="true" r="9279">
      <c r="A9279" s="76" t="s">
        <v>1399</v>
      </c>
      <c r="B9279" s="76" t="s">
        <v>938</v>
      </c>
      <c r="C9279" s="76" t="s">
        <v>1281</v>
      </c>
      <c r="D9279" s="75"/>
    </row>
    <row hidden="true" r="9280">
      <c r="A9280" s="76" t="s">
        <v>1399</v>
      </c>
      <c r="B9280" s="76" t="s">
        <v>940</v>
      </c>
      <c r="C9280" s="76" t="s">
        <v>1281</v>
      </c>
      <c r="D9280" s="75"/>
    </row>
    <row hidden="true" r="9281">
      <c r="A9281" s="76" t="s">
        <v>1399</v>
      </c>
      <c r="B9281" s="76" t="s">
        <v>942</v>
      </c>
      <c r="C9281" s="76" t="s">
        <v>1281</v>
      </c>
      <c r="D9281" s="75"/>
    </row>
    <row hidden="true" r="9282">
      <c r="A9282" s="76" t="s">
        <v>1399</v>
      </c>
      <c r="B9282" s="76" t="s">
        <v>944</v>
      </c>
      <c r="C9282" s="76" t="s">
        <v>1281</v>
      </c>
      <c r="D9282" s="75"/>
    </row>
    <row hidden="true" r="9283">
      <c r="A9283" s="76" t="s">
        <v>1399</v>
      </c>
      <c r="B9283" s="76" t="s">
        <v>1305</v>
      </c>
      <c r="C9283" s="76" t="s">
        <v>1281</v>
      </c>
      <c r="D9283" s="75"/>
    </row>
    <row hidden="true" r="9284">
      <c r="A9284" s="76" t="s">
        <v>1399</v>
      </c>
      <c r="B9284" s="76" t="s">
        <v>1307</v>
      </c>
      <c r="C9284" s="76" t="s">
        <v>1281</v>
      </c>
      <c r="D9284" s="75"/>
    </row>
    <row hidden="true" r="9285">
      <c r="A9285" s="76" t="s">
        <v>1399</v>
      </c>
      <c r="B9285" s="76" t="s">
        <v>946</v>
      </c>
      <c r="C9285" s="76" t="s">
        <v>1281</v>
      </c>
      <c r="D9285" s="75"/>
    </row>
    <row hidden="true" r="9286">
      <c r="A9286" s="76" t="s">
        <v>1399</v>
      </c>
      <c r="B9286" s="76" t="s">
        <v>948</v>
      </c>
      <c r="C9286" s="76" t="s">
        <v>1281</v>
      </c>
      <c r="D9286" s="75"/>
    </row>
    <row hidden="true" r="9287">
      <c r="A9287" s="76" t="s">
        <v>1399</v>
      </c>
      <c r="B9287" s="76" t="s">
        <v>950</v>
      </c>
      <c r="C9287" s="76" t="s">
        <v>1281</v>
      </c>
      <c r="D9287" s="75"/>
    </row>
    <row hidden="true" r="9288">
      <c r="A9288" s="76" t="s">
        <v>1399</v>
      </c>
      <c r="B9288" s="76" t="s">
        <v>952</v>
      </c>
      <c r="C9288" s="76" t="s">
        <v>1281</v>
      </c>
      <c r="D9288" s="75"/>
    </row>
    <row hidden="true" r="9289">
      <c r="A9289" s="76" t="s">
        <v>1399</v>
      </c>
      <c r="B9289" s="76" t="s">
        <v>954</v>
      </c>
      <c r="C9289" s="76" t="s">
        <v>1281</v>
      </c>
      <c r="D9289" s="75"/>
    </row>
    <row hidden="true" r="9290">
      <c r="A9290" s="76" t="s">
        <v>1399</v>
      </c>
      <c r="B9290" s="76" t="s">
        <v>775</v>
      </c>
      <c r="C9290" s="76" t="s">
        <v>1281</v>
      </c>
      <c r="D9290" s="75"/>
    </row>
    <row hidden="true" r="9291">
      <c r="A9291" s="76" t="s">
        <v>1399</v>
      </c>
      <c r="B9291" s="76" t="s">
        <v>956</v>
      </c>
      <c r="C9291" s="76" t="s">
        <v>1281</v>
      </c>
      <c r="D9291" s="75"/>
    </row>
    <row hidden="true" r="9292">
      <c r="A9292" s="76" t="s">
        <v>1399</v>
      </c>
      <c r="B9292" s="76" t="s">
        <v>958</v>
      </c>
      <c r="C9292" s="76" t="s">
        <v>1281</v>
      </c>
      <c r="D9292" s="75"/>
    </row>
    <row hidden="true" r="9293">
      <c r="A9293" s="76" t="s">
        <v>1399</v>
      </c>
      <c r="B9293" s="76" t="s">
        <v>960</v>
      </c>
      <c r="C9293" s="76" t="s">
        <v>1281</v>
      </c>
      <c r="D9293" s="75"/>
    </row>
    <row hidden="true" r="9294">
      <c r="A9294" s="76" t="s">
        <v>1399</v>
      </c>
      <c r="B9294" s="76" t="s">
        <v>962</v>
      </c>
      <c r="C9294" s="76" t="s">
        <v>1281</v>
      </c>
      <c r="D9294" s="75"/>
    </row>
    <row hidden="true" r="9295">
      <c r="A9295" s="76" t="s">
        <v>1399</v>
      </c>
      <c r="B9295" s="76" t="s">
        <v>964</v>
      </c>
      <c r="C9295" s="76" t="s">
        <v>1281</v>
      </c>
      <c r="D9295" s="75"/>
    </row>
    <row hidden="true" r="9296">
      <c r="A9296" s="76" t="s">
        <v>1399</v>
      </c>
      <c r="B9296" s="76" t="s">
        <v>966</v>
      </c>
      <c r="C9296" s="76" t="s">
        <v>1281</v>
      </c>
      <c r="D9296" s="75"/>
    </row>
    <row hidden="true" r="9297">
      <c r="A9297" s="76" t="s">
        <v>1399</v>
      </c>
      <c r="B9297" s="76" t="s">
        <v>968</v>
      </c>
      <c r="C9297" s="76" t="s">
        <v>1281</v>
      </c>
      <c r="D9297" s="75"/>
    </row>
    <row hidden="true" r="9298">
      <c r="A9298" s="76" t="s">
        <v>1399</v>
      </c>
      <c r="B9298" s="76" t="s">
        <v>970</v>
      </c>
      <c r="C9298" s="76" t="s">
        <v>1281</v>
      </c>
      <c r="D9298" s="75"/>
    </row>
    <row hidden="true" r="9299">
      <c r="A9299" s="76" t="s">
        <v>1399</v>
      </c>
      <c r="B9299" s="76" t="s">
        <v>972</v>
      </c>
      <c r="C9299" s="76" t="s">
        <v>1281</v>
      </c>
      <c r="D9299" s="75"/>
    </row>
    <row hidden="true" r="9300">
      <c r="A9300" s="76" t="s">
        <v>1399</v>
      </c>
      <c r="B9300" s="76" t="s">
        <v>974</v>
      </c>
      <c r="C9300" s="76" t="s">
        <v>1281</v>
      </c>
      <c r="D9300" s="75"/>
    </row>
    <row hidden="true" r="9301">
      <c r="A9301" s="76" t="s">
        <v>1399</v>
      </c>
      <c r="B9301" s="76" t="s">
        <v>976</v>
      </c>
      <c r="C9301" s="76" t="s">
        <v>1281</v>
      </c>
      <c r="D9301" s="75"/>
    </row>
    <row hidden="true" r="9302">
      <c r="A9302" s="76" t="s">
        <v>1399</v>
      </c>
      <c r="B9302" s="76" t="s">
        <v>823</v>
      </c>
      <c r="C9302" s="76" t="s">
        <v>1281</v>
      </c>
      <c r="D9302" s="75"/>
    </row>
    <row hidden="true" r="9303">
      <c r="A9303" s="76" t="s">
        <v>1399</v>
      </c>
      <c r="B9303" s="76" t="s">
        <v>978</v>
      </c>
      <c r="C9303" s="76" t="s">
        <v>1281</v>
      </c>
      <c r="D9303" s="75"/>
    </row>
    <row hidden="true" r="9304">
      <c r="A9304" s="76" t="s">
        <v>1399</v>
      </c>
      <c r="B9304" s="76" t="s">
        <v>980</v>
      </c>
      <c r="C9304" s="76" t="s">
        <v>1281</v>
      </c>
      <c r="D9304" s="75"/>
    </row>
    <row hidden="true" r="9305">
      <c r="A9305" s="76" t="s">
        <v>1399</v>
      </c>
      <c r="B9305" s="76" t="s">
        <v>982</v>
      </c>
      <c r="C9305" s="76" t="s">
        <v>1281</v>
      </c>
      <c r="D9305" s="75"/>
    </row>
    <row hidden="true" r="9306">
      <c r="A9306" s="76" t="s">
        <v>1399</v>
      </c>
      <c r="B9306" s="76" t="s">
        <v>984</v>
      </c>
      <c r="C9306" s="76" t="s">
        <v>1281</v>
      </c>
      <c r="D9306" s="75"/>
    </row>
    <row hidden="true" r="9307">
      <c r="A9307" s="76" t="s">
        <v>1399</v>
      </c>
      <c r="B9307" s="76" t="s">
        <v>986</v>
      </c>
      <c r="C9307" s="76" t="s">
        <v>1281</v>
      </c>
      <c r="D9307" s="75"/>
    </row>
    <row hidden="true" r="9308">
      <c r="A9308" s="76" t="s">
        <v>1399</v>
      </c>
      <c r="B9308" s="76" t="s">
        <v>1309</v>
      </c>
      <c r="C9308" s="76" t="s">
        <v>1281</v>
      </c>
      <c r="D9308" s="75"/>
    </row>
    <row hidden="true" r="9309">
      <c r="A9309" s="76" t="s">
        <v>1399</v>
      </c>
      <c r="B9309" s="76" t="s">
        <v>1311</v>
      </c>
      <c r="C9309" s="76" t="s">
        <v>1281</v>
      </c>
      <c r="D9309" s="75"/>
    </row>
    <row hidden="true" r="9310">
      <c r="A9310" s="76" t="s">
        <v>1399</v>
      </c>
      <c r="B9310" s="76" t="s">
        <v>1099</v>
      </c>
      <c r="C9310" s="76" t="s">
        <v>1281</v>
      </c>
      <c r="D9310" s="75"/>
    </row>
    <row hidden="true" r="9311">
      <c r="A9311" s="76" t="s">
        <v>1399</v>
      </c>
      <c r="B9311" s="76" t="s">
        <v>1101</v>
      </c>
      <c r="C9311" s="76" t="s">
        <v>1281</v>
      </c>
      <c r="D9311" s="75"/>
    </row>
    <row hidden="true" r="9312">
      <c r="A9312" s="76" t="s">
        <v>1399</v>
      </c>
      <c r="B9312" s="76" t="s">
        <v>1313</v>
      </c>
      <c r="C9312" s="76" t="s">
        <v>1281</v>
      </c>
      <c r="D9312" s="75"/>
    </row>
    <row hidden="true" r="9313">
      <c r="A9313" s="76" t="s">
        <v>1399</v>
      </c>
      <c r="B9313" s="76" t="s">
        <v>996</v>
      </c>
      <c r="C9313" s="76" t="s">
        <v>1281</v>
      </c>
      <c r="D9313" s="75"/>
    </row>
    <row hidden="true" r="9314">
      <c r="A9314" s="76" t="s">
        <v>1399</v>
      </c>
      <c r="B9314" s="76" t="s">
        <v>998</v>
      </c>
      <c r="C9314" s="76" t="s">
        <v>1281</v>
      </c>
      <c r="D9314" s="75"/>
    </row>
    <row hidden="true" r="9315">
      <c r="A9315" s="76" t="s">
        <v>1399</v>
      </c>
      <c r="B9315" s="76" t="s">
        <v>1000</v>
      </c>
      <c r="C9315" s="76" t="s">
        <v>1281</v>
      </c>
      <c r="D9315" s="75"/>
    </row>
    <row hidden="true" r="9316">
      <c r="A9316" s="76" t="s">
        <v>1399</v>
      </c>
      <c r="B9316" s="76" t="s">
        <v>1002</v>
      </c>
      <c r="C9316" s="76" t="s">
        <v>1281</v>
      </c>
      <c r="D9316" s="75"/>
    </row>
    <row hidden="true" r="9317">
      <c r="A9317" s="76" t="s">
        <v>1399</v>
      </c>
      <c r="B9317" s="76" t="s">
        <v>1004</v>
      </c>
      <c r="C9317" s="76" t="s">
        <v>1281</v>
      </c>
      <c r="D9317" s="75"/>
    </row>
    <row hidden="true" r="9318">
      <c r="A9318" s="76" t="s">
        <v>1399</v>
      </c>
      <c r="B9318" s="76" t="s">
        <v>1006</v>
      </c>
      <c r="C9318" s="76" t="s">
        <v>1281</v>
      </c>
      <c r="D9318" s="75"/>
    </row>
    <row hidden="true" r="9319">
      <c r="A9319" s="76" t="s">
        <v>1399</v>
      </c>
      <c r="B9319" s="76" t="s">
        <v>1008</v>
      </c>
      <c r="C9319" s="76" t="s">
        <v>1281</v>
      </c>
      <c r="D9319" s="75"/>
    </row>
    <row hidden="true" r="9320">
      <c r="A9320" s="76" t="s">
        <v>1399</v>
      </c>
      <c r="B9320" s="76" t="s">
        <v>1010</v>
      </c>
      <c r="C9320" s="76" t="s">
        <v>1281</v>
      </c>
      <c r="D9320" s="75"/>
    </row>
    <row hidden="true" r="9321">
      <c r="A9321" s="76" t="s">
        <v>1399</v>
      </c>
      <c r="B9321" s="76" t="s">
        <v>1315</v>
      </c>
      <c r="C9321" s="76" t="s">
        <v>1281</v>
      </c>
      <c r="D9321" s="75"/>
    </row>
    <row hidden="true" r="9322">
      <c r="A9322" s="76" t="s">
        <v>1399</v>
      </c>
      <c r="B9322" s="76" t="s">
        <v>1014</v>
      </c>
      <c r="C9322" s="76" t="s">
        <v>1281</v>
      </c>
      <c r="D9322" s="75"/>
    </row>
    <row hidden="true" r="9323">
      <c r="A9323" s="76" t="s">
        <v>1399</v>
      </c>
      <c r="B9323" s="76" t="s">
        <v>1016</v>
      </c>
      <c r="C9323" s="76" t="s">
        <v>1281</v>
      </c>
      <c r="D9323" s="75"/>
    </row>
    <row hidden="true" r="9324">
      <c r="A9324" s="76" t="s">
        <v>1399</v>
      </c>
      <c r="B9324" s="76" t="s">
        <v>1018</v>
      </c>
      <c r="C9324" s="76" t="s">
        <v>1281</v>
      </c>
      <c r="D9324" s="75"/>
    </row>
    <row hidden="true" r="9325">
      <c r="A9325" s="76" t="s">
        <v>1399</v>
      </c>
      <c r="B9325" s="76" t="s">
        <v>1020</v>
      </c>
      <c r="C9325" s="76" t="s">
        <v>1281</v>
      </c>
      <c r="D9325" s="75"/>
    </row>
    <row hidden="true" r="9326">
      <c r="A9326" s="76" t="s">
        <v>1399</v>
      </c>
      <c r="B9326" s="76" t="s">
        <v>1022</v>
      </c>
      <c r="C9326" s="76" t="s">
        <v>1281</v>
      </c>
      <c r="D9326" s="75"/>
    </row>
    <row hidden="true" r="9327">
      <c r="A9327" s="76" t="s">
        <v>1399</v>
      </c>
      <c r="B9327" s="76" t="s">
        <v>1023</v>
      </c>
      <c r="C9327" s="76" t="s">
        <v>1281</v>
      </c>
      <c r="D9327" s="75"/>
    </row>
    <row hidden="true" r="9328">
      <c r="A9328" s="76" t="s">
        <v>1399</v>
      </c>
      <c r="B9328" s="76" t="s">
        <v>1024</v>
      </c>
      <c r="C9328" s="76" t="s">
        <v>1281</v>
      </c>
      <c r="D9328" s="75"/>
    </row>
    <row hidden="true" r="9329">
      <c r="A9329" s="76" t="s">
        <v>1399</v>
      </c>
      <c r="B9329" s="76" t="s">
        <v>1025</v>
      </c>
      <c r="C9329" s="76" t="s">
        <v>1281</v>
      </c>
      <c r="D9329" s="75"/>
    </row>
    <row hidden="true" r="9330">
      <c r="A9330" s="76" t="s">
        <v>1399</v>
      </c>
      <c r="B9330" s="76" t="s">
        <v>1026</v>
      </c>
      <c r="C9330" s="76" t="s">
        <v>1281</v>
      </c>
      <c r="D9330" s="75"/>
    </row>
    <row hidden="true" r="9331">
      <c r="A9331" s="76" t="s">
        <v>1399</v>
      </c>
      <c r="B9331" s="76" t="s">
        <v>1027</v>
      </c>
      <c r="C9331" s="76" t="s">
        <v>1281</v>
      </c>
      <c r="D9331" s="75"/>
    </row>
    <row hidden="true" r="9332">
      <c r="A9332" s="76" t="s">
        <v>1399</v>
      </c>
      <c r="B9332" s="76" t="s">
        <v>1133</v>
      </c>
      <c r="C9332" s="76" t="s">
        <v>1281</v>
      </c>
      <c r="D9332" s="75"/>
    </row>
    <row hidden="true" r="9333">
      <c r="A9333" s="76" t="s">
        <v>1399</v>
      </c>
      <c r="B9333" s="76" t="s">
        <v>1317</v>
      </c>
      <c r="C9333" s="76" t="s">
        <v>1281</v>
      </c>
      <c r="D9333" s="75"/>
    </row>
    <row hidden="true" r="9334">
      <c r="A9334" s="76" t="s">
        <v>1399</v>
      </c>
      <c r="B9334" s="76" t="s">
        <v>1319</v>
      </c>
      <c r="C9334" s="76" t="s">
        <v>1281</v>
      </c>
      <c r="D9334" s="75"/>
    </row>
    <row hidden="true" r="9335">
      <c r="A9335" s="76" t="s">
        <v>1399</v>
      </c>
      <c r="B9335" s="76" t="s">
        <v>1028</v>
      </c>
      <c r="C9335" s="76" t="s">
        <v>1281</v>
      </c>
      <c r="D9335" s="75"/>
    </row>
    <row hidden="true" r="9336">
      <c r="A9336" s="76" t="s">
        <v>1399</v>
      </c>
      <c r="B9336" s="76" t="s">
        <v>988</v>
      </c>
      <c r="C9336" s="76" t="s">
        <v>1281</v>
      </c>
      <c r="D9336" s="75"/>
    </row>
    <row hidden="true" r="9337">
      <c r="A9337" s="76" t="s">
        <v>1399</v>
      </c>
      <c r="B9337" s="76" t="s">
        <v>990</v>
      </c>
      <c r="C9337" s="76" t="s">
        <v>1281</v>
      </c>
      <c r="D9337" s="75"/>
    </row>
    <row hidden="true" r="9338">
      <c r="A9338" s="76" t="s">
        <v>1399</v>
      </c>
      <c r="B9338" s="76" t="s">
        <v>992</v>
      </c>
      <c r="C9338" s="76" t="s">
        <v>1281</v>
      </c>
      <c r="D9338" s="75"/>
    </row>
    <row hidden="true" r="9339">
      <c r="A9339" s="76" t="s">
        <v>1399</v>
      </c>
      <c r="B9339" s="76" t="s">
        <v>530</v>
      </c>
      <c r="C9339" s="76" t="s">
        <v>1281</v>
      </c>
      <c r="D9339" s="75"/>
    </row>
    <row hidden="true" r="9340">
      <c r="A9340" s="76" t="s">
        <v>1399</v>
      </c>
      <c r="B9340" s="76" t="s">
        <v>1032</v>
      </c>
      <c r="C9340" s="76" t="s">
        <v>1281</v>
      </c>
      <c r="D9340" s="75"/>
    </row>
    <row hidden="true" r="9341">
      <c r="A9341" s="76" t="s">
        <v>1399</v>
      </c>
      <c r="B9341" s="76" t="s">
        <v>532</v>
      </c>
      <c r="C9341" s="76" t="s">
        <v>1281</v>
      </c>
      <c r="D9341" s="75"/>
    </row>
    <row hidden="true" r="9342">
      <c r="A9342" s="76" t="s">
        <v>1399</v>
      </c>
      <c r="B9342" s="76" t="s">
        <v>1036</v>
      </c>
      <c r="C9342" s="76" t="s">
        <v>1281</v>
      </c>
      <c r="D9342" s="75"/>
    </row>
    <row hidden="true" r="9343">
      <c r="A9343" s="76" t="s">
        <v>1399</v>
      </c>
      <c r="B9343" s="76" t="s">
        <v>1038</v>
      </c>
      <c r="C9343" s="76" t="s">
        <v>1281</v>
      </c>
      <c r="D9343" s="75"/>
    </row>
    <row hidden="true" r="9344">
      <c r="A9344" s="76" t="s">
        <v>1399</v>
      </c>
      <c r="B9344" s="76" t="s">
        <v>1321</v>
      </c>
      <c r="C9344" s="76" t="s">
        <v>1281</v>
      </c>
      <c r="D9344" s="75"/>
    </row>
    <row hidden="true" r="9345">
      <c r="A9345" s="76" t="s">
        <v>1399</v>
      </c>
      <c r="B9345" s="76" t="s">
        <v>1323</v>
      </c>
      <c r="C9345" s="76" t="s">
        <v>1281</v>
      </c>
      <c r="D9345" s="75"/>
    </row>
    <row hidden="true" r="9346">
      <c r="A9346" s="76" t="s">
        <v>1399</v>
      </c>
      <c r="B9346" s="76" t="s">
        <v>1012</v>
      </c>
      <c r="C9346" s="76" t="s">
        <v>1281</v>
      </c>
      <c r="D9346" s="75"/>
    </row>
    <row hidden="true" r="9347">
      <c r="A9347" s="76" t="s">
        <v>1399</v>
      </c>
      <c r="B9347" s="76" t="s">
        <v>1052</v>
      </c>
      <c r="C9347" s="76" t="s">
        <v>1281</v>
      </c>
      <c r="D9347" s="75"/>
    </row>
    <row hidden="true" r="9348">
      <c r="A9348" s="76" t="s">
        <v>1399</v>
      </c>
      <c r="B9348" s="76" t="s">
        <v>1054</v>
      </c>
      <c r="C9348" s="76" t="s">
        <v>1281</v>
      </c>
      <c r="D9348" s="75"/>
    </row>
    <row hidden="true" r="9349">
      <c r="A9349" s="76" t="s">
        <v>1399</v>
      </c>
      <c r="B9349" s="76" t="s">
        <v>1056</v>
      </c>
      <c r="C9349" s="76" t="s">
        <v>1281</v>
      </c>
      <c r="D9349" s="75"/>
    </row>
    <row hidden="true" r="9350">
      <c r="A9350" s="76" t="s">
        <v>1399</v>
      </c>
      <c r="B9350" s="76" t="s">
        <v>1058</v>
      </c>
      <c r="C9350" s="76" t="s">
        <v>1281</v>
      </c>
      <c r="D9350" s="75"/>
    </row>
    <row hidden="true" r="9351">
      <c r="A9351" s="76" t="s">
        <v>1399</v>
      </c>
      <c r="B9351" s="76" t="s">
        <v>1060</v>
      </c>
      <c r="C9351" s="76" t="s">
        <v>1281</v>
      </c>
      <c r="D9351" s="75"/>
    </row>
    <row hidden="true" r="9352">
      <c r="A9352" s="76" t="s">
        <v>1399</v>
      </c>
      <c r="B9352" s="76" t="s">
        <v>1062</v>
      </c>
      <c r="C9352" s="76" t="s">
        <v>1281</v>
      </c>
      <c r="D9352" s="75"/>
    </row>
    <row hidden="true" r="9353">
      <c r="A9353" s="76" t="s">
        <v>1399</v>
      </c>
      <c r="B9353" s="76" t="s">
        <v>1064</v>
      </c>
      <c r="C9353" s="76" t="s">
        <v>1281</v>
      </c>
      <c r="D9353" s="75"/>
    </row>
    <row hidden="true" r="9354">
      <c r="A9354" s="76" t="s">
        <v>1399</v>
      </c>
      <c r="B9354" s="76" t="s">
        <v>1066</v>
      </c>
      <c r="C9354" s="76" t="s">
        <v>1281</v>
      </c>
      <c r="D9354" s="75"/>
    </row>
    <row hidden="true" r="9355">
      <c r="A9355" s="76" t="s">
        <v>1399</v>
      </c>
      <c r="B9355" s="76" t="s">
        <v>1068</v>
      </c>
      <c r="C9355" s="76" t="s">
        <v>1281</v>
      </c>
      <c r="D9355" s="75"/>
    </row>
    <row hidden="true" r="9356">
      <c r="A9356" s="76" t="s">
        <v>1399</v>
      </c>
      <c r="B9356" s="76" t="s">
        <v>1070</v>
      </c>
      <c r="C9356" s="76" t="s">
        <v>1281</v>
      </c>
      <c r="D9356" s="75"/>
    </row>
    <row hidden="true" r="9357">
      <c r="A9357" s="76" t="s">
        <v>1399</v>
      </c>
      <c r="B9357" s="76" t="s">
        <v>1071</v>
      </c>
      <c r="C9357" s="76" t="s">
        <v>1281</v>
      </c>
      <c r="D9357" s="75"/>
    </row>
    <row hidden="true" r="9358">
      <c r="A9358" s="76" t="s">
        <v>1399</v>
      </c>
      <c r="B9358" s="76" t="s">
        <v>1072</v>
      </c>
      <c r="C9358" s="76" t="s">
        <v>1281</v>
      </c>
      <c r="D9358" s="75"/>
    </row>
    <row hidden="true" r="9359">
      <c r="A9359" s="76" t="s">
        <v>1399</v>
      </c>
      <c r="B9359" s="76" t="s">
        <v>1074</v>
      </c>
      <c r="C9359" s="76" t="s">
        <v>1281</v>
      </c>
      <c r="D9359" s="75"/>
    </row>
    <row hidden="true" r="9360">
      <c r="A9360" s="76" t="s">
        <v>1399</v>
      </c>
      <c r="B9360" s="76" t="s">
        <v>1075</v>
      </c>
      <c r="C9360" s="76" t="s">
        <v>1281</v>
      </c>
      <c r="D9360" s="75"/>
    </row>
    <row hidden="true" r="9361">
      <c r="A9361" s="76" t="s">
        <v>1399</v>
      </c>
      <c r="B9361" s="76" t="s">
        <v>1082</v>
      </c>
      <c r="C9361" s="76" t="s">
        <v>1281</v>
      </c>
      <c r="D9361" s="75"/>
    </row>
    <row hidden="true" r="9362">
      <c r="A9362" s="76" t="s">
        <v>1399</v>
      </c>
      <c r="B9362" s="76" t="s">
        <v>1084</v>
      </c>
      <c r="C9362" s="76" t="s">
        <v>1281</v>
      </c>
      <c r="D9362" s="75"/>
    </row>
    <row hidden="true" r="9363">
      <c r="A9363" s="76" t="s">
        <v>1399</v>
      </c>
      <c r="B9363" s="76" t="s">
        <v>1086</v>
      </c>
      <c r="C9363" s="76" t="s">
        <v>1281</v>
      </c>
      <c r="D9363" s="75"/>
    </row>
    <row hidden="true" r="9364">
      <c r="A9364" s="76" t="s">
        <v>1399</v>
      </c>
      <c r="B9364" s="76" t="s">
        <v>1088</v>
      </c>
      <c r="C9364" s="76" t="s">
        <v>1281</v>
      </c>
      <c r="D9364" s="75"/>
    </row>
    <row hidden="true" r="9365">
      <c r="A9365" s="76" t="s">
        <v>1399</v>
      </c>
      <c r="B9365" s="76" t="s">
        <v>1076</v>
      </c>
      <c r="C9365" s="76" t="s">
        <v>1281</v>
      </c>
      <c r="D9365" s="75"/>
    </row>
    <row hidden="true" r="9366">
      <c r="A9366" s="76" t="s">
        <v>1399</v>
      </c>
      <c r="B9366" s="76" t="s">
        <v>1078</v>
      </c>
      <c r="C9366" s="76" t="s">
        <v>1281</v>
      </c>
      <c r="D9366" s="75"/>
    </row>
    <row hidden="true" r="9367">
      <c r="A9367" s="76" t="s">
        <v>1399</v>
      </c>
      <c r="B9367" s="76" t="s">
        <v>1040</v>
      </c>
      <c r="C9367" s="76" t="s">
        <v>1281</v>
      </c>
      <c r="D9367" s="75"/>
    </row>
    <row hidden="true" r="9368">
      <c r="A9368" s="76" t="s">
        <v>1399</v>
      </c>
      <c r="B9368" s="76" t="s">
        <v>839</v>
      </c>
      <c r="C9368" s="76" t="s">
        <v>1281</v>
      </c>
      <c r="D9368" s="75"/>
    </row>
    <row hidden="true" r="9369">
      <c r="A9369" s="76" t="s">
        <v>1399</v>
      </c>
      <c r="B9369" s="76" t="s">
        <v>1121</v>
      </c>
      <c r="C9369" s="76" t="s">
        <v>1281</v>
      </c>
      <c r="D9369" s="75"/>
    </row>
    <row hidden="true" r="9370">
      <c r="A9370" s="76" t="s">
        <v>1399</v>
      </c>
      <c r="B9370" s="76" t="s">
        <v>1325</v>
      </c>
      <c r="C9370" s="76" t="s">
        <v>1281</v>
      </c>
      <c r="D9370" s="75"/>
    </row>
    <row hidden="true" r="9371">
      <c r="A9371" s="76" t="s">
        <v>1399</v>
      </c>
      <c r="B9371" s="76" t="s">
        <v>1080</v>
      </c>
      <c r="C9371" s="76" t="s">
        <v>1281</v>
      </c>
      <c r="D9371" s="75"/>
    </row>
    <row hidden="true" r="9372">
      <c r="A9372" s="76" t="s">
        <v>1399</v>
      </c>
      <c r="B9372" s="76" t="s">
        <v>1327</v>
      </c>
      <c r="C9372" s="76" t="s">
        <v>1281</v>
      </c>
      <c r="D9372" s="75"/>
    </row>
    <row hidden="true" r="9373">
      <c r="A9373" s="76" t="s">
        <v>1399</v>
      </c>
      <c r="B9373" s="76" t="s">
        <v>1090</v>
      </c>
      <c r="C9373" s="76" t="s">
        <v>1281</v>
      </c>
      <c r="D9373" s="75"/>
    </row>
    <row hidden="true" r="9374">
      <c r="A9374" s="76" t="s">
        <v>1399</v>
      </c>
      <c r="B9374" s="76" t="s">
        <v>1092</v>
      </c>
      <c r="C9374" s="76" t="s">
        <v>1281</v>
      </c>
      <c r="D9374" s="75"/>
    </row>
    <row hidden="true" r="9375">
      <c r="A9375" s="76" t="s">
        <v>1399</v>
      </c>
      <c r="B9375" s="76" t="s">
        <v>1093</v>
      </c>
      <c r="C9375" s="76" t="s">
        <v>1281</v>
      </c>
      <c r="D9375" s="75"/>
    </row>
    <row hidden="true" r="9376">
      <c r="A9376" s="76" t="s">
        <v>1399</v>
      </c>
      <c r="B9376" s="76" t="s">
        <v>1095</v>
      </c>
      <c r="C9376" s="76" t="s">
        <v>1281</v>
      </c>
      <c r="D9376" s="75"/>
    </row>
    <row hidden="true" r="9377">
      <c r="A9377" s="76" t="s">
        <v>1399</v>
      </c>
      <c r="B9377" s="76" t="s">
        <v>1097</v>
      </c>
      <c r="C9377" s="76" t="s">
        <v>1281</v>
      </c>
      <c r="D9377" s="75"/>
    </row>
    <row hidden="true" r="9378">
      <c r="A9378" s="76" t="s">
        <v>1399</v>
      </c>
      <c r="B9378" s="76" t="s">
        <v>1103</v>
      </c>
      <c r="C9378" s="76" t="s">
        <v>1281</v>
      </c>
      <c r="D9378" s="75"/>
    </row>
    <row hidden="true" r="9379">
      <c r="A9379" s="76" t="s">
        <v>1399</v>
      </c>
      <c r="B9379" s="76" t="s">
        <v>1329</v>
      </c>
      <c r="C9379" s="76" t="s">
        <v>1281</v>
      </c>
      <c r="D9379" s="75"/>
    </row>
    <row hidden="true" r="9380">
      <c r="A9380" s="76" t="s">
        <v>1399</v>
      </c>
      <c r="B9380" s="76" t="s">
        <v>1113</v>
      </c>
      <c r="C9380" s="76" t="s">
        <v>1281</v>
      </c>
      <c r="D9380" s="75"/>
    </row>
    <row hidden="true" r="9381">
      <c r="A9381" s="76" t="s">
        <v>1399</v>
      </c>
      <c r="B9381" s="76" t="s">
        <v>1115</v>
      </c>
      <c r="C9381" s="76" t="s">
        <v>1281</v>
      </c>
      <c r="D9381" s="75"/>
    </row>
    <row hidden="true" r="9382">
      <c r="A9382" s="76" t="s">
        <v>1399</v>
      </c>
      <c r="B9382" s="76" t="s">
        <v>1117</v>
      </c>
      <c r="C9382" s="76" t="s">
        <v>1281</v>
      </c>
      <c r="D9382" s="75"/>
    </row>
    <row hidden="true" r="9383">
      <c r="A9383" s="76" t="s">
        <v>1399</v>
      </c>
      <c r="B9383" s="76" t="s">
        <v>1119</v>
      </c>
      <c r="C9383" s="76" t="s">
        <v>1281</v>
      </c>
      <c r="D9383" s="75"/>
    </row>
    <row hidden="true" r="9384">
      <c r="A9384" s="76" t="s">
        <v>1399</v>
      </c>
      <c r="B9384" s="76" t="s">
        <v>1127</v>
      </c>
      <c r="C9384" s="76" t="s">
        <v>1281</v>
      </c>
      <c r="D9384" s="75"/>
    </row>
    <row hidden="true" r="9385">
      <c r="A9385" s="76" t="s">
        <v>1399</v>
      </c>
      <c r="B9385" s="76" t="s">
        <v>1129</v>
      </c>
      <c r="C9385" s="76" t="s">
        <v>1281</v>
      </c>
      <c r="D9385" s="75"/>
    </row>
    <row hidden="true" r="9386">
      <c r="A9386" s="76" t="s">
        <v>1399</v>
      </c>
      <c r="B9386" s="76" t="s">
        <v>1131</v>
      </c>
      <c r="C9386" s="76" t="s">
        <v>1281</v>
      </c>
      <c r="D9386" s="75"/>
    </row>
    <row hidden="true" r="9387">
      <c r="A9387" s="76" t="s">
        <v>1399</v>
      </c>
      <c r="B9387" s="76" t="s">
        <v>1137</v>
      </c>
      <c r="C9387" s="76" t="s">
        <v>1281</v>
      </c>
      <c r="D9387" s="75"/>
    </row>
    <row hidden="true" r="9388">
      <c r="A9388" s="76" t="s">
        <v>1399</v>
      </c>
      <c r="B9388" s="76" t="s">
        <v>1139</v>
      </c>
      <c r="C9388" s="76" t="s">
        <v>1281</v>
      </c>
      <c r="D9388" s="75"/>
    </row>
    <row hidden="true" r="9389">
      <c r="A9389" s="76" t="s">
        <v>1399</v>
      </c>
      <c r="B9389" s="76" t="s">
        <v>1141</v>
      </c>
      <c r="C9389" s="76" t="s">
        <v>1281</v>
      </c>
      <c r="D9389" s="75"/>
    </row>
    <row hidden="true" r="9390">
      <c r="A9390" s="76" t="s">
        <v>1399</v>
      </c>
      <c r="B9390" s="76" t="s">
        <v>1143</v>
      </c>
      <c r="C9390" s="76" t="s">
        <v>1281</v>
      </c>
      <c r="D9390" s="75"/>
    </row>
    <row hidden="true" r="9391">
      <c r="A9391" s="76" t="s">
        <v>1399</v>
      </c>
      <c r="B9391" s="76" t="s">
        <v>1145</v>
      </c>
      <c r="C9391" s="76" t="s">
        <v>1281</v>
      </c>
      <c r="D9391" s="75"/>
    </row>
    <row hidden="true" r="9392">
      <c r="A9392" s="76" t="s">
        <v>1399</v>
      </c>
      <c r="B9392" s="76" t="s">
        <v>1147</v>
      </c>
      <c r="C9392" s="76" t="s">
        <v>1281</v>
      </c>
      <c r="D9392" s="75"/>
    </row>
    <row hidden="true" r="9393">
      <c r="A9393" s="76" t="s">
        <v>1399</v>
      </c>
      <c r="B9393" s="76" t="s">
        <v>1153</v>
      </c>
      <c r="C9393" s="76" t="s">
        <v>1281</v>
      </c>
      <c r="D9393" s="75"/>
    </row>
    <row hidden="true" r="9394">
      <c r="A9394" s="76" t="s">
        <v>1399</v>
      </c>
      <c r="B9394" s="76" t="s">
        <v>1155</v>
      </c>
      <c r="C9394" s="76" t="s">
        <v>1281</v>
      </c>
      <c r="D9394" s="75"/>
    </row>
    <row hidden="true" r="9395">
      <c r="A9395" s="76" t="s">
        <v>1399</v>
      </c>
      <c r="B9395" s="76" t="s">
        <v>1157</v>
      </c>
      <c r="C9395" s="76" t="s">
        <v>1281</v>
      </c>
      <c r="D9395" s="75"/>
    </row>
    <row hidden="true" r="9396">
      <c r="A9396" s="76" t="s">
        <v>1399</v>
      </c>
      <c r="B9396" s="76" t="s">
        <v>1159</v>
      </c>
      <c r="C9396" s="76" t="s">
        <v>1281</v>
      </c>
      <c r="D9396" s="75"/>
    </row>
    <row hidden="true" r="9397">
      <c r="A9397" s="76" t="s">
        <v>1399</v>
      </c>
      <c r="B9397" s="76" t="s">
        <v>1161</v>
      </c>
      <c r="C9397" s="76" t="s">
        <v>1281</v>
      </c>
      <c r="D9397" s="75"/>
    </row>
    <row hidden="true" r="9398">
      <c r="A9398" s="76" t="s">
        <v>1399</v>
      </c>
      <c r="B9398" s="76" t="s">
        <v>1163</v>
      </c>
      <c r="C9398" s="76" t="s">
        <v>1281</v>
      </c>
      <c r="D9398" s="75"/>
    </row>
    <row hidden="true" r="9399">
      <c r="A9399" s="76" t="s">
        <v>1399</v>
      </c>
      <c r="B9399" s="76" t="s">
        <v>1165</v>
      </c>
      <c r="C9399" s="76" t="s">
        <v>1281</v>
      </c>
      <c r="D9399" s="75"/>
    </row>
    <row hidden="true" r="9400">
      <c r="A9400" s="76" t="s">
        <v>1399</v>
      </c>
      <c r="B9400" s="76" t="s">
        <v>1331</v>
      </c>
      <c r="C9400" s="76" t="s">
        <v>1281</v>
      </c>
      <c r="D9400" s="75"/>
    </row>
    <row hidden="true" r="9401">
      <c r="A9401" s="76" t="s">
        <v>1399</v>
      </c>
      <c r="B9401" s="76" t="s">
        <v>1333</v>
      </c>
      <c r="C9401" s="76" t="s">
        <v>1281</v>
      </c>
      <c r="D9401" s="75"/>
    </row>
    <row hidden="true" r="9402">
      <c r="A9402" s="76" t="s">
        <v>1399</v>
      </c>
      <c r="B9402" s="76" t="s">
        <v>1335</v>
      </c>
      <c r="C9402" s="76" t="s">
        <v>1281</v>
      </c>
      <c r="D9402" s="75"/>
    </row>
    <row hidden="true" r="9403">
      <c r="A9403" s="76" t="s">
        <v>1399</v>
      </c>
      <c r="B9403" s="76" t="s">
        <v>1337</v>
      </c>
      <c r="C9403" s="76" t="s">
        <v>1281</v>
      </c>
      <c r="D9403" s="75"/>
    </row>
    <row hidden="true" r="9404">
      <c r="A9404" s="76" t="s">
        <v>1399</v>
      </c>
      <c r="B9404" s="76" t="s">
        <v>1339</v>
      </c>
      <c r="C9404" s="76" t="s">
        <v>1281</v>
      </c>
      <c r="D9404" s="75"/>
    </row>
    <row hidden="true" r="9405">
      <c r="A9405" s="76" t="s">
        <v>1399</v>
      </c>
      <c r="B9405" s="76" t="s">
        <v>1341</v>
      </c>
      <c r="C9405" s="76" t="s">
        <v>1281</v>
      </c>
      <c r="D9405" s="75"/>
    </row>
    <row hidden="true" r="9406">
      <c r="A9406" s="76" t="s">
        <v>1399</v>
      </c>
      <c r="B9406" s="76" t="s">
        <v>1044</v>
      </c>
      <c r="C9406" s="76" t="s">
        <v>1281</v>
      </c>
      <c r="D9406" s="75"/>
    </row>
    <row hidden="true" r="9407">
      <c r="A9407" s="76" t="s">
        <v>1399</v>
      </c>
      <c r="B9407" s="76" t="s">
        <v>1046</v>
      </c>
      <c r="C9407" s="76" t="s">
        <v>1281</v>
      </c>
      <c r="D9407" s="75"/>
    </row>
    <row hidden="true" r="9408">
      <c r="A9408" s="76" t="s">
        <v>1399</v>
      </c>
      <c r="B9408" s="76" t="s">
        <v>1048</v>
      </c>
      <c r="C9408" s="76" t="s">
        <v>1281</v>
      </c>
      <c r="D9408" s="75"/>
    </row>
    <row hidden="true" r="9409">
      <c r="A9409" s="76" t="s">
        <v>1399</v>
      </c>
      <c r="B9409" s="76" t="s">
        <v>1167</v>
      </c>
      <c r="C9409" s="76" t="s">
        <v>1281</v>
      </c>
      <c r="D9409" s="75"/>
    </row>
    <row hidden="true" r="9410">
      <c r="A9410" s="76" t="s">
        <v>1399</v>
      </c>
      <c r="B9410" s="76" t="s">
        <v>1169</v>
      </c>
      <c r="C9410" s="76" t="s">
        <v>1281</v>
      </c>
      <c r="D9410" s="75"/>
    </row>
    <row hidden="true" r="9411">
      <c r="A9411" s="76" t="s">
        <v>1399</v>
      </c>
      <c r="B9411" s="76" t="s">
        <v>1171</v>
      </c>
      <c r="C9411" s="76" t="s">
        <v>1281</v>
      </c>
      <c r="D9411" s="75"/>
    </row>
    <row hidden="true" r="9412">
      <c r="A9412" s="76" t="s">
        <v>1399</v>
      </c>
      <c r="B9412" s="76" t="s">
        <v>1173</v>
      </c>
      <c r="C9412" s="76" t="s">
        <v>1281</v>
      </c>
      <c r="D9412" s="75"/>
    </row>
    <row hidden="true" r="9413">
      <c r="A9413" s="76" t="s">
        <v>1399</v>
      </c>
      <c r="B9413" s="76" t="s">
        <v>1175</v>
      </c>
      <c r="C9413" s="76" t="s">
        <v>1281</v>
      </c>
      <c r="D9413" s="75"/>
    </row>
    <row hidden="true" r="9414">
      <c r="A9414" s="76" t="s">
        <v>1399</v>
      </c>
      <c r="B9414" s="76" t="s">
        <v>1177</v>
      </c>
      <c r="C9414" s="76" t="s">
        <v>1281</v>
      </c>
      <c r="D9414" s="75"/>
    </row>
    <row hidden="true" r="9415">
      <c r="A9415" s="76" t="s">
        <v>1399</v>
      </c>
      <c r="B9415" s="76" t="s">
        <v>1135</v>
      </c>
      <c r="C9415" s="76" t="s">
        <v>1281</v>
      </c>
      <c r="D9415" s="75"/>
    </row>
    <row hidden="true" r="9416">
      <c r="A9416" s="76" t="s">
        <v>1399</v>
      </c>
      <c r="B9416" s="76" t="s">
        <v>1179</v>
      </c>
      <c r="C9416" s="76" t="s">
        <v>1281</v>
      </c>
      <c r="D9416" s="75"/>
    </row>
    <row hidden="true" r="9417">
      <c r="A9417" s="76" t="s">
        <v>1399</v>
      </c>
      <c r="B9417" s="76" t="s">
        <v>1181</v>
      </c>
      <c r="C9417" s="76" t="s">
        <v>1281</v>
      </c>
      <c r="D9417" s="75"/>
    </row>
    <row hidden="true" r="9418">
      <c r="A9418" s="76" t="s">
        <v>1399</v>
      </c>
      <c r="B9418" s="76" t="s">
        <v>1183</v>
      </c>
      <c r="C9418" s="76" t="s">
        <v>1281</v>
      </c>
      <c r="D9418" s="75"/>
    </row>
    <row hidden="true" r="9419">
      <c r="A9419" s="76" t="s">
        <v>1399</v>
      </c>
      <c r="B9419" s="76" t="s">
        <v>1185</v>
      </c>
      <c r="C9419" s="76" t="s">
        <v>1281</v>
      </c>
      <c r="D9419" s="75"/>
    </row>
    <row hidden="true" r="9420">
      <c r="A9420" s="76" t="s">
        <v>1399</v>
      </c>
      <c r="B9420" s="76" t="s">
        <v>1187</v>
      </c>
      <c r="C9420" s="76" t="s">
        <v>1281</v>
      </c>
      <c r="D9420" s="75"/>
    </row>
    <row hidden="true" r="9421">
      <c r="A9421" s="76" t="s">
        <v>1399</v>
      </c>
      <c r="B9421" s="76" t="s">
        <v>1189</v>
      </c>
      <c r="C9421" s="76" t="s">
        <v>1281</v>
      </c>
      <c r="D9421" s="75"/>
    </row>
    <row hidden="true" r="9422">
      <c r="A9422" s="76" t="s">
        <v>1399</v>
      </c>
      <c r="B9422" s="76" t="s">
        <v>1191</v>
      </c>
      <c r="C9422" s="76" t="s">
        <v>1281</v>
      </c>
      <c r="D9422" s="75"/>
    </row>
    <row hidden="true" r="9423">
      <c r="A9423" s="76" t="s">
        <v>1399</v>
      </c>
      <c r="B9423" s="76" t="s">
        <v>1199</v>
      </c>
      <c r="C9423" s="76" t="s">
        <v>1281</v>
      </c>
      <c r="D9423" s="75"/>
    </row>
    <row hidden="true" r="9424">
      <c r="A9424" s="76" t="s">
        <v>1399</v>
      </c>
      <c r="B9424" s="76" t="s">
        <v>1201</v>
      </c>
      <c r="C9424" s="76" t="s">
        <v>1281</v>
      </c>
      <c r="D9424" s="75"/>
    </row>
    <row hidden="true" r="9425">
      <c r="A9425" s="76" t="s">
        <v>1399</v>
      </c>
      <c r="B9425" s="76" t="s">
        <v>1203</v>
      </c>
      <c r="C9425" s="76" t="s">
        <v>1281</v>
      </c>
      <c r="D9425" s="75"/>
    </row>
    <row hidden="true" r="9426">
      <c r="A9426" s="76" t="s">
        <v>1399</v>
      </c>
      <c r="B9426" s="76" t="s">
        <v>1205</v>
      </c>
      <c r="C9426" s="76" t="s">
        <v>1281</v>
      </c>
      <c r="D9426" s="75"/>
    </row>
    <row hidden="true" r="9427">
      <c r="A9427" s="76" t="s">
        <v>1399</v>
      </c>
      <c r="B9427" s="76" t="s">
        <v>1207</v>
      </c>
      <c r="C9427" s="76" t="s">
        <v>1281</v>
      </c>
      <c r="D9427" s="75"/>
    </row>
    <row hidden="true" r="9428">
      <c r="A9428" s="76" t="s">
        <v>1399</v>
      </c>
      <c r="B9428" s="76" t="s">
        <v>1209</v>
      </c>
      <c r="C9428" s="76" t="s">
        <v>1281</v>
      </c>
      <c r="D9428" s="75"/>
    </row>
    <row hidden="true" r="9429">
      <c r="A9429" s="76" t="s">
        <v>1399</v>
      </c>
      <c r="B9429" s="76" t="s">
        <v>1211</v>
      </c>
      <c r="C9429" s="76" t="s">
        <v>1281</v>
      </c>
      <c r="D9429" s="75"/>
    </row>
    <row hidden="true" r="9430">
      <c r="A9430" s="76" t="s">
        <v>1399</v>
      </c>
      <c r="B9430" s="76" t="s">
        <v>1282</v>
      </c>
      <c r="C9430" s="76" t="s">
        <v>1281</v>
      </c>
      <c r="D9430" s="75"/>
    </row>
    <row hidden="true" r="9431">
      <c r="A9431" s="76" t="s">
        <v>1399</v>
      </c>
      <c r="B9431" s="76" t="s">
        <v>735</v>
      </c>
      <c r="C9431" s="76" t="s">
        <v>1283</v>
      </c>
      <c r="D9431" s="75"/>
    </row>
    <row hidden="true" r="9432">
      <c r="A9432" s="76" t="s">
        <v>1400</v>
      </c>
      <c r="B9432" s="76" t="s">
        <v>407</v>
      </c>
      <c r="C9432" s="76" t="s">
        <v>1281</v>
      </c>
      <c r="D9432" s="75"/>
    </row>
    <row hidden="true" r="9433">
      <c r="A9433" s="76" t="s">
        <v>1400</v>
      </c>
      <c r="B9433" s="76" t="s">
        <v>744</v>
      </c>
      <c r="C9433" s="76" t="s">
        <v>1281</v>
      </c>
      <c r="D9433" s="75"/>
    </row>
    <row hidden="true" r="9434">
      <c r="A9434" s="76" t="s">
        <v>1400</v>
      </c>
      <c r="B9434" s="76" t="s">
        <v>480</v>
      </c>
      <c r="C9434" s="76" t="s">
        <v>1281</v>
      </c>
      <c r="D9434" s="75"/>
    </row>
    <row hidden="true" r="9435">
      <c r="A9435" s="76" t="s">
        <v>1400</v>
      </c>
      <c r="B9435" s="76" t="s">
        <v>884</v>
      </c>
      <c r="C9435" s="76" t="s">
        <v>1281</v>
      </c>
      <c r="D9435" s="75"/>
    </row>
    <row hidden="true" r="9436">
      <c r="A9436" s="76" t="s">
        <v>1400</v>
      </c>
      <c r="B9436" s="76" t="s">
        <v>886</v>
      </c>
      <c r="C9436" s="76" t="s">
        <v>1281</v>
      </c>
      <c r="D9436" s="75"/>
    </row>
    <row hidden="true" r="9437">
      <c r="A9437" s="76" t="s">
        <v>1400</v>
      </c>
      <c r="B9437" s="76" t="s">
        <v>888</v>
      </c>
      <c r="C9437" s="76" t="s">
        <v>1281</v>
      </c>
      <c r="D9437" s="75"/>
    </row>
    <row hidden="true" r="9438">
      <c r="A9438" s="76" t="s">
        <v>1400</v>
      </c>
      <c r="B9438" s="76" t="s">
        <v>890</v>
      </c>
      <c r="C9438" s="76" t="s">
        <v>1281</v>
      </c>
      <c r="D9438" s="75"/>
    </row>
    <row hidden="true" r="9439">
      <c r="A9439" s="76" t="s">
        <v>1400</v>
      </c>
      <c r="B9439" s="76" t="s">
        <v>892</v>
      </c>
      <c r="C9439" s="76" t="s">
        <v>1281</v>
      </c>
      <c r="D9439" s="75"/>
    </row>
    <row hidden="true" r="9440">
      <c r="A9440" s="76" t="s">
        <v>1400</v>
      </c>
      <c r="B9440" s="76" t="s">
        <v>894</v>
      </c>
      <c r="C9440" s="76" t="s">
        <v>1281</v>
      </c>
      <c r="D9440" s="75"/>
    </row>
    <row hidden="true" r="9441">
      <c r="A9441" s="76" t="s">
        <v>1400</v>
      </c>
      <c r="B9441" s="76" t="s">
        <v>896</v>
      </c>
      <c r="C9441" s="76" t="s">
        <v>1281</v>
      </c>
      <c r="D9441" s="75"/>
    </row>
    <row hidden="true" r="9442">
      <c r="A9442" s="76" t="s">
        <v>1400</v>
      </c>
      <c r="B9442" s="76" t="s">
        <v>898</v>
      </c>
      <c r="C9442" s="76" t="s">
        <v>1281</v>
      </c>
      <c r="D9442" s="75"/>
    </row>
    <row hidden="true" r="9443">
      <c r="A9443" s="76" t="s">
        <v>1400</v>
      </c>
      <c r="B9443" s="76" t="s">
        <v>900</v>
      </c>
      <c r="C9443" s="76" t="s">
        <v>1281</v>
      </c>
      <c r="D9443" s="75"/>
    </row>
    <row hidden="true" r="9444">
      <c r="A9444" s="76" t="s">
        <v>1400</v>
      </c>
      <c r="B9444" s="76" t="s">
        <v>902</v>
      </c>
      <c r="C9444" s="76" t="s">
        <v>1281</v>
      </c>
      <c r="D9444" s="75"/>
    </row>
    <row hidden="true" r="9445">
      <c r="A9445" s="76" t="s">
        <v>1400</v>
      </c>
      <c r="B9445" s="76" t="s">
        <v>904</v>
      </c>
      <c r="C9445" s="76" t="s">
        <v>1281</v>
      </c>
      <c r="D9445" s="75"/>
    </row>
    <row hidden="true" r="9446">
      <c r="A9446" s="76" t="s">
        <v>1400</v>
      </c>
      <c r="B9446" s="76" t="s">
        <v>906</v>
      </c>
      <c r="C9446" s="76" t="s">
        <v>1281</v>
      </c>
      <c r="D9446" s="75"/>
    </row>
    <row hidden="true" r="9447">
      <c r="A9447" s="76" t="s">
        <v>1400</v>
      </c>
      <c r="B9447" s="76" t="s">
        <v>908</v>
      </c>
      <c r="C9447" s="76" t="s">
        <v>1281</v>
      </c>
      <c r="D9447" s="75"/>
    </row>
    <row hidden="true" r="9448">
      <c r="A9448" s="76" t="s">
        <v>1400</v>
      </c>
      <c r="B9448" s="76" t="s">
        <v>910</v>
      </c>
      <c r="C9448" s="76" t="s">
        <v>1281</v>
      </c>
      <c r="D9448" s="75"/>
    </row>
    <row hidden="true" r="9449">
      <c r="A9449" s="76" t="s">
        <v>1400</v>
      </c>
      <c r="B9449" s="76" t="s">
        <v>912</v>
      </c>
      <c r="C9449" s="76" t="s">
        <v>1281</v>
      </c>
      <c r="D9449" s="75"/>
    </row>
    <row hidden="true" r="9450">
      <c r="A9450" s="76" t="s">
        <v>1400</v>
      </c>
      <c r="B9450" s="76" t="s">
        <v>914</v>
      </c>
      <c r="C9450" s="76" t="s">
        <v>1281</v>
      </c>
      <c r="D9450" s="75"/>
    </row>
    <row hidden="true" r="9451">
      <c r="A9451" s="76" t="s">
        <v>1400</v>
      </c>
      <c r="B9451" s="76" t="s">
        <v>916</v>
      </c>
      <c r="C9451" s="76" t="s">
        <v>1281</v>
      </c>
      <c r="D9451" s="75"/>
    </row>
    <row hidden="true" r="9452">
      <c r="A9452" s="76" t="s">
        <v>1400</v>
      </c>
      <c r="B9452" s="76" t="s">
        <v>918</v>
      </c>
      <c r="C9452" s="76" t="s">
        <v>1281</v>
      </c>
      <c r="D9452" s="75"/>
    </row>
    <row hidden="true" r="9453">
      <c r="A9453" s="76" t="s">
        <v>1400</v>
      </c>
      <c r="B9453" s="76" t="s">
        <v>920</v>
      </c>
      <c r="C9453" s="76" t="s">
        <v>1281</v>
      </c>
      <c r="D9453" s="75"/>
    </row>
    <row hidden="true" r="9454">
      <c r="A9454" s="76" t="s">
        <v>1400</v>
      </c>
      <c r="B9454" s="76" t="s">
        <v>922</v>
      </c>
      <c r="C9454" s="76" t="s">
        <v>1281</v>
      </c>
      <c r="D9454" s="75"/>
    </row>
    <row hidden="true" r="9455">
      <c r="A9455" s="76" t="s">
        <v>1400</v>
      </c>
      <c r="B9455" s="76" t="s">
        <v>924</v>
      </c>
      <c r="C9455" s="76" t="s">
        <v>1281</v>
      </c>
      <c r="D9455" s="75"/>
    </row>
    <row hidden="true" r="9456">
      <c r="A9456" s="76" t="s">
        <v>1400</v>
      </c>
      <c r="B9456" s="76" t="s">
        <v>926</v>
      </c>
      <c r="C9456" s="76" t="s">
        <v>1281</v>
      </c>
      <c r="D9456" s="75"/>
    </row>
    <row hidden="true" r="9457">
      <c r="A9457" s="76" t="s">
        <v>1400</v>
      </c>
      <c r="B9457" s="76" t="s">
        <v>928</v>
      </c>
      <c r="C9457" s="76" t="s">
        <v>1281</v>
      </c>
      <c r="D9457" s="75"/>
    </row>
    <row hidden="true" r="9458">
      <c r="A9458" s="76" t="s">
        <v>1400</v>
      </c>
      <c r="B9458" s="76" t="s">
        <v>930</v>
      </c>
      <c r="C9458" s="76" t="s">
        <v>1281</v>
      </c>
      <c r="D9458" s="75"/>
    </row>
    <row hidden="true" r="9459">
      <c r="A9459" s="76" t="s">
        <v>1400</v>
      </c>
      <c r="B9459" s="76" t="s">
        <v>932</v>
      </c>
      <c r="C9459" s="76" t="s">
        <v>1281</v>
      </c>
      <c r="D9459" s="75"/>
    </row>
    <row hidden="true" r="9460">
      <c r="A9460" s="76" t="s">
        <v>1400</v>
      </c>
      <c r="B9460" s="76" t="s">
        <v>934</v>
      </c>
      <c r="C9460" s="76" t="s">
        <v>1281</v>
      </c>
      <c r="D9460" s="75"/>
    </row>
    <row hidden="true" r="9461">
      <c r="A9461" s="76" t="s">
        <v>1400</v>
      </c>
      <c r="B9461" s="76" t="s">
        <v>936</v>
      </c>
      <c r="C9461" s="76" t="s">
        <v>1281</v>
      </c>
      <c r="D9461" s="75"/>
    </row>
    <row hidden="true" r="9462">
      <c r="A9462" s="76" t="s">
        <v>1400</v>
      </c>
      <c r="B9462" s="76" t="s">
        <v>938</v>
      </c>
      <c r="C9462" s="76" t="s">
        <v>1281</v>
      </c>
      <c r="D9462" s="75"/>
    </row>
    <row hidden="true" r="9463">
      <c r="A9463" s="76" t="s">
        <v>1400</v>
      </c>
      <c r="B9463" s="76" t="s">
        <v>940</v>
      </c>
      <c r="C9463" s="76" t="s">
        <v>1281</v>
      </c>
      <c r="D9463" s="75"/>
    </row>
    <row hidden="true" r="9464">
      <c r="A9464" s="76" t="s">
        <v>1400</v>
      </c>
      <c r="B9464" s="76" t="s">
        <v>942</v>
      </c>
      <c r="C9464" s="76" t="s">
        <v>1281</v>
      </c>
      <c r="D9464" s="75"/>
    </row>
    <row hidden="true" r="9465">
      <c r="A9465" s="76" t="s">
        <v>1400</v>
      </c>
      <c r="B9465" s="76" t="s">
        <v>944</v>
      </c>
      <c r="C9465" s="76" t="s">
        <v>1281</v>
      </c>
      <c r="D9465" s="75"/>
    </row>
    <row hidden="true" r="9466">
      <c r="A9466" s="76" t="s">
        <v>1400</v>
      </c>
      <c r="B9466" s="76" t="s">
        <v>1305</v>
      </c>
      <c r="C9466" s="76" t="s">
        <v>1281</v>
      </c>
      <c r="D9466" s="75"/>
    </row>
    <row hidden="true" r="9467">
      <c r="A9467" s="76" t="s">
        <v>1400</v>
      </c>
      <c r="B9467" s="76" t="s">
        <v>1307</v>
      </c>
      <c r="C9467" s="76" t="s">
        <v>1281</v>
      </c>
      <c r="D9467" s="75"/>
    </row>
    <row hidden="true" r="9468">
      <c r="A9468" s="76" t="s">
        <v>1400</v>
      </c>
      <c r="B9468" s="76" t="s">
        <v>946</v>
      </c>
      <c r="C9468" s="76" t="s">
        <v>1281</v>
      </c>
      <c r="D9468" s="75"/>
    </row>
    <row hidden="true" r="9469">
      <c r="A9469" s="76" t="s">
        <v>1400</v>
      </c>
      <c r="B9469" s="76" t="s">
        <v>948</v>
      </c>
      <c r="C9469" s="76" t="s">
        <v>1281</v>
      </c>
      <c r="D9469" s="75"/>
    </row>
    <row hidden="true" r="9470">
      <c r="A9470" s="76" t="s">
        <v>1400</v>
      </c>
      <c r="B9470" s="76" t="s">
        <v>950</v>
      </c>
      <c r="C9470" s="76" t="s">
        <v>1281</v>
      </c>
      <c r="D9470" s="75"/>
    </row>
    <row hidden="true" r="9471">
      <c r="A9471" s="76" t="s">
        <v>1400</v>
      </c>
      <c r="B9471" s="76" t="s">
        <v>952</v>
      </c>
      <c r="C9471" s="76" t="s">
        <v>1281</v>
      </c>
      <c r="D9471" s="75"/>
    </row>
    <row hidden="true" r="9472">
      <c r="A9472" s="76" t="s">
        <v>1400</v>
      </c>
      <c r="B9472" s="76" t="s">
        <v>954</v>
      </c>
      <c r="C9472" s="76" t="s">
        <v>1281</v>
      </c>
      <c r="D9472" s="75"/>
    </row>
    <row hidden="true" r="9473">
      <c r="A9473" s="76" t="s">
        <v>1400</v>
      </c>
      <c r="B9473" s="76" t="s">
        <v>775</v>
      </c>
      <c r="C9473" s="76" t="s">
        <v>1281</v>
      </c>
      <c r="D9473" s="75"/>
    </row>
    <row hidden="true" r="9474">
      <c r="A9474" s="76" t="s">
        <v>1400</v>
      </c>
      <c r="B9474" s="76" t="s">
        <v>956</v>
      </c>
      <c r="C9474" s="76" t="s">
        <v>1281</v>
      </c>
      <c r="D9474" s="75"/>
    </row>
    <row hidden="true" r="9475">
      <c r="A9475" s="76" t="s">
        <v>1400</v>
      </c>
      <c r="B9475" s="76" t="s">
        <v>958</v>
      </c>
      <c r="C9475" s="76" t="s">
        <v>1281</v>
      </c>
      <c r="D9475" s="75"/>
    </row>
    <row hidden="true" r="9476">
      <c r="A9476" s="76" t="s">
        <v>1400</v>
      </c>
      <c r="B9476" s="76" t="s">
        <v>960</v>
      </c>
      <c r="C9476" s="76" t="s">
        <v>1281</v>
      </c>
      <c r="D9476" s="75"/>
    </row>
    <row hidden="true" r="9477">
      <c r="A9477" s="76" t="s">
        <v>1400</v>
      </c>
      <c r="B9477" s="76" t="s">
        <v>962</v>
      </c>
      <c r="C9477" s="76" t="s">
        <v>1281</v>
      </c>
      <c r="D9477" s="75"/>
    </row>
    <row hidden="true" r="9478">
      <c r="A9478" s="76" t="s">
        <v>1400</v>
      </c>
      <c r="B9478" s="76" t="s">
        <v>964</v>
      </c>
      <c r="C9478" s="76" t="s">
        <v>1281</v>
      </c>
      <c r="D9478" s="75"/>
    </row>
    <row hidden="true" r="9479">
      <c r="A9479" s="76" t="s">
        <v>1400</v>
      </c>
      <c r="B9479" s="76" t="s">
        <v>966</v>
      </c>
      <c r="C9479" s="76" t="s">
        <v>1281</v>
      </c>
      <c r="D9479" s="75"/>
    </row>
    <row hidden="true" r="9480">
      <c r="A9480" s="76" t="s">
        <v>1400</v>
      </c>
      <c r="B9480" s="76" t="s">
        <v>968</v>
      </c>
      <c r="C9480" s="76" t="s">
        <v>1281</v>
      </c>
      <c r="D9480" s="75"/>
    </row>
    <row hidden="true" r="9481">
      <c r="A9481" s="76" t="s">
        <v>1400</v>
      </c>
      <c r="B9481" s="76" t="s">
        <v>970</v>
      </c>
      <c r="C9481" s="76" t="s">
        <v>1281</v>
      </c>
      <c r="D9481" s="75"/>
    </row>
    <row hidden="true" r="9482">
      <c r="A9482" s="76" t="s">
        <v>1400</v>
      </c>
      <c r="B9482" s="76" t="s">
        <v>972</v>
      </c>
      <c r="C9482" s="76" t="s">
        <v>1281</v>
      </c>
      <c r="D9482" s="75"/>
    </row>
    <row hidden="true" r="9483">
      <c r="A9483" s="76" t="s">
        <v>1400</v>
      </c>
      <c r="B9483" s="76" t="s">
        <v>974</v>
      </c>
      <c r="C9483" s="76" t="s">
        <v>1281</v>
      </c>
      <c r="D9483" s="75"/>
    </row>
    <row hidden="true" r="9484">
      <c r="A9484" s="76" t="s">
        <v>1400</v>
      </c>
      <c r="B9484" s="76" t="s">
        <v>976</v>
      </c>
      <c r="C9484" s="76" t="s">
        <v>1281</v>
      </c>
      <c r="D9484" s="75"/>
    </row>
    <row hidden="true" r="9485">
      <c r="A9485" s="76" t="s">
        <v>1400</v>
      </c>
      <c r="B9485" s="76" t="s">
        <v>823</v>
      </c>
      <c r="C9485" s="76" t="s">
        <v>1281</v>
      </c>
      <c r="D9485" s="75"/>
    </row>
    <row hidden="true" r="9486">
      <c r="A9486" s="76" t="s">
        <v>1400</v>
      </c>
      <c r="B9486" s="76" t="s">
        <v>978</v>
      </c>
      <c r="C9486" s="76" t="s">
        <v>1281</v>
      </c>
      <c r="D9486" s="75"/>
    </row>
    <row hidden="true" r="9487">
      <c r="A9487" s="76" t="s">
        <v>1400</v>
      </c>
      <c r="B9487" s="76" t="s">
        <v>980</v>
      </c>
      <c r="C9487" s="76" t="s">
        <v>1281</v>
      </c>
      <c r="D9487" s="75"/>
    </row>
    <row hidden="true" r="9488">
      <c r="A9488" s="76" t="s">
        <v>1400</v>
      </c>
      <c r="B9488" s="76" t="s">
        <v>982</v>
      </c>
      <c r="C9488" s="76" t="s">
        <v>1281</v>
      </c>
      <c r="D9488" s="75"/>
    </row>
    <row hidden="true" r="9489">
      <c r="A9489" s="76" t="s">
        <v>1400</v>
      </c>
      <c r="B9489" s="76" t="s">
        <v>984</v>
      </c>
      <c r="C9489" s="76" t="s">
        <v>1281</v>
      </c>
      <c r="D9489" s="75"/>
    </row>
    <row hidden="true" r="9490">
      <c r="A9490" s="76" t="s">
        <v>1400</v>
      </c>
      <c r="B9490" s="76" t="s">
        <v>1309</v>
      </c>
      <c r="C9490" s="76" t="s">
        <v>1281</v>
      </c>
      <c r="D9490" s="75"/>
    </row>
    <row hidden="true" r="9491">
      <c r="A9491" s="76" t="s">
        <v>1400</v>
      </c>
      <c r="B9491" s="76" t="s">
        <v>1311</v>
      </c>
      <c r="C9491" s="76" t="s">
        <v>1281</v>
      </c>
      <c r="D9491" s="75"/>
    </row>
    <row hidden="true" r="9492">
      <c r="A9492" s="76" t="s">
        <v>1400</v>
      </c>
      <c r="B9492" s="76" t="s">
        <v>1099</v>
      </c>
      <c r="C9492" s="76" t="s">
        <v>1281</v>
      </c>
      <c r="D9492" s="75"/>
    </row>
    <row hidden="true" r="9493">
      <c r="A9493" s="76" t="s">
        <v>1400</v>
      </c>
      <c r="B9493" s="76" t="s">
        <v>1101</v>
      </c>
      <c r="C9493" s="76" t="s">
        <v>1281</v>
      </c>
      <c r="D9493" s="75"/>
    </row>
    <row hidden="true" r="9494">
      <c r="A9494" s="76" t="s">
        <v>1400</v>
      </c>
      <c r="B9494" s="76" t="s">
        <v>1313</v>
      </c>
      <c r="C9494" s="76" t="s">
        <v>1281</v>
      </c>
      <c r="D9494" s="75"/>
    </row>
    <row hidden="true" r="9495">
      <c r="A9495" s="76" t="s">
        <v>1400</v>
      </c>
      <c r="B9495" s="76" t="s">
        <v>996</v>
      </c>
      <c r="C9495" s="76" t="s">
        <v>1281</v>
      </c>
      <c r="D9495" s="75"/>
    </row>
    <row hidden="true" r="9496">
      <c r="A9496" s="76" t="s">
        <v>1400</v>
      </c>
      <c r="B9496" s="76" t="s">
        <v>998</v>
      </c>
      <c r="C9496" s="76" t="s">
        <v>1281</v>
      </c>
      <c r="D9496" s="75"/>
    </row>
    <row hidden="true" r="9497">
      <c r="A9497" s="76" t="s">
        <v>1400</v>
      </c>
      <c r="B9497" s="76" t="s">
        <v>1000</v>
      </c>
      <c r="C9497" s="76" t="s">
        <v>1281</v>
      </c>
      <c r="D9497" s="75"/>
    </row>
    <row hidden="true" r="9498">
      <c r="A9498" s="76" t="s">
        <v>1400</v>
      </c>
      <c r="B9498" s="76" t="s">
        <v>1002</v>
      </c>
      <c r="C9498" s="76" t="s">
        <v>1281</v>
      </c>
      <c r="D9498" s="75"/>
    </row>
    <row hidden="true" r="9499">
      <c r="A9499" s="76" t="s">
        <v>1400</v>
      </c>
      <c r="B9499" s="76" t="s">
        <v>1004</v>
      </c>
      <c r="C9499" s="76" t="s">
        <v>1281</v>
      </c>
      <c r="D9499" s="75"/>
    </row>
    <row hidden="true" r="9500">
      <c r="A9500" s="76" t="s">
        <v>1400</v>
      </c>
      <c r="B9500" s="76" t="s">
        <v>1006</v>
      </c>
      <c r="C9500" s="76" t="s">
        <v>1281</v>
      </c>
      <c r="D9500" s="75"/>
    </row>
    <row hidden="true" r="9501">
      <c r="A9501" s="76" t="s">
        <v>1400</v>
      </c>
      <c r="B9501" s="76" t="s">
        <v>1008</v>
      </c>
      <c r="C9501" s="76" t="s">
        <v>1281</v>
      </c>
      <c r="D9501" s="75"/>
    </row>
    <row hidden="true" r="9502">
      <c r="A9502" s="76" t="s">
        <v>1400</v>
      </c>
      <c r="B9502" s="76" t="s">
        <v>1010</v>
      </c>
      <c r="C9502" s="76" t="s">
        <v>1281</v>
      </c>
      <c r="D9502" s="75"/>
    </row>
    <row hidden="true" r="9503">
      <c r="A9503" s="76" t="s">
        <v>1400</v>
      </c>
      <c r="B9503" s="76" t="s">
        <v>1315</v>
      </c>
      <c r="C9503" s="76" t="s">
        <v>1281</v>
      </c>
      <c r="D9503" s="75"/>
    </row>
    <row hidden="true" r="9504">
      <c r="A9504" s="76" t="s">
        <v>1400</v>
      </c>
      <c r="B9504" s="76" t="s">
        <v>1014</v>
      </c>
      <c r="C9504" s="76" t="s">
        <v>1281</v>
      </c>
      <c r="D9504" s="75"/>
    </row>
    <row hidden="true" r="9505">
      <c r="A9505" s="76" t="s">
        <v>1400</v>
      </c>
      <c r="B9505" s="76" t="s">
        <v>1016</v>
      </c>
      <c r="C9505" s="76" t="s">
        <v>1281</v>
      </c>
      <c r="D9505" s="75"/>
    </row>
    <row hidden="true" r="9506">
      <c r="A9506" s="76" t="s">
        <v>1400</v>
      </c>
      <c r="B9506" s="76" t="s">
        <v>1018</v>
      </c>
      <c r="C9506" s="76" t="s">
        <v>1281</v>
      </c>
      <c r="D9506" s="75"/>
    </row>
    <row hidden="true" r="9507">
      <c r="A9507" s="76" t="s">
        <v>1400</v>
      </c>
      <c r="B9507" s="76" t="s">
        <v>1020</v>
      </c>
      <c r="C9507" s="76" t="s">
        <v>1281</v>
      </c>
      <c r="D9507" s="75"/>
    </row>
    <row hidden="true" r="9508">
      <c r="A9508" s="76" t="s">
        <v>1400</v>
      </c>
      <c r="B9508" s="76" t="s">
        <v>1022</v>
      </c>
      <c r="C9508" s="76" t="s">
        <v>1281</v>
      </c>
      <c r="D9508" s="75"/>
    </row>
    <row hidden="true" r="9509">
      <c r="A9509" s="76" t="s">
        <v>1400</v>
      </c>
      <c r="B9509" s="76" t="s">
        <v>1023</v>
      </c>
      <c r="C9509" s="76" t="s">
        <v>1281</v>
      </c>
      <c r="D9509" s="75"/>
    </row>
    <row hidden="true" r="9510">
      <c r="A9510" s="76" t="s">
        <v>1400</v>
      </c>
      <c r="B9510" s="76" t="s">
        <v>1024</v>
      </c>
      <c r="C9510" s="76" t="s">
        <v>1281</v>
      </c>
      <c r="D9510" s="75"/>
    </row>
    <row hidden="true" r="9511">
      <c r="A9511" s="76" t="s">
        <v>1400</v>
      </c>
      <c r="B9511" s="76" t="s">
        <v>1025</v>
      </c>
      <c r="C9511" s="76" t="s">
        <v>1281</v>
      </c>
      <c r="D9511" s="75"/>
    </row>
    <row hidden="true" r="9512">
      <c r="A9512" s="76" t="s">
        <v>1400</v>
      </c>
      <c r="B9512" s="76" t="s">
        <v>1026</v>
      </c>
      <c r="C9512" s="76" t="s">
        <v>1281</v>
      </c>
      <c r="D9512" s="75"/>
    </row>
    <row hidden="true" r="9513">
      <c r="A9513" s="76" t="s">
        <v>1400</v>
      </c>
      <c r="B9513" s="76" t="s">
        <v>1027</v>
      </c>
      <c r="C9513" s="76" t="s">
        <v>1281</v>
      </c>
      <c r="D9513" s="75"/>
    </row>
    <row hidden="true" r="9514">
      <c r="A9514" s="76" t="s">
        <v>1400</v>
      </c>
      <c r="B9514" s="76" t="s">
        <v>1133</v>
      </c>
      <c r="C9514" s="76" t="s">
        <v>1281</v>
      </c>
      <c r="D9514" s="75"/>
    </row>
    <row hidden="true" r="9515">
      <c r="A9515" s="76" t="s">
        <v>1400</v>
      </c>
      <c r="B9515" s="76" t="s">
        <v>1317</v>
      </c>
      <c r="C9515" s="76" t="s">
        <v>1281</v>
      </c>
      <c r="D9515" s="75"/>
    </row>
    <row hidden="true" r="9516">
      <c r="A9516" s="76" t="s">
        <v>1400</v>
      </c>
      <c r="B9516" s="76" t="s">
        <v>1319</v>
      </c>
      <c r="C9516" s="76" t="s">
        <v>1281</v>
      </c>
      <c r="D9516" s="75"/>
    </row>
    <row hidden="true" r="9517">
      <c r="A9517" s="76" t="s">
        <v>1400</v>
      </c>
      <c r="B9517" s="76" t="s">
        <v>1028</v>
      </c>
      <c r="C9517" s="76" t="s">
        <v>1281</v>
      </c>
      <c r="D9517" s="75"/>
    </row>
    <row hidden="true" r="9518">
      <c r="A9518" s="76" t="s">
        <v>1400</v>
      </c>
      <c r="B9518" s="76" t="s">
        <v>988</v>
      </c>
      <c r="C9518" s="76" t="s">
        <v>1281</v>
      </c>
      <c r="D9518" s="75"/>
    </row>
    <row hidden="true" r="9519">
      <c r="A9519" s="76" t="s">
        <v>1400</v>
      </c>
      <c r="B9519" s="76" t="s">
        <v>990</v>
      </c>
      <c r="C9519" s="76" t="s">
        <v>1281</v>
      </c>
      <c r="D9519" s="75"/>
    </row>
    <row hidden="true" r="9520">
      <c r="A9520" s="76" t="s">
        <v>1400</v>
      </c>
      <c r="B9520" s="76" t="s">
        <v>992</v>
      </c>
      <c r="C9520" s="76" t="s">
        <v>1281</v>
      </c>
      <c r="D9520" s="75"/>
    </row>
    <row hidden="true" r="9521">
      <c r="A9521" s="76" t="s">
        <v>1400</v>
      </c>
      <c r="B9521" s="76" t="s">
        <v>530</v>
      </c>
      <c r="C9521" s="76" t="s">
        <v>1281</v>
      </c>
      <c r="D9521" s="75"/>
    </row>
    <row hidden="true" r="9522">
      <c r="A9522" s="76" t="s">
        <v>1400</v>
      </c>
      <c r="B9522" s="76" t="s">
        <v>1032</v>
      </c>
      <c r="C9522" s="76" t="s">
        <v>1281</v>
      </c>
      <c r="D9522" s="75"/>
    </row>
    <row hidden="true" r="9523">
      <c r="A9523" s="76" t="s">
        <v>1400</v>
      </c>
      <c r="B9523" s="76" t="s">
        <v>532</v>
      </c>
      <c r="C9523" s="76" t="s">
        <v>1281</v>
      </c>
      <c r="D9523" s="75"/>
    </row>
    <row hidden="true" r="9524">
      <c r="A9524" s="76" t="s">
        <v>1400</v>
      </c>
      <c r="B9524" s="76" t="s">
        <v>1036</v>
      </c>
      <c r="C9524" s="76" t="s">
        <v>1281</v>
      </c>
      <c r="D9524" s="75"/>
    </row>
    <row hidden="true" r="9525">
      <c r="A9525" s="76" t="s">
        <v>1400</v>
      </c>
      <c r="B9525" s="76" t="s">
        <v>1038</v>
      </c>
      <c r="C9525" s="76" t="s">
        <v>1281</v>
      </c>
      <c r="D9525" s="75"/>
    </row>
    <row hidden="true" r="9526">
      <c r="A9526" s="76" t="s">
        <v>1400</v>
      </c>
      <c r="B9526" s="76" t="s">
        <v>1321</v>
      </c>
      <c r="C9526" s="76" t="s">
        <v>1281</v>
      </c>
      <c r="D9526" s="75"/>
    </row>
    <row hidden="true" r="9527">
      <c r="A9527" s="76" t="s">
        <v>1400</v>
      </c>
      <c r="B9527" s="76" t="s">
        <v>1323</v>
      </c>
      <c r="C9527" s="76" t="s">
        <v>1281</v>
      </c>
      <c r="D9527" s="75"/>
    </row>
    <row hidden="true" r="9528">
      <c r="A9528" s="76" t="s">
        <v>1400</v>
      </c>
      <c r="B9528" s="76" t="s">
        <v>1012</v>
      </c>
      <c r="C9528" s="76" t="s">
        <v>1281</v>
      </c>
      <c r="D9528" s="75"/>
    </row>
    <row hidden="true" r="9529">
      <c r="A9529" s="76" t="s">
        <v>1400</v>
      </c>
      <c r="B9529" s="76" t="s">
        <v>1052</v>
      </c>
      <c r="C9529" s="76" t="s">
        <v>1281</v>
      </c>
      <c r="D9529" s="75"/>
    </row>
    <row hidden="true" r="9530">
      <c r="A9530" s="76" t="s">
        <v>1400</v>
      </c>
      <c r="B9530" s="76" t="s">
        <v>1054</v>
      </c>
      <c r="C9530" s="76" t="s">
        <v>1281</v>
      </c>
      <c r="D9530" s="75"/>
    </row>
    <row hidden="true" r="9531">
      <c r="A9531" s="76" t="s">
        <v>1400</v>
      </c>
      <c r="B9531" s="76" t="s">
        <v>1056</v>
      </c>
      <c r="C9531" s="76" t="s">
        <v>1281</v>
      </c>
      <c r="D9531" s="75"/>
    </row>
    <row hidden="true" r="9532">
      <c r="A9532" s="76" t="s">
        <v>1400</v>
      </c>
      <c r="B9532" s="76" t="s">
        <v>1058</v>
      </c>
      <c r="C9532" s="76" t="s">
        <v>1281</v>
      </c>
      <c r="D9532" s="75"/>
    </row>
    <row hidden="true" r="9533">
      <c r="A9533" s="76" t="s">
        <v>1400</v>
      </c>
      <c r="B9533" s="76" t="s">
        <v>1060</v>
      </c>
      <c r="C9533" s="76" t="s">
        <v>1281</v>
      </c>
      <c r="D9533" s="75"/>
    </row>
    <row hidden="true" r="9534">
      <c r="A9534" s="76" t="s">
        <v>1400</v>
      </c>
      <c r="B9534" s="76" t="s">
        <v>1062</v>
      </c>
      <c r="C9534" s="76" t="s">
        <v>1281</v>
      </c>
      <c r="D9534" s="75"/>
    </row>
    <row hidden="true" r="9535">
      <c r="A9535" s="76" t="s">
        <v>1400</v>
      </c>
      <c r="B9535" s="76" t="s">
        <v>1064</v>
      </c>
      <c r="C9535" s="76" t="s">
        <v>1281</v>
      </c>
      <c r="D9535" s="75"/>
    </row>
    <row hidden="true" r="9536">
      <c r="A9536" s="76" t="s">
        <v>1400</v>
      </c>
      <c r="B9536" s="76" t="s">
        <v>1066</v>
      </c>
      <c r="C9536" s="76" t="s">
        <v>1281</v>
      </c>
      <c r="D9536" s="75"/>
    </row>
    <row hidden="true" r="9537">
      <c r="A9537" s="76" t="s">
        <v>1400</v>
      </c>
      <c r="B9537" s="76" t="s">
        <v>1068</v>
      </c>
      <c r="C9537" s="76" t="s">
        <v>1281</v>
      </c>
      <c r="D9537" s="75"/>
    </row>
    <row hidden="true" r="9538">
      <c r="A9538" s="76" t="s">
        <v>1400</v>
      </c>
      <c r="B9538" s="76" t="s">
        <v>1070</v>
      </c>
      <c r="C9538" s="76" t="s">
        <v>1281</v>
      </c>
      <c r="D9538" s="75"/>
    </row>
    <row hidden="true" r="9539">
      <c r="A9539" s="76" t="s">
        <v>1400</v>
      </c>
      <c r="B9539" s="76" t="s">
        <v>1071</v>
      </c>
      <c r="C9539" s="76" t="s">
        <v>1281</v>
      </c>
      <c r="D9539" s="75"/>
    </row>
    <row hidden="true" r="9540">
      <c r="A9540" s="76" t="s">
        <v>1400</v>
      </c>
      <c r="B9540" s="76" t="s">
        <v>1072</v>
      </c>
      <c r="C9540" s="76" t="s">
        <v>1281</v>
      </c>
      <c r="D9540" s="75"/>
    </row>
    <row hidden="true" r="9541">
      <c r="A9541" s="76" t="s">
        <v>1400</v>
      </c>
      <c r="B9541" s="76" t="s">
        <v>1074</v>
      </c>
      <c r="C9541" s="76" t="s">
        <v>1281</v>
      </c>
      <c r="D9541" s="75"/>
    </row>
    <row hidden="true" r="9542">
      <c r="A9542" s="76" t="s">
        <v>1400</v>
      </c>
      <c r="B9542" s="76" t="s">
        <v>1075</v>
      </c>
      <c r="C9542" s="76" t="s">
        <v>1281</v>
      </c>
      <c r="D9542" s="75"/>
    </row>
    <row hidden="true" r="9543">
      <c r="A9543" s="76" t="s">
        <v>1400</v>
      </c>
      <c r="B9543" s="76" t="s">
        <v>1082</v>
      </c>
      <c r="C9543" s="76" t="s">
        <v>1281</v>
      </c>
      <c r="D9543" s="75"/>
    </row>
    <row hidden="true" r="9544">
      <c r="A9544" s="76" t="s">
        <v>1400</v>
      </c>
      <c r="B9544" s="76" t="s">
        <v>1084</v>
      </c>
      <c r="C9544" s="76" t="s">
        <v>1281</v>
      </c>
      <c r="D9544" s="75"/>
    </row>
    <row hidden="true" r="9545">
      <c r="A9545" s="76" t="s">
        <v>1400</v>
      </c>
      <c r="B9545" s="76" t="s">
        <v>1086</v>
      </c>
      <c r="C9545" s="76" t="s">
        <v>1281</v>
      </c>
      <c r="D9545" s="75"/>
    </row>
    <row hidden="true" r="9546">
      <c r="A9546" s="76" t="s">
        <v>1400</v>
      </c>
      <c r="B9546" s="76" t="s">
        <v>1088</v>
      </c>
      <c r="C9546" s="76" t="s">
        <v>1281</v>
      </c>
      <c r="D9546" s="75"/>
    </row>
    <row hidden="true" r="9547">
      <c r="A9547" s="76" t="s">
        <v>1400</v>
      </c>
      <c r="B9547" s="76" t="s">
        <v>1076</v>
      </c>
      <c r="C9547" s="76" t="s">
        <v>1281</v>
      </c>
      <c r="D9547" s="75"/>
    </row>
    <row hidden="true" r="9548">
      <c r="A9548" s="76" t="s">
        <v>1400</v>
      </c>
      <c r="B9548" s="76" t="s">
        <v>1078</v>
      </c>
      <c r="C9548" s="76" t="s">
        <v>1281</v>
      </c>
      <c r="D9548" s="75"/>
    </row>
    <row hidden="true" r="9549">
      <c r="A9549" s="76" t="s">
        <v>1400</v>
      </c>
      <c r="B9549" s="76" t="s">
        <v>1040</v>
      </c>
      <c r="C9549" s="76" t="s">
        <v>1281</v>
      </c>
      <c r="D9549" s="75"/>
    </row>
    <row hidden="true" r="9550">
      <c r="A9550" s="76" t="s">
        <v>1400</v>
      </c>
      <c r="B9550" s="76" t="s">
        <v>839</v>
      </c>
      <c r="C9550" s="76" t="s">
        <v>1281</v>
      </c>
      <c r="D9550" s="75"/>
    </row>
    <row hidden="true" r="9551">
      <c r="A9551" s="76" t="s">
        <v>1400</v>
      </c>
      <c r="B9551" s="76" t="s">
        <v>1121</v>
      </c>
      <c r="C9551" s="76" t="s">
        <v>1281</v>
      </c>
      <c r="D9551" s="75"/>
    </row>
    <row hidden="true" r="9552">
      <c r="A9552" s="76" t="s">
        <v>1400</v>
      </c>
      <c r="B9552" s="76" t="s">
        <v>1325</v>
      </c>
      <c r="C9552" s="76" t="s">
        <v>1281</v>
      </c>
      <c r="D9552" s="75"/>
    </row>
    <row hidden="true" r="9553">
      <c r="A9553" s="76" t="s">
        <v>1400</v>
      </c>
      <c r="B9553" s="76" t="s">
        <v>1080</v>
      </c>
      <c r="C9553" s="76" t="s">
        <v>1281</v>
      </c>
      <c r="D9553" s="75"/>
    </row>
    <row hidden="true" r="9554">
      <c r="A9554" s="76" t="s">
        <v>1400</v>
      </c>
      <c r="B9554" s="76" t="s">
        <v>1327</v>
      </c>
      <c r="C9554" s="76" t="s">
        <v>1281</v>
      </c>
      <c r="D9554" s="75"/>
    </row>
    <row hidden="true" r="9555">
      <c r="A9555" s="76" t="s">
        <v>1400</v>
      </c>
      <c r="B9555" s="76" t="s">
        <v>1090</v>
      </c>
      <c r="C9555" s="76" t="s">
        <v>1281</v>
      </c>
      <c r="D9555" s="75"/>
    </row>
    <row hidden="true" r="9556">
      <c r="A9556" s="76" t="s">
        <v>1400</v>
      </c>
      <c r="B9556" s="76" t="s">
        <v>1092</v>
      </c>
      <c r="C9556" s="76" t="s">
        <v>1281</v>
      </c>
      <c r="D9556" s="75"/>
    </row>
    <row hidden="true" r="9557">
      <c r="A9557" s="76" t="s">
        <v>1400</v>
      </c>
      <c r="B9557" s="76" t="s">
        <v>1093</v>
      </c>
      <c r="C9557" s="76" t="s">
        <v>1281</v>
      </c>
      <c r="D9557" s="75"/>
    </row>
    <row hidden="true" r="9558">
      <c r="A9558" s="76" t="s">
        <v>1400</v>
      </c>
      <c r="B9558" s="76" t="s">
        <v>1095</v>
      </c>
      <c r="C9558" s="76" t="s">
        <v>1281</v>
      </c>
      <c r="D9558" s="75"/>
    </row>
    <row hidden="true" r="9559">
      <c r="A9559" s="76" t="s">
        <v>1400</v>
      </c>
      <c r="B9559" s="76" t="s">
        <v>1097</v>
      </c>
      <c r="C9559" s="76" t="s">
        <v>1281</v>
      </c>
      <c r="D9559" s="75"/>
    </row>
    <row hidden="true" r="9560">
      <c r="A9560" s="76" t="s">
        <v>1400</v>
      </c>
      <c r="B9560" s="76" t="s">
        <v>1103</v>
      </c>
      <c r="C9560" s="76" t="s">
        <v>1281</v>
      </c>
      <c r="D9560" s="75"/>
    </row>
    <row hidden="true" r="9561">
      <c r="A9561" s="76" t="s">
        <v>1400</v>
      </c>
      <c r="B9561" s="76" t="s">
        <v>1329</v>
      </c>
      <c r="C9561" s="76" t="s">
        <v>1281</v>
      </c>
      <c r="D9561" s="75"/>
    </row>
    <row hidden="true" r="9562">
      <c r="A9562" s="76" t="s">
        <v>1400</v>
      </c>
      <c r="B9562" s="76" t="s">
        <v>1113</v>
      </c>
      <c r="C9562" s="76" t="s">
        <v>1281</v>
      </c>
      <c r="D9562" s="75"/>
    </row>
    <row hidden="true" r="9563">
      <c r="A9563" s="76" t="s">
        <v>1400</v>
      </c>
      <c r="B9563" s="76" t="s">
        <v>1115</v>
      </c>
      <c r="C9563" s="76" t="s">
        <v>1281</v>
      </c>
      <c r="D9563" s="75"/>
    </row>
    <row hidden="true" r="9564">
      <c r="A9564" s="76" t="s">
        <v>1400</v>
      </c>
      <c r="B9564" s="76" t="s">
        <v>1117</v>
      </c>
      <c r="C9564" s="76" t="s">
        <v>1281</v>
      </c>
      <c r="D9564" s="75"/>
    </row>
    <row hidden="true" r="9565">
      <c r="A9565" s="76" t="s">
        <v>1400</v>
      </c>
      <c r="B9565" s="76" t="s">
        <v>1119</v>
      </c>
      <c r="C9565" s="76" t="s">
        <v>1281</v>
      </c>
      <c r="D9565" s="75"/>
    </row>
    <row hidden="true" r="9566">
      <c r="A9566" s="76" t="s">
        <v>1400</v>
      </c>
      <c r="B9566" s="76" t="s">
        <v>1127</v>
      </c>
      <c r="C9566" s="76" t="s">
        <v>1281</v>
      </c>
      <c r="D9566" s="75"/>
    </row>
    <row hidden="true" r="9567">
      <c r="A9567" s="76" t="s">
        <v>1400</v>
      </c>
      <c r="B9567" s="76" t="s">
        <v>1129</v>
      </c>
      <c r="C9567" s="76" t="s">
        <v>1281</v>
      </c>
      <c r="D9567" s="75"/>
    </row>
    <row hidden="true" r="9568">
      <c r="A9568" s="76" t="s">
        <v>1400</v>
      </c>
      <c r="B9568" s="76" t="s">
        <v>1131</v>
      </c>
      <c r="C9568" s="76" t="s">
        <v>1281</v>
      </c>
      <c r="D9568" s="75"/>
    </row>
    <row hidden="true" r="9569">
      <c r="A9569" s="76" t="s">
        <v>1400</v>
      </c>
      <c r="B9569" s="76" t="s">
        <v>1137</v>
      </c>
      <c r="C9569" s="76" t="s">
        <v>1281</v>
      </c>
      <c r="D9569" s="75"/>
    </row>
    <row hidden="true" r="9570">
      <c r="A9570" s="76" t="s">
        <v>1400</v>
      </c>
      <c r="B9570" s="76" t="s">
        <v>1139</v>
      </c>
      <c r="C9570" s="76" t="s">
        <v>1281</v>
      </c>
      <c r="D9570" s="75"/>
    </row>
    <row hidden="true" r="9571">
      <c r="A9571" s="76" t="s">
        <v>1400</v>
      </c>
      <c r="B9571" s="76" t="s">
        <v>1141</v>
      </c>
      <c r="C9571" s="76" t="s">
        <v>1281</v>
      </c>
      <c r="D9571" s="75"/>
    </row>
    <row hidden="true" r="9572">
      <c r="A9572" s="76" t="s">
        <v>1400</v>
      </c>
      <c r="B9572" s="76" t="s">
        <v>1143</v>
      </c>
      <c r="C9572" s="76" t="s">
        <v>1281</v>
      </c>
      <c r="D9572" s="75"/>
    </row>
    <row hidden="true" r="9573">
      <c r="A9573" s="76" t="s">
        <v>1400</v>
      </c>
      <c r="B9573" s="76" t="s">
        <v>1145</v>
      </c>
      <c r="C9573" s="76" t="s">
        <v>1281</v>
      </c>
      <c r="D9573" s="75"/>
    </row>
    <row hidden="true" r="9574">
      <c r="A9574" s="76" t="s">
        <v>1400</v>
      </c>
      <c r="B9574" s="76" t="s">
        <v>1147</v>
      </c>
      <c r="C9574" s="76" t="s">
        <v>1281</v>
      </c>
      <c r="D9574" s="75"/>
    </row>
    <row hidden="true" r="9575">
      <c r="A9575" s="76" t="s">
        <v>1400</v>
      </c>
      <c r="B9575" s="76" t="s">
        <v>1153</v>
      </c>
      <c r="C9575" s="76" t="s">
        <v>1281</v>
      </c>
      <c r="D9575" s="75"/>
    </row>
    <row hidden="true" r="9576">
      <c r="A9576" s="76" t="s">
        <v>1400</v>
      </c>
      <c r="B9576" s="76" t="s">
        <v>1155</v>
      </c>
      <c r="C9576" s="76" t="s">
        <v>1281</v>
      </c>
      <c r="D9576" s="75"/>
    </row>
    <row hidden="true" r="9577">
      <c r="A9577" s="76" t="s">
        <v>1400</v>
      </c>
      <c r="B9577" s="76" t="s">
        <v>1157</v>
      </c>
      <c r="C9577" s="76" t="s">
        <v>1281</v>
      </c>
      <c r="D9577" s="75"/>
    </row>
    <row hidden="true" r="9578">
      <c r="A9578" s="76" t="s">
        <v>1400</v>
      </c>
      <c r="B9578" s="76" t="s">
        <v>1159</v>
      </c>
      <c r="C9578" s="76" t="s">
        <v>1281</v>
      </c>
      <c r="D9578" s="75"/>
    </row>
    <row hidden="true" r="9579">
      <c r="A9579" s="76" t="s">
        <v>1400</v>
      </c>
      <c r="B9579" s="76" t="s">
        <v>1161</v>
      </c>
      <c r="C9579" s="76" t="s">
        <v>1281</v>
      </c>
      <c r="D9579" s="75"/>
    </row>
    <row hidden="true" r="9580">
      <c r="A9580" s="76" t="s">
        <v>1400</v>
      </c>
      <c r="B9580" s="76" t="s">
        <v>1163</v>
      </c>
      <c r="C9580" s="76" t="s">
        <v>1281</v>
      </c>
      <c r="D9580" s="75"/>
    </row>
    <row hidden="true" r="9581">
      <c r="A9581" s="76" t="s">
        <v>1400</v>
      </c>
      <c r="B9581" s="76" t="s">
        <v>1165</v>
      </c>
      <c r="C9581" s="76" t="s">
        <v>1281</v>
      </c>
      <c r="D9581" s="75"/>
    </row>
    <row hidden="true" r="9582">
      <c r="A9582" s="76" t="s">
        <v>1400</v>
      </c>
      <c r="B9582" s="76" t="s">
        <v>1331</v>
      </c>
      <c r="C9582" s="76" t="s">
        <v>1281</v>
      </c>
      <c r="D9582" s="75"/>
    </row>
    <row hidden="true" r="9583">
      <c r="A9583" s="76" t="s">
        <v>1400</v>
      </c>
      <c r="B9583" s="76" t="s">
        <v>1333</v>
      </c>
      <c r="C9583" s="76" t="s">
        <v>1281</v>
      </c>
      <c r="D9583" s="75"/>
    </row>
    <row hidden="true" r="9584">
      <c r="A9584" s="76" t="s">
        <v>1400</v>
      </c>
      <c r="B9584" s="76" t="s">
        <v>1335</v>
      </c>
      <c r="C9584" s="76" t="s">
        <v>1281</v>
      </c>
      <c r="D9584" s="75"/>
    </row>
    <row hidden="true" r="9585">
      <c r="A9585" s="76" t="s">
        <v>1400</v>
      </c>
      <c r="B9585" s="76" t="s">
        <v>1337</v>
      </c>
      <c r="C9585" s="76" t="s">
        <v>1281</v>
      </c>
      <c r="D9585" s="75"/>
    </row>
    <row hidden="true" r="9586">
      <c r="A9586" s="76" t="s">
        <v>1400</v>
      </c>
      <c r="B9586" s="76" t="s">
        <v>1339</v>
      </c>
      <c r="C9586" s="76" t="s">
        <v>1281</v>
      </c>
      <c r="D9586" s="75"/>
    </row>
    <row hidden="true" r="9587">
      <c r="A9587" s="76" t="s">
        <v>1400</v>
      </c>
      <c r="B9587" s="76" t="s">
        <v>1341</v>
      </c>
      <c r="C9587" s="76" t="s">
        <v>1281</v>
      </c>
      <c r="D9587" s="75"/>
    </row>
    <row hidden="true" r="9588">
      <c r="A9588" s="76" t="s">
        <v>1400</v>
      </c>
      <c r="B9588" s="76" t="s">
        <v>1044</v>
      </c>
      <c r="C9588" s="76" t="s">
        <v>1281</v>
      </c>
      <c r="D9588" s="75"/>
    </row>
    <row hidden="true" r="9589">
      <c r="A9589" s="76" t="s">
        <v>1400</v>
      </c>
      <c r="B9589" s="76" t="s">
        <v>1046</v>
      </c>
      <c r="C9589" s="76" t="s">
        <v>1281</v>
      </c>
      <c r="D9589" s="75"/>
    </row>
    <row hidden="true" r="9590">
      <c r="A9590" s="76" t="s">
        <v>1400</v>
      </c>
      <c r="B9590" s="76" t="s">
        <v>1048</v>
      </c>
      <c r="C9590" s="76" t="s">
        <v>1281</v>
      </c>
      <c r="D9590" s="75"/>
    </row>
    <row hidden="true" r="9591">
      <c r="A9591" s="76" t="s">
        <v>1400</v>
      </c>
      <c r="B9591" s="76" t="s">
        <v>1167</v>
      </c>
      <c r="C9591" s="76" t="s">
        <v>1281</v>
      </c>
      <c r="D9591" s="75"/>
    </row>
    <row hidden="true" r="9592">
      <c r="A9592" s="76" t="s">
        <v>1400</v>
      </c>
      <c r="B9592" s="76" t="s">
        <v>1169</v>
      </c>
      <c r="C9592" s="76" t="s">
        <v>1281</v>
      </c>
      <c r="D9592" s="75"/>
    </row>
    <row hidden="true" r="9593">
      <c r="A9593" s="76" t="s">
        <v>1400</v>
      </c>
      <c r="B9593" s="76" t="s">
        <v>1171</v>
      </c>
      <c r="C9593" s="76" t="s">
        <v>1281</v>
      </c>
      <c r="D9593" s="75"/>
    </row>
    <row hidden="true" r="9594">
      <c r="A9594" s="76" t="s">
        <v>1400</v>
      </c>
      <c r="B9594" s="76" t="s">
        <v>1173</v>
      </c>
      <c r="C9594" s="76" t="s">
        <v>1281</v>
      </c>
      <c r="D9594" s="75"/>
    </row>
    <row hidden="true" r="9595">
      <c r="A9595" s="76" t="s">
        <v>1400</v>
      </c>
      <c r="B9595" s="76" t="s">
        <v>1175</v>
      </c>
      <c r="C9595" s="76" t="s">
        <v>1281</v>
      </c>
      <c r="D9595" s="75"/>
    </row>
    <row hidden="true" r="9596">
      <c r="A9596" s="76" t="s">
        <v>1400</v>
      </c>
      <c r="B9596" s="76" t="s">
        <v>1177</v>
      </c>
      <c r="C9596" s="76" t="s">
        <v>1281</v>
      </c>
      <c r="D9596" s="75"/>
    </row>
    <row hidden="true" r="9597">
      <c r="A9597" s="76" t="s">
        <v>1400</v>
      </c>
      <c r="B9597" s="76" t="s">
        <v>1135</v>
      </c>
      <c r="C9597" s="76" t="s">
        <v>1281</v>
      </c>
      <c r="D9597" s="75"/>
    </row>
    <row hidden="true" r="9598">
      <c r="A9598" s="76" t="s">
        <v>1400</v>
      </c>
      <c r="B9598" s="76" t="s">
        <v>1179</v>
      </c>
      <c r="C9598" s="76" t="s">
        <v>1281</v>
      </c>
      <c r="D9598" s="75"/>
    </row>
    <row hidden="true" r="9599">
      <c r="A9599" s="76" t="s">
        <v>1400</v>
      </c>
      <c r="B9599" s="76" t="s">
        <v>1181</v>
      </c>
      <c r="C9599" s="76" t="s">
        <v>1281</v>
      </c>
      <c r="D9599" s="75"/>
    </row>
    <row hidden="true" r="9600">
      <c r="A9600" s="76" t="s">
        <v>1400</v>
      </c>
      <c r="B9600" s="76" t="s">
        <v>1183</v>
      </c>
      <c r="C9600" s="76" t="s">
        <v>1281</v>
      </c>
      <c r="D9600" s="75"/>
    </row>
    <row hidden="true" r="9601">
      <c r="A9601" s="76" t="s">
        <v>1400</v>
      </c>
      <c r="B9601" s="76" t="s">
        <v>1185</v>
      </c>
      <c r="C9601" s="76" t="s">
        <v>1281</v>
      </c>
      <c r="D9601" s="75"/>
    </row>
    <row hidden="true" r="9602">
      <c r="A9602" s="76" t="s">
        <v>1400</v>
      </c>
      <c r="B9602" s="76" t="s">
        <v>1187</v>
      </c>
      <c r="C9602" s="76" t="s">
        <v>1281</v>
      </c>
      <c r="D9602" s="75"/>
    </row>
    <row hidden="true" r="9603">
      <c r="A9603" s="76" t="s">
        <v>1400</v>
      </c>
      <c r="B9603" s="76" t="s">
        <v>1199</v>
      </c>
      <c r="C9603" s="76" t="s">
        <v>1281</v>
      </c>
      <c r="D9603" s="75"/>
    </row>
    <row hidden="true" r="9604">
      <c r="A9604" s="76" t="s">
        <v>1400</v>
      </c>
      <c r="B9604" s="76" t="s">
        <v>1201</v>
      </c>
      <c r="C9604" s="76" t="s">
        <v>1281</v>
      </c>
      <c r="D9604" s="75"/>
    </row>
    <row hidden="true" r="9605">
      <c r="A9605" s="76" t="s">
        <v>1400</v>
      </c>
      <c r="B9605" s="76" t="s">
        <v>1203</v>
      </c>
      <c r="C9605" s="76" t="s">
        <v>1281</v>
      </c>
      <c r="D9605" s="75"/>
    </row>
    <row hidden="true" r="9606">
      <c r="A9606" s="76" t="s">
        <v>1400</v>
      </c>
      <c r="B9606" s="76" t="s">
        <v>1205</v>
      </c>
      <c r="C9606" s="76" t="s">
        <v>1281</v>
      </c>
      <c r="D9606" s="75"/>
    </row>
    <row hidden="true" r="9607">
      <c r="A9607" s="76" t="s">
        <v>1400</v>
      </c>
      <c r="B9607" s="76" t="s">
        <v>1207</v>
      </c>
      <c r="C9607" s="76" t="s">
        <v>1281</v>
      </c>
      <c r="D9607" s="75"/>
    </row>
    <row hidden="true" r="9608">
      <c r="A9608" s="76" t="s">
        <v>1400</v>
      </c>
      <c r="B9608" s="76" t="s">
        <v>1209</v>
      </c>
      <c r="C9608" s="76" t="s">
        <v>1281</v>
      </c>
      <c r="D9608" s="75"/>
    </row>
    <row hidden="true" r="9609">
      <c r="A9609" s="76" t="s">
        <v>1400</v>
      </c>
      <c r="B9609" s="76" t="s">
        <v>1282</v>
      </c>
      <c r="C9609" s="76" t="s">
        <v>1281</v>
      </c>
      <c r="D9609" s="75"/>
    </row>
    <row hidden="true" r="9610">
      <c r="A9610" s="76" t="s">
        <v>1400</v>
      </c>
      <c r="B9610" s="76" t="s">
        <v>735</v>
      </c>
      <c r="C9610" s="76" t="s">
        <v>1283</v>
      </c>
      <c r="D9610" s="75"/>
    </row>
  </sheetData>
  <autoFilter ref="A1:C9610">
    <filterColumn colId="0">
      <filters>
        <filter val="odss600_bsid"/>
      </filters>
    </filterColumn>
  </autoFilter>
  <pageMargins bottom="0.75" footer="0.3" header="0.3" left="0.7" right="0.7" top="0.75"/>
  <pageSetup orientation="portrait" paperSize="9" scale="100"/>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sheetData/>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cols>
    <col collapsed="false" customWidth="true" hidden="false" max="2" min="2" style="0" width="34.87323943661972"/>
    <col collapsed="false" customWidth="true" hidden="false" max="4" min="4" style="0" width="63.06103306906137"/>
    <col collapsed="false" customWidth="true" hidden="false" max="6" min="6" style="0" width="16.30046968877968"/>
    <col collapsed="false" customWidth="true" hidden="false" max="8" min="8" style="0" width="22.140845070422536"/>
    <col collapsed="false" customWidth="true" hidden="false" max="1" min="1" style="0" width="3.0985915492957745"/>
    <col collapsed="false" customWidth="true" hidden="false" max="3" min="3" style="0" width="22.27230067469517"/>
    <col collapsed="false" customWidth="true" hidden="false" max="5" min="5" style="0" width="23.173709125399398"/>
    <col collapsed="false" customWidth="true" hidden="false" max="7" min="7" style="0" width="29.35211267605634"/>
  </cols>
  <sheetData>
    <row r="1">
      <c r="A1" s="78"/>
      <c r="B1" s="79" t="s">
        <v>1401</v>
      </c>
      <c r="C1" s="80"/>
      <c r="D1" s="80"/>
      <c r="E1" s="80"/>
      <c r="F1" s="80"/>
      <c r="G1" s="80"/>
      <c r="H1" s="78"/>
    </row>
    <row r="2">
      <c r="A2" s="78"/>
      <c r="B2" s="80"/>
      <c r="C2" s="80"/>
      <c r="D2" s="80"/>
      <c r="E2" s="80"/>
      <c r="F2" s="80"/>
      <c r="G2" s="80"/>
      <c r="H2" s="78"/>
    </row>
    <row r="3">
      <c r="A3" s="78"/>
      <c r="B3" s="81" t="s">
        <v>1402</v>
      </c>
      <c r="C3" s="82" t="s">
        <v>1403</v>
      </c>
      <c r="D3" s="81" t="s">
        <v>1404</v>
      </c>
      <c r="E3" s="81" t="s">
        <v>1405</v>
      </c>
      <c r="F3" s="81" t="s">
        <v>1406</v>
      </c>
      <c r="G3" s="81" t="s">
        <v>1407</v>
      </c>
      <c r="H3" s="78"/>
    </row>
    <row r="4">
      <c r="A4" s="83"/>
      <c r="B4" s="84" t="s">
        <v>1408</v>
      </c>
      <c r="C4" s="85" t="s">
        <v>1409</v>
      </c>
      <c r="D4" s="85" t="s">
        <v>1410</v>
      </c>
      <c r="E4" s="84" t="s">
        <v>1411</v>
      </c>
      <c r="F4" s="86" t="s">
        <v>1412</v>
      </c>
      <c r="G4" s="87" t="s">
        <v>1413</v>
      </c>
      <c r="H4" s="88" t="s">
        <v>1414</v>
      </c>
    </row>
    <row r="5">
      <c r="A5" s="83"/>
      <c r="B5" s="84" t="s">
        <v>1415</v>
      </c>
      <c r="C5" s="85" t="s">
        <v>1416</v>
      </c>
      <c r="D5" s="85" t="s">
        <v>1417</v>
      </c>
      <c r="E5" s="84" t="s">
        <v>1418</v>
      </c>
      <c r="F5" s="86" t="s">
        <v>1412</v>
      </c>
      <c r="G5" s="87" t="s">
        <v>1413</v>
      </c>
      <c r="H5" s="83"/>
    </row>
    <row r="6">
      <c r="A6" s="83"/>
      <c r="B6" s="84" t="s">
        <v>1419</v>
      </c>
      <c r="C6" s="85" t="s">
        <v>1420</v>
      </c>
      <c r="D6" s="89" t="s">
        <v>1421</v>
      </c>
      <c r="E6" s="90"/>
      <c r="F6" s="86" t="s">
        <v>1422</v>
      </c>
      <c r="G6" s="86"/>
      <c r="H6" s="83"/>
    </row>
    <row r="7">
      <c r="A7" s="83"/>
      <c r="B7" s="91" t="s">
        <v>1423</v>
      </c>
      <c r="C7" s="92" t="s">
        <v>1424</v>
      </c>
      <c r="D7" s="92" t="s">
        <v>1425</v>
      </c>
      <c r="E7" s="91" t="s">
        <v>1426</v>
      </c>
      <c r="F7" s="93" t="s">
        <v>1412</v>
      </c>
      <c r="G7" s="94" t="s">
        <v>1427</v>
      </c>
      <c r="H7" s="83"/>
    </row>
    <row r="8">
      <c r="A8" s="83"/>
      <c r="B8" s="91" t="s">
        <v>1428</v>
      </c>
      <c r="C8" s="92" t="s">
        <v>1429</v>
      </c>
      <c r="D8" s="92" t="s">
        <v>1430</v>
      </c>
      <c r="E8" s="91" t="s">
        <v>1431</v>
      </c>
      <c r="F8" s="93" t="s">
        <v>1412</v>
      </c>
      <c r="G8" s="94" t="s">
        <v>1432</v>
      </c>
      <c r="H8" s="83"/>
    </row>
    <row r="9">
      <c r="A9" s="83"/>
      <c r="B9" s="90" t="s">
        <v>1433</v>
      </c>
      <c r="C9" s="85" t="s">
        <v>1434</v>
      </c>
      <c r="D9" s="85" t="s">
        <v>1435</v>
      </c>
      <c r="E9" s="84" t="s">
        <v>1436</v>
      </c>
      <c r="F9" s="86" t="s">
        <v>1412</v>
      </c>
      <c r="G9" s="87" t="s">
        <v>1437</v>
      </c>
      <c r="H9" s="83"/>
    </row>
    <row r="10">
      <c r="A10" s="83"/>
      <c r="B10" s="95" t="s">
        <v>1438</v>
      </c>
      <c r="C10" s="92" t="s">
        <v>1439</v>
      </c>
      <c r="D10" s="92" t="s">
        <v>1440</v>
      </c>
      <c r="E10" s="95" t="s">
        <v>1441</v>
      </c>
      <c r="F10" s="93" t="s">
        <v>1412</v>
      </c>
      <c r="G10" s="92" t="s">
        <v>1442</v>
      </c>
      <c r="H10" s="83"/>
    </row>
  </sheetData>
  <mergeCells>
    <mergeCell ref="B1:G2"/>
  </mergeCells>
  <hyperlinks>
    <hyperlink ref="B8" location="'dwd_fi_mr_ar_ureb_mi'!A1" display="dwd_fi_mr_ar_ureb_mi"/>
    <hyperlink ref="B9" location="'dwd_fi_mr_ar_imocc_mi'!A1" display="dwd_fi_mr_ar_imocc_mi"/>
    <hyperlink ref="B10" location="'dwd_fi_mr_ar_writeoff_mi'!A1" display="dwd_fi_mr_ar_writeoff_mi"/>
    <hyperlink ref="B4" location="'dwd_fi_mr_ar_cterm_md'!A1" display="dwd_fi_mr_ar_cterm_md"/>
    <hyperlink ref="B5" location="'dwd_fi_mr_arap_detail_mi'!A1" display="dwd_fi_mr_arap_detail_mi"/>
    <hyperlink ref="B6" location="'dwd_fi_mr_arap_sum_mi'!A1" display="dwd_fi_mr_arap_sum_mi"/>
    <hyperlink ref="B7" location="'dwd_fi_mr_ar_overdue_mi'!A1" display="dwd_fi_mr_ar_overdue_mi"/>
  </hyperlinks>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cols>
    <col collapsed="false" customWidth="true" hidden="false" max="17" min="17" style="0" width="17.295774647887324"/>
    <col collapsed="false" customWidth="true" hidden="false" max="25" min="25" style="0" width="11.211267605633802"/>
    <col collapsed="false" customWidth="true" hidden="false" max="33" min="33" style="0" width="11.211267605633802"/>
    <col collapsed="false" customWidth="true" hidden="false" max="34" min="34" style="0" width="11.211267605633802"/>
    <col collapsed="false" customWidth="true" hidden="false" max="1" min="1" style="0" width="5.23943661971831"/>
    <col collapsed="false" customWidth="true" hidden="false" max="9" min="9" style="0" width="8.732394366197184"/>
    <col collapsed="false" customWidth="true" hidden="true" max="9" min="9" style="0" width="8.732394366197184"/>
    <col collapsed="false" customWidth="true" hidden="false" max="18" min="18" style="0" width="15.380281690140846"/>
    <col collapsed="false" customWidth="true" hidden="false" max="26" min="26" style="0" width="11.211267605633802"/>
    <col collapsed="false" customWidth="true" hidden="false" max="35" min="35" style="0" width="11.211267605633802"/>
    <col collapsed="false" customWidth="true" hidden="false" max="2" min="2" style="0" width="15.943661971830986"/>
    <col collapsed="false" customWidth="true" hidden="false" max="10" min="10" style="0" width="13.80281690140845"/>
    <col collapsed="false" customWidth="true" hidden="true" max="10" min="10" style="0" width="13.80281690140845"/>
    <col collapsed="false" customWidth="true" hidden="false" max="19" min="19" style="0" width="11.887323943661972"/>
    <col collapsed="false" customWidth="true" hidden="false" max="27" min="27" style="0" width="11.211267605633802"/>
    <col collapsed="false" customWidth="true" hidden="false" max="36" min="36" style="0" width="11.211267605633802"/>
    <col collapsed="false" customWidth="true" hidden="false" max="3" min="3" style="0" width="19.774647887323944"/>
    <col collapsed="false" customWidth="true" hidden="false" max="11" min="11" style="0" width="8.732394366197184"/>
    <col collapsed="false" customWidth="true" hidden="true" max="11" min="11" style="0" width="8.732394366197184"/>
    <col collapsed="false" customWidth="true" hidden="false" max="20" min="20" style="0" width="5.577464788732394"/>
    <col collapsed="false" customWidth="true" hidden="false" max="28" min="28" style="0" width="11.211267605633802"/>
    <col collapsed="false" customWidth="true" hidden="false" max="4" min="4" style="0" width="12.112676056338028"/>
    <col collapsed="false" customWidth="true" hidden="false" max="12" min="12" style="0" width="9.746478873239436"/>
    <col collapsed="false" customWidth="true" hidden="true" max="12" min="12" style="0" width="9.746478873239436"/>
    <col collapsed="false" customWidth="true" hidden="false" max="21" min="21" style="0" width="28.676056338028168"/>
    <col collapsed="false" customWidth="true" hidden="false" max="29" min="29" style="0" width="11.211267605633802"/>
    <col collapsed="false" customWidth="true" hidden="false" max="37" min="37" style="0" width="11.211267605633802"/>
    <col collapsed="false" customWidth="true" hidden="false" max="5" min="5" style="0" width="10.647887323943662"/>
    <col collapsed="false" customWidth="true" hidden="false" max="13" min="13" style="0" width="23.154929577464788"/>
    <col collapsed="false" customWidth="true" hidden="false" max="22" min="22" style="0" width="11.211267605633802"/>
    <col collapsed="false" customWidth="true" hidden="false" max="30" min="30" style="0" width="11.211267605633802"/>
    <col collapsed="false" customWidth="true" hidden="false" max="6" min="6" style="0" width="17.070422535211268"/>
    <col collapsed="false" customWidth="true" hidden="false" max="14" min="14" style="0" width="7.154929577464789"/>
    <col collapsed="false" customWidth="true" hidden="false" max="23" min="23" style="0" width="11.211267605633802"/>
    <col collapsed="false" customWidth="true" hidden="false" max="31" min="31" style="0" width="11.211267605633802"/>
    <col collapsed="false" customWidth="true" hidden="false" max="7" min="7" style="0" width="8.732394366197184"/>
    <col collapsed="false" customWidth="true" hidden="false" max="15" min="15" style="0" width="41.070422535211264"/>
    <col collapsed="false" customWidth="true" hidden="false" max="24" min="24" style="0" width="11.211267605633802"/>
    <col collapsed="false" customWidth="true" hidden="false" max="32" min="32" style="0" width="11.211267605633802"/>
    <col collapsed="false" customWidth="true" hidden="false" max="8" min="8" style="0" width="7.154929577464789"/>
    <col collapsed="false" customWidth="true" hidden="true" max="8" min="8" style="0" width="7.154929577464789"/>
    <col collapsed="false" customWidth="true" hidden="false" max="16" min="16" style="0" width="17.183098591549296"/>
  </cols>
  <sheetData>
    <row customHeight="true" ht="12.5" r="1">
      <c r="A1" s="96" t="s">
        <v>1443</v>
      </c>
      <c r="B1" s="97" t="s">
        <v>1444</v>
      </c>
      <c r="C1" s="98"/>
      <c r="D1" s="98"/>
      <c r="E1" s="99"/>
      <c r="F1" s="99"/>
      <c r="G1" s="99"/>
      <c r="H1" s="100"/>
      <c r="I1" s="100"/>
      <c r="J1" s="100"/>
      <c r="K1" s="100"/>
      <c r="L1" s="100"/>
      <c r="M1" s="100"/>
      <c r="N1" s="101"/>
      <c r="O1" s="99"/>
      <c r="P1" s="99"/>
      <c r="Q1" s="99"/>
      <c r="R1" s="99"/>
      <c r="S1" s="99"/>
      <c r="T1" s="99"/>
      <c r="U1" s="99"/>
      <c r="V1" s="99"/>
      <c r="W1" s="99"/>
      <c r="X1" s="99"/>
      <c r="Y1" s="99"/>
      <c r="Z1" s="99"/>
      <c r="AA1" s="99"/>
      <c r="AB1" s="100"/>
      <c r="AC1" s="100"/>
      <c r="AD1" s="100"/>
      <c r="AE1" s="100"/>
      <c r="AF1" s="100"/>
      <c r="AG1" s="100"/>
      <c r="AH1" s="100"/>
      <c r="AI1" s="100"/>
      <c r="AJ1" s="100"/>
      <c r="AK1" s="100"/>
    </row>
    <row customHeight="true" ht="12.5" r="2">
      <c r="A2" s="96" t="s">
        <v>1445</v>
      </c>
      <c r="B2" s="102" t="s">
        <v>1446</v>
      </c>
      <c r="C2" s="103" t="s">
        <v>1447</v>
      </c>
      <c r="D2" s="104"/>
      <c r="E2" s="104"/>
      <c r="F2" s="104"/>
      <c r="G2" s="104"/>
      <c r="H2" s="100"/>
      <c r="I2" s="100"/>
      <c r="J2" s="100"/>
      <c r="K2" s="100"/>
      <c r="L2" s="100"/>
      <c r="M2" s="100"/>
      <c r="N2" s="101"/>
      <c r="O2" s="99"/>
      <c r="P2" s="99"/>
      <c r="Q2" s="99"/>
      <c r="R2" s="99"/>
      <c r="S2" s="99"/>
      <c r="T2" s="99"/>
      <c r="U2" s="99"/>
      <c r="V2" s="99"/>
      <c r="W2" s="99"/>
      <c r="X2" s="99"/>
      <c r="Y2" s="99"/>
      <c r="Z2" s="99"/>
      <c r="AA2" s="99"/>
      <c r="AB2" s="100"/>
      <c r="AC2" s="100"/>
      <c r="AD2" s="100"/>
      <c r="AE2" s="100"/>
      <c r="AF2" s="100"/>
      <c r="AG2" s="100"/>
      <c r="AH2" s="100"/>
      <c r="AI2" s="100"/>
      <c r="AJ2" s="100"/>
      <c r="AK2" s="100"/>
    </row>
    <row customHeight="true" ht="12.5" r="3">
      <c r="A3" s="105"/>
      <c r="B3" s="106" t="s">
        <v>1448</v>
      </c>
      <c r="C3" s="107" t="s">
        <v>1449</v>
      </c>
      <c r="D3" s="108" t="s">
        <v>1450</v>
      </c>
      <c r="E3" s="109" t="s">
        <v>1451</v>
      </c>
      <c r="F3" s="106" t="s">
        <v>1452</v>
      </c>
      <c r="G3" s="110" t="s">
        <v>1453</v>
      </c>
      <c r="H3" s="100"/>
      <c r="I3" s="100"/>
      <c r="J3" s="100"/>
      <c r="K3" s="100"/>
      <c r="L3" s="100"/>
      <c r="M3" s="100"/>
      <c r="N3" s="101"/>
      <c r="O3" s="99"/>
      <c r="P3" s="99"/>
      <c r="Q3" s="99"/>
      <c r="R3" s="99"/>
      <c r="S3" s="99"/>
      <c r="T3" s="99"/>
      <c r="U3" s="99"/>
      <c r="V3" s="99"/>
      <c r="W3" s="99"/>
      <c r="X3" s="99"/>
      <c r="Y3" s="99"/>
      <c r="Z3" s="99"/>
      <c r="AA3" s="99"/>
      <c r="AB3" s="100"/>
      <c r="AC3" s="100"/>
      <c r="AD3" s="100"/>
      <c r="AE3" s="100"/>
      <c r="AF3" s="100"/>
      <c r="AG3" s="100"/>
      <c r="AH3" s="100"/>
      <c r="AI3" s="100"/>
      <c r="AJ3" s="100"/>
      <c r="AK3" s="100"/>
    </row>
    <row customHeight="true" ht="12.5" r="4">
      <c r="A4" s="105"/>
      <c r="B4" s="106" t="s">
        <v>1454</v>
      </c>
      <c r="C4" s="110" t="s">
        <v>1455</v>
      </c>
      <c r="D4" s="111" t="s">
        <v>1456</v>
      </c>
      <c r="E4" s="112" t="s">
        <v>1457</v>
      </c>
      <c r="F4" s="111" t="s">
        <v>1458</v>
      </c>
      <c r="G4" s="107" t="s">
        <v>1459</v>
      </c>
      <c r="H4" s="100"/>
      <c r="I4" s="100"/>
      <c r="J4" s="100"/>
      <c r="K4" s="100"/>
      <c r="L4" s="100"/>
      <c r="M4" s="100"/>
      <c r="N4" s="101"/>
      <c r="O4" s="99"/>
      <c r="P4" s="99"/>
      <c r="Q4" s="99"/>
      <c r="R4" s="99"/>
      <c r="S4" s="99"/>
      <c r="T4" s="99"/>
      <c r="U4" s="99"/>
      <c r="V4" s="99"/>
      <c r="W4" s="99"/>
      <c r="X4" s="99"/>
      <c r="Y4" s="99"/>
      <c r="Z4" s="99"/>
      <c r="AA4" s="99"/>
      <c r="AB4" s="100"/>
      <c r="AC4" s="100"/>
      <c r="AD4" s="100"/>
      <c r="AE4" s="100"/>
      <c r="AF4" s="100"/>
      <c r="AG4" s="100"/>
      <c r="AH4" s="100"/>
      <c r="AI4" s="100"/>
      <c r="AJ4" s="100"/>
      <c r="AK4" s="100"/>
    </row>
    <row customHeight="true" ht="12.5" r="5">
      <c r="A5" s="105"/>
      <c r="B5" s="106" t="s">
        <v>1460</v>
      </c>
      <c r="C5" s="107" t="s">
        <v>1461</v>
      </c>
      <c r="D5" s="108" t="s">
        <v>1462</v>
      </c>
      <c r="E5" s="113"/>
      <c r="F5" s="108" t="s">
        <v>1463</v>
      </c>
      <c r="G5" s="114"/>
      <c r="H5" s="100"/>
      <c r="I5" s="100"/>
      <c r="J5" s="100"/>
      <c r="K5" s="100"/>
      <c r="L5" s="100"/>
      <c r="M5" s="100"/>
      <c r="N5" s="101"/>
      <c r="O5" s="99"/>
      <c r="P5" s="99"/>
      <c r="Q5" s="99"/>
      <c r="R5" s="99"/>
      <c r="S5" s="99"/>
      <c r="T5" s="99"/>
      <c r="U5" s="99"/>
      <c r="V5" s="99"/>
      <c r="W5" s="99"/>
      <c r="X5" s="99"/>
      <c r="Y5" s="99"/>
      <c r="Z5" s="99"/>
      <c r="AA5" s="99"/>
      <c r="AB5" s="100"/>
      <c r="AC5" s="100"/>
      <c r="AD5" s="100"/>
      <c r="AE5" s="100"/>
      <c r="AF5" s="100"/>
      <c r="AG5" s="100"/>
      <c r="AH5" s="100"/>
      <c r="AI5" s="100"/>
      <c r="AJ5" s="100"/>
      <c r="AK5" s="100"/>
    </row>
    <row customHeight="true" ht="12.5" r="6">
      <c r="A6" s="105"/>
      <c r="B6" s="115" t="s">
        <v>1464</v>
      </c>
      <c r="C6" s="116" t="s">
        <v>1465</v>
      </c>
      <c r="D6" s="117"/>
      <c r="E6" s="117"/>
      <c r="F6" s="117"/>
      <c r="G6" s="117"/>
      <c r="H6" s="100"/>
      <c r="I6" s="100"/>
      <c r="J6" s="100"/>
      <c r="K6" s="100"/>
      <c r="L6" s="100"/>
      <c r="M6" s="100"/>
      <c r="N6" s="101"/>
      <c r="O6" s="99"/>
      <c r="P6" s="99"/>
      <c r="Q6" s="99"/>
      <c r="R6" s="99"/>
      <c r="S6" s="99"/>
      <c r="T6" s="99"/>
      <c r="U6" s="99"/>
      <c r="V6" s="99"/>
      <c r="W6" s="99"/>
      <c r="X6" s="99"/>
      <c r="Y6" s="99"/>
      <c r="Z6" s="99"/>
      <c r="AA6" s="99"/>
      <c r="AB6" s="100"/>
      <c r="AC6" s="100"/>
      <c r="AD6" s="100"/>
      <c r="AE6" s="100"/>
      <c r="AF6" s="100"/>
      <c r="AG6" s="100"/>
      <c r="AH6" s="100"/>
      <c r="AI6" s="100"/>
      <c r="AJ6" s="100"/>
      <c r="AK6" s="100"/>
    </row>
    <row customHeight="true" ht="12.5" r="7">
      <c r="A7" s="118"/>
      <c r="B7" s="119" t="s">
        <v>1466</v>
      </c>
      <c r="C7" s="119"/>
      <c r="D7" s="119"/>
      <c r="E7" s="119"/>
      <c r="F7" s="119"/>
      <c r="G7" s="119"/>
      <c r="H7" s="119"/>
      <c r="I7" s="119"/>
      <c r="J7" s="119"/>
      <c r="K7" s="119"/>
      <c r="L7" s="119"/>
      <c r="M7" s="120" t="s">
        <v>1467</v>
      </c>
      <c r="N7" s="119"/>
      <c r="O7" s="119"/>
      <c r="P7" s="119"/>
      <c r="Q7" s="119"/>
      <c r="R7" s="119"/>
      <c r="S7" s="119"/>
      <c r="T7" s="119"/>
      <c r="U7" s="101"/>
      <c r="V7" s="118"/>
      <c r="W7" s="118"/>
      <c r="X7" s="118"/>
      <c r="Y7" s="118"/>
      <c r="Z7" s="118"/>
      <c r="AA7" s="118"/>
      <c r="AB7" s="100"/>
      <c r="AC7" s="100"/>
      <c r="AD7" s="100"/>
      <c r="AE7" s="100"/>
      <c r="AF7" s="100"/>
      <c r="AG7" s="100"/>
      <c r="AH7" s="100"/>
      <c r="AI7" s="100"/>
      <c r="AJ7" s="100"/>
      <c r="AK7" s="100"/>
    </row>
    <row customHeight="true" ht="12.5" r="8">
      <c r="A8" s="118"/>
      <c r="B8" s="121" t="s">
        <v>1468</v>
      </c>
      <c r="C8" s="122" t="s">
        <v>1469</v>
      </c>
      <c r="D8" s="122" t="s">
        <v>1470</v>
      </c>
      <c r="E8" s="122" t="s">
        <v>1471</v>
      </c>
      <c r="F8" s="122" t="s">
        <v>1472</v>
      </c>
      <c r="G8" s="122" t="s">
        <v>1473</v>
      </c>
      <c r="H8" s="122" t="s">
        <v>1474</v>
      </c>
      <c r="I8" s="122" t="s">
        <v>1475</v>
      </c>
      <c r="J8" s="122" t="s">
        <v>1476</v>
      </c>
      <c r="K8" s="122" t="s">
        <v>1477</v>
      </c>
      <c r="L8" s="122" t="s">
        <v>1478</v>
      </c>
      <c r="M8" s="122" t="s">
        <v>1479</v>
      </c>
      <c r="N8" s="122" t="s">
        <v>1480</v>
      </c>
      <c r="O8" s="122" t="s">
        <v>1481</v>
      </c>
      <c r="P8" s="122" t="s">
        <v>1482</v>
      </c>
      <c r="Q8" s="122" t="s">
        <v>1483</v>
      </c>
      <c r="R8" s="122" t="s">
        <v>1484</v>
      </c>
      <c r="S8" s="122" t="s">
        <v>1485</v>
      </c>
      <c r="T8" s="122" t="s">
        <v>1486</v>
      </c>
      <c r="U8" s="101"/>
      <c r="V8" s="118"/>
      <c r="W8" s="118"/>
      <c r="X8" s="118"/>
      <c r="Y8" s="118"/>
      <c r="Z8" s="118"/>
      <c r="AA8" s="118"/>
      <c r="AB8" s="100"/>
      <c r="AC8" s="100"/>
      <c r="AD8" s="100"/>
      <c r="AE8" s="100"/>
      <c r="AF8" s="100"/>
      <c r="AG8" s="100"/>
      <c r="AH8" s="100"/>
      <c r="AI8" s="100"/>
      <c r="AJ8" s="100"/>
      <c r="AK8" s="100"/>
    </row>
    <row r="9">
      <c r="A9" s="100"/>
      <c r="B9" s="123">
        <f>IFERROR(VLOOKUP(C9,'字段信息'!A:C,3,),"")</f>
      </c>
      <c r="C9" s="124" t="s">
        <v>1487</v>
      </c>
      <c r="D9" s="125">
        <f>IFERROR(VLOOKUP(C9,'字段信息'!A:C,2,),"")</f>
      </c>
      <c r="E9" s="126"/>
      <c r="F9" s="126">
        <f t="shared" ref="F9:F14" si="0">B9</f>
      </c>
      <c r="G9" s="126" t="s">
        <v>1488</v>
      </c>
      <c r="H9" s="127"/>
      <c r="I9" s="127"/>
      <c r="J9" s="127"/>
      <c r="K9" s="127"/>
      <c r="L9" s="128" t="s">
        <v>1489</v>
      </c>
      <c r="M9" s="129" t="s">
        <v>1490</v>
      </c>
      <c r="N9" s="130" t="s">
        <v>1491</v>
      </c>
      <c r="O9" s="131" t="s">
        <v>1492</v>
      </c>
      <c r="P9" s="132" t="s">
        <v>1493</v>
      </c>
      <c r="Q9" s="133" t="s">
        <v>1494</v>
      </c>
      <c r="R9" s="134"/>
      <c r="S9" s="134"/>
      <c r="T9" s="134"/>
      <c r="U9" s="99"/>
      <c r="V9" s="100"/>
      <c r="W9" s="100"/>
      <c r="X9" s="100"/>
      <c r="Y9" s="100"/>
      <c r="Z9" s="100"/>
      <c r="AA9" s="100"/>
      <c r="AB9" s="100"/>
      <c r="AC9" s="100"/>
      <c r="AD9" s="100"/>
      <c r="AE9" s="100"/>
      <c r="AF9" s="100"/>
      <c r="AG9" s="100"/>
      <c r="AH9" s="100"/>
      <c r="AI9" s="100"/>
      <c r="AJ9" s="100"/>
      <c r="AK9" s="100"/>
    </row>
    <row r="10">
      <c r="A10" s="100"/>
      <c r="B10" s="135" t="s">
        <v>1495</v>
      </c>
      <c r="C10" s="136" t="s">
        <v>1496</v>
      </c>
      <c r="D10" s="125">
        <f>IFERROR(VLOOKUP(C10,'字段信息'!A:C,2,),"")</f>
      </c>
      <c r="E10" s="126"/>
      <c r="F10" s="126">
        <f t="shared" si="0"/>
      </c>
      <c r="G10" s="126" t="s">
        <v>1488</v>
      </c>
      <c r="H10" s="127"/>
      <c r="I10" s="127"/>
      <c r="J10" s="127"/>
      <c r="K10" s="127"/>
      <c r="L10" s="128" t="s">
        <v>1489</v>
      </c>
      <c r="M10" s="129" t="s">
        <v>1490</v>
      </c>
      <c r="N10" s="130" t="s">
        <v>1491</v>
      </c>
      <c r="O10" s="137" t="s">
        <v>1497</v>
      </c>
      <c r="P10" s="132" t="s">
        <v>1498</v>
      </c>
      <c r="Q10" s="134"/>
      <c r="R10" s="134"/>
      <c r="S10" s="134"/>
      <c r="T10" s="134"/>
      <c r="U10" s="99"/>
      <c r="V10" s="100"/>
      <c r="W10" s="100"/>
      <c r="X10" s="100"/>
      <c r="Y10" s="100"/>
      <c r="Z10" s="100"/>
      <c r="AA10" s="100"/>
      <c r="AB10" s="100"/>
      <c r="AC10" s="100"/>
      <c r="AD10" s="100"/>
      <c r="AE10" s="100"/>
      <c r="AF10" s="100"/>
      <c r="AG10" s="100"/>
      <c r="AH10" s="100"/>
      <c r="AI10" s="100"/>
      <c r="AJ10" s="100"/>
      <c r="AK10" s="100"/>
    </row>
    <row r="11">
      <c r="A11" s="100"/>
      <c r="B11" s="138">
        <f>IFERROR(VLOOKUP(C11,'字段信息'!A:C,3,),"")</f>
      </c>
      <c r="C11" s="139" t="s">
        <v>1499</v>
      </c>
      <c r="D11" s="125">
        <f>IFERROR(VLOOKUP(C11,'字段信息'!A:C,2,),"")</f>
      </c>
      <c r="E11" s="126"/>
      <c r="F11" s="126">
        <f t="shared" si="0"/>
      </c>
      <c r="G11" s="126" t="s">
        <v>1488</v>
      </c>
      <c r="H11" s="127"/>
      <c r="I11" s="127"/>
      <c r="J11" s="127"/>
      <c r="K11" s="127"/>
      <c r="L11" s="128" t="s">
        <v>1489</v>
      </c>
      <c r="M11" s="140" t="s">
        <v>1500</v>
      </c>
      <c r="N11" s="130" t="s">
        <v>1491</v>
      </c>
      <c r="O11" s="137" t="s">
        <v>1497</v>
      </c>
      <c r="P11" s="132" t="s">
        <v>1501</v>
      </c>
      <c r="Q11" s="134"/>
      <c r="R11" s="134"/>
      <c r="S11" s="134"/>
      <c r="T11" s="134"/>
      <c r="U11" s="99"/>
      <c r="V11" s="100"/>
      <c r="W11" s="100"/>
      <c r="X11" s="100"/>
      <c r="Y11" s="100"/>
      <c r="Z11" s="100"/>
      <c r="AA11" s="100"/>
      <c r="AB11" s="100"/>
      <c r="AC11" s="100"/>
      <c r="AD11" s="100"/>
      <c r="AE11" s="100"/>
      <c r="AF11" s="100"/>
      <c r="AG11" s="100"/>
      <c r="AH11" s="100"/>
      <c r="AI11" s="100"/>
      <c r="AJ11" s="100"/>
      <c r="AK11" s="100"/>
    </row>
    <row r="12">
      <c r="A12" s="100"/>
      <c r="B12" s="138">
        <f>IFERROR(VLOOKUP(C12,'字段信息'!A:C,3,),"")</f>
      </c>
      <c r="C12" s="136" t="s">
        <v>1502</v>
      </c>
      <c r="D12" s="125">
        <f>IFERROR(VLOOKUP(C12,'字段信息'!A:C,2,),"")</f>
      </c>
      <c r="E12" s="126"/>
      <c r="F12" s="126">
        <f t="shared" si="0"/>
      </c>
      <c r="G12" s="126" t="s">
        <v>1488</v>
      </c>
      <c r="H12" s="127"/>
      <c r="I12" s="127"/>
      <c r="J12" s="127"/>
      <c r="K12" s="127"/>
      <c r="L12" s="128" t="s">
        <v>1489</v>
      </c>
      <c r="M12" s="140" t="s">
        <v>1500</v>
      </c>
      <c r="N12" s="130" t="s">
        <v>1491</v>
      </c>
      <c r="O12" s="137" t="s">
        <v>1503</v>
      </c>
      <c r="P12" s="132" t="s">
        <v>1504</v>
      </c>
      <c r="Q12" s="132" t="s">
        <v>1505</v>
      </c>
      <c r="R12" s="132" t="s">
        <v>1506</v>
      </c>
      <c r="S12" s="134"/>
      <c r="T12" s="134"/>
      <c r="U12" s="99"/>
      <c r="V12" s="100"/>
      <c r="W12" s="100"/>
      <c r="X12" s="100"/>
      <c r="Y12" s="100"/>
      <c r="Z12" s="100"/>
      <c r="AA12" s="100"/>
      <c r="AB12" s="100"/>
      <c r="AC12" s="100"/>
      <c r="AD12" s="100"/>
      <c r="AE12" s="100"/>
      <c r="AF12" s="100"/>
      <c r="AG12" s="100"/>
      <c r="AH12" s="100"/>
      <c r="AI12" s="100"/>
      <c r="AJ12" s="100"/>
      <c r="AK12" s="100"/>
    </row>
    <row r="13">
      <c r="A13" s="100"/>
      <c r="B13" s="138">
        <f>IFERROR(VLOOKUP(C13,'字段信息'!A:C,3,),"")</f>
      </c>
      <c r="C13" s="136" t="s">
        <v>1507</v>
      </c>
      <c r="D13" s="125">
        <f>IFERROR(VLOOKUP(C13,'字段信息'!A:C,2,),"")</f>
      </c>
      <c r="E13" s="126"/>
      <c r="F13" s="126">
        <f t="shared" si="0"/>
      </c>
      <c r="G13" s="126" t="s">
        <v>1488</v>
      </c>
      <c r="H13" s="127"/>
      <c r="I13" s="127"/>
      <c r="J13" s="127"/>
      <c r="K13" s="127"/>
      <c r="L13" s="128" t="s">
        <v>1489</v>
      </c>
      <c r="M13" s="129" t="s">
        <v>1490</v>
      </c>
      <c r="N13" s="130" t="s">
        <v>1491</v>
      </c>
      <c r="O13" s="137" t="s">
        <v>1497</v>
      </c>
      <c r="P13" s="132" t="s">
        <v>1508</v>
      </c>
      <c r="Q13" s="134"/>
      <c r="R13" s="134"/>
      <c r="S13" s="134"/>
      <c r="T13" s="134"/>
      <c r="U13" s="99"/>
      <c r="V13" s="100"/>
      <c r="W13" s="100"/>
      <c r="X13" s="100"/>
      <c r="Y13" s="100"/>
      <c r="Z13" s="100"/>
      <c r="AA13" s="100"/>
      <c r="AB13" s="100"/>
      <c r="AC13" s="100"/>
      <c r="AD13" s="100"/>
      <c r="AE13" s="100"/>
      <c r="AF13" s="100"/>
      <c r="AG13" s="100"/>
      <c r="AH13" s="100"/>
      <c r="AI13" s="100"/>
      <c r="AJ13" s="100"/>
      <c r="AK13" s="100"/>
    </row>
    <row r="14">
      <c r="A14" s="100"/>
      <c r="B14" s="138">
        <f>IFERROR(VLOOKUP(C14,'字段信息'!A:C,3,),"")</f>
      </c>
      <c r="C14" s="136" t="s">
        <v>1509</v>
      </c>
      <c r="D14" s="125">
        <f>IFERROR(VLOOKUP(C14,'字段信息'!A:C,2,),"")</f>
      </c>
      <c r="E14" s="126"/>
      <c r="F14" s="126">
        <f t="shared" si="0"/>
      </c>
      <c r="G14" s="126" t="s">
        <v>1488</v>
      </c>
      <c r="H14" s="127"/>
      <c r="I14" s="127"/>
      <c r="J14" s="127"/>
      <c r="K14" s="127"/>
      <c r="L14" s="128" t="s">
        <v>1489</v>
      </c>
      <c r="M14" s="129" t="s">
        <v>1510</v>
      </c>
      <c r="N14" s="130" t="s">
        <v>1491</v>
      </c>
      <c r="O14" s="141"/>
      <c r="P14" s="130"/>
      <c r="Q14" s="134"/>
      <c r="R14" s="134"/>
      <c r="S14" s="134"/>
      <c r="T14" s="134"/>
      <c r="U14" s="99"/>
      <c r="V14" s="100"/>
      <c r="W14" s="100"/>
      <c r="X14" s="100"/>
      <c r="Y14" s="100"/>
      <c r="Z14" s="100"/>
      <c r="AA14" s="100"/>
      <c r="AB14" s="100"/>
      <c r="AC14" s="100"/>
      <c r="AD14" s="100"/>
      <c r="AE14" s="100"/>
      <c r="AF14" s="100"/>
      <c r="AG14" s="100"/>
      <c r="AH14" s="100"/>
      <c r="AI14" s="100"/>
      <c r="AJ14" s="100"/>
      <c r="AK14" s="100"/>
    </row>
  </sheetData>
  <mergeCells>
    <mergeCell ref="B1:D1"/>
    <mergeCell ref="C2:F2"/>
    <mergeCell ref="M7:T7"/>
    <mergeCell ref="B7:G7"/>
    <mergeCell ref="C6:G6"/>
  </mergeCells>
  <hyperlinks>
    <hyperlink ref="A1" location="'1. 0 DWD层目录'!A1" display="返回"/>
    <hyperlink ref="A2" location="'规则库'!A1" display="规则库"/>
  </hyperlinks>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4" min="4" style="0" width="12.56338028169014"/>
    <col collapsed="false" customWidth="true" hidden="false" max="8" min="8" style="0" width="7.154929577464789"/>
    <col collapsed="false" customWidth="true" hidden="true" max="8" min="8" style="0" width="7.154929577464789"/>
    <col collapsed="false" customWidth="true" hidden="false" max="12" min="12" style="0" width="9.746478873239436"/>
    <col collapsed="false" customWidth="true" hidden="true" max="12" min="12" style="0" width="9.746478873239436"/>
    <col collapsed="false" customWidth="true" hidden="false" max="16" min="16" style="0" width="21.464788598074115"/>
    <col collapsed="false" customWidth="true" hidden="false" max="20" min="20" style="0" width="5.577464788732394"/>
    <col collapsed="false" customWidth="true" hidden="false" max="24" min="24" style="0" width="34.74106934765484"/>
    <col collapsed="false" customWidth="true" hidden="false" max="1" min="1" style="0" width="9.52112676056338"/>
    <col collapsed="false" customWidth="true" hidden="false" max="5" min="5" style="0" width="10.647887323943662"/>
    <col collapsed="false" customWidth="true" hidden="false" max="9" min="9" style="0" width="8.732394366197184"/>
    <col collapsed="false" customWidth="true" hidden="true" max="9" min="9" style="0" width="8.732394366197184"/>
    <col collapsed="false" customWidth="true" hidden="false" max="13" min="13" style="0" width="51.21127156062102"/>
    <col collapsed="false" customWidth="true" hidden="false" max="17" min="17" style="0" width="26.422535076947355"/>
    <col collapsed="false" customWidth="true" hidden="false" max="21" min="21" style="0" width="8.021903722806675"/>
    <col collapsed="false" customWidth="true" hidden="false" max="25" min="25" style="0" width="21.06970784530674"/>
    <col collapsed="false" customWidth="true" hidden="false" max="2" min="2" style="0" width="15.943661971830986"/>
    <col collapsed="false" customWidth="true" hidden="false" max="6" min="6" style="0" width="17.070422535211268"/>
    <col collapsed="false" customWidth="true" hidden="false" max="10" min="10" style="0" width="13.80281690140845"/>
    <col collapsed="false" customWidth="true" hidden="true" max="10" min="10" style="0" width="13.80281690140845"/>
    <col collapsed="false" customWidth="true" hidden="false" max="14" min="14" style="0" width="7.154929577464789"/>
    <col collapsed="false" customWidth="true" hidden="false" max="18" min="18" style="0" width="8.732394366197184"/>
    <col collapsed="false" customWidth="true" hidden="false" max="22" min="22" style="0" width="55.72111458556363"/>
    <col collapsed="false" customWidth="true" hidden="false" max="3" min="3" style="0" width="19.774647887323944"/>
    <col collapsed="false" customWidth="true" hidden="false" max="7" min="7" style="0" width="8.732394366197184"/>
    <col collapsed="false" customWidth="true" hidden="false" max="11" min="11" style="0" width="8.732394366197184"/>
    <col collapsed="false" customWidth="true" hidden="true" max="11" min="11" style="0" width="8.732394366197184"/>
    <col collapsed="false" customWidth="true" hidden="false" max="15" min="15" style="0" width="34.08450704225352"/>
    <col collapsed="false" customWidth="true" hidden="false" max="19" min="19" style="0" width="29.014081887796095"/>
  </cols>
  <sheetData>
    <row r="1">
      <c r="A1" s="142" t="s">
        <v>1511</v>
      </c>
      <c r="B1" s="143" t="s">
        <v>1512</v>
      </c>
      <c r="C1" s="144"/>
      <c r="D1" s="144"/>
      <c r="E1" s="145"/>
      <c r="F1" s="145"/>
      <c r="G1" s="145"/>
      <c r="H1" s="146"/>
      <c r="I1" s="146"/>
      <c r="J1" s="146"/>
      <c r="K1" s="146"/>
      <c r="L1" s="146"/>
      <c r="M1" s="147"/>
      <c r="N1" s="148"/>
      <c r="O1" s="149"/>
      <c r="P1" s="149"/>
      <c r="Q1" s="149"/>
      <c r="R1" s="145"/>
      <c r="S1" s="149"/>
      <c r="T1" s="145"/>
    </row>
    <row r="2">
      <c r="A2" s="142" t="s">
        <v>1513</v>
      </c>
      <c r="B2" s="150" t="s">
        <v>1514</v>
      </c>
      <c r="C2" s="151" t="s">
        <v>1515</v>
      </c>
      <c r="D2" s="152"/>
      <c r="E2" s="152"/>
      <c r="F2" s="152"/>
      <c r="G2" s="152"/>
      <c r="H2" s="146"/>
      <c r="I2" s="146"/>
      <c r="J2" s="146"/>
      <c r="K2" s="146"/>
      <c r="L2" s="146"/>
      <c r="M2" s="147"/>
      <c r="N2" s="148"/>
      <c r="O2" s="149"/>
      <c r="P2" s="149"/>
      <c r="Q2" s="149"/>
      <c r="R2" s="145"/>
      <c r="S2" s="149"/>
      <c r="T2" s="145"/>
    </row>
    <row r="3">
      <c r="A3" s="153"/>
      <c r="B3" s="154" t="s">
        <v>1516</v>
      </c>
      <c r="C3" s="155" t="s">
        <v>1517</v>
      </c>
      <c r="D3" s="156" t="s">
        <v>1518</v>
      </c>
      <c r="E3" s="157" t="s">
        <v>1519</v>
      </c>
      <c r="F3" s="154" t="s">
        <v>1520</v>
      </c>
      <c r="G3" s="158" t="s">
        <v>1521</v>
      </c>
      <c r="H3" s="146"/>
      <c r="I3" s="146"/>
      <c r="J3" s="146"/>
      <c r="K3" s="146"/>
      <c r="L3" s="146"/>
      <c r="M3" s="147"/>
      <c r="N3" s="148"/>
      <c r="O3" s="149"/>
      <c r="P3" s="149"/>
      <c r="Q3" s="149"/>
      <c r="R3" s="145"/>
      <c r="S3" s="149"/>
      <c r="T3" s="145"/>
    </row>
    <row r="4">
      <c r="A4" s="153"/>
      <c r="B4" s="154" t="s">
        <v>1522</v>
      </c>
      <c r="C4" s="158" t="s">
        <v>1523</v>
      </c>
      <c r="D4" s="159" t="s">
        <v>1524</v>
      </c>
      <c r="E4" s="160" t="s">
        <v>1525</v>
      </c>
      <c r="F4" s="159" t="s">
        <v>1526</v>
      </c>
      <c r="G4" s="155" t="s">
        <v>1527</v>
      </c>
      <c r="H4" s="146"/>
      <c r="I4" s="146"/>
      <c r="J4" s="146"/>
      <c r="K4" s="146"/>
      <c r="L4" s="146"/>
      <c r="M4" s="147"/>
      <c r="N4" s="148"/>
      <c r="O4" s="149"/>
      <c r="P4" s="149"/>
      <c r="Q4" s="149"/>
      <c r="R4" s="145"/>
      <c r="S4" s="149"/>
      <c r="T4" s="145"/>
    </row>
    <row r="5">
      <c r="A5" s="153"/>
      <c r="B5" s="154" t="s">
        <v>1528</v>
      </c>
      <c r="C5" s="155" t="s">
        <v>1529</v>
      </c>
      <c r="D5" s="156" t="s">
        <v>1530</v>
      </c>
      <c r="E5" s="161"/>
      <c r="F5" s="156" t="s">
        <v>1531</v>
      </c>
      <c r="G5" s="162"/>
      <c r="H5" s="146"/>
      <c r="I5" s="146"/>
      <c r="J5" s="146"/>
      <c r="K5" s="146"/>
      <c r="L5" s="146"/>
      <c r="M5" s="147"/>
      <c r="N5" s="148"/>
      <c r="O5" s="149"/>
      <c r="P5" s="149"/>
      <c r="Q5" s="149"/>
      <c r="R5" s="145"/>
      <c r="S5" s="149"/>
      <c r="T5" s="145"/>
    </row>
    <row r="6">
      <c r="A6" s="153"/>
      <c r="B6" s="163" t="s">
        <v>1532</v>
      </c>
      <c r="C6" s="164" t="s">
        <v>1533</v>
      </c>
      <c r="D6" s="165"/>
      <c r="E6" s="165"/>
      <c r="F6" s="165"/>
      <c r="G6" s="165"/>
      <c r="H6" s="146"/>
      <c r="I6" s="146"/>
      <c r="J6" s="146"/>
      <c r="K6" s="146"/>
      <c r="L6" s="146"/>
      <c r="M6" s="147"/>
      <c r="N6" s="148"/>
      <c r="O6" s="149"/>
      <c r="P6" s="149"/>
      <c r="Q6" s="149"/>
      <c r="R6" s="145"/>
      <c r="S6" s="149"/>
      <c r="T6" s="145"/>
    </row>
    <row r="7">
      <c r="A7" s="166"/>
      <c r="B7" s="167" t="s">
        <v>1534</v>
      </c>
      <c r="C7" s="167"/>
      <c r="D7" s="167"/>
      <c r="E7" s="167"/>
      <c r="F7" s="167"/>
      <c r="G7" s="167"/>
      <c r="H7" s="167"/>
      <c r="I7" s="167"/>
      <c r="J7" s="167"/>
      <c r="K7" s="167"/>
      <c r="L7" s="167"/>
      <c r="M7" s="168" t="s">
        <v>1535</v>
      </c>
      <c r="N7" s="167"/>
      <c r="O7" s="169"/>
      <c r="P7" s="169"/>
      <c r="Q7" s="169"/>
      <c r="R7" s="167"/>
      <c r="S7" s="169"/>
      <c r="T7" s="167"/>
      <c r="V7" s="168" t="s">
        <v>1536</v>
      </c>
      <c r="W7" s="168"/>
      <c r="X7" s="168"/>
      <c r="Y7" s="168"/>
      <c r="Z7" s="168"/>
      <c r="AA7" s="168"/>
      <c r="AB7" s="168"/>
      <c r="AC7" s="168"/>
    </row>
    <row r="8">
      <c r="A8" s="166"/>
      <c r="B8" s="170" t="s">
        <v>1537</v>
      </c>
      <c r="C8" s="170" t="s">
        <v>1538</v>
      </c>
      <c r="D8" s="170" t="s">
        <v>1539</v>
      </c>
      <c r="E8" s="170" t="s">
        <v>1540</v>
      </c>
      <c r="F8" s="170" t="s">
        <v>1541</v>
      </c>
      <c r="G8" s="170" t="s">
        <v>1542</v>
      </c>
      <c r="H8" s="170" t="s">
        <v>1543</v>
      </c>
      <c r="I8" s="170" t="s">
        <v>1544</v>
      </c>
      <c r="J8" s="170" t="s">
        <v>1545</v>
      </c>
      <c r="K8" s="170" t="s">
        <v>1546</v>
      </c>
      <c r="L8" s="170" t="s">
        <v>1547</v>
      </c>
      <c r="M8" s="171" t="s">
        <v>1548</v>
      </c>
      <c r="N8" s="172" t="s">
        <v>1549</v>
      </c>
      <c r="O8" s="173" t="s">
        <v>1550</v>
      </c>
      <c r="P8" s="171" t="s">
        <v>1551</v>
      </c>
      <c r="Q8" s="171" t="s">
        <v>1552</v>
      </c>
      <c r="R8" s="170" t="s">
        <v>1553</v>
      </c>
      <c r="S8" s="171" t="s">
        <v>1554</v>
      </c>
      <c r="T8" s="170" t="s">
        <v>1555</v>
      </c>
      <c r="V8" s="171" t="s">
        <v>1548</v>
      </c>
      <c r="W8" s="172" t="s">
        <v>1549</v>
      </c>
      <c r="X8" s="173" t="s">
        <v>1550</v>
      </c>
      <c r="Y8" s="171" t="s">
        <v>1551</v>
      </c>
      <c r="Z8" s="171" t="s">
        <v>1552</v>
      </c>
      <c r="AA8" s="170" t="s">
        <v>1553</v>
      </c>
      <c r="AB8" s="171" t="s">
        <v>1554</v>
      </c>
      <c r="AC8" s="170" t="s">
        <v>1555</v>
      </c>
    </row>
    <row r="9">
      <c r="A9" s="146"/>
      <c r="B9" s="174">
        <f>IFERROR(VLOOKUP(C9,'字段信息'!A:C,3,),"")</f>
      </c>
      <c r="C9" s="175" t="s">
        <v>1556</v>
      </c>
      <c r="D9" s="176">
        <f>IFERROR(VLOOKUP(C9,'字段信息'!A:C,2,),"")</f>
      </c>
      <c r="E9" s="177"/>
      <c r="F9" s="177">
        <f t="shared" ref="F9:F72" si="0">B9</f>
      </c>
      <c r="G9" s="177"/>
      <c r="H9" s="178"/>
      <c r="I9" s="178"/>
      <c r="J9" s="178"/>
      <c r="K9" s="178"/>
      <c r="L9" s="179"/>
      <c r="N9" s="180" t="s">
        <v>1557</v>
      </c>
      <c r="O9" s="181"/>
      <c r="P9" s="182"/>
      <c r="Q9" s="183"/>
      <c r="R9" s="184"/>
      <c r="S9" s="183"/>
      <c r="T9" s="184"/>
      <c r="V9" s="185"/>
      <c r="W9" s="180" t="s">
        <v>1557</v>
      </c>
      <c r="X9" s="181"/>
      <c r="Y9" s="182"/>
      <c r="Z9" s="183"/>
      <c r="AA9" s="184"/>
      <c r="AB9" s="183"/>
      <c r="AC9" s="184"/>
    </row>
    <row r="10">
      <c r="A10" s="146"/>
      <c r="B10" s="174">
        <f>IFERROR(VLOOKUP(C10,'字段信息'!A:C,3,),"")</f>
      </c>
      <c r="C10" s="175" t="s">
        <v>1558</v>
      </c>
      <c r="D10" s="176">
        <f>IFERROR(VLOOKUP(C10,'字段信息'!A:C,2,),"")</f>
      </c>
      <c r="E10" s="177"/>
      <c r="F10" s="177">
        <f t="shared" si="0"/>
      </c>
      <c r="G10" s="177" t="s">
        <v>1559</v>
      </c>
      <c r="H10" s="178"/>
      <c r="I10" s="178"/>
      <c r="J10" s="178"/>
      <c r="K10" s="178"/>
      <c r="L10" s="179" t="s">
        <v>1560</v>
      </c>
      <c r="M10" s="185" t="s">
        <v>1561</v>
      </c>
      <c r="N10" s="186" t="s">
        <v>1562</v>
      </c>
      <c r="O10" s="187"/>
      <c r="P10" s="182"/>
      <c r="Q10" s="183"/>
      <c r="R10" s="184"/>
      <c r="S10" s="183"/>
      <c r="T10" s="184"/>
      <c r="V10" s="185" t="s">
        <v>1563</v>
      </c>
      <c r="W10" s="186" t="s">
        <v>1562</v>
      </c>
      <c r="X10" s="187"/>
      <c r="Y10" s="182"/>
      <c r="Z10" s="183"/>
      <c r="AA10" s="184"/>
      <c r="AB10" s="183"/>
      <c r="AC10" s="184"/>
    </row>
    <row r="11">
      <c r="A11" s="146"/>
      <c r="B11" s="174">
        <f>IFERROR(VLOOKUP(C11,'字段信息'!A:C,3,),"")</f>
      </c>
      <c r="C11" s="175" t="s">
        <v>1564</v>
      </c>
      <c r="D11" s="176">
        <f>IFERROR(VLOOKUP(C11,'字段信息'!A:C,2,),"")</f>
      </c>
      <c r="E11" s="177"/>
      <c r="F11" s="177">
        <f t="shared" si="0"/>
      </c>
      <c r="G11" s="177" t="s">
        <v>1559</v>
      </c>
      <c r="H11" s="178"/>
      <c r="I11" s="178"/>
      <c r="J11" s="178"/>
      <c r="K11" s="178"/>
      <c r="L11" s="188" t="s">
        <v>1560</v>
      </c>
      <c r="M11" s="189" t="s">
        <v>1565</v>
      </c>
      <c r="N11" s="186" t="s">
        <v>1566</v>
      </c>
      <c r="O11" s="190"/>
      <c r="P11" s="176"/>
      <c r="Q11" s="183"/>
      <c r="R11" s="184"/>
      <c r="S11" s="183"/>
      <c r="T11" s="184"/>
      <c r="U11" s="191" t="s">
        <v>1567</v>
      </c>
      <c r="V11" s="185" t="s">
        <v>1568</v>
      </c>
      <c r="W11" s="186" t="s">
        <v>1566</v>
      </c>
      <c r="X11" s="190"/>
      <c r="Y11" s="176"/>
      <c r="Z11" s="183"/>
      <c r="AA11" s="184"/>
      <c r="AB11" s="183"/>
      <c r="AC11" s="184"/>
    </row>
    <row r="12">
      <c r="A12" s="146"/>
      <c r="B12" s="174">
        <f>IFERROR(VLOOKUP(C12,'字段信息'!A:C,3,),"")</f>
      </c>
      <c r="C12" s="175" t="s">
        <v>1569</v>
      </c>
      <c r="D12" s="176">
        <f>IFERROR(VLOOKUP(C12,'字段信息'!A:C,2,),"")</f>
      </c>
      <c r="E12" s="177"/>
      <c r="F12" s="177">
        <f t="shared" si="0"/>
      </c>
      <c r="G12" s="177" t="s">
        <v>1559</v>
      </c>
      <c r="H12" s="178"/>
      <c r="I12" s="178"/>
      <c r="J12" s="178"/>
      <c r="K12" s="178"/>
      <c r="L12" s="188" t="s">
        <v>1560</v>
      </c>
      <c r="M12" s="189" t="s">
        <v>1565</v>
      </c>
      <c r="N12" s="192" t="s">
        <v>1570</v>
      </c>
      <c r="O12" s="187" t="s">
        <v>1571</v>
      </c>
      <c r="P12" s="193" t="s">
        <v>1572</v>
      </c>
      <c r="Q12" s="183"/>
      <c r="R12" s="184"/>
      <c r="S12" s="183"/>
      <c r="T12" s="184"/>
      <c r="V12" s="185" t="s">
        <v>1565</v>
      </c>
      <c r="W12" s="192" t="s">
        <v>1570</v>
      </c>
      <c r="X12" s="187" t="s">
        <v>1573</v>
      </c>
      <c r="Y12" s="193" t="s">
        <v>1574</v>
      </c>
      <c r="Z12" s="183"/>
      <c r="AA12" s="184"/>
      <c r="AB12" s="183"/>
      <c r="AC12" s="184"/>
    </row>
    <row r="13">
      <c r="A13" s="146"/>
      <c r="B13" s="174">
        <f>IFERROR(VLOOKUP(C13,'字段信息'!A:C,3,),"")</f>
      </c>
      <c r="C13" s="175" t="s">
        <v>1575</v>
      </c>
      <c r="D13" s="176">
        <f>IFERROR(VLOOKUP(C13,'字段信息'!A:C,2,),"")</f>
      </c>
      <c r="E13" s="177"/>
      <c r="F13" s="177">
        <f t="shared" si="0"/>
      </c>
      <c r="G13" s="177" t="s">
        <v>1559</v>
      </c>
      <c r="H13" s="178"/>
      <c r="I13" s="178"/>
      <c r="J13" s="178"/>
      <c r="K13" s="178"/>
      <c r="L13" s="188" t="s">
        <v>1560</v>
      </c>
      <c r="M13" s="194" t="s">
        <v>1565</v>
      </c>
      <c r="N13" s="195" t="s">
        <v>1570</v>
      </c>
      <c r="O13" s="196" t="s">
        <v>1571</v>
      </c>
      <c r="P13" s="197" t="s">
        <v>1576</v>
      </c>
      <c r="Q13" s="183"/>
      <c r="R13" s="184"/>
      <c r="S13" s="183"/>
      <c r="T13" s="184"/>
      <c r="V13" s="185"/>
      <c r="W13" s="192"/>
      <c r="X13" s="196"/>
      <c r="Y13" s="198"/>
      <c r="Z13" s="183"/>
      <c r="AA13" s="184"/>
      <c r="AB13" s="183"/>
      <c r="AC13" s="184"/>
    </row>
    <row customHeight="true" ht="47.61904761904762" r="14">
      <c r="A14" s="146"/>
      <c r="B14" s="174" t="s">
        <v>1577</v>
      </c>
      <c r="C14" s="175" t="s">
        <v>1578</v>
      </c>
      <c r="D14" s="176">
        <f>IFERROR(VLOOKUP(C14,'字段信息'!A:C,2,),"")</f>
      </c>
      <c r="E14" s="177"/>
      <c r="F14" s="177">
        <f t="shared" si="0"/>
      </c>
      <c r="G14" s="177" t="s">
        <v>1559</v>
      </c>
      <c r="H14" s="178"/>
      <c r="I14" s="178"/>
      <c r="J14" s="178"/>
      <c r="K14" s="178"/>
      <c r="L14" s="179"/>
      <c r="M14" s="194" t="s">
        <v>1565</v>
      </c>
      <c r="N14" s="195" t="s">
        <v>1570</v>
      </c>
      <c r="O14" s="196" t="s">
        <v>1571</v>
      </c>
      <c r="P14" s="199" t="s">
        <v>1579</v>
      </c>
      <c r="Q14" s="183"/>
      <c r="R14" s="184"/>
      <c r="S14" s="183"/>
      <c r="T14" s="184"/>
      <c r="V14" s="194"/>
      <c r="W14" s="200"/>
      <c r="X14" s="196"/>
      <c r="Y14" s="176"/>
      <c r="Z14" s="183"/>
      <c r="AA14" s="184"/>
      <c r="AB14" s="183"/>
      <c r="AC14" s="184"/>
    </row>
    <row r="15">
      <c r="A15" s="146"/>
      <c r="B15" s="174">
        <f>IFERROR(VLOOKUP(C15,'字段信息'!A:C,3,),"")</f>
      </c>
      <c r="C15" s="175" t="s">
        <v>1580</v>
      </c>
      <c r="D15" s="176">
        <f>IFERROR(VLOOKUP(C15,'字段信息'!A:C,2,),"")</f>
      </c>
      <c r="E15" s="177"/>
      <c r="F15" s="177">
        <f t="shared" si="0"/>
      </c>
      <c r="G15" s="177" t="s">
        <v>1559</v>
      </c>
      <c r="H15" s="178"/>
      <c r="I15" s="178"/>
      <c r="J15" s="178"/>
      <c r="K15" s="178"/>
      <c r="L15" s="179" t="s">
        <v>1560</v>
      </c>
      <c r="M15" s="194" t="s">
        <v>1565</v>
      </c>
      <c r="N15" s="200" t="s">
        <v>1570</v>
      </c>
      <c r="O15" s="196" t="s">
        <v>1571</v>
      </c>
      <c r="P15" s="176" t="s">
        <v>1581</v>
      </c>
      <c r="Q15" s="183"/>
      <c r="R15" s="184"/>
      <c r="S15" s="183"/>
      <c r="T15" s="184"/>
      <c r="V15" s="194"/>
      <c r="W15" s="200"/>
      <c r="X15" s="196"/>
      <c r="Y15" s="176"/>
      <c r="Z15" s="183"/>
      <c r="AA15" s="184"/>
      <c r="AB15" s="183"/>
      <c r="AC15" s="184"/>
    </row>
    <row customHeight="true" ht="47.61904761904762" r="16">
      <c r="A16" s="146"/>
      <c r="B16" s="174">
        <f>IFERROR(VLOOKUP(C16,'字段信息'!A:C,3,),"")</f>
      </c>
      <c r="C16" s="175" t="s">
        <v>1582</v>
      </c>
      <c r="D16" s="176">
        <f>IFERROR(VLOOKUP(C16,'字段信息'!A:C,2,),"")</f>
      </c>
      <c r="E16" s="177"/>
      <c r="F16" s="177">
        <f t="shared" si="0"/>
      </c>
      <c r="G16" s="177" t="s">
        <v>1559</v>
      </c>
      <c r="H16" s="178"/>
      <c r="I16" s="178"/>
      <c r="J16" s="178"/>
      <c r="K16" s="178"/>
      <c r="L16" s="179"/>
      <c r="M16" s="194" t="s">
        <v>1565</v>
      </c>
      <c r="N16" s="200" t="s">
        <v>1570</v>
      </c>
      <c r="O16" s="196" t="s">
        <v>1571</v>
      </c>
      <c r="P16" s="193" t="s">
        <v>1583</v>
      </c>
      <c r="Q16" s="183"/>
      <c r="R16" s="184"/>
      <c r="S16" s="183"/>
      <c r="T16" s="184"/>
      <c r="V16" s="194"/>
      <c r="W16" s="200"/>
      <c r="X16" s="196"/>
      <c r="Y16" s="176"/>
      <c r="Z16" s="183"/>
      <c r="AA16" s="184"/>
      <c r="AB16" s="183"/>
      <c r="AC16" s="184"/>
    </row>
    <row customHeight="true" ht="47.61904761904762" r="17">
      <c r="A17" s="146"/>
      <c r="B17" s="174">
        <f>IFERROR(VLOOKUP(C17,'字段信息'!A:C,3,),"")</f>
      </c>
      <c r="C17" s="175" t="s">
        <v>1584</v>
      </c>
      <c r="D17" s="176">
        <f>IFERROR(VLOOKUP(C17,'字段信息'!A:C,2,),"")</f>
      </c>
      <c r="E17" s="177"/>
      <c r="F17" s="177">
        <f t="shared" si="0"/>
      </c>
      <c r="G17" s="177" t="s">
        <v>1559</v>
      </c>
      <c r="H17" s="178"/>
      <c r="I17" s="178"/>
      <c r="J17" s="178"/>
      <c r="K17" s="178"/>
      <c r="L17" s="179"/>
      <c r="M17" s="194" t="s">
        <v>1565</v>
      </c>
      <c r="N17" s="200" t="s">
        <v>1570</v>
      </c>
      <c r="O17" s="196" t="s">
        <v>1571</v>
      </c>
      <c r="P17" s="193" t="s">
        <v>1585</v>
      </c>
      <c r="Q17" s="183"/>
      <c r="R17" s="184"/>
      <c r="S17" s="183"/>
      <c r="T17" s="184"/>
      <c r="V17" s="194"/>
      <c r="W17" s="200"/>
      <c r="X17" s="196"/>
      <c r="Y17" s="176"/>
      <c r="Z17" s="183"/>
      <c r="AA17" s="184"/>
      <c r="AB17" s="183"/>
      <c r="AC17" s="184"/>
    </row>
    <row r="18">
      <c r="A18" s="146"/>
      <c r="B18" s="174">
        <f>IFERROR(VLOOKUP(C18,'字段信息'!A:C,3,),"")</f>
      </c>
      <c r="C18" s="175" t="s">
        <v>1586</v>
      </c>
      <c r="D18" s="176">
        <f>IFERROR(VLOOKUP(C18,'字段信息'!A:C,2,),"")</f>
      </c>
      <c r="E18" s="177"/>
      <c r="F18" s="177">
        <f t="shared" si="0"/>
      </c>
      <c r="G18" s="177" t="s">
        <v>1559</v>
      </c>
      <c r="H18" s="178"/>
      <c r="I18" s="178"/>
      <c r="J18" s="178"/>
      <c r="K18" s="178"/>
      <c r="L18" s="179" t="s">
        <v>1560</v>
      </c>
      <c r="M18" s="194" t="s">
        <v>1565</v>
      </c>
      <c r="N18" s="200" t="s">
        <v>1570</v>
      </c>
      <c r="O18" s="196" t="s">
        <v>1571</v>
      </c>
      <c r="P18" s="176" t="s">
        <v>1587</v>
      </c>
      <c r="Q18" s="183"/>
      <c r="R18" s="184"/>
      <c r="S18" s="183"/>
      <c r="T18" s="184"/>
      <c r="V18" s="194"/>
      <c r="W18" s="200"/>
      <c r="X18" s="196"/>
      <c r="Y18" s="176"/>
      <c r="Z18" s="183"/>
      <c r="AA18" s="184"/>
      <c r="AB18" s="183"/>
      <c r="AC18" s="184"/>
    </row>
    <row r="19">
      <c r="A19" s="146"/>
      <c r="B19" s="174">
        <f>IFERROR(VLOOKUP(C19,'字段信息'!A:C,3,),"")</f>
      </c>
      <c r="C19" s="175" t="s">
        <v>1588</v>
      </c>
      <c r="D19" s="176">
        <f>IFERROR(VLOOKUP(C19,'字段信息'!A:C,2,),"")</f>
      </c>
      <c r="E19" s="177"/>
      <c r="F19" s="177">
        <f t="shared" si="0"/>
      </c>
      <c r="G19" s="177" t="s">
        <v>1559</v>
      </c>
      <c r="H19" s="178"/>
      <c r="I19" s="178"/>
      <c r="J19" s="178"/>
      <c r="K19" s="178"/>
      <c r="L19" s="179" t="s">
        <v>1560</v>
      </c>
      <c r="M19" s="194" t="s">
        <v>1565</v>
      </c>
      <c r="N19" s="200" t="s">
        <v>1570</v>
      </c>
      <c r="O19" s="196" t="s">
        <v>1571</v>
      </c>
      <c r="P19" s="193" t="s">
        <v>1589</v>
      </c>
      <c r="Q19" s="183"/>
      <c r="R19" s="184"/>
      <c r="S19" s="183"/>
      <c r="T19" s="184"/>
      <c r="V19" s="194"/>
      <c r="W19" s="200"/>
      <c r="X19" s="196"/>
      <c r="Y19" s="193"/>
      <c r="Z19" s="183"/>
      <c r="AA19" s="184"/>
      <c r="AB19" s="183"/>
      <c r="AC19" s="184"/>
    </row>
    <row customHeight="true" ht="47.61904761904762" r="20">
      <c r="A20" s="146"/>
      <c r="B20" s="174">
        <f>IFERROR(VLOOKUP(C20,'字段信息'!A:C,3,),"")</f>
      </c>
      <c r="C20" s="175" t="s">
        <v>1590</v>
      </c>
      <c r="D20" s="176">
        <f>IFERROR(VLOOKUP(C20,'字段信息'!A:C,2,),"")</f>
      </c>
      <c r="E20" s="177"/>
      <c r="F20" s="177">
        <f t="shared" si="0"/>
      </c>
      <c r="G20" s="177" t="s">
        <v>1559</v>
      </c>
      <c r="H20" s="178"/>
      <c r="I20" s="178"/>
      <c r="J20" s="178"/>
      <c r="K20" s="178"/>
      <c r="L20" s="179"/>
      <c r="M20" s="194" t="s">
        <v>1591</v>
      </c>
      <c r="N20" s="200" t="s">
        <v>1570</v>
      </c>
      <c r="O20" s="196" t="s">
        <v>1571</v>
      </c>
      <c r="P20" s="201" t="s">
        <v>1592</v>
      </c>
      <c r="Q20" s="183"/>
      <c r="R20" s="184"/>
      <c r="S20" s="183"/>
      <c r="T20" s="184"/>
      <c r="V20" s="194"/>
      <c r="W20" s="200"/>
      <c r="X20" s="196"/>
      <c r="Y20" s="176"/>
      <c r="Z20" s="183"/>
      <c r="AA20" s="184"/>
      <c r="AB20" s="183"/>
      <c r="AC20" s="184"/>
    </row>
    <row r="21">
      <c r="A21" s="146"/>
      <c r="B21" s="174">
        <f>IFERROR(VLOOKUP(C21,'字段信息'!A:C,3,),"")</f>
      </c>
      <c r="C21" s="175" t="s">
        <v>1593</v>
      </c>
      <c r="D21" s="176">
        <f>IFERROR(VLOOKUP(C21,'字段信息'!A:C,2,),"")</f>
      </c>
      <c r="E21" s="177"/>
      <c r="F21" s="177">
        <f t="shared" si="0"/>
      </c>
      <c r="G21" s="177" t="s">
        <v>1559</v>
      </c>
      <c r="H21" s="178"/>
      <c r="I21" s="178"/>
      <c r="J21" s="178"/>
      <c r="K21" s="178"/>
      <c r="L21" s="179" t="s">
        <v>1560</v>
      </c>
      <c r="M21" s="194" t="s">
        <v>1565</v>
      </c>
      <c r="N21" s="200" t="s">
        <v>1570</v>
      </c>
      <c r="O21" s="196" t="s">
        <v>1571</v>
      </c>
      <c r="P21" s="176" t="s">
        <v>1594</v>
      </c>
      <c r="Q21" s="183"/>
      <c r="R21" s="184"/>
      <c r="S21" s="183"/>
      <c r="T21" s="184"/>
      <c r="V21" s="194"/>
      <c r="W21" s="200"/>
      <c r="X21" s="196"/>
      <c r="Y21" s="176"/>
      <c r="Z21" s="183"/>
      <c r="AA21" s="184"/>
      <c r="AB21" s="183"/>
      <c r="AC21" s="184"/>
    </row>
    <row r="22">
      <c r="A22" s="146"/>
      <c r="B22" s="174">
        <f>IFERROR(VLOOKUP(C22,'字段信息'!A:C,3,),"")</f>
      </c>
      <c r="C22" s="175" t="s">
        <v>1595</v>
      </c>
      <c r="D22" s="176">
        <f>IFERROR(VLOOKUP(C22,'字段信息'!A:C,2,),"")</f>
      </c>
      <c r="E22" s="177"/>
      <c r="F22" s="177">
        <f t="shared" si="0"/>
      </c>
      <c r="G22" s="177" t="s">
        <v>1559</v>
      </c>
      <c r="H22" s="178"/>
      <c r="I22" s="178"/>
      <c r="J22" s="178"/>
      <c r="K22" s="178"/>
      <c r="L22" s="179" t="s">
        <v>1560</v>
      </c>
      <c r="M22" s="194" t="s">
        <v>1565</v>
      </c>
      <c r="N22" s="200" t="s">
        <v>1570</v>
      </c>
      <c r="O22" s="196" t="s">
        <v>1571</v>
      </c>
      <c r="P22" s="193" t="s">
        <v>1596</v>
      </c>
      <c r="Q22" s="183"/>
      <c r="R22" s="184"/>
      <c r="S22" s="183"/>
      <c r="T22" s="184"/>
      <c r="V22" s="194"/>
      <c r="W22" s="200"/>
      <c r="X22" s="196"/>
      <c r="Y22" s="193"/>
      <c r="Z22" s="183"/>
      <c r="AA22" s="184"/>
      <c r="AB22" s="183"/>
      <c r="AC22" s="184"/>
    </row>
    <row r="23">
      <c r="A23" s="146"/>
      <c r="B23" s="174">
        <f>IFERROR(VLOOKUP(C23,'字段信息'!A:C,3,),"")</f>
      </c>
      <c r="C23" s="175" t="s">
        <v>1597</v>
      </c>
      <c r="D23" s="176">
        <f>IFERROR(VLOOKUP(C23,'字段信息'!A:C,2,),"")</f>
      </c>
      <c r="E23" s="177"/>
      <c r="F23" s="177">
        <f t="shared" si="0"/>
      </c>
      <c r="G23" s="177" t="s">
        <v>1559</v>
      </c>
      <c r="H23" s="178"/>
      <c r="I23" s="178"/>
      <c r="J23" s="178"/>
      <c r="K23" s="178"/>
      <c r="L23" s="179" t="s">
        <v>1560</v>
      </c>
      <c r="M23" s="194" t="s">
        <v>1598</v>
      </c>
      <c r="N23" s="200" t="s">
        <v>1570</v>
      </c>
      <c r="O23" s="196" t="s">
        <v>1599</v>
      </c>
      <c r="P23" s="193" t="s">
        <v>1600</v>
      </c>
      <c r="Q23" s="183"/>
      <c r="R23" s="184"/>
      <c r="S23" s="183"/>
      <c r="T23" s="184"/>
      <c r="V23" s="194"/>
      <c r="W23" s="200"/>
      <c r="X23" s="196"/>
      <c r="Y23" s="193"/>
      <c r="Z23" s="183"/>
      <c r="AA23" s="184"/>
      <c r="AB23" s="183"/>
      <c r="AC23" s="184"/>
    </row>
    <row r="24">
      <c r="A24" s="146"/>
      <c r="B24" s="174">
        <f>IFERROR(VLOOKUP(C24,'字段信息'!A:C,3,),"")</f>
      </c>
      <c r="C24" s="175" t="s">
        <v>1601</v>
      </c>
      <c r="D24" s="176">
        <f>IFERROR(VLOOKUP(C24,'字段信息'!A:C,2,),"")</f>
      </c>
      <c r="E24" s="177"/>
      <c r="F24" s="177">
        <f t="shared" si="0"/>
      </c>
      <c r="G24" s="177" t="s">
        <v>1559</v>
      </c>
      <c r="H24" s="178"/>
      <c r="I24" s="178"/>
      <c r="J24" s="178"/>
      <c r="K24" s="178"/>
      <c r="L24" s="179" t="s">
        <v>1560</v>
      </c>
      <c r="M24" s="194" t="s">
        <v>1565</v>
      </c>
      <c r="N24" s="200" t="s">
        <v>1570</v>
      </c>
      <c r="O24" s="196" t="s">
        <v>1571</v>
      </c>
      <c r="P24" s="193" t="s">
        <v>1602</v>
      </c>
      <c r="Q24" s="202"/>
      <c r="R24" s="184"/>
      <c r="S24" s="183"/>
      <c r="T24" s="184"/>
      <c r="V24" s="194"/>
      <c r="W24" s="200"/>
      <c r="X24" s="196"/>
      <c r="Y24" s="193"/>
      <c r="Z24" s="183"/>
      <c r="AA24" s="184"/>
      <c r="AB24" s="183"/>
      <c r="AC24" s="184"/>
    </row>
    <row r="25">
      <c r="A25" s="146"/>
      <c r="B25" s="174">
        <f>IFERROR(VLOOKUP(C25,'字段信息'!A:C,3,),"")</f>
      </c>
      <c r="C25" s="175" t="s">
        <v>1603</v>
      </c>
      <c r="D25" s="176">
        <f>IFERROR(VLOOKUP(C25,'字段信息'!A:C,2,),"")</f>
      </c>
      <c r="E25" s="177"/>
      <c r="F25" s="177">
        <f t="shared" si="0"/>
      </c>
      <c r="G25" s="177" t="s">
        <v>1559</v>
      </c>
      <c r="H25" s="178"/>
      <c r="I25" s="178"/>
      <c r="J25" s="178"/>
      <c r="K25" s="178"/>
      <c r="L25" s="179" t="s">
        <v>1560</v>
      </c>
      <c r="M25" s="194" t="s">
        <v>1598</v>
      </c>
      <c r="N25" s="200" t="s">
        <v>1570</v>
      </c>
      <c r="O25" s="196" t="s">
        <v>1599</v>
      </c>
      <c r="P25" s="203" t="s">
        <v>1604</v>
      </c>
      <c r="Q25" s="194" t="s">
        <v>1605</v>
      </c>
      <c r="R25" s="204"/>
      <c r="S25" s="183"/>
      <c r="T25" s="184"/>
      <c r="V25" s="194"/>
      <c r="W25" s="200"/>
      <c r="X25" s="196"/>
      <c r="Y25" s="176"/>
      <c r="Z25" s="205"/>
      <c r="AA25" s="184"/>
      <c r="AB25" s="183"/>
      <c r="AC25" s="184"/>
    </row>
    <row r="26">
      <c r="A26" s="146"/>
      <c r="B26" s="174">
        <f>IFERROR(VLOOKUP(C26,'字段信息'!A:C,3,),"")</f>
      </c>
      <c r="C26" s="175" t="s">
        <v>1606</v>
      </c>
      <c r="D26" s="176">
        <f>IFERROR(VLOOKUP(C26,'字段信息'!A:C,2,),"")</f>
      </c>
      <c r="E26" s="177"/>
      <c r="F26" s="177">
        <f t="shared" si="0"/>
      </c>
      <c r="G26" s="177" t="s">
        <v>1559</v>
      </c>
      <c r="H26" s="178"/>
      <c r="I26" s="178"/>
      <c r="J26" s="178"/>
      <c r="K26" s="178"/>
      <c r="L26" s="179" t="s">
        <v>1560</v>
      </c>
      <c r="M26" s="194" t="s">
        <v>1565</v>
      </c>
      <c r="N26" s="200" t="s">
        <v>1570</v>
      </c>
      <c r="O26" s="196" t="s">
        <v>1571</v>
      </c>
      <c r="P26" s="203" t="s">
        <v>1607</v>
      </c>
      <c r="Q26" s="194"/>
      <c r="R26" s="204"/>
      <c r="S26" s="183"/>
      <c r="T26" s="184"/>
      <c r="V26" s="194"/>
      <c r="W26" s="200"/>
      <c r="X26" s="196"/>
      <c r="Y26" s="203"/>
      <c r="Z26" s="206"/>
      <c r="AA26" s="204"/>
      <c r="AB26" s="183"/>
      <c r="AC26" s="184"/>
    </row>
    <row r="27">
      <c r="A27" s="146"/>
      <c r="B27" s="174">
        <f>IFERROR(VLOOKUP(C27,'字段信息'!A:C,3,),"")</f>
      </c>
      <c r="C27" s="175" t="s">
        <v>1608</v>
      </c>
      <c r="D27" s="176">
        <f>IFERROR(VLOOKUP(C27,'字段信息'!A:C,2,),"")</f>
      </c>
      <c r="E27" s="177"/>
      <c r="F27" s="177">
        <f t="shared" si="0"/>
      </c>
      <c r="G27" s="177" t="s">
        <v>1559</v>
      </c>
      <c r="H27" s="178"/>
      <c r="I27" s="178"/>
      <c r="J27" s="178"/>
      <c r="K27" s="178"/>
      <c r="L27" s="179" t="s">
        <v>1560</v>
      </c>
      <c r="M27" s="194" t="s">
        <v>1609</v>
      </c>
      <c r="N27" s="200" t="s">
        <v>1570</v>
      </c>
      <c r="O27" s="196" t="s">
        <v>1599</v>
      </c>
      <c r="P27" s="203" t="s">
        <v>1604</v>
      </c>
      <c r="Q27" s="194" t="s">
        <v>1610</v>
      </c>
      <c r="R27" s="204"/>
      <c r="S27" s="183"/>
      <c r="T27" s="184"/>
      <c r="V27" s="194"/>
      <c r="W27" s="200"/>
      <c r="X27" s="196"/>
      <c r="Y27" s="203"/>
      <c r="Z27" s="207"/>
      <c r="AA27" s="204"/>
      <c r="AB27" s="183"/>
      <c r="AC27" s="184"/>
    </row>
    <row r="28">
      <c r="A28" s="146"/>
      <c r="B28" s="174">
        <f>IFERROR(VLOOKUP(C28,'字段信息'!A:C,3,),"")</f>
      </c>
      <c r="C28" s="175" t="s">
        <v>1611</v>
      </c>
      <c r="D28" s="176">
        <f>IFERROR(VLOOKUP(C28,'字段信息'!A:C,2,),"")</f>
      </c>
      <c r="E28" s="177"/>
      <c r="F28" s="177">
        <f t="shared" si="0"/>
      </c>
      <c r="G28" s="177" t="s">
        <v>1559</v>
      </c>
      <c r="H28" s="178"/>
      <c r="I28" s="178"/>
      <c r="J28" s="178"/>
      <c r="K28" s="178"/>
      <c r="L28" s="179" t="s">
        <v>1560</v>
      </c>
      <c r="M28" s="193" t="s">
        <v>1612</v>
      </c>
      <c r="N28" s="200" t="s">
        <v>1570</v>
      </c>
      <c r="O28" s="208" t="s">
        <v>1613</v>
      </c>
      <c r="P28" s="209" t="s">
        <v>1614</v>
      </c>
      <c r="Q28" s="194" t="s">
        <v>1615</v>
      </c>
      <c r="R28" s="204"/>
      <c r="S28" s="183"/>
      <c r="T28" s="184"/>
      <c r="V28" s="193"/>
      <c r="W28" s="200"/>
      <c r="X28" s="208"/>
      <c r="Y28" s="209"/>
      <c r="Z28" s="207"/>
      <c r="AA28" s="204"/>
      <c r="AB28" s="183"/>
      <c r="AC28" s="184"/>
    </row>
    <row r="29">
      <c r="A29" s="146"/>
      <c r="B29" s="174">
        <f>IFERROR(VLOOKUP(C29,'字段信息'!A:C,3,),"")</f>
      </c>
      <c r="C29" s="175" t="s">
        <v>1616</v>
      </c>
      <c r="D29" s="176">
        <f>IFERROR(VLOOKUP(C29,'字段信息'!A:C,2,),"")</f>
      </c>
      <c r="E29" s="177"/>
      <c r="F29" s="177">
        <f t="shared" si="0"/>
      </c>
      <c r="G29" s="177" t="s">
        <v>1559</v>
      </c>
      <c r="H29" s="178"/>
      <c r="I29" s="178"/>
      <c r="J29" s="178"/>
      <c r="K29" s="178"/>
      <c r="L29" s="179" t="s">
        <v>1560</v>
      </c>
      <c r="M29" s="193" t="s">
        <v>1617</v>
      </c>
      <c r="N29" s="200" t="s">
        <v>1570</v>
      </c>
      <c r="O29" s="210" t="s">
        <v>1618</v>
      </c>
      <c r="P29" s="209" t="s">
        <v>1619</v>
      </c>
      <c r="Q29" s="211" t="s">
        <v>1620</v>
      </c>
      <c r="R29" s="204"/>
      <c r="S29" s="183"/>
      <c r="T29" s="184"/>
      <c r="V29" s="193"/>
      <c r="W29" s="200"/>
      <c r="X29" s="210"/>
      <c r="Y29" s="209"/>
      <c r="Z29" s="181"/>
      <c r="AA29" s="204"/>
      <c r="AB29" s="183"/>
      <c r="AC29" s="184"/>
    </row>
    <row r="30">
      <c r="A30" s="146"/>
      <c r="B30" s="174">
        <f>IFERROR(VLOOKUP(C30,'字段信息'!A:C,3,),"")</f>
      </c>
      <c r="C30" s="175" t="s">
        <v>1621</v>
      </c>
      <c r="D30" s="176">
        <f>IFERROR(VLOOKUP(C30,'字段信息'!A:C,2,),"")</f>
      </c>
      <c r="E30" s="177"/>
      <c r="F30" s="177">
        <f t="shared" si="0"/>
      </c>
      <c r="G30" s="177" t="s">
        <v>1559</v>
      </c>
      <c r="H30" s="178"/>
      <c r="I30" s="178"/>
      <c r="J30" s="178"/>
      <c r="K30" s="178"/>
      <c r="L30" s="179"/>
      <c r="M30" s="193" t="s">
        <v>1617</v>
      </c>
      <c r="N30" s="200" t="s">
        <v>1570</v>
      </c>
      <c r="O30" s="210" t="s">
        <v>1618</v>
      </c>
      <c r="P30" s="193" t="s">
        <v>1622</v>
      </c>
      <c r="Q30" s="212" t="s">
        <v>1620</v>
      </c>
      <c r="R30" s="184"/>
      <c r="S30" s="183"/>
      <c r="T30" s="184"/>
      <c r="V30" s="193"/>
      <c r="W30" s="200"/>
      <c r="X30" s="210"/>
      <c r="Y30" s="193"/>
      <c r="Z30" s="212"/>
      <c r="AA30" s="184"/>
      <c r="AB30" s="183"/>
      <c r="AC30" s="184"/>
    </row>
    <row r="31">
      <c r="A31" s="146"/>
      <c r="B31" s="174">
        <f>IFERROR(VLOOKUP(C31,'字段信息'!A:C,3,),"")</f>
      </c>
      <c r="C31" s="175" t="s">
        <v>1623</v>
      </c>
      <c r="D31" s="176">
        <f>IFERROR(VLOOKUP(C31,'字段信息'!A:C,2,),"")</f>
      </c>
      <c r="E31" s="177"/>
      <c r="F31" s="177">
        <f t="shared" si="0"/>
      </c>
      <c r="G31" s="177" t="s">
        <v>1559</v>
      </c>
      <c r="H31" s="178"/>
      <c r="I31" s="178"/>
      <c r="J31" s="178"/>
      <c r="K31" s="178"/>
      <c r="L31" s="179" t="s">
        <v>1560</v>
      </c>
      <c r="M31" s="194" t="s">
        <v>1565</v>
      </c>
      <c r="N31" s="200" t="s">
        <v>1570</v>
      </c>
      <c r="O31" s="196" t="s">
        <v>1571</v>
      </c>
      <c r="P31" s="176" t="s">
        <v>1624</v>
      </c>
      <c r="Q31" s="183"/>
      <c r="R31" s="184"/>
      <c r="S31" s="183"/>
      <c r="T31" s="184"/>
      <c r="V31" s="194" t="s">
        <v>1565</v>
      </c>
      <c r="W31" s="200" t="s">
        <v>1570</v>
      </c>
      <c r="X31" s="187" t="s">
        <v>1625</v>
      </c>
      <c r="Y31" s="176" t="s">
        <v>1624</v>
      </c>
      <c r="Z31" s="183"/>
      <c r="AA31" s="184"/>
      <c r="AB31" s="183"/>
      <c r="AC31" s="184"/>
    </row>
    <row r="32">
      <c r="A32" s="146"/>
      <c r="B32" s="174">
        <f>IFERROR(VLOOKUP(C32,'字段信息'!A:C,3,),"")</f>
      </c>
      <c r="C32" s="175" t="s">
        <v>1626</v>
      </c>
      <c r="D32" s="213">
        <f>IFERROR(VLOOKUP(C32,'字段信息'!A:C,2,),"")</f>
      </c>
      <c r="E32" s="177"/>
      <c r="F32" s="177">
        <f t="shared" si="0"/>
      </c>
      <c r="G32" s="177" t="s">
        <v>1559</v>
      </c>
      <c r="H32" s="178"/>
      <c r="I32" s="178"/>
      <c r="J32" s="178"/>
      <c r="K32" s="178"/>
      <c r="L32" s="179" t="s">
        <v>1560</v>
      </c>
      <c r="M32" s="194" t="s">
        <v>1565</v>
      </c>
      <c r="N32" s="200" t="s">
        <v>1570</v>
      </c>
      <c r="O32" s="196" t="s">
        <v>1571</v>
      </c>
      <c r="P32" s="176" t="s">
        <v>1627</v>
      </c>
      <c r="Q32" s="183"/>
      <c r="R32" s="184"/>
      <c r="S32" s="183"/>
      <c r="T32" s="184"/>
      <c r="V32" s="194" t="s">
        <v>1565</v>
      </c>
      <c r="W32" s="200" t="s">
        <v>1570</v>
      </c>
      <c r="X32" s="187" t="s">
        <v>1573</v>
      </c>
      <c r="Y32" s="193" t="s">
        <v>1628</v>
      </c>
      <c r="Z32" s="183"/>
      <c r="AA32" s="184"/>
      <c r="AB32" s="183"/>
      <c r="AC32" s="184"/>
    </row>
    <row r="33">
      <c r="A33" s="146"/>
      <c r="B33" s="174">
        <f>IFERROR(VLOOKUP(C33,'字段信息'!A:C,3,),"")</f>
      </c>
      <c r="C33" s="175" t="s">
        <v>1629</v>
      </c>
      <c r="D33" s="213">
        <f>IFERROR(VLOOKUP(C33,'字段信息'!A:C,2,),"")</f>
      </c>
      <c r="E33" s="177"/>
      <c r="F33" s="177">
        <f t="shared" si="0"/>
      </c>
      <c r="G33" s="177" t="s">
        <v>1559</v>
      </c>
      <c r="H33" s="178"/>
      <c r="I33" s="178"/>
      <c r="J33" s="178"/>
      <c r="K33" s="178"/>
      <c r="L33" s="179" t="s">
        <v>1560</v>
      </c>
      <c r="M33" s="193" t="s">
        <v>1630</v>
      </c>
      <c r="N33" s="200" t="s">
        <v>1570</v>
      </c>
      <c r="O33" s="210" t="s">
        <v>1631</v>
      </c>
      <c r="P33" s="176" t="s">
        <v>1629</v>
      </c>
      <c r="Q33" s="214" t="s">
        <v>1632</v>
      </c>
      <c r="R33" s="184"/>
      <c r="S33" s="183"/>
      <c r="T33" s="184"/>
      <c r="V33" s="193" t="s">
        <v>1630</v>
      </c>
      <c r="W33" s="200" t="s">
        <v>1570</v>
      </c>
      <c r="X33" s="210" t="s">
        <v>1631</v>
      </c>
      <c r="Y33" s="176" t="s">
        <v>1629</v>
      </c>
      <c r="Z33" s="214" t="s">
        <v>1632</v>
      </c>
      <c r="AA33" s="184"/>
      <c r="AB33" s="183"/>
      <c r="AC33" s="184"/>
    </row>
    <row r="34">
      <c r="A34" s="215" t="s">
        <v>1633</v>
      </c>
      <c r="B34" s="174">
        <f>IFERROR(VLOOKUP(C34,'字段信息'!A:C,3,),"")</f>
      </c>
      <c r="C34" s="175" t="s">
        <v>1634</v>
      </c>
      <c r="D34" s="176">
        <f>IFERROR(VLOOKUP(C34,'字段信息'!A:C,2,),"")</f>
      </c>
      <c r="E34" s="177"/>
      <c r="F34" s="177">
        <f t="shared" si="0"/>
      </c>
      <c r="G34" s="177" t="s">
        <v>1559</v>
      </c>
      <c r="H34" s="178"/>
      <c r="I34" s="178"/>
      <c r="J34" s="178"/>
      <c r="K34" s="178"/>
      <c r="L34" s="179" t="s">
        <v>1560</v>
      </c>
      <c r="M34" s="193" t="s">
        <v>1617</v>
      </c>
      <c r="N34" s="200" t="s">
        <v>1570</v>
      </c>
      <c r="O34" s="216" t="s">
        <v>1618</v>
      </c>
      <c r="P34" s="176" t="s">
        <v>1635</v>
      </c>
      <c r="Q34" s="210" t="s">
        <v>1620</v>
      </c>
      <c r="R34" s="184"/>
      <c r="S34" s="183"/>
      <c r="T34" s="184"/>
      <c r="V34" s="193"/>
      <c r="W34" s="200"/>
      <c r="X34" s="217"/>
      <c r="Y34" s="176"/>
      <c r="Z34" s="210"/>
      <c r="AA34" s="184"/>
      <c r="AB34" s="183"/>
      <c r="AC34" s="184"/>
    </row>
    <row r="35">
      <c r="A35" s="146"/>
      <c r="B35" s="174">
        <f>IFERROR(VLOOKUP(C35,'字段信息'!A:C,3,),"")</f>
      </c>
      <c r="C35" s="175" t="s">
        <v>1636</v>
      </c>
      <c r="D35" s="176">
        <f>IFERROR(VLOOKUP(C35,'字段信息'!A:C,2,),"")</f>
      </c>
      <c r="E35" s="177"/>
      <c r="F35" s="177">
        <f t="shared" si="0"/>
      </c>
      <c r="G35" s="177" t="s">
        <v>1559</v>
      </c>
      <c r="H35" s="178"/>
      <c r="I35" s="178"/>
      <c r="J35" s="178"/>
      <c r="K35" s="178"/>
      <c r="L35" s="179" t="s">
        <v>1560</v>
      </c>
      <c r="M35" s="193" t="s">
        <v>1617</v>
      </c>
      <c r="N35" s="200" t="s">
        <v>1570</v>
      </c>
      <c r="O35" s="216" t="s">
        <v>1618</v>
      </c>
      <c r="P35" s="176" t="s">
        <v>1637</v>
      </c>
      <c r="Q35" s="210" t="s">
        <v>1620</v>
      </c>
      <c r="R35" s="184"/>
      <c r="S35" s="183"/>
      <c r="T35" s="184"/>
      <c r="V35" s="193"/>
      <c r="W35" s="200"/>
      <c r="X35" s="216"/>
      <c r="Y35" s="176"/>
      <c r="Z35" s="210"/>
      <c r="AA35" s="184"/>
      <c r="AB35" s="183"/>
      <c r="AC35" s="184"/>
    </row>
    <row r="36">
      <c r="A36" s="146"/>
      <c r="B36" s="174">
        <f>IFERROR(VLOOKUP(C36,'字段信息'!A:C,3,),"")</f>
      </c>
      <c r="C36" s="175" t="s">
        <v>1638</v>
      </c>
      <c r="D36" s="176">
        <f>IFERROR(VLOOKUP(C36,'字段信息'!A:C,2,),"")</f>
      </c>
      <c r="E36" s="177"/>
      <c r="F36" s="177">
        <f t="shared" si="0"/>
      </c>
      <c r="G36" s="177" t="s">
        <v>1559</v>
      </c>
      <c r="H36" s="178"/>
      <c r="I36" s="178"/>
      <c r="J36" s="178"/>
      <c r="K36" s="178"/>
      <c r="L36" s="179" t="s">
        <v>1560</v>
      </c>
      <c r="M36" s="193" t="s">
        <v>1617</v>
      </c>
      <c r="N36" s="200" t="s">
        <v>1570</v>
      </c>
      <c r="O36" s="216" t="s">
        <v>1618</v>
      </c>
      <c r="P36" s="176" t="s">
        <v>1639</v>
      </c>
      <c r="Q36" s="210" t="s">
        <v>1620</v>
      </c>
      <c r="R36" s="184"/>
      <c r="S36" s="183"/>
      <c r="T36" s="184"/>
      <c r="V36" s="193"/>
      <c r="W36" s="200"/>
      <c r="X36" s="216"/>
      <c r="Y36" s="176"/>
      <c r="Z36" s="210"/>
      <c r="AA36" s="184"/>
      <c r="AB36" s="183"/>
      <c r="AC36" s="184"/>
    </row>
    <row r="37">
      <c r="A37" s="146"/>
      <c r="B37" s="174">
        <f>IFERROR(VLOOKUP(C37,'字段信息'!A:C,3,),"")</f>
      </c>
      <c r="C37" s="175" t="s">
        <v>1640</v>
      </c>
      <c r="D37" s="176">
        <f>IFERROR(VLOOKUP(C37,'字段信息'!A:C,2,),"")</f>
      </c>
      <c r="E37" s="177"/>
      <c r="F37" s="177">
        <f t="shared" si="0"/>
      </c>
      <c r="G37" s="177" t="s">
        <v>1559</v>
      </c>
      <c r="H37" s="178"/>
      <c r="I37" s="178"/>
      <c r="J37" s="178"/>
      <c r="K37" s="178"/>
      <c r="L37" s="179" t="s">
        <v>1560</v>
      </c>
      <c r="M37" s="193" t="s">
        <v>1617</v>
      </c>
      <c r="N37" s="200" t="s">
        <v>1570</v>
      </c>
      <c r="O37" s="216" t="s">
        <v>1618</v>
      </c>
      <c r="P37" s="176" t="s">
        <v>1641</v>
      </c>
      <c r="Q37" s="210" t="s">
        <v>1620</v>
      </c>
      <c r="R37" s="184"/>
      <c r="S37" s="183"/>
      <c r="T37" s="184"/>
      <c r="V37" s="193"/>
      <c r="W37" s="200"/>
      <c r="X37" s="216"/>
      <c r="Y37" s="176"/>
      <c r="Z37" s="210"/>
      <c r="AA37" s="184"/>
      <c r="AB37" s="183"/>
      <c r="AC37" s="184"/>
    </row>
    <row r="38">
      <c r="A38" s="146"/>
      <c r="B38" s="174">
        <f>IFERROR(VLOOKUP(C38,'字段信息'!A:C,3,),"")</f>
      </c>
      <c r="C38" s="175" t="s">
        <v>1642</v>
      </c>
      <c r="D38" s="176">
        <f>IFERROR(VLOOKUP(C38,'字段信息'!A:C,2,),"")</f>
      </c>
      <c r="E38" s="177"/>
      <c r="F38" s="177">
        <f t="shared" si="0"/>
      </c>
      <c r="G38" s="177" t="s">
        <v>1559</v>
      </c>
      <c r="H38" s="178"/>
      <c r="I38" s="178"/>
      <c r="J38" s="178"/>
      <c r="K38" s="178"/>
      <c r="L38" s="179" t="s">
        <v>1560</v>
      </c>
      <c r="M38" s="193" t="s">
        <v>1617</v>
      </c>
      <c r="N38" s="200" t="s">
        <v>1570</v>
      </c>
      <c r="O38" s="216" t="s">
        <v>1618</v>
      </c>
      <c r="P38" s="176" t="s">
        <v>1643</v>
      </c>
      <c r="Q38" s="210" t="s">
        <v>1620</v>
      </c>
      <c r="R38" s="184"/>
      <c r="S38" s="183"/>
      <c r="T38" s="184"/>
      <c r="V38" s="193"/>
      <c r="W38" s="200"/>
      <c r="X38" s="216"/>
      <c r="Y38" s="176"/>
      <c r="Z38" s="210"/>
      <c r="AA38" s="184"/>
      <c r="AB38" s="183"/>
      <c r="AC38" s="184"/>
    </row>
    <row r="39">
      <c r="A39" s="146"/>
      <c r="B39" s="174">
        <f>IFERROR(VLOOKUP(C39,'字段信息'!A:C,3,),"")</f>
      </c>
      <c r="C39" s="175" t="s">
        <v>1644</v>
      </c>
      <c r="D39" s="176">
        <f>IFERROR(VLOOKUP(C39,'字段信息'!A:C,2,),"")</f>
      </c>
      <c r="E39" s="177"/>
      <c r="F39" s="177">
        <f t="shared" si="0"/>
      </c>
      <c r="G39" s="177" t="s">
        <v>1559</v>
      </c>
      <c r="H39" s="178"/>
      <c r="I39" s="178"/>
      <c r="J39" s="178"/>
      <c r="K39" s="178"/>
      <c r="L39" s="179" t="s">
        <v>1560</v>
      </c>
      <c r="M39" s="193" t="s">
        <v>1617</v>
      </c>
      <c r="N39" s="200" t="s">
        <v>1570</v>
      </c>
      <c r="O39" s="216" t="s">
        <v>1618</v>
      </c>
      <c r="P39" s="176" t="s">
        <v>1645</v>
      </c>
      <c r="Q39" s="210" t="s">
        <v>1620</v>
      </c>
      <c r="R39" s="184"/>
      <c r="S39" s="183"/>
      <c r="T39" s="184"/>
      <c r="V39" s="193"/>
      <c r="W39" s="200"/>
      <c r="X39" s="216"/>
      <c r="Y39" s="176"/>
      <c r="Z39" s="210"/>
      <c r="AA39" s="184"/>
      <c r="AB39" s="183"/>
      <c r="AC39" s="184"/>
    </row>
    <row r="40">
      <c r="A40" s="215" t="s">
        <v>1646</v>
      </c>
      <c r="B40" s="174">
        <f>IFERROR(VLOOKUP(C40,'字段信息'!A:C,3,),"")</f>
      </c>
      <c r="C40" s="175" t="s">
        <v>1647</v>
      </c>
      <c r="D40" s="176">
        <f>IFERROR(VLOOKUP(C40,'字段信息'!A:C,2,),"")</f>
      </c>
      <c r="E40" s="177"/>
      <c r="F40" s="177">
        <f t="shared" si="0"/>
      </c>
      <c r="G40" s="177" t="s">
        <v>1559</v>
      </c>
      <c r="H40" s="178"/>
      <c r="I40" s="178"/>
      <c r="J40" s="178"/>
      <c r="K40" s="178"/>
      <c r="L40" s="179"/>
      <c r="M40" s="218" t="s">
        <v>1648</v>
      </c>
      <c r="N40" s="200" t="s">
        <v>1570</v>
      </c>
      <c r="O40" s="208"/>
      <c r="P40" s="219"/>
      <c r="Q40" s="183"/>
      <c r="R40" s="184"/>
      <c r="S40" s="183"/>
      <c r="T40" s="184"/>
      <c r="V40" s="193"/>
      <c r="W40" s="200"/>
      <c r="X40" s="208"/>
      <c r="Y40" s="219"/>
      <c r="Z40" s="183"/>
      <c r="AA40" s="184"/>
      <c r="AB40" s="183"/>
      <c r="AC40" s="184"/>
    </row>
    <row r="41">
      <c r="A41" s="220"/>
      <c r="B41" s="174">
        <f>IFERROR(VLOOKUP(C41,'字段信息'!A:C,3,),"")</f>
      </c>
      <c r="C41" s="175" t="s">
        <v>1649</v>
      </c>
      <c r="D41" s="176">
        <f>IFERROR(VLOOKUP(C41,'字段信息'!A:C,2,),"")</f>
      </c>
      <c r="E41" s="177"/>
      <c r="F41" s="177">
        <f t="shared" si="0"/>
      </c>
      <c r="G41" s="177" t="s">
        <v>1559</v>
      </c>
      <c r="H41" s="178"/>
      <c r="I41" s="178"/>
      <c r="J41" s="178"/>
      <c r="K41" s="178"/>
      <c r="L41" s="179"/>
      <c r="M41" s="218" t="s">
        <v>1648</v>
      </c>
      <c r="N41" s="200" t="s">
        <v>1570</v>
      </c>
      <c r="O41" s="208"/>
      <c r="P41" s="219"/>
      <c r="Q41" s="183"/>
      <c r="R41" s="184"/>
      <c r="S41" s="183"/>
      <c r="T41" s="184"/>
      <c r="V41" s="193"/>
      <c r="W41" s="200"/>
      <c r="X41" s="208"/>
      <c r="Y41" s="219"/>
      <c r="Z41" s="183"/>
      <c r="AA41" s="184"/>
      <c r="AB41" s="183"/>
      <c r="AC41" s="184"/>
    </row>
    <row r="42">
      <c r="A42" s="221"/>
      <c r="B42" s="222">
        <f>IFERROR(VLOOKUP(C42,'字段信息'!A:C,3,),"")</f>
      </c>
      <c r="C42" s="223" t="s">
        <v>1650</v>
      </c>
      <c r="D42" s="224">
        <f>IFERROR(VLOOKUP(C42,'字段信息'!A:C,2,),"")</f>
      </c>
      <c r="E42" s="222"/>
      <c r="F42" s="222">
        <f t="shared" si="0"/>
      </c>
      <c r="G42" s="222" t="s">
        <v>1559</v>
      </c>
      <c r="H42" s="225"/>
      <c r="I42" s="225"/>
      <c r="J42" s="225"/>
      <c r="K42" s="225"/>
      <c r="L42" s="226"/>
      <c r="M42" s="224" t="s">
        <v>1617</v>
      </c>
      <c r="N42" s="227" t="s">
        <v>1570</v>
      </c>
      <c r="O42" s="228" t="s">
        <v>1618</v>
      </c>
      <c r="P42" s="224" t="s">
        <v>1651</v>
      </c>
      <c r="Q42" s="229"/>
      <c r="R42" s="223"/>
      <c r="S42" s="229"/>
      <c r="T42" s="223"/>
      <c r="U42" s="230"/>
      <c r="V42" s="224"/>
      <c r="W42" s="227"/>
      <c r="X42" s="231"/>
      <c r="Y42" s="232"/>
      <c r="Z42" s="229"/>
      <c r="AA42" s="223"/>
      <c r="AB42" s="229"/>
      <c r="AC42" s="223"/>
      <c r="AD42" s="230"/>
    </row>
    <row r="43">
      <c r="A43" s="221"/>
      <c r="B43" s="222">
        <f>IFERROR(VLOOKUP(C43,'字段信息'!A:C,3,),"")</f>
      </c>
      <c r="C43" s="223" t="s">
        <v>1652</v>
      </c>
      <c r="D43" s="224">
        <f>IFERROR(VLOOKUP(C43,'字段信息'!A:C,2,),"")</f>
      </c>
      <c r="E43" s="222"/>
      <c r="F43" s="222">
        <f t="shared" si="0"/>
      </c>
      <c r="G43" s="222" t="s">
        <v>1559</v>
      </c>
      <c r="H43" s="225"/>
      <c r="I43" s="225"/>
      <c r="J43" s="225"/>
      <c r="K43" s="225"/>
      <c r="L43" s="226"/>
      <c r="M43" s="224" t="s">
        <v>1617</v>
      </c>
      <c r="N43" s="227" t="s">
        <v>1570</v>
      </c>
      <c r="O43" s="228" t="s">
        <v>1618</v>
      </c>
      <c r="P43" s="224" t="s">
        <v>1653</v>
      </c>
      <c r="Q43" s="229"/>
      <c r="R43" s="223"/>
      <c r="S43" s="229"/>
      <c r="T43" s="223"/>
      <c r="U43" s="230"/>
      <c r="V43" s="224"/>
      <c r="W43" s="227"/>
      <c r="X43" s="231"/>
      <c r="Y43" s="232"/>
      <c r="Z43" s="229"/>
      <c r="AA43" s="223"/>
      <c r="AB43" s="229"/>
      <c r="AC43" s="223"/>
      <c r="AD43" s="230"/>
    </row>
    <row r="44">
      <c r="A44" s="215" t="s">
        <v>1654</v>
      </c>
      <c r="B44" s="174">
        <f>IFERROR(VLOOKUP(C44,'字段信息'!A:C,3,),"")</f>
      </c>
      <c r="C44" s="175" t="s">
        <v>1655</v>
      </c>
      <c r="D44" s="176">
        <f>IFERROR(VLOOKUP(C44,'字段信息'!A:C,2,),"")</f>
      </c>
      <c r="E44" s="177"/>
      <c r="F44" s="177">
        <f t="shared" si="0"/>
      </c>
      <c r="G44" s="177" t="s">
        <v>1559</v>
      </c>
      <c r="H44" s="178"/>
      <c r="I44" s="178"/>
      <c r="J44" s="178"/>
      <c r="K44" s="178"/>
      <c r="L44" s="179"/>
      <c r="M44" s="218" t="s">
        <v>1656</v>
      </c>
      <c r="N44" s="200"/>
      <c r="O44" s="208"/>
      <c r="P44" s="219"/>
      <c r="Q44" s="183"/>
      <c r="R44" s="184"/>
      <c r="S44" s="183"/>
      <c r="T44" s="184"/>
      <c r="V44" s="193"/>
      <c r="W44" s="200"/>
      <c r="X44" s="208"/>
      <c r="Y44" s="219"/>
      <c r="Z44" s="183"/>
      <c r="AA44" s="184"/>
      <c r="AB44" s="183"/>
      <c r="AC44" s="184"/>
    </row>
    <row r="45">
      <c r="A45" s="220"/>
      <c r="B45" s="174">
        <f>IFERROR(VLOOKUP(C45,'字段信息'!A:C,3,),"")</f>
      </c>
      <c r="C45" s="175" t="s">
        <v>1657</v>
      </c>
      <c r="D45" s="176">
        <f>IFERROR(VLOOKUP(C45,'字段信息'!A:C,2,),"")</f>
      </c>
      <c r="E45" s="177"/>
      <c r="F45" s="177">
        <f t="shared" si="0"/>
      </c>
      <c r="G45" s="177" t="s">
        <v>1559</v>
      </c>
      <c r="H45" s="178"/>
      <c r="I45" s="178"/>
      <c r="J45" s="178"/>
      <c r="K45" s="178"/>
      <c r="L45" s="179"/>
      <c r="M45" s="218" t="s">
        <v>1656</v>
      </c>
      <c r="N45" s="200"/>
      <c r="O45" s="208"/>
      <c r="P45" s="219"/>
      <c r="Q45" s="183"/>
      <c r="R45" s="184"/>
      <c r="S45" s="183"/>
      <c r="T45" s="184"/>
      <c r="V45" s="193"/>
      <c r="W45" s="200"/>
      <c r="X45" s="208"/>
      <c r="Y45" s="219"/>
      <c r="Z45" s="183"/>
      <c r="AA45" s="184"/>
      <c r="AB45" s="183"/>
      <c r="AC45" s="184"/>
    </row>
    <row r="46">
      <c r="A46" s="220"/>
      <c r="B46" s="174">
        <f>IFERROR(VLOOKUP(C46,'字段信息'!A:C,3,),"")</f>
      </c>
      <c r="C46" s="175" t="s">
        <v>1658</v>
      </c>
      <c r="D46" s="176">
        <f>IFERROR(VLOOKUP(C46,'字段信息'!A:C,2,),"")</f>
      </c>
      <c r="E46" s="177"/>
      <c r="F46" s="177">
        <f t="shared" si="0"/>
      </c>
      <c r="G46" s="177" t="s">
        <v>1559</v>
      </c>
      <c r="H46" s="178"/>
      <c r="I46" s="178"/>
      <c r="J46" s="178"/>
      <c r="K46" s="178"/>
      <c r="L46" s="179" t="s">
        <v>1560</v>
      </c>
      <c r="M46" s="193" t="s">
        <v>1659</v>
      </c>
      <c r="N46" s="200" t="s">
        <v>1570</v>
      </c>
      <c r="O46" s="208" t="s">
        <v>1660</v>
      </c>
      <c r="P46" s="219" t="s">
        <v>1658</v>
      </c>
      <c r="Q46" s="183"/>
      <c r="R46" s="184"/>
      <c r="S46" s="183"/>
      <c r="T46" s="184"/>
      <c r="V46" s="193"/>
      <c r="W46" s="200"/>
      <c r="X46" s="208"/>
      <c r="Y46" s="219"/>
      <c r="Z46" s="183"/>
      <c r="AA46" s="184"/>
      <c r="AB46" s="183"/>
      <c r="AC46" s="184"/>
    </row>
    <row r="47">
      <c r="A47" s="220"/>
      <c r="B47" s="174">
        <f>IFERROR(VLOOKUP(C47,'字段信息'!A:C,3,),"")</f>
      </c>
      <c r="C47" s="175" t="s">
        <v>1661</v>
      </c>
      <c r="D47" s="176">
        <f>IFERROR(VLOOKUP(C47,'字段信息'!A:C,2,),"")</f>
      </c>
      <c r="E47" s="177"/>
      <c r="F47" s="177">
        <f t="shared" si="0"/>
      </c>
      <c r="G47" s="177" t="s">
        <v>1559</v>
      </c>
      <c r="H47" s="178"/>
      <c r="I47" s="178"/>
      <c r="J47" s="178"/>
      <c r="K47" s="178"/>
      <c r="L47" s="179" t="s">
        <v>1560</v>
      </c>
      <c r="M47" s="193" t="s">
        <v>1659</v>
      </c>
      <c r="N47" s="200" t="s">
        <v>1570</v>
      </c>
      <c r="O47" s="233" t="s">
        <v>1660</v>
      </c>
      <c r="P47" s="184" t="s">
        <v>1661</v>
      </c>
      <c r="Q47" s="183"/>
      <c r="R47" s="184"/>
      <c r="S47" s="183"/>
      <c r="T47" s="184"/>
      <c r="V47" s="193"/>
      <c r="W47" s="200"/>
      <c r="X47" s="208"/>
      <c r="Y47" s="184"/>
      <c r="Z47" s="183"/>
      <c r="AA47" s="184"/>
      <c r="AB47" s="183"/>
      <c r="AC47" s="184"/>
    </row>
    <row r="48">
      <c r="A48" s="146"/>
      <c r="B48" s="174">
        <f>IFERROR(VLOOKUP(C48,'字段信息'!A:C,3,),"")</f>
      </c>
      <c r="C48" s="205" t="s">
        <v>1662</v>
      </c>
      <c r="D48" s="176">
        <f>IFERROR(VLOOKUP(C48,'字段信息'!A:C,2,),"")</f>
      </c>
      <c r="E48" s="177"/>
      <c r="F48" s="177">
        <f t="shared" si="0"/>
      </c>
      <c r="G48" s="177" t="s">
        <v>1559</v>
      </c>
      <c r="H48" s="178"/>
      <c r="I48" s="178"/>
      <c r="J48" s="178"/>
      <c r="K48" s="178"/>
      <c r="L48" s="179" t="s">
        <v>1560</v>
      </c>
      <c r="M48" s="193" t="s">
        <v>1565</v>
      </c>
      <c r="N48" s="234" t="s">
        <v>1570</v>
      </c>
      <c r="O48" s="196" t="s">
        <v>1571</v>
      </c>
      <c r="P48" s="235" t="s">
        <v>1663</v>
      </c>
      <c r="Q48" s="183"/>
      <c r="R48" s="184"/>
      <c r="S48" s="183"/>
      <c r="T48" s="184"/>
      <c r="V48" s="193" t="s">
        <v>1565</v>
      </c>
      <c r="W48" s="200" t="s">
        <v>1570</v>
      </c>
      <c r="X48" s="187" t="s">
        <v>1573</v>
      </c>
      <c r="Y48" s="193" t="s">
        <v>1664</v>
      </c>
      <c r="Z48" s="183"/>
      <c r="AA48" s="184"/>
      <c r="AB48" s="183"/>
      <c r="AC48" s="184"/>
    </row>
    <row r="49">
      <c r="A49" s="146"/>
      <c r="B49" s="174">
        <f>IFERROR(VLOOKUP(C49,'字段信息'!A:C,3,),"")</f>
      </c>
      <c r="C49" s="175" t="s">
        <v>1665</v>
      </c>
      <c r="D49" s="176">
        <f>IFERROR(VLOOKUP(C49,'字段信息'!A:C,2,),"")</f>
      </c>
      <c r="E49" s="177"/>
      <c r="F49" s="177">
        <f t="shared" si="0"/>
      </c>
      <c r="G49" s="177" t="s">
        <v>1559</v>
      </c>
      <c r="H49" s="178"/>
      <c r="I49" s="178"/>
      <c r="J49" s="178"/>
      <c r="K49" s="178"/>
      <c r="L49" s="179" t="s">
        <v>1560</v>
      </c>
      <c r="M49" s="193" t="s">
        <v>1666</v>
      </c>
      <c r="N49" s="234" t="s">
        <v>1570</v>
      </c>
      <c r="O49" s="236" t="s">
        <v>1667</v>
      </c>
      <c r="P49" s="235" t="s">
        <v>1668</v>
      </c>
      <c r="Q49" s="183"/>
      <c r="R49" s="184"/>
      <c r="S49" s="183"/>
      <c r="T49" s="184"/>
      <c r="V49" s="193" t="s">
        <v>1666</v>
      </c>
      <c r="W49" s="200" t="s">
        <v>1570</v>
      </c>
      <c r="X49" s="237" t="s">
        <v>1667</v>
      </c>
      <c r="Y49" s="193" t="s">
        <v>1668</v>
      </c>
      <c r="Z49" s="183"/>
      <c r="AA49" s="184"/>
      <c r="AB49" s="183"/>
      <c r="AC49" s="184"/>
    </row>
    <row r="50">
      <c r="A50" s="146"/>
      <c r="B50" s="174">
        <f>IFERROR(VLOOKUP(C50,'字段信息'!A:C,3,),"")</f>
      </c>
      <c r="C50" s="175" t="s">
        <v>1669</v>
      </c>
      <c r="D50" s="176">
        <f>IFERROR(VLOOKUP(C50,'字段信息'!A:C,2,),"")</f>
      </c>
      <c r="E50" s="177"/>
      <c r="F50" s="177">
        <f t="shared" si="0"/>
      </c>
      <c r="G50" s="177" t="s">
        <v>1559</v>
      </c>
      <c r="H50" s="178"/>
      <c r="I50" s="178"/>
      <c r="J50" s="178"/>
      <c r="K50" s="178"/>
      <c r="L50" s="179" t="s">
        <v>1560</v>
      </c>
      <c r="M50" s="193" t="s">
        <v>1670</v>
      </c>
      <c r="N50" s="234" t="s">
        <v>1570</v>
      </c>
      <c r="O50" s="238" t="s">
        <v>1671</v>
      </c>
      <c r="P50" s="182"/>
      <c r="Q50" s="183"/>
      <c r="R50" s="184"/>
      <c r="S50" s="183"/>
      <c r="T50" s="184"/>
      <c r="V50" s="193" t="s">
        <v>1670</v>
      </c>
      <c r="W50" s="200" t="s">
        <v>1570</v>
      </c>
      <c r="X50" s="239" t="s">
        <v>1671</v>
      </c>
      <c r="Y50" s="176"/>
      <c r="Z50" s="183"/>
      <c r="AA50" s="184"/>
      <c r="AB50" s="183"/>
      <c r="AC50" s="184"/>
    </row>
    <row r="51">
      <c r="A51" s="146"/>
      <c r="B51" s="174">
        <f>IFERROR(VLOOKUP(C51,'字段信息'!A:C,3,),"")</f>
      </c>
      <c r="C51" s="175" t="s">
        <v>1672</v>
      </c>
      <c r="D51" s="176">
        <f>IFERROR(VLOOKUP(C51,'字段信息'!A:C,2,),"")</f>
      </c>
      <c r="E51" s="177"/>
      <c r="F51" s="177">
        <f t="shared" si="0"/>
      </c>
      <c r="G51" s="177" t="s">
        <v>1559</v>
      </c>
      <c r="H51" s="178"/>
      <c r="I51" s="178"/>
      <c r="J51" s="178"/>
      <c r="K51" s="178"/>
      <c r="L51" s="179" t="s">
        <v>1560</v>
      </c>
      <c r="M51" s="193" t="s">
        <v>1670</v>
      </c>
      <c r="N51" s="234" t="s">
        <v>1570</v>
      </c>
      <c r="O51" s="238" t="s">
        <v>1671</v>
      </c>
      <c r="P51" s="182"/>
      <c r="Q51" s="183"/>
      <c r="R51" s="184"/>
      <c r="S51" s="183"/>
      <c r="T51" s="184"/>
      <c r="V51" s="193" t="s">
        <v>1670</v>
      </c>
      <c r="W51" s="200" t="s">
        <v>1570</v>
      </c>
      <c r="X51" s="239" t="s">
        <v>1671</v>
      </c>
      <c r="Y51" s="176"/>
      <c r="Z51" s="183"/>
      <c r="AA51" s="184"/>
      <c r="AB51" s="183"/>
      <c r="AC51" s="184"/>
    </row>
    <row r="52">
      <c r="A52" s="220"/>
      <c r="B52" s="174">
        <f>IFERROR(VLOOKUP(C52,'字段信息'!A:C,3,),"")</f>
      </c>
      <c r="C52" s="175" t="s">
        <v>1673</v>
      </c>
      <c r="D52" s="176">
        <f>IFERROR(VLOOKUP(C52,'字段信息'!A:C,2,),"")</f>
      </c>
      <c r="E52" s="177"/>
      <c r="F52" s="177">
        <f t="shared" si="0"/>
      </c>
      <c r="G52" s="177" t="s">
        <v>1559</v>
      </c>
      <c r="H52" s="178"/>
      <c r="I52" s="178"/>
      <c r="J52" s="178"/>
      <c r="K52" s="178"/>
      <c r="L52" s="179" t="s">
        <v>1560</v>
      </c>
      <c r="M52" s="193" t="s">
        <v>1674</v>
      </c>
      <c r="N52" s="234" t="s">
        <v>1570</v>
      </c>
      <c r="O52" s="196" t="s">
        <v>1675</v>
      </c>
      <c r="P52" s="235"/>
      <c r="Q52" s="214"/>
      <c r="R52" s="184"/>
      <c r="S52" s="183"/>
      <c r="T52" s="184"/>
      <c r="V52" s="193" t="s">
        <v>1565</v>
      </c>
      <c r="W52" s="200" t="s">
        <v>1570</v>
      </c>
      <c r="X52" s="187" t="s">
        <v>1573</v>
      </c>
      <c r="Y52" s="193" t="s">
        <v>1676</v>
      </c>
      <c r="Z52" s="214"/>
      <c r="AA52" s="184"/>
      <c r="AB52" s="183"/>
      <c r="AC52" s="184"/>
    </row>
    <row r="53">
      <c r="A53" s="220"/>
      <c r="B53" s="174">
        <f>IFERROR(VLOOKUP(C53,'字段信息'!A:C,3,),"")</f>
      </c>
      <c r="C53" s="175" t="s">
        <v>1677</v>
      </c>
      <c r="D53" s="176">
        <f>IFERROR(VLOOKUP(C53,'字段信息'!A:C,2,),"")</f>
      </c>
      <c r="E53" s="177"/>
      <c r="F53" s="177">
        <f t="shared" si="0"/>
      </c>
      <c r="G53" s="177" t="s">
        <v>1559</v>
      </c>
      <c r="H53" s="178"/>
      <c r="I53" s="178"/>
      <c r="J53" s="178"/>
      <c r="K53" s="178"/>
      <c r="L53" s="179" t="s">
        <v>1560</v>
      </c>
      <c r="M53" s="193" t="s">
        <v>1674</v>
      </c>
      <c r="N53" s="200" t="s">
        <v>1570</v>
      </c>
      <c r="O53" s="196" t="s">
        <v>1675</v>
      </c>
      <c r="P53" s="176"/>
      <c r="Q53" s="183"/>
      <c r="R53" s="184"/>
      <c r="S53" s="183"/>
      <c r="T53" s="184"/>
      <c r="V53" s="176"/>
      <c r="W53" s="200"/>
      <c r="X53" s="210"/>
      <c r="Y53" s="176"/>
      <c r="Z53" s="183"/>
      <c r="AA53" s="184"/>
      <c r="AB53" s="183"/>
      <c r="AC53" s="184"/>
    </row>
    <row r="54">
      <c r="A54" s="220"/>
      <c r="B54" s="174">
        <f>IFERROR(VLOOKUP(C54,'字段信息'!A:C,3,),"")</f>
      </c>
      <c r="C54" s="175" t="s">
        <v>1678</v>
      </c>
      <c r="D54" s="176">
        <f>IFERROR(VLOOKUP(C54,'字段信息'!A:C,2,),"")</f>
      </c>
      <c r="E54" s="177"/>
      <c r="F54" s="177">
        <f t="shared" si="0"/>
      </c>
      <c r="G54" s="177" t="s">
        <v>1559</v>
      </c>
      <c r="H54" s="178"/>
      <c r="I54" s="178"/>
      <c r="J54" s="178"/>
      <c r="K54" s="178"/>
      <c r="L54" s="179" t="s">
        <v>1560</v>
      </c>
      <c r="M54" s="193" t="s">
        <v>1679</v>
      </c>
      <c r="N54" s="200" t="s">
        <v>1570</v>
      </c>
      <c r="O54" s="208" t="s">
        <v>1680</v>
      </c>
      <c r="P54" s="176"/>
      <c r="Q54" s="183"/>
      <c r="R54" s="184"/>
      <c r="S54" s="183"/>
      <c r="T54" s="184"/>
      <c r="V54" s="176"/>
      <c r="W54" s="200"/>
      <c r="X54" s="210"/>
      <c r="Y54" s="176"/>
      <c r="Z54" s="183"/>
      <c r="AA54" s="184"/>
      <c r="AB54" s="183"/>
      <c r="AC54" s="184"/>
    </row>
    <row r="55">
      <c r="A55" s="220"/>
      <c r="B55" s="174">
        <f>IFERROR(VLOOKUP(C55,'字段信息'!A:C,3,),"")</f>
      </c>
      <c r="C55" s="175" t="s">
        <v>1681</v>
      </c>
      <c r="D55" s="176">
        <f>IFERROR(VLOOKUP(C55,'字段信息'!A:C,2,),"")</f>
      </c>
      <c r="E55" s="177"/>
      <c r="F55" s="177">
        <f t="shared" si="0"/>
      </c>
      <c r="G55" s="177" t="s">
        <v>1559</v>
      </c>
      <c r="H55" s="178"/>
      <c r="I55" s="178"/>
      <c r="J55" s="178"/>
      <c r="K55" s="178"/>
      <c r="L55" s="179" t="s">
        <v>1560</v>
      </c>
      <c r="M55" s="193" t="s">
        <v>1679</v>
      </c>
      <c r="N55" s="200" t="s">
        <v>1570</v>
      </c>
      <c r="O55" s="208" t="s">
        <v>1680</v>
      </c>
      <c r="P55" s="240"/>
      <c r="Q55" s="183"/>
      <c r="R55" s="184"/>
      <c r="S55" s="183"/>
      <c r="T55" s="184"/>
      <c r="V55" s="176"/>
      <c r="W55" s="200"/>
      <c r="X55" s="241"/>
      <c r="Y55" s="240"/>
      <c r="Z55" s="183"/>
      <c r="AA55" s="184"/>
      <c r="AB55" s="183"/>
      <c r="AC55" s="184"/>
    </row>
    <row r="56">
      <c r="A56" s="146"/>
      <c r="B56" s="242">
        <f>IFERROR(VLOOKUP(C56,'字段信息'!A:C,3,),"")</f>
      </c>
      <c r="C56" s="184" t="s">
        <v>1682</v>
      </c>
      <c r="D56" s="176" t="s">
        <v>1683</v>
      </c>
      <c r="E56" s="177"/>
      <c r="F56" s="242">
        <f t="shared" si="0"/>
      </c>
      <c r="G56" s="177" t="s">
        <v>1559</v>
      </c>
      <c r="H56" s="178"/>
      <c r="I56" s="178"/>
      <c r="J56" s="178"/>
      <c r="K56" s="178"/>
      <c r="L56" s="179"/>
      <c r="M56" s="176" t="s">
        <v>1684</v>
      </c>
      <c r="N56" s="243" t="s">
        <v>1570</v>
      </c>
      <c r="O56" s="210" t="s">
        <v>1685</v>
      </c>
      <c r="P56" s="183" t="s">
        <v>1682</v>
      </c>
      <c r="Q56" s="183"/>
      <c r="R56" s="184"/>
      <c r="S56" s="183"/>
      <c r="T56" s="184"/>
      <c r="U56" s="145"/>
      <c r="V56" s="176"/>
      <c r="W56" s="200"/>
      <c r="X56" s="210"/>
      <c r="Y56" s="176"/>
      <c r="Z56" s="183"/>
      <c r="AA56" s="184"/>
      <c r="AB56" s="183"/>
      <c r="AC56" s="184"/>
      <c r="AD56" s="145"/>
    </row>
    <row customHeight="true" ht="47.61904761904762" r="57">
      <c r="A57" s="146"/>
      <c r="B57" s="242">
        <f>IFERROR(VLOOKUP(C57,'字段信息'!A:C,3,),"")</f>
      </c>
      <c r="C57" s="184" t="s">
        <v>1686</v>
      </c>
      <c r="D57" s="176" t="s">
        <v>1683</v>
      </c>
      <c r="E57" s="177"/>
      <c r="F57" s="242">
        <f t="shared" si="0"/>
      </c>
      <c r="G57" s="177" t="s">
        <v>1559</v>
      </c>
      <c r="H57" s="178"/>
      <c r="I57" s="178"/>
      <c r="J57" s="178"/>
      <c r="K57" s="178"/>
      <c r="L57" s="179"/>
      <c r="M57" s="176" t="s">
        <v>1687</v>
      </c>
      <c r="N57" s="243" t="s">
        <v>1570</v>
      </c>
      <c r="O57" s="210" t="s">
        <v>1685</v>
      </c>
      <c r="P57" s="183" t="s">
        <v>1686</v>
      </c>
      <c r="Q57" s="183"/>
      <c r="R57" s="184"/>
      <c r="S57" s="183"/>
      <c r="T57" s="184"/>
      <c r="U57" s="145"/>
      <c r="V57" s="176"/>
      <c r="W57" s="200"/>
      <c r="X57" s="210"/>
      <c r="Y57" s="176"/>
      <c r="Z57" s="183"/>
      <c r="AA57" s="184"/>
      <c r="AB57" s="183"/>
      <c r="AC57" s="184"/>
      <c r="AD57" s="145"/>
    </row>
    <row customHeight="true" ht="47.61904761904762" r="58">
      <c r="A58" s="146"/>
      <c r="B58" s="242">
        <f>IFERROR(VLOOKUP(C58,'字段信息'!A:C,3,),"")</f>
      </c>
      <c r="C58" s="184" t="s">
        <v>1688</v>
      </c>
      <c r="D58" s="176" t="s">
        <v>1683</v>
      </c>
      <c r="E58" s="177"/>
      <c r="F58" s="242">
        <f t="shared" si="0"/>
      </c>
      <c r="G58" s="244" t="s">
        <v>1559</v>
      </c>
      <c r="H58" s="245"/>
      <c r="I58" s="245"/>
      <c r="J58" s="245"/>
      <c r="K58" s="245"/>
      <c r="L58" s="246"/>
      <c r="M58" s="176" t="s">
        <v>1687</v>
      </c>
      <c r="N58" s="243" t="s">
        <v>1570</v>
      </c>
      <c r="O58" s="210" t="s">
        <v>1685</v>
      </c>
      <c r="P58" s="183" t="s">
        <v>1688</v>
      </c>
      <c r="Q58" s="183"/>
      <c r="R58" s="184"/>
      <c r="S58" s="183"/>
      <c r="T58" s="184"/>
      <c r="U58" s="145"/>
      <c r="V58" s="176"/>
      <c r="W58" s="200"/>
      <c r="X58" s="210"/>
      <c r="Y58" s="176"/>
      <c r="Z58" s="183"/>
      <c r="AA58" s="184"/>
      <c r="AB58" s="183"/>
      <c r="AC58" s="184"/>
      <c r="AD58" s="145"/>
    </row>
    <row customHeight="true" ht="47.61904761904762" r="59">
      <c r="A59" s="146"/>
      <c r="B59" s="174">
        <f>IFERROR(VLOOKUP(C59,'字段信息'!A:C,3,),"")</f>
      </c>
      <c r="C59" s="175" t="s">
        <v>1689</v>
      </c>
      <c r="D59" s="176">
        <f>IFERROR(VLOOKUP(C59,'字段信息'!A:C,2,),"")</f>
      </c>
      <c r="E59" s="177"/>
      <c r="F59" s="177">
        <f t="shared" si="0"/>
      </c>
      <c r="G59" s="177" t="s">
        <v>1559</v>
      </c>
      <c r="H59" s="178"/>
      <c r="I59" s="178"/>
      <c r="J59" s="178"/>
      <c r="K59" s="178"/>
      <c r="L59" s="179"/>
      <c r="M59" s="193"/>
      <c r="N59" s="234"/>
      <c r="O59" s="196" t="s">
        <v>1571</v>
      </c>
      <c r="P59" s="198" t="s">
        <v>1690</v>
      </c>
      <c r="Q59" s="247"/>
      <c r="R59" s="184"/>
      <c r="S59" s="183"/>
      <c r="T59" s="184"/>
      <c r="V59" s="193"/>
      <c r="W59" s="234"/>
      <c r="X59" s="196"/>
      <c r="Y59" s="197"/>
      <c r="Z59" s="247"/>
      <c r="AA59" s="184"/>
      <c r="AB59" s="183"/>
      <c r="AC59" s="184"/>
    </row>
    <row r="60">
      <c r="A60" s="146"/>
      <c r="B60" s="174">
        <f>IFERROR(VLOOKUP(C60,'字段信息'!A:C,3,),"")</f>
      </c>
      <c r="C60" s="175" t="s">
        <v>1691</v>
      </c>
      <c r="D60" s="176">
        <f>IFERROR(VLOOKUP(C60,'字段信息'!A:C,2,),"")</f>
      </c>
      <c r="E60" s="177"/>
      <c r="F60" s="177">
        <f t="shared" si="0"/>
      </c>
      <c r="G60" s="177" t="s">
        <v>1559</v>
      </c>
      <c r="H60" s="178"/>
      <c r="I60" s="178"/>
      <c r="J60" s="178"/>
      <c r="K60" s="178"/>
      <c r="L60" s="179" t="s">
        <v>1560</v>
      </c>
      <c r="M60" s="193" t="s">
        <v>1565</v>
      </c>
      <c r="N60" s="234" t="s">
        <v>1570</v>
      </c>
      <c r="O60" s="196" t="s">
        <v>1571</v>
      </c>
      <c r="P60" s="197" t="s">
        <v>1692</v>
      </c>
      <c r="Q60" s="247"/>
      <c r="R60" s="184"/>
      <c r="S60" s="183"/>
      <c r="T60" s="184"/>
      <c r="V60" s="193"/>
      <c r="W60" s="234"/>
      <c r="X60" s="196"/>
      <c r="Y60" s="197"/>
      <c r="Z60" s="247"/>
      <c r="AA60" s="184"/>
      <c r="AB60" s="183"/>
      <c r="AC60" s="184"/>
    </row>
    <row r="61">
      <c r="A61" s="146"/>
      <c r="B61" s="174">
        <f>IFERROR(VLOOKUP(C61,'字段信息'!A:C,3,),"")</f>
      </c>
      <c r="C61" s="175" t="s">
        <v>1693</v>
      </c>
      <c r="D61" s="176">
        <f>IFERROR(VLOOKUP(C61,'字段信息'!A:C,2,),"")</f>
      </c>
      <c r="E61" s="177"/>
      <c r="F61" s="177">
        <f t="shared" si="0"/>
      </c>
      <c r="G61" s="177" t="s">
        <v>1559</v>
      </c>
      <c r="H61" s="178"/>
      <c r="I61" s="178"/>
      <c r="J61" s="178"/>
      <c r="K61" s="178"/>
      <c r="L61" s="179" t="s">
        <v>1560</v>
      </c>
      <c r="M61" s="193" t="s">
        <v>1694</v>
      </c>
      <c r="N61" s="234" t="s">
        <v>1570</v>
      </c>
      <c r="O61" s="196" t="s">
        <v>1695</v>
      </c>
      <c r="P61" s="189" t="s">
        <v>1696</v>
      </c>
      <c r="Q61" s="248" t="s">
        <v>1697</v>
      </c>
      <c r="R61" s="204"/>
      <c r="S61" s="183"/>
      <c r="T61" s="184"/>
      <c r="V61" s="193" t="s">
        <v>1694</v>
      </c>
      <c r="W61" s="249" t="s">
        <v>1570</v>
      </c>
      <c r="X61" s="250" t="s">
        <v>1698</v>
      </c>
      <c r="Y61" s="189" t="s">
        <v>1696</v>
      </c>
      <c r="Z61" s="248" t="s">
        <v>1697</v>
      </c>
      <c r="AA61" s="204"/>
      <c r="AB61" s="183"/>
      <c r="AC61" s="184"/>
    </row>
    <row r="62">
      <c r="A62" s="146"/>
      <c r="B62" s="174">
        <f>IFERROR(VLOOKUP(C62,'字段信息'!A:C,3,),"")</f>
      </c>
      <c r="C62" s="175" t="s">
        <v>1699</v>
      </c>
      <c r="D62" s="176">
        <f>IFERROR(VLOOKUP(C62,'字段信息'!A:C,2,),"")</f>
      </c>
      <c r="E62" s="177"/>
      <c r="F62" s="177">
        <f t="shared" si="0"/>
      </c>
      <c r="G62" s="177" t="s">
        <v>1559</v>
      </c>
      <c r="H62" s="178"/>
      <c r="I62" s="178"/>
      <c r="J62" s="178"/>
      <c r="K62" s="178"/>
      <c r="L62" s="179" t="s">
        <v>1560</v>
      </c>
      <c r="M62" s="193" t="s">
        <v>1565</v>
      </c>
      <c r="N62" s="234" t="s">
        <v>1570</v>
      </c>
      <c r="O62" s="196" t="s">
        <v>1571</v>
      </c>
      <c r="P62" s="194" t="s">
        <v>1696</v>
      </c>
      <c r="Q62" s="251"/>
      <c r="R62" s="184"/>
      <c r="S62" s="183"/>
      <c r="T62" s="184"/>
      <c r="V62" s="209" t="s">
        <v>1565</v>
      </c>
      <c r="W62" s="192" t="s">
        <v>1570</v>
      </c>
      <c r="X62" s="196" t="s">
        <v>1573</v>
      </c>
      <c r="Y62" s="252" t="s">
        <v>1700</v>
      </c>
      <c r="Z62" s="251"/>
      <c r="AA62" s="184"/>
      <c r="AB62" s="183"/>
      <c r="AC62" s="184"/>
    </row>
    <row r="63">
      <c r="A63" s="146"/>
      <c r="B63" s="174">
        <f>IFERROR(VLOOKUP(C63,'字段信息'!A:C,3,),"")</f>
      </c>
      <c r="C63" s="175" t="s">
        <v>1701</v>
      </c>
      <c r="D63" s="176">
        <f>IFERROR(VLOOKUP(C63,'字段信息'!A:C,2,),"")</f>
      </c>
      <c r="E63" s="177"/>
      <c r="F63" s="177">
        <f t="shared" si="0"/>
      </c>
      <c r="G63" s="177" t="s">
        <v>1559</v>
      </c>
      <c r="H63" s="178"/>
      <c r="I63" s="178"/>
      <c r="J63" s="178"/>
      <c r="K63" s="178"/>
      <c r="L63" s="179" t="s">
        <v>1560</v>
      </c>
      <c r="M63" s="193" t="s">
        <v>1565</v>
      </c>
      <c r="N63" s="200" t="s">
        <v>1570</v>
      </c>
      <c r="O63" s="196" t="s">
        <v>1571</v>
      </c>
      <c r="P63" s="253" t="s">
        <v>1702</v>
      </c>
      <c r="Q63" s="183"/>
      <c r="R63" s="184"/>
      <c r="S63" s="183"/>
      <c r="T63" s="184"/>
      <c r="V63" s="193" t="s">
        <v>1565</v>
      </c>
      <c r="W63" s="254" t="s">
        <v>1570</v>
      </c>
      <c r="X63" s="255" t="s">
        <v>1573</v>
      </c>
      <c r="Y63" s="253" t="s">
        <v>1703</v>
      </c>
      <c r="Z63" s="183"/>
      <c r="AA63" s="184"/>
      <c r="AB63" s="183"/>
      <c r="AC63" s="184"/>
    </row>
    <row r="64">
      <c r="A64" s="146"/>
      <c r="B64" s="174">
        <f>IFERROR(VLOOKUP(C64,'字段信息'!A:C,3,),"")</f>
      </c>
      <c r="C64" s="175" t="s">
        <v>1704</v>
      </c>
      <c r="D64" s="176">
        <f>IFERROR(VLOOKUP(C64,'字段信息'!A:C,2,),"")</f>
      </c>
      <c r="E64" s="177"/>
      <c r="F64" s="177">
        <f t="shared" si="0"/>
      </c>
      <c r="G64" s="177" t="s">
        <v>1559</v>
      </c>
      <c r="H64" s="178"/>
      <c r="I64" s="178"/>
      <c r="J64" s="178"/>
      <c r="K64" s="178"/>
      <c r="L64" s="179" t="s">
        <v>1560</v>
      </c>
      <c r="M64" s="193" t="s">
        <v>1565</v>
      </c>
      <c r="N64" s="200" t="s">
        <v>1570</v>
      </c>
      <c r="O64" s="196" t="s">
        <v>1571</v>
      </c>
      <c r="P64" s="193" t="s">
        <v>1705</v>
      </c>
      <c r="Q64" s="183"/>
      <c r="R64" s="184"/>
      <c r="S64" s="183"/>
      <c r="T64" s="184"/>
      <c r="V64" s="193" t="s">
        <v>1565</v>
      </c>
      <c r="W64" s="200" t="s">
        <v>1570</v>
      </c>
      <c r="X64" s="187" t="s">
        <v>1573</v>
      </c>
      <c r="Y64" s="253" t="s">
        <v>1706</v>
      </c>
      <c r="Z64" s="183"/>
      <c r="AA64" s="184"/>
      <c r="AB64" s="183"/>
      <c r="AC64" s="184"/>
    </row>
    <row r="65">
      <c r="A65" s="215" t="s">
        <v>1707</v>
      </c>
      <c r="B65" s="174">
        <f>IFERROR(VLOOKUP(C65,'字段信息'!A:C,3,),"")</f>
      </c>
      <c r="C65" s="175" t="s">
        <v>1708</v>
      </c>
      <c r="D65" s="176">
        <f>IFERROR(VLOOKUP(C65,'字段信息'!A:C,2,),"")</f>
      </c>
      <c r="E65" s="177"/>
      <c r="F65" s="177">
        <f t="shared" si="0"/>
      </c>
      <c r="G65" s="177" t="s">
        <v>1559</v>
      </c>
      <c r="H65" s="178"/>
      <c r="I65" s="178"/>
      <c r="J65" s="178"/>
      <c r="K65" s="178"/>
      <c r="L65" s="179" t="s">
        <v>1560</v>
      </c>
      <c r="M65" s="193" t="s">
        <v>1709</v>
      </c>
      <c r="N65" s="200" t="s">
        <v>1570</v>
      </c>
      <c r="O65" s="196" t="s">
        <v>1571</v>
      </c>
      <c r="P65" s="256" t="s">
        <v>1710</v>
      </c>
      <c r="Q65" s="183"/>
      <c r="R65" s="184"/>
      <c r="S65" s="183"/>
      <c r="T65" s="184"/>
      <c r="V65" s="193" t="s">
        <v>1711</v>
      </c>
      <c r="W65" s="200"/>
      <c r="X65" s="196"/>
      <c r="Y65" s="256"/>
      <c r="Z65" s="183"/>
      <c r="AA65" s="184"/>
      <c r="AB65" s="183"/>
      <c r="AC65" s="184"/>
    </row>
    <row customHeight="true" ht="47.61904761904762" r="66">
      <c r="A66" s="146"/>
      <c r="B66" s="174">
        <f>IFERROR(VLOOKUP(C66,'字段信息'!A:C,3,),"")</f>
      </c>
      <c r="C66" s="175" t="s">
        <v>1712</v>
      </c>
      <c r="D66" s="176">
        <f>IFERROR(VLOOKUP(C66,'字段信息'!A:C,2,),"")</f>
      </c>
      <c r="E66" s="177"/>
      <c r="F66" s="177">
        <f t="shared" si="0"/>
      </c>
      <c r="G66" s="177" t="s">
        <v>1559</v>
      </c>
      <c r="H66" s="178"/>
      <c r="I66" s="178"/>
      <c r="J66" s="178"/>
      <c r="K66" s="178"/>
      <c r="L66" s="179"/>
      <c r="M66" s="194" t="s">
        <v>1713</v>
      </c>
      <c r="N66" s="257" t="s">
        <v>1570</v>
      </c>
      <c r="O66" s="196" t="s">
        <v>1714</v>
      </c>
      <c r="P66" s="193" t="s">
        <v>1715</v>
      </c>
      <c r="Q66" s="183"/>
      <c r="R66" s="184"/>
      <c r="S66" s="183"/>
      <c r="T66" s="184"/>
      <c r="V66" s="194"/>
      <c r="W66" s="192"/>
      <c r="X66" s="181"/>
      <c r="Y66" s="194"/>
      <c r="Z66" s="183"/>
      <c r="AA66" s="184"/>
      <c r="AB66" s="183"/>
      <c r="AC66" s="184"/>
    </row>
    <row customHeight="true" ht="47.61904761904762" r="67">
      <c r="A67" s="146"/>
      <c r="B67" s="174">
        <f>IFERROR(VLOOKUP(C67,'字段信息'!A:C,3,),"")</f>
      </c>
      <c r="C67" s="175" t="s">
        <v>1716</v>
      </c>
      <c r="D67" s="176">
        <f>IFERROR(VLOOKUP(C67,'字段信息'!A:C,2,),"")</f>
      </c>
      <c r="E67" s="177"/>
      <c r="F67" s="177">
        <f t="shared" si="0"/>
      </c>
      <c r="G67" s="177" t="s">
        <v>1559</v>
      </c>
      <c r="H67" s="178"/>
      <c r="I67" s="178"/>
      <c r="J67" s="178"/>
      <c r="K67" s="178"/>
      <c r="L67" s="179"/>
      <c r="M67" s="194" t="s">
        <v>1713</v>
      </c>
      <c r="N67" s="257" t="s">
        <v>1570</v>
      </c>
      <c r="O67" s="196" t="s">
        <v>1714</v>
      </c>
      <c r="P67" s="193" t="s">
        <v>1717</v>
      </c>
      <c r="Q67" s="183"/>
      <c r="R67" s="184"/>
      <c r="S67" s="183"/>
      <c r="T67" s="184"/>
      <c r="V67" s="194"/>
      <c r="W67" s="192"/>
      <c r="X67" s="181"/>
      <c r="Y67" s="194"/>
      <c r="Z67" s="183"/>
      <c r="AA67" s="184"/>
      <c r="AB67" s="183"/>
      <c r="AC67" s="184"/>
    </row>
    <row r="68">
      <c r="A68" s="146"/>
      <c r="B68" s="174">
        <f>IFERROR(VLOOKUP(C68,'字段信息'!A:C,3,),"")</f>
      </c>
      <c r="C68" s="175" t="s">
        <v>1718</v>
      </c>
      <c r="D68" s="176">
        <f>IFERROR(VLOOKUP(C68,'字段信息'!A:C,2,),"")</f>
      </c>
      <c r="E68" s="177"/>
      <c r="F68" s="177">
        <f t="shared" si="0"/>
      </c>
      <c r="G68" s="177" t="s">
        <v>1559</v>
      </c>
      <c r="H68" s="178"/>
      <c r="I68" s="178"/>
      <c r="J68" s="178"/>
      <c r="K68" s="178"/>
      <c r="L68" s="179"/>
      <c r="M68" s="194" t="s">
        <v>1565</v>
      </c>
      <c r="N68" s="257" t="s">
        <v>1570</v>
      </c>
      <c r="O68" s="196" t="s">
        <v>1571</v>
      </c>
      <c r="P68" s="193" t="s">
        <v>1718</v>
      </c>
      <c r="Q68" s="183"/>
      <c r="R68" s="184"/>
      <c r="S68" s="183"/>
      <c r="T68" s="184"/>
      <c r="U68" s="258"/>
      <c r="V68" s="194"/>
      <c r="W68" s="192"/>
      <c r="X68" s="181"/>
      <c r="Y68" s="194"/>
      <c r="Z68" s="183"/>
      <c r="AA68" s="184"/>
      <c r="AB68" s="183"/>
      <c r="AC68" s="184"/>
    </row>
    <row customHeight="true" ht="47.61904761904762" r="69">
      <c r="A69" s="146"/>
      <c r="B69" s="174">
        <f>IFERROR(VLOOKUP(C69,'字段信息'!A:C,3,),"")</f>
      </c>
      <c r="C69" s="175" t="s">
        <v>1719</v>
      </c>
      <c r="D69" s="176">
        <f>IFERROR(VLOOKUP(C69,'字段信息'!A:C,2,),"")</f>
      </c>
      <c r="E69" s="177"/>
      <c r="F69" s="177">
        <f t="shared" si="0"/>
      </c>
      <c r="G69" s="177" t="s">
        <v>1559</v>
      </c>
      <c r="H69" s="178"/>
      <c r="I69" s="178"/>
      <c r="J69" s="178"/>
      <c r="K69" s="178"/>
      <c r="L69" s="179"/>
      <c r="M69" s="194" t="s">
        <v>1565</v>
      </c>
      <c r="N69" s="257" t="s">
        <v>1570</v>
      </c>
      <c r="O69" s="196" t="s">
        <v>1571</v>
      </c>
      <c r="P69" s="193" t="s">
        <v>1720</v>
      </c>
      <c r="Q69" s="183"/>
      <c r="R69" s="184"/>
      <c r="S69" s="183"/>
      <c r="T69" s="184"/>
      <c r="U69" s="258"/>
      <c r="V69" s="194"/>
      <c r="W69" s="192"/>
      <c r="X69" s="181"/>
      <c r="Y69" s="194"/>
      <c r="Z69" s="183"/>
      <c r="AA69" s="184"/>
      <c r="AB69" s="183"/>
      <c r="AC69" s="184"/>
    </row>
    <row r="70">
      <c r="A70" s="146"/>
      <c r="B70" s="174">
        <f>IFERROR(VLOOKUP(C70,'字段信息'!A:C,3,),"")</f>
      </c>
      <c r="C70" s="175" t="s">
        <v>1721</v>
      </c>
      <c r="D70" s="176">
        <f>IFERROR(VLOOKUP(C70,'字段信息'!A:C,2,),"")</f>
      </c>
      <c r="E70" s="177"/>
      <c r="F70" s="177">
        <f t="shared" si="0"/>
      </c>
      <c r="G70" s="177" t="s">
        <v>1559</v>
      </c>
      <c r="H70" s="178"/>
      <c r="I70" s="178"/>
      <c r="J70" s="178"/>
      <c r="K70" s="178"/>
      <c r="L70" s="179" t="s">
        <v>1560</v>
      </c>
      <c r="M70" s="194" t="s">
        <v>1722</v>
      </c>
      <c r="N70" s="192"/>
      <c r="O70" s="181"/>
      <c r="P70" s="194"/>
      <c r="Q70" s="183"/>
      <c r="R70" s="184"/>
      <c r="S70" s="183"/>
      <c r="T70" s="184"/>
      <c r="V70" s="194" t="s">
        <v>1722</v>
      </c>
      <c r="W70" s="192"/>
      <c r="X70" s="181"/>
      <c r="Y70" s="194"/>
      <c r="Z70" s="183"/>
      <c r="AA70" s="184"/>
      <c r="AB70" s="183"/>
      <c r="AC70" s="184"/>
    </row>
    <row r="71">
      <c r="A71" s="146"/>
      <c r="B71" s="174">
        <f>IFERROR(VLOOKUP(C71,'字段信息'!A:C,3,),"")</f>
      </c>
      <c r="C71" s="175" t="s">
        <v>1723</v>
      </c>
      <c r="D71" s="176">
        <f>IFERROR(VLOOKUP(C71,'字段信息'!A:C,2,),"")</f>
      </c>
      <c r="E71" s="177"/>
      <c r="F71" s="177">
        <f t="shared" si="0"/>
      </c>
      <c r="G71" s="177" t="s">
        <v>1559</v>
      </c>
      <c r="H71" s="178"/>
      <c r="I71" s="178"/>
      <c r="J71" s="178"/>
      <c r="K71" s="178"/>
      <c r="L71" s="179" t="s">
        <v>1560</v>
      </c>
      <c r="M71" s="259" t="s">
        <v>1724</v>
      </c>
      <c r="N71" s="200" t="s">
        <v>1570</v>
      </c>
      <c r="O71" s="210"/>
      <c r="P71" s="176"/>
      <c r="Q71" s="183"/>
      <c r="R71" s="184"/>
      <c r="S71" s="183"/>
      <c r="T71" s="184"/>
      <c r="V71" s="259" t="s">
        <v>1725</v>
      </c>
      <c r="W71" s="200" t="s">
        <v>1570</v>
      </c>
      <c r="X71" s="210"/>
      <c r="Y71" s="176"/>
      <c r="Z71" s="183"/>
      <c r="AA71" s="184"/>
      <c r="AB71" s="183"/>
      <c r="AC71" s="184"/>
    </row>
    <row r="72">
      <c r="A72" s="215" t="s">
        <v>1726</v>
      </c>
      <c r="B72" s="174">
        <f>IFERROR(VLOOKUP(C72,'字段信息'!A:C,3,),"")</f>
      </c>
      <c r="C72" s="175" t="s">
        <v>1727</v>
      </c>
      <c r="D72" s="176">
        <f>IFERROR(VLOOKUP(C72,'字段信息'!A:C,2,),"")</f>
      </c>
      <c r="E72" s="177"/>
      <c r="F72" s="177">
        <f t="shared" si="0"/>
      </c>
      <c r="G72" s="177" t="s">
        <v>1559</v>
      </c>
      <c r="H72" s="178"/>
      <c r="I72" s="178"/>
      <c r="J72" s="178"/>
      <c r="K72" s="178"/>
      <c r="L72" s="179" t="s">
        <v>1560</v>
      </c>
      <c r="M72" s="193" t="s">
        <v>1728</v>
      </c>
      <c r="N72" s="200" t="s">
        <v>1570</v>
      </c>
      <c r="O72" s="210"/>
      <c r="P72" s="176"/>
      <c r="Q72" s="183"/>
      <c r="R72" s="184"/>
      <c r="S72" s="183"/>
      <c r="T72" s="184"/>
      <c r="V72" s="193" t="s">
        <v>1728</v>
      </c>
      <c r="W72" s="200" t="s">
        <v>1570</v>
      </c>
      <c r="X72" s="210"/>
      <c r="Y72" s="176"/>
      <c r="Z72" s="183"/>
      <c r="AA72" s="184"/>
      <c r="AB72" s="183"/>
      <c r="AC72" s="184"/>
    </row>
    <row r="73">
      <c r="P73" s="260"/>
      <c r="Q73" s="260"/>
    </row>
    <row r="74">
      <c r="P74" s="260"/>
      <c r="Q74" s="260"/>
    </row>
    <row r="75">
      <c r="P75" s="260"/>
      <c r="Q75" s="260"/>
    </row>
    <row r="76">
      <c r="M76" s="260"/>
      <c r="N76" s="261"/>
      <c r="O76" s="260"/>
      <c r="P76" s="260"/>
      <c r="Q76" s="260"/>
      <c r="S76" s="260"/>
    </row>
    <row r="77">
      <c r="M77" s="260"/>
      <c r="N77" s="261"/>
      <c r="O77" s="260"/>
      <c r="P77" s="260"/>
      <c r="Q77" s="260"/>
      <c r="S77" s="260"/>
    </row>
    <row r="78">
      <c r="M78" s="260"/>
      <c r="N78" s="261"/>
      <c r="O78" s="260"/>
      <c r="P78" s="260"/>
      <c r="Q78" s="260"/>
      <c r="S78" s="260"/>
    </row>
    <row r="79">
      <c r="M79" s="260"/>
      <c r="N79" s="261"/>
      <c r="O79" s="260"/>
      <c r="P79" s="260"/>
      <c r="Q79" s="260"/>
      <c r="S79" s="260"/>
    </row>
    <row r="80">
      <c r="M80" s="260"/>
      <c r="N80" s="261"/>
      <c r="O80" s="260"/>
      <c r="P80" s="260"/>
      <c r="Q80" s="260"/>
      <c r="S80" s="260"/>
    </row>
    <row r="81">
      <c r="M81" s="260"/>
      <c r="N81" s="261"/>
      <c r="O81" s="260"/>
      <c r="P81" s="260"/>
      <c r="Q81" s="260"/>
      <c r="S81" s="260"/>
    </row>
    <row r="82">
      <c r="M82" s="260"/>
      <c r="N82" s="261"/>
      <c r="O82" s="260"/>
      <c r="P82" s="260"/>
      <c r="Q82" s="260"/>
      <c r="S82" s="260"/>
    </row>
    <row r="83">
      <c r="M83" s="260"/>
      <c r="N83" s="261"/>
      <c r="O83" s="260"/>
      <c r="P83" s="260"/>
      <c r="Q83" s="260"/>
      <c r="S83" s="260"/>
    </row>
    <row r="84">
      <c r="M84" s="260"/>
      <c r="N84" s="261"/>
      <c r="O84" s="260"/>
      <c r="P84" s="260"/>
      <c r="Q84" s="260"/>
      <c r="S84" s="260"/>
    </row>
    <row r="85">
      <c r="M85" s="260"/>
      <c r="N85" s="261"/>
      <c r="O85" s="260"/>
      <c r="P85" s="260"/>
      <c r="Q85" s="260"/>
      <c r="S85" s="260"/>
    </row>
    <row r="86">
      <c r="M86" s="260"/>
      <c r="N86" s="261"/>
      <c r="O86" s="260"/>
      <c r="P86" s="260"/>
      <c r="Q86" s="260"/>
      <c r="S86" s="260"/>
    </row>
    <row r="87">
      <c r="M87" s="260"/>
      <c r="N87" s="261"/>
      <c r="O87" s="260"/>
      <c r="P87" s="260"/>
      <c r="Q87" s="260"/>
      <c r="S87" s="260"/>
    </row>
    <row r="88">
      <c r="M88" s="260"/>
      <c r="N88" s="261"/>
      <c r="O88" s="260"/>
      <c r="P88" s="260"/>
      <c r="Q88" s="260"/>
      <c r="S88" s="260"/>
    </row>
    <row r="89">
      <c r="M89" s="260"/>
      <c r="N89" s="261"/>
      <c r="O89" s="260"/>
      <c r="P89" s="260"/>
      <c r="Q89" s="260"/>
      <c r="S89" s="260"/>
    </row>
    <row r="90">
      <c r="M90" s="260"/>
      <c r="N90" s="261"/>
      <c r="O90" s="260"/>
      <c r="P90" s="260"/>
      <c r="Q90" s="260"/>
      <c r="S90" s="260"/>
    </row>
    <row r="91">
      <c r="M91" s="260"/>
      <c r="N91" s="261"/>
      <c r="O91" s="260"/>
      <c r="P91" s="260"/>
      <c r="Q91" s="260"/>
      <c r="S91" s="260"/>
    </row>
    <row r="92">
      <c r="M92" s="260"/>
      <c r="N92" s="261"/>
      <c r="O92" s="260"/>
      <c r="P92" s="260"/>
      <c r="Q92" s="260"/>
      <c r="S92" s="260"/>
    </row>
    <row r="93">
      <c r="M93" s="260"/>
      <c r="N93" s="261"/>
      <c r="O93" s="260"/>
      <c r="P93" s="260"/>
      <c r="Q93" s="260"/>
      <c r="S93" s="260"/>
    </row>
    <row r="94">
      <c r="M94" s="260"/>
      <c r="N94" s="261"/>
      <c r="O94" s="260"/>
      <c r="P94" s="260"/>
      <c r="Q94" s="260"/>
      <c r="S94" s="260"/>
    </row>
    <row r="95">
      <c r="M95" s="260"/>
      <c r="N95" s="261"/>
      <c r="O95" s="260"/>
      <c r="P95" s="260"/>
      <c r="Q95" s="260"/>
      <c r="S95" s="260"/>
    </row>
    <row r="96">
      <c r="M96" s="260"/>
      <c r="N96" s="261"/>
      <c r="O96" s="260"/>
      <c r="P96" s="260"/>
      <c r="Q96" s="260"/>
      <c r="S96" s="260"/>
    </row>
    <row r="97">
      <c r="M97" s="260"/>
      <c r="N97" s="261"/>
      <c r="O97" s="260"/>
      <c r="P97" s="260"/>
      <c r="Q97" s="260"/>
      <c r="S97" s="260"/>
    </row>
    <row r="98">
      <c r="M98" s="260"/>
      <c r="N98" s="261"/>
      <c r="O98" s="260"/>
      <c r="P98" s="260"/>
      <c r="Q98" s="260"/>
      <c r="S98" s="260"/>
    </row>
    <row r="99">
      <c r="M99" s="260"/>
      <c r="N99" s="261"/>
      <c r="O99" s="260"/>
      <c r="P99" s="260"/>
      <c r="Q99" s="260"/>
      <c r="S99" s="260"/>
    </row>
  </sheetData>
  <autoFilter ref="A8:AC99"/>
  <mergeCells>
    <mergeCell ref="C6:G6"/>
    <mergeCell ref="B7:G7"/>
    <mergeCell ref="M7:T7"/>
    <mergeCell ref="C2:F2"/>
    <mergeCell ref="B1:D1"/>
    <mergeCell ref="V7:AC7"/>
  </mergeCells>
  <hyperlinks>
    <hyperlink ref="A1" location="'1. 0 DWD层目录'!A1" display="返回"/>
    <hyperlink ref="A2" location="'规则库'!A1" display="规则库"/>
  </hyperlinks>
  <pageMargins bottom="0.75" footer="0.3" header="0.3" left="0.7" right="0.7" top="0.75"/>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8f959e"/>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8" min="8" style="0" width="7.154929577464789"/>
    <col collapsed="false" customWidth="true" hidden="true" max="8" min="8" style="0" width="7.154929577464789"/>
    <col collapsed="false" customWidth="true" hidden="false" max="16" min="16" style="0" width="21.464788598074115"/>
    <col collapsed="false" customWidth="true" hidden="false" max="24" min="24" style="0" width="34.08450704225352"/>
    <col collapsed="false" customWidth="true" hidden="false" max="7" min="7" style="0" width="8.732394366197184"/>
    <col collapsed="false" customWidth="true" hidden="false" max="15" min="15" style="0" width="34.08450704225352"/>
    <col collapsed="false" customWidth="true" hidden="false" max="23" min="23" style="0" width="7.154929577464789"/>
    <col collapsed="false" customWidth="true" hidden="false" max="6" min="6" style="0" width="17.070422535211268"/>
    <col collapsed="false" customWidth="true" hidden="false" max="14" min="14" style="0" width="7.154929577464789"/>
    <col collapsed="false" customWidth="true" hidden="false" max="22" min="22" style="0" width="20.450704225352112"/>
    <col collapsed="false" customWidth="true" hidden="false" max="5" min="5" style="0" width="10.647887323943662"/>
    <col collapsed="false" customWidth="true" hidden="false" max="13" min="13" style="0" width="20.52582555123136"/>
    <col collapsed="false" customWidth="true" hidden="false" max="21" min="21" style="0" width="6.47887323943662"/>
    <col collapsed="false" customWidth="true" hidden="false" max="29" min="29" style="0" width="5.577464788732394"/>
    <col collapsed="false" customWidth="true" hidden="false" max="4" min="4" style="0" width="12.56338028169014"/>
    <col collapsed="false" customWidth="true" hidden="false" max="12" min="12" style="0" width="9.746478873239436"/>
    <col collapsed="false" customWidth="true" hidden="true" max="12" min="12" style="0" width="9.746478873239436"/>
    <col collapsed="false" customWidth="true" hidden="false" max="20" min="20" style="0" width="5.577464788732394"/>
    <col collapsed="false" customWidth="true" hidden="false" max="28" min="28" style="0" width="28.901408450704224"/>
    <col collapsed="false" customWidth="true" hidden="false" max="3" min="3" style="0" width="19.774647887323944"/>
    <col collapsed="false" customWidth="true" hidden="false" max="11" min="11" style="0" width="8.732394366197184"/>
    <col collapsed="false" customWidth="true" hidden="true" max="11" min="11" style="0" width="8.732394366197184"/>
    <col collapsed="false" customWidth="true" hidden="false" max="19" min="19" style="0" width="29.014081887796095"/>
    <col collapsed="false" customWidth="true" hidden="false" max="27" min="27" style="0" width="21.91549295774648"/>
    <col collapsed="false" customWidth="true" hidden="false" max="2" min="2" style="0" width="15.943661971830986"/>
    <col collapsed="false" customWidth="true" hidden="false" max="10" min="10" style="0" width="13.80281690140845"/>
    <col collapsed="false" customWidth="true" hidden="true" max="10" min="10" style="0" width="13.80281690140845"/>
    <col collapsed="false" customWidth="true" hidden="false" max="18" min="18" style="0" width="8.732394366197184"/>
    <col collapsed="false" customWidth="true" hidden="false" max="26" min="26" style="0" width="26.309859154929576"/>
    <col collapsed="false" customWidth="true" hidden="false" max="1" min="1" style="0" width="5.23943661971831"/>
    <col collapsed="false" customWidth="true" hidden="false" max="9" min="9" style="0" width="8.732394366197184"/>
    <col collapsed="false" customWidth="true" hidden="true" max="9" min="9" style="0" width="8.732394366197184"/>
    <col collapsed="false" customWidth="true" hidden="false" max="17" min="17" style="0" width="26.422535076947355"/>
    <col collapsed="false" customWidth="true" hidden="false" max="25" min="25" style="0" width="21.35211267605634"/>
  </cols>
  <sheetData>
    <row r="1">
      <c r="A1" s="262" t="s">
        <v>1729</v>
      </c>
      <c r="B1" s="263" t="s">
        <v>1730</v>
      </c>
      <c r="C1" s="264"/>
      <c r="D1" s="264"/>
      <c r="E1" s="265"/>
      <c r="F1" s="265"/>
      <c r="G1" s="265"/>
      <c r="H1" s="266"/>
      <c r="I1" s="266"/>
      <c r="J1" s="266"/>
      <c r="K1" s="266"/>
      <c r="L1" s="266"/>
      <c r="M1" s="267"/>
      <c r="N1" s="268"/>
      <c r="O1" s="269"/>
      <c r="P1" s="265"/>
      <c r="Q1" s="269"/>
      <c r="R1" s="265"/>
      <c r="S1" s="269"/>
      <c r="T1" s="265"/>
      <c r="U1" s="265"/>
      <c r="V1" s="267"/>
      <c r="W1" s="268"/>
      <c r="X1" s="269"/>
      <c r="Y1" s="265"/>
      <c r="Z1" s="269"/>
      <c r="AA1" s="265"/>
      <c r="AB1" s="269"/>
      <c r="AC1" s="265"/>
    </row>
    <row r="2">
      <c r="A2" s="262" t="s">
        <v>1731</v>
      </c>
      <c r="B2" s="270" t="s">
        <v>1732</v>
      </c>
      <c r="C2" s="271" t="s">
        <v>1733</v>
      </c>
      <c r="D2" s="272"/>
      <c r="E2" s="272"/>
      <c r="F2" s="272"/>
      <c r="G2" s="272"/>
      <c r="H2" s="266"/>
      <c r="I2" s="266"/>
      <c r="J2" s="266"/>
      <c r="K2" s="266"/>
      <c r="L2" s="266"/>
      <c r="M2" s="267"/>
      <c r="N2" s="268"/>
      <c r="O2" s="269"/>
      <c r="P2" s="265"/>
      <c r="Q2" s="269"/>
      <c r="R2" s="265"/>
      <c r="S2" s="269"/>
      <c r="T2" s="265"/>
      <c r="U2" s="265"/>
      <c r="V2" s="267"/>
      <c r="W2" s="268"/>
      <c r="X2" s="269"/>
      <c r="Y2" s="265"/>
      <c r="Z2" s="269"/>
      <c r="AA2" s="265"/>
      <c r="AB2" s="269"/>
      <c r="AC2" s="265"/>
    </row>
    <row r="3">
      <c r="A3" s="273"/>
      <c r="B3" s="274" t="s">
        <v>1734</v>
      </c>
      <c r="C3" s="275" t="s">
        <v>1735</v>
      </c>
      <c r="D3" s="276" t="s">
        <v>1736</v>
      </c>
      <c r="E3" s="277" t="s">
        <v>1737</v>
      </c>
      <c r="F3" s="274" t="s">
        <v>1738</v>
      </c>
      <c r="G3" s="278" t="s">
        <v>1739</v>
      </c>
      <c r="H3" s="266"/>
      <c r="I3" s="266"/>
      <c r="J3" s="266"/>
      <c r="K3" s="266"/>
      <c r="L3" s="266"/>
      <c r="M3" s="267"/>
      <c r="N3" s="268"/>
      <c r="O3" s="269"/>
      <c r="P3" s="265"/>
      <c r="Q3" s="269"/>
      <c r="R3" s="265"/>
      <c r="S3" s="269"/>
      <c r="T3" s="265"/>
      <c r="U3" s="265"/>
      <c r="V3" s="267"/>
      <c r="W3" s="268"/>
      <c r="X3" s="269"/>
      <c r="Y3" s="265"/>
      <c r="Z3" s="269"/>
      <c r="AA3" s="265"/>
      <c r="AB3" s="269"/>
      <c r="AC3" s="265"/>
    </row>
    <row r="4">
      <c r="A4" s="273"/>
      <c r="B4" s="274" t="s">
        <v>1740</v>
      </c>
      <c r="C4" s="278" t="s">
        <v>1741</v>
      </c>
      <c r="D4" s="279" t="s">
        <v>1742</v>
      </c>
      <c r="E4" s="280" t="s">
        <v>1743</v>
      </c>
      <c r="F4" s="279" t="s">
        <v>1744</v>
      </c>
      <c r="G4" s="275" t="s">
        <v>1745</v>
      </c>
      <c r="H4" s="266"/>
      <c r="I4" s="266"/>
      <c r="J4" s="266"/>
      <c r="K4" s="266"/>
      <c r="L4" s="266"/>
      <c r="M4" s="267"/>
      <c r="N4" s="268"/>
      <c r="O4" s="269"/>
      <c r="P4" s="265"/>
      <c r="Q4" s="269"/>
      <c r="R4" s="265"/>
      <c r="S4" s="269"/>
      <c r="T4" s="265"/>
      <c r="U4" s="265"/>
      <c r="V4" s="267"/>
      <c r="W4" s="268"/>
      <c r="X4" s="269"/>
      <c r="Y4" s="265"/>
      <c r="Z4" s="269"/>
      <c r="AA4" s="265"/>
      <c r="AB4" s="269"/>
      <c r="AC4" s="265"/>
    </row>
    <row r="5">
      <c r="A5" s="273"/>
      <c r="B5" s="274" t="s">
        <v>1746</v>
      </c>
      <c r="C5" s="275" t="s">
        <v>1747</v>
      </c>
      <c r="D5" s="276" t="s">
        <v>1748</v>
      </c>
      <c r="E5" s="281"/>
      <c r="F5" s="276" t="s">
        <v>1749</v>
      </c>
      <c r="G5" s="282"/>
      <c r="H5" s="266"/>
      <c r="I5" s="266"/>
      <c r="J5" s="266"/>
      <c r="K5" s="266"/>
      <c r="L5" s="266"/>
      <c r="M5" s="267"/>
      <c r="N5" s="268"/>
      <c r="O5" s="269"/>
      <c r="P5" s="265"/>
      <c r="Q5" s="269"/>
      <c r="R5" s="265"/>
      <c r="S5" s="269"/>
      <c r="T5" s="265"/>
      <c r="U5" s="265"/>
      <c r="V5" s="267"/>
      <c r="W5" s="268"/>
      <c r="X5" s="269"/>
      <c r="Y5" s="265"/>
      <c r="Z5" s="269"/>
      <c r="AA5" s="265"/>
      <c r="AB5" s="269"/>
      <c r="AC5" s="265"/>
    </row>
    <row r="6">
      <c r="A6" s="273"/>
      <c r="B6" s="283" t="s">
        <v>1750</v>
      </c>
      <c r="C6" s="284" t="s">
        <v>1751</v>
      </c>
      <c r="D6" s="285"/>
      <c r="E6" s="285"/>
      <c r="F6" s="285"/>
      <c r="G6" s="285"/>
      <c r="H6" s="266"/>
      <c r="I6" s="266"/>
      <c r="J6" s="266"/>
      <c r="K6" s="266"/>
      <c r="L6" s="266"/>
      <c r="M6" s="286" t="s">
        <v>1752</v>
      </c>
      <c r="N6" s="286"/>
      <c r="O6" s="286"/>
      <c r="P6" s="287" t="s">
        <v>1753</v>
      </c>
      <c r="Q6" s="269"/>
      <c r="R6" s="265"/>
      <c r="S6" s="269"/>
      <c r="T6" s="265"/>
      <c r="U6" s="265"/>
      <c r="V6" s="286" t="s">
        <v>1754</v>
      </c>
      <c r="W6" s="286"/>
      <c r="X6" s="286"/>
      <c r="Y6" s="265"/>
      <c r="Z6" s="269"/>
      <c r="AA6" s="265"/>
      <c r="AB6" s="269"/>
      <c r="AC6" s="265"/>
    </row>
    <row r="7">
      <c r="A7" s="288"/>
      <c r="B7" s="289" t="s">
        <v>1755</v>
      </c>
      <c r="C7" s="289"/>
      <c r="D7" s="289"/>
      <c r="E7" s="289"/>
      <c r="F7" s="289"/>
      <c r="G7" s="289"/>
      <c r="H7" s="289"/>
      <c r="I7" s="289"/>
      <c r="J7" s="289"/>
      <c r="K7" s="289"/>
      <c r="L7" s="289"/>
      <c r="M7" s="290" t="s">
        <v>1756</v>
      </c>
      <c r="N7" s="289"/>
      <c r="O7" s="291"/>
      <c r="P7" s="289"/>
      <c r="Q7" s="291"/>
      <c r="R7" s="289"/>
      <c r="S7" s="291"/>
      <c r="T7" s="289"/>
      <c r="U7" s="265"/>
      <c r="V7" s="290" t="s">
        <v>1757</v>
      </c>
      <c r="W7" s="290"/>
      <c r="X7" s="290"/>
      <c r="Y7" s="290"/>
      <c r="Z7" s="290"/>
      <c r="AA7" s="290"/>
      <c r="AB7" s="290"/>
      <c r="AC7" s="290"/>
    </row>
    <row r="8">
      <c r="A8" s="288"/>
      <c r="B8" s="292" t="s">
        <v>1758</v>
      </c>
      <c r="C8" s="292" t="s">
        <v>1759</v>
      </c>
      <c r="D8" s="292" t="s">
        <v>1760</v>
      </c>
      <c r="E8" s="292" t="s">
        <v>1761</v>
      </c>
      <c r="F8" s="292" t="s">
        <v>1762</v>
      </c>
      <c r="G8" s="292" t="s">
        <v>1763</v>
      </c>
      <c r="H8" s="292" t="s">
        <v>1764</v>
      </c>
      <c r="I8" s="292" t="s">
        <v>1765</v>
      </c>
      <c r="J8" s="292" t="s">
        <v>1766</v>
      </c>
      <c r="K8" s="292" t="s">
        <v>1767</v>
      </c>
      <c r="L8" s="292" t="s">
        <v>1768</v>
      </c>
      <c r="M8" s="293" t="s">
        <v>1769</v>
      </c>
      <c r="N8" s="294" t="s">
        <v>1770</v>
      </c>
      <c r="O8" s="295" t="s">
        <v>1771</v>
      </c>
      <c r="P8" s="292" t="s">
        <v>1772</v>
      </c>
      <c r="Q8" s="293" t="s">
        <v>1773</v>
      </c>
      <c r="R8" s="292" t="s">
        <v>1774</v>
      </c>
      <c r="S8" s="293" t="s">
        <v>1775</v>
      </c>
      <c r="T8" s="292" t="s">
        <v>1776</v>
      </c>
      <c r="U8" s="265"/>
      <c r="V8" s="293" t="s">
        <v>1769</v>
      </c>
      <c r="W8" s="294" t="s">
        <v>1770</v>
      </c>
      <c r="X8" s="295" t="s">
        <v>1771</v>
      </c>
      <c r="Y8" s="292" t="s">
        <v>1772</v>
      </c>
      <c r="Z8" s="293" t="s">
        <v>1773</v>
      </c>
      <c r="AA8" s="292" t="s">
        <v>1774</v>
      </c>
      <c r="AB8" s="293" t="s">
        <v>1775</v>
      </c>
      <c r="AC8" s="292" t="s">
        <v>1776</v>
      </c>
    </row>
    <row r="9">
      <c r="A9" s="266"/>
      <c r="B9" s="296">
        <f>IFERROR(VLOOKUP(C9,'字段信息'!A:C,3,),"")</f>
      </c>
      <c r="C9" s="297" t="s">
        <v>1777</v>
      </c>
      <c r="D9" s="298">
        <f>IFERROR(VLOOKUP(C9,'字段信息'!A:C,2,),"")</f>
      </c>
      <c r="E9" s="299"/>
      <c r="F9" s="299">
        <f t="shared" ref="F9:F49" si="0">B9</f>
      </c>
      <c r="G9" s="299"/>
      <c r="H9" s="300"/>
      <c r="I9" s="300"/>
      <c r="J9" s="300"/>
      <c r="K9" s="300"/>
      <c r="L9" s="301"/>
      <c r="M9" s="302" t="s">
        <v>1778</v>
      </c>
      <c r="N9" s="303" t="s">
        <v>1779</v>
      </c>
      <c r="O9" s="304" t="s">
        <v>1780</v>
      </c>
      <c r="P9" s="305" t="s">
        <v>1781</v>
      </c>
      <c r="Q9" s="306"/>
      <c r="R9" s="307"/>
      <c r="S9" s="306"/>
      <c r="T9" s="307"/>
      <c r="U9" s="268"/>
      <c r="V9" s="308" t="s">
        <v>1782</v>
      </c>
      <c r="W9" s="303" t="s">
        <v>1779</v>
      </c>
      <c r="X9" s="304" t="s">
        <v>1783</v>
      </c>
      <c r="Y9" s="309" t="s">
        <v>1784</v>
      </c>
      <c r="Z9" s="306"/>
      <c r="AA9" s="307"/>
      <c r="AB9" s="306"/>
      <c r="AC9" s="307"/>
    </row>
    <row r="10">
      <c r="A10" s="266"/>
      <c r="B10" s="296">
        <f>IFERROR(VLOOKUP(C10,'字段信息'!A:C,3,),"")</f>
      </c>
      <c r="C10" s="296" t="s">
        <v>1785</v>
      </c>
      <c r="D10" s="298">
        <f>IFERROR(VLOOKUP(C10,'字段信息'!A:C,2,),"")</f>
      </c>
      <c r="E10" s="299"/>
      <c r="F10" s="299">
        <f t="shared" si="0"/>
      </c>
      <c r="G10" s="299" t="s">
        <v>1786</v>
      </c>
      <c r="H10" s="300"/>
      <c r="I10" s="300"/>
      <c r="J10" s="300"/>
      <c r="K10" s="300"/>
      <c r="L10" s="310"/>
      <c r="M10" s="308" t="s">
        <v>1778</v>
      </c>
      <c r="N10" s="311" t="s">
        <v>1787</v>
      </c>
      <c r="O10" s="309" t="s">
        <v>1780</v>
      </c>
      <c r="P10" s="309" t="s">
        <v>1788</v>
      </c>
      <c r="Q10" s="306"/>
      <c r="R10" s="307"/>
      <c r="S10" s="306"/>
      <c r="T10" s="307"/>
      <c r="U10" s="268"/>
      <c r="V10" s="308" t="s">
        <v>1789</v>
      </c>
      <c r="W10" s="311" t="s">
        <v>1787</v>
      </c>
      <c r="X10" s="309" t="s">
        <v>1783</v>
      </c>
      <c r="Y10" s="309" t="s">
        <v>1784</v>
      </c>
      <c r="Z10" s="306"/>
      <c r="AA10" s="307"/>
      <c r="AB10" s="306"/>
      <c r="AC10" s="307"/>
    </row>
    <row r="11">
      <c r="A11" s="266"/>
      <c r="B11" s="296">
        <f>IFERROR(VLOOKUP(C11,'字段信息'!A:C,3,),"")</f>
      </c>
      <c r="C11" s="296" t="s">
        <v>1790</v>
      </c>
      <c r="D11" s="298">
        <f>IFERROR(VLOOKUP(C11,'字段信息'!A:C,2,),"")</f>
      </c>
      <c r="E11" s="299"/>
      <c r="F11" s="299">
        <f t="shared" si="0"/>
      </c>
      <c r="G11" s="299" t="s">
        <v>1786</v>
      </c>
      <c r="H11" s="300"/>
      <c r="I11" s="300"/>
      <c r="J11" s="300"/>
      <c r="K11" s="300"/>
      <c r="L11" s="310" t="s">
        <v>1791</v>
      </c>
      <c r="M11" s="308" t="s">
        <v>1778</v>
      </c>
      <c r="N11" s="311" t="s">
        <v>1792</v>
      </c>
      <c r="O11" s="309" t="s">
        <v>1780</v>
      </c>
      <c r="P11" s="309" t="s">
        <v>1793</v>
      </c>
      <c r="Q11" s="306"/>
      <c r="R11" s="307"/>
      <c r="S11" s="306"/>
      <c r="T11" s="307"/>
      <c r="U11" s="265"/>
      <c r="V11" s="308" t="s">
        <v>1794</v>
      </c>
      <c r="W11" s="311" t="s">
        <v>1792</v>
      </c>
      <c r="X11" s="309" t="s">
        <v>1783</v>
      </c>
      <c r="Y11" s="309" t="s">
        <v>1784</v>
      </c>
      <c r="Z11" s="306"/>
      <c r="AA11" s="307"/>
      <c r="AB11" s="306"/>
      <c r="AC11" s="307"/>
    </row>
    <row r="12">
      <c r="A12" s="266"/>
      <c r="B12" s="296">
        <f>IFERROR(VLOOKUP(C12,'字段信息'!A:C,3,),"")</f>
      </c>
      <c r="C12" s="296" t="s">
        <v>1795</v>
      </c>
      <c r="D12" s="298">
        <f>IFERROR(VLOOKUP(C12,'字段信息'!A:C,2,),"")</f>
      </c>
      <c r="E12" s="299"/>
      <c r="F12" s="299">
        <f t="shared" si="0"/>
      </c>
      <c r="G12" s="299" t="s">
        <v>1786</v>
      </c>
      <c r="H12" s="300"/>
      <c r="I12" s="300"/>
      <c r="J12" s="300"/>
      <c r="K12" s="300"/>
      <c r="L12" s="310" t="s">
        <v>1791</v>
      </c>
      <c r="M12" s="308" t="s">
        <v>1778</v>
      </c>
      <c r="N12" s="312" t="s">
        <v>1796</v>
      </c>
      <c r="O12" s="309" t="s">
        <v>1780</v>
      </c>
      <c r="P12" s="305" t="s">
        <v>1797</v>
      </c>
      <c r="Q12" s="306"/>
      <c r="R12" s="307"/>
      <c r="S12" s="306"/>
      <c r="T12" s="307"/>
      <c r="U12" s="265"/>
      <c r="V12" s="308" t="s">
        <v>1798</v>
      </c>
      <c r="W12" s="312" t="s">
        <v>1796</v>
      </c>
      <c r="X12" s="309" t="s">
        <v>1783</v>
      </c>
      <c r="Y12" s="309" t="s">
        <v>1799</v>
      </c>
      <c r="Z12" s="306"/>
      <c r="AA12" s="307"/>
      <c r="AB12" s="306"/>
      <c r="AC12" s="307"/>
    </row>
    <row r="13">
      <c r="A13" s="266"/>
      <c r="B13" s="296">
        <f>IFERROR(VLOOKUP(C13,'字段信息'!A:C,3,),"")</f>
      </c>
      <c r="C13" s="296" t="s">
        <v>1800</v>
      </c>
      <c r="D13" s="298">
        <f>IFERROR(VLOOKUP(C13,'字段信息'!A:C,2,),"")</f>
      </c>
      <c r="E13" s="299"/>
      <c r="F13" s="299">
        <f t="shared" si="0"/>
      </c>
      <c r="G13" s="299" t="s">
        <v>1786</v>
      </c>
      <c r="H13" s="300"/>
      <c r="I13" s="300"/>
      <c r="J13" s="300"/>
      <c r="K13" s="300"/>
      <c r="L13" s="310" t="s">
        <v>1791</v>
      </c>
      <c r="M13" s="308" t="s">
        <v>1778</v>
      </c>
      <c r="N13" s="312" t="s">
        <v>1796</v>
      </c>
      <c r="O13" s="313" t="s">
        <v>1780</v>
      </c>
      <c r="P13" s="305" t="s">
        <v>1801</v>
      </c>
      <c r="Q13" s="306"/>
      <c r="R13" s="307"/>
      <c r="S13" s="306"/>
      <c r="T13" s="307"/>
      <c r="U13" s="265"/>
      <c r="V13" s="308">
        <v>1122000000</v>
      </c>
      <c r="W13" s="312"/>
      <c r="X13" s="313"/>
      <c r="Y13" s="305"/>
      <c r="Z13" s="306"/>
      <c r="AA13" s="307"/>
      <c r="AB13" s="306"/>
      <c r="AC13" s="307"/>
    </row>
    <row r="14">
      <c r="A14" s="266"/>
      <c r="B14" s="296">
        <f>IFERROR(VLOOKUP(C14,'字段信息'!A:C,3,),"")</f>
      </c>
      <c r="C14" s="296" t="s">
        <v>1802</v>
      </c>
      <c r="D14" s="298">
        <f>IFERROR(VLOOKUP(C14,'字段信息'!A:C,2,),"")</f>
      </c>
      <c r="E14" s="299"/>
      <c r="F14" s="299">
        <f t="shared" si="0"/>
      </c>
      <c r="G14" s="299" t="s">
        <v>1786</v>
      </c>
      <c r="H14" s="300"/>
      <c r="I14" s="300"/>
      <c r="J14" s="300"/>
      <c r="K14" s="300"/>
      <c r="L14" s="310" t="s">
        <v>1791</v>
      </c>
      <c r="M14" s="308" t="s">
        <v>1778</v>
      </c>
      <c r="N14" s="312" t="s">
        <v>1796</v>
      </c>
      <c r="O14" s="309" t="s">
        <v>1780</v>
      </c>
      <c r="P14" s="305" t="s">
        <v>1802</v>
      </c>
      <c r="Q14" s="305"/>
      <c r="R14" s="307"/>
      <c r="S14" s="306"/>
      <c r="T14" s="307"/>
      <c r="U14" s="265"/>
      <c r="V14" s="308"/>
      <c r="W14" s="312"/>
      <c r="X14" s="309"/>
      <c r="Y14" s="305"/>
      <c r="Z14" s="305"/>
      <c r="AA14" s="307"/>
      <c r="AB14" s="306"/>
      <c r="AC14" s="307"/>
    </row>
    <row r="15">
      <c r="A15" s="266"/>
      <c r="B15" s="296">
        <f>IFERROR(VLOOKUP(C15,'字段信息'!A:C,3,),"")</f>
      </c>
      <c r="C15" s="296" t="s">
        <v>1803</v>
      </c>
      <c r="D15" s="298">
        <f>IFERROR(VLOOKUP(C15,'字段信息'!A:C,2,),"")</f>
      </c>
      <c r="E15" s="299"/>
      <c r="F15" s="299">
        <f t="shared" si="0"/>
      </c>
      <c r="G15" s="299" t="s">
        <v>1786</v>
      </c>
      <c r="H15" s="300"/>
      <c r="I15" s="300"/>
      <c r="J15" s="300"/>
      <c r="K15" s="300"/>
      <c r="L15" s="301" t="s">
        <v>1791</v>
      </c>
      <c r="M15" s="314" t="s">
        <v>1778</v>
      </c>
      <c r="N15" s="315" t="s">
        <v>1796</v>
      </c>
      <c r="O15" s="305" t="s">
        <v>1780</v>
      </c>
      <c r="P15" s="304" t="s">
        <v>1803</v>
      </c>
      <c r="Q15" s="304"/>
      <c r="R15" s="307"/>
      <c r="S15" s="306"/>
      <c r="T15" s="307"/>
      <c r="U15" s="265"/>
      <c r="V15" s="314"/>
      <c r="W15" s="315"/>
      <c r="X15" s="305"/>
      <c r="Y15" s="305"/>
      <c r="Z15" s="305"/>
      <c r="AA15" s="307"/>
      <c r="AB15" s="306"/>
      <c r="AC15" s="307"/>
    </row>
    <row r="16">
      <c r="A16" s="266"/>
      <c r="B16" s="296">
        <f>IFERROR(VLOOKUP(C16,'字段信息'!A:C,3,),"")</f>
      </c>
      <c r="C16" s="297" t="s">
        <v>1804</v>
      </c>
      <c r="D16" s="298">
        <f>IFERROR(VLOOKUP(C16,'字段信息'!A:C,2,),"")</f>
      </c>
      <c r="E16" s="299"/>
      <c r="F16" s="299">
        <f t="shared" si="0"/>
      </c>
      <c r="G16" s="299" t="s">
        <v>1786</v>
      </c>
      <c r="H16" s="300"/>
      <c r="I16" s="300"/>
      <c r="J16" s="300"/>
      <c r="K16" s="300"/>
      <c r="L16" s="301"/>
      <c r="M16" s="316" t="s">
        <v>1805</v>
      </c>
      <c r="N16" s="317" t="s">
        <v>1796</v>
      </c>
      <c r="O16" s="318" t="s">
        <v>1806</v>
      </c>
      <c r="P16" s="308" t="s">
        <v>1807</v>
      </c>
      <c r="Q16" s="305" t="s">
        <v>1808</v>
      </c>
      <c r="R16" s="319"/>
      <c r="S16" s="306"/>
      <c r="T16" s="307"/>
      <c r="U16" s="265"/>
      <c r="V16" s="316"/>
      <c r="W16" s="317"/>
      <c r="X16" s="320"/>
      <c r="Y16" s="321"/>
      <c r="Z16" s="305"/>
      <c r="AA16" s="307"/>
      <c r="AB16" s="306"/>
      <c r="AC16" s="307"/>
    </row>
    <row customHeight="true" ht="16.071428571428573" r="17">
      <c r="A17" s="266"/>
      <c r="B17" s="296">
        <f>IFERROR(VLOOKUP(C17,'字段信息'!A:C,3,),"")</f>
      </c>
      <c r="C17" s="297" t="s">
        <v>1809</v>
      </c>
      <c r="D17" s="298">
        <f>IFERROR(VLOOKUP(C17,'字段信息'!A:C,2,),"")</f>
      </c>
      <c r="E17" s="299"/>
      <c r="F17" s="299">
        <f t="shared" si="0"/>
      </c>
      <c r="G17" s="299" t="s">
        <v>1786</v>
      </c>
      <c r="H17" s="300"/>
      <c r="I17" s="300"/>
      <c r="J17" s="300"/>
      <c r="K17" s="300"/>
      <c r="L17" s="301"/>
      <c r="M17" s="308" t="s">
        <v>1778</v>
      </c>
      <c r="N17" s="317" t="s">
        <v>1796</v>
      </c>
      <c r="O17" s="305" t="s">
        <v>1780</v>
      </c>
      <c r="P17" s="322" t="s">
        <v>1809</v>
      </c>
      <c r="Q17" s="322"/>
      <c r="R17" s="307"/>
      <c r="S17" s="306"/>
      <c r="T17" s="307"/>
      <c r="U17" s="265"/>
      <c r="V17" s="308"/>
      <c r="W17" s="317"/>
      <c r="X17" s="305"/>
      <c r="Y17" s="305"/>
      <c r="Z17" s="305"/>
      <c r="AA17" s="307"/>
      <c r="AB17" s="306"/>
      <c r="AC17" s="307"/>
    </row>
    <row customHeight="true" ht="16.071428571428573" r="18">
      <c r="A18" s="266"/>
      <c r="B18" s="296">
        <f>IFERROR(VLOOKUP(C18,'字段信息'!A:C,3,),"")</f>
      </c>
      <c r="C18" s="297" t="s">
        <v>1810</v>
      </c>
      <c r="D18" s="298">
        <f>IFERROR(VLOOKUP(C18,'字段信息'!A:C,2,),"")</f>
      </c>
      <c r="E18" s="299"/>
      <c r="F18" s="299">
        <f t="shared" si="0"/>
      </c>
      <c r="G18" s="299" t="s">
        <v>1786</v>
      </c>
      <c r="H18" s="300"/>
      <c r="I18" s="300"/>
      <c r="J18" s="300"/>
      <c r="K18" s="300"/>
      <c r="L18" s="301"/>
      <c r="M18" s="308" t="s">
        <v>1778</v>
      </c>
      <c r="N18" s="317" t="s">
        <v>1796</v>
      </c>
      <c r="O18" s="305" t="s">
        <v>1780</v>
      </c>
      <c r="P18" s="305" t="s">
        <v>1810</v>
      </c>
      <c r="Q18" s="305"/>
      <c r="R18" s="307"/>
      <c r="S18" s="306"/>
      <c r="T18" s="307"/>
      <c r="U18" s="265"/>
      <c r="V18" s="308"/>
      <c r="W18" s="317"/>
      <c r="X18" s="305"/>
      <c r="Y18" s="305"/>
      <c r="Z18" s="305"/>
      <c r="AA18" s="307"/>
      <c r="AB18" s="306"/>
      <c r="AC18" s="307"/>
    </row>
    <row customHeight="true" ht="16.071428571428573" r="19">
      <c r="A19" s="266"/>
      <c r="B19" s="296">
        <f>IFERROR(VLOOKUP(C19,'字段信息'!A:C,3,),"")</f>
      </c>
      <c r="C19" s="297" t="s">
        <v>1811</v>
      </c>
      <c r="D19" s="298">
        <f>IFERROR(VLOOKUP(C19,'字段信息'!A:C,2,),"")</f>
      </c>
      <c r="E19" s="299"/>
      <c r="F19" s="299">
        <f t="shared" si="0"/>
      </c>
      <c r="G19" s="299" t="s">
        <v>1786</v>
      </c>
      <c r="H19" s="300"/>
      <c r="I19" s="300"/>
      <c r="J19" s="300"/>
      <c r="K19" s="300"/>
      <c r="L19" s="301"/>
      <c r="M19" s="308" t="s">
        <v>1778</v>
      </c>
      <c r="N19" s="317" t="s">
        <v>1796</v>
      </c>
      <c r="O19" s="305" t="s">
        <v>1780</v>
      </c>
      <c r="P19" s="305" t="s">
        <v>1812</v>
      </c>
      <c r="Q19" s="305"/>
      <c r="R19" s="307"/>
      <c r="S19" s="306"/>
      <c r="T19" s="307"/>
      <c r="U19" s="265"/>
      <c r="V19" s="308"/>
      <c r="W19" s="317"/>
      <c r="X19" s="305"/>
      <c r="Y19" s="305"/>
      <c r="Z19" s="305"/>
      <c r="AA19" s="307"/>
      <c r="AB19" s="306"/>
      <c r="AC19" s="307"/>
    </row>
    <row customHeight="true" ht="16.071428571428573" r="20">
      <c r="A20" s="266"/>
      <c r="B20" s="296">
        <f>IFERROR(VLOOKUP(C20,'字段信息'!A:C,3,),"")</f>
      </c>
      <c r="C20" s="297" t="s">
        <v>1813</v>
      </c>
      <c r="D20" s="298">
        <f>IFERROR(VLOOKUP(C20,'字段信息'!A:C,2,),"")</f>
      </c>
      <c r="E20" s="299"/>
      <c r="F20" s="299">
        <f t="shared" si="0"/>
      </c>
      <c r="G20" s="299" t="s">
        <v>1786</v>
      </c>
      <c r="H20" s="300"/>
      <c r="I20" s="300"/>
      <c r="J20" s="300"/>
      <c r="K20" s="300"/>
      <c r="L20" s="301"/>
      <c r="M20" s="308"/>
      <c r="N20" s="317" t="s">
        <v>1796</v>
      </c>
      <c r="O20" s="305"/>
      <c r="P20" s="305"/>
      <c r="Q20" s="306"/>
      <c r="R20" s="307"/>
      <c r="S20" s="306"/>
      <c r="T20" s="307"/>
      <c r="U20" s="265"/>
      <c r="V20" s="308"/>
      <c r="W20" s="317"/>
      <c r="X20" s="305"/>
      <c r="Y20" s="305"/>
      <c r="Z20" s="306"/>
      <c r="AA20" s="307"/>
      <c r="AB20" s="306"/>
      <c r="AC20" s="307"/>
    </row>
    <row customHeight="true" ht="16.071428571428573" r="21">
      <c r="A21" s="266"/>
      <c r="B21" s="296">
        <f>IFERROR(VLOOKUP(C21,'字段信息'!A:C,3,),"")</f>
      </c>
      <c r="C21" s="297" t="s">
        <v>1814</v>
      </c>
      <c r="D21" s="298">
        <f>IFERROR(VLOOKUP(C21,'字段信息'!A:C,2,),"")</f>
      </c>
      <c r="E21" s="299"/>
      <c r="F21" s="299">
        <f t="shared" si="0"/>
      </c>
      <c r="G21" s="299" t="s">
        <v>1786</v>
      </c>
      <c r="H21" s="300"/>
      <c r="I21" s="300"/>
      <c r="J21" s="300"/>
      <c r="K21" s="300"/>
      <c r="L21" s="301"/>
      <c r="M21" s="308" t="s">
        <v>1778</v>
      </c>
      <c r="N21" s="317" t="s">
        <v>1796</v>
      </c>
      <c r="O21" s="305" t="s">
        <v>1780</v>
      </c>
      <c r="P21" s="305" t="s">
        <v>1815</v>
      </c>
      <c r="Q21" s="306"/>
      <c r="R21" s="307"/>
      <c r="S21" s="306"/>
      <c r="T21" s="307"/>
      <c r="U21" s="265"/>
      <c r="V21" s="308"/>
      <c r="W21" s="317"/>
      <c r="X21" s="305"/>
      <c r="Y21" s="305"/>
      <c r="Z21" s="306"/>
      <c r="AA21" s="307"/>
      <c r="AB21" s="306"/>
      <c r="AC21" s="307"/>
    </row>
    <row customHeight="true" ht="16.071428571428573" r="22">
      <c r="A22" s="266"/>
      <c r="B22" s="296">
        <f>IFERROR(VLOOKUP(C22,'字段信息'!A:C,3,),"")</f>
      </c>
      <c r="C22" s="297" t="s">
        <v>1816</v>
      </c>
      <c r="D22" s="298">
        <f>IFERROR(VLOOKUP(C22,'字段信息'!A:C,2,),"")</f>
      </c>
      <c r="E22" s="299"/>
      <c r="F22" s="299">
        <f t="shared" si="0"/>
      </c>
      <c r="G22" s="299" t="s">
        <v>1786</v>
      </c>
      <c r="H22" s="300"/>
      <c r="I22" s="300"/>
      <c r="J22" s="300"/>
      <c r="K22" s="300"/>
      <c r="L22" s="301"/>
      <c r="M22" s="308"/>
      <c r="N22" s="317" t="s">
        <v>1796</v>
      </c>
      <c r="O22" s="305"/>
      <c r="P22" s="305"/>
      <c r="Q22" s="306"/>
      <c r="R22" s="307"/>
      <c r="S22" s="306"/>
      <c r="T22" s="307"/>
      <c r="U22" s="265"/>
      <c r="V22" s="308"/>
      <c r="W22" s="317"/>
      <c r="X22" s="305"/>
      <c r="Y22" s="305"/>
      <c r="Z22" s="306"/>
      <c r="AA22" s="307"/>
      <c r="AB22" s="306"/>
      <c r="AC22" s="307"/>
    </row>
    <row customHeight="true" ht="16.071428571428573" r="23">
      <c r="A23" s="266"/>
      <c r="B23" s="296">
        <f>IFERROR(VLOOKUP(C23,'字段信息'!A:C,3,),"")</f>
      </c>
      <c r="C23" s="297" t="s">
        <v>1817</v>
      </c>
      <c r="D23" s="298">
        <f>IFERROR(VLOOKUP(C23,'字段信息'!A:C,2,),"")</f>
      </c>
      <c r="E23" s="299"/>
      <c r="F23" s="299">
        <f t="shared" si="0"/>
      </c>
      <c r="G23" s="299" t="s">
        <v>1786</v>
      </c>
      <c r="H23" s="300"/>
      <c r="I23" s="300"/>
      <c r="J23" s="300"/>
      <c r="K23" s="300"/>
      <c r="L23" s="301"/>
      <c r="M23" s="308" t="s">
        <v>1778</v>
      </c>
      <c r="N23" s="317" t="s">
        <v>1796</v>
      </c>
      <c r="O23" s="305" t="s">
        <v>1780</v>
      </c>
      <c r="P23" s="305" t="s">
        <v>1818</v>
      </c>
      <c r="Q23" s="306"/>
      <c r="R23" s="307"/>
      <c r="S23" s="306"/>
      <c r="T23" s="307"/>
      <c r="U23" s="265"/>
      <c r="V23" s="308"/>
      <c r="W23" s="317"/>
      <c r="X23" s="305"/>
      <c r="Y23" s="305"/>
      <c r="Z23" s="306"/>
      <c r="AA23" s="307"/>
      <c r="AB23" s="306"/>
      <c r="AC23" s="307"/>
    </row>
    <row customHeight="true" ht="16.071428571428573" r="24">
      <c r="A24" s="266"/>
      <c r="B24" s="296">
        <f>IFERROR(VLOOKUP(C24,'字段信息'!A:C,3,),"")</f>
      </c>
      <c r="C24" s="297" t="s">
        <v>1819</v>
      </c>
      <c r="D24" s="298">
        <f>IFERROR(VLOOKUP(C24,'字段信息'!A:C,2,),"")</f>
      </c>
      <c r="E24" s="299"/>
      <c r="F24" s="299">
        <f t="shared" si="0"/>
      </c>
      <c r="G24" s="299" t="s">
        <v>1786</v>
      </c>
      <c r="H24" s="300"/>
      <c r="I24" s="300"/>
      <c r="J24" s="300"/>
      <c r="K24" s="300"/>
      <c r="L24" s="301"/>
      <c r="M24" s="308"/>
      <c r="N24" s="317" t="s">
        <v>1796</v>
      </c>
      <c r="O24" s="305"/>
      <c r="P24" s="305"/>
      <c r="Q24" s="306"/>
      <c r="R24" s="307"/>
      <c r="S24" s="306"/>
      <c r="T24" s="307"/>
      <c r="U24" s="265"/>
      <c r="V24" s="308"/>
      <c r="W24" s="317"/>
      <c r="X24" s="305"/>
      <c r="Y24" s="305"/>
      <c r="Z24" s="306"/>
      <c r="AA24" s="307"/>
      <c r="AB24" s="306"/>
      <c r="AC24" s="307"/>
    </row>
    <row customHeight="true" ht="16.071428571428573" r="25">
      <c r="A25" s="266"/>
      <c r="B25" s="296">
        <f>IFERROR(VLOOKUP(C25,'字段信息'!A:C,3,),"")</f>
      </c>
      <c r="C25" s="297" t="s">
        <v>1820</v>
      </c>
      <c r="D25" s="298">
        <f>IFERROR(VLOOKUP(C25,'字段信息'!A:C,2,),"")</f>
      </c>
      <c r="E25" s="299"/>
      <c r="F25" s="299">
        <f t="shared" si="0"/>
      </c>
      <c r="G25" s="299" t="s">
        <v>1786</v>
      </c>
      <c r="H25" s="300"/>
      <c r="I25" s="300"/>
      <c r="J25" s="300"/>
      <c r="K25" s="300"/>
      <c r="L25" s="301"/>
      <c r="M25" s="308" t="s">
        <v>1778</v>
      </c>
      <c r="N25" s="317" t="s">
        <v>1796</v>
      </c>
      <c r="O25" s="305" t="s">
        <v>1780</v>
      </c>
      <c r="P25" s="305" t="s">
        <v>1821</v>
      </c>
      <c r="Q25" s="306"/>
      <c r="R25" s="307"/>
      <c r="S25" s="306"/>
      <c r="T25" s="307"/>
      <c r="U25" s="265"/>
      <c r="V25" s="308"/>
      <c r="W25" s="317"/>
      <c r="X25" s="305"/>
      <c r="Y25" s="305"/>
      <c r="Z25" s="306"/>
      <c r="AA25" s="307"/>
      <c r="AB25" s="306"/>
      <c r="AC25" s="307"/>
    </row>
    <row customHeight="true" ht="16.071428571428573" r="26">
      <c r="A26" s="266"/>
      <c r="B26" s="296">
        <f>IFERROR(VLOOKUP(C26,'字段信息'!A:C,3,),"")</f>
      </c>
      <c r="C26" s="297" t="s">
        <v>1822</v>
      </c>
      <c r="D26" s="298">
        <f>IFERROR(VLOOKUP(C26,'字段信息'!A:C,2,),"")</f>
      </c>
      <c r="E26" s="299"/>
      <c r="F26" s="299">
        <f t="shared" si="0"/>
      </c>
      <c r="G26" s="299" t="s">
        <v>1786</v>
      </c>
      <c r="H26" s="300"/>
      <c r="I26" s="300"/>
      <c r="J26" s="300"/>
      <c r="K26" s="300"/>
      <c r="L26" s="301"/>
      <c r="M26" s="308"/>
      <c r="N26" s="317"/>
      <c r="O26" s="305"/>
      <c r="P26" s="305"/>
      <c r="Q26" s="306"/>
      <c r="R26" s="307"/>
      <c r="S26" s="306"/>
      <c r="T26" s="307"/>
      <c r="U26" s="323"/>
      <c r="V26" s="308"/>
      <c r="W26" s="317"/>
      <c r="X26" s="305"/>
      <c r="Y26" s="305"/>
      <c r="Z26" s="306"/>
      <c r="AA26" s="307"/>
      <c r="AB26" s="306"/>
      <c r="AC26" s="307"/>
    </row>
    <row r="27">
      <c r="A27" s="266"/>
      <c r="B27" s="296">
        <f>IFERROR(VLOOKUP(C27,'字段信息'!A:C,3,),"")</f>
      </c>
      <c r="C27" s="296" t="s">
        <v>1823</v>
      </c>
      <c r="D27" s="298">
        <f>IFERROR(VLOOKUP(C27,'字段信息'!A:C,2,),"")</f>
      </c>
      <c r="E27" s="299"/>
      <c r="F27" s="299">
        <f t="shared" si="0"/>
      </c>
      <c r="G27" s="299" t="s">
        <v>1786</v>
      </c>
      <c r="H27" s="300"/>
      <c r="I27" s="300"/>
      <c r="J27" s="300"/>
      <c r="K27" s="300"/>
      <c r="L27" s="301" t="s">
        <v>1791</v>
      </c>
      <c r="M27" s="308" t="s">
        <v>1778</v>
      </c>
      <c r="N27" s="317" t="s">
        <v>1796</v>
      </c>
      <c r="O27" s="305" t="s">
        <v>1780</v>
      </c>
      <c r="P27" s="305" t="s">
        <v>1824</v>
      </c>
      <c r="Q27" s="306"/>
      <c r="R27" s="307"/>
      <c r="S27" s="306"/>
      <c r="T27" s="307"/>
      <c r="U27" s="323"/>
      <c r="V27" s="308"/>
      <c r="W27" s="317"/>
      <c r="X27" s="305"/>
      <c r="Y27" s="305"/>
      <c r="Z27" s="306"/>
      <c r="AA27" s="307"/>
      <c r="AB27" s="306"/>
      <c r="AC27" s="307"/>
    </row>
    <row r="28">
      <c r="A28" s="266"/>
      <c r="B28" s="296">
        <f>IFERROR(VLOOKUP(C28,'字段信息'!A:C,3,),"")</f>
      </c>
      <c r="C28" s="296" t="s">
        <v>1825</v>
      </c>
      <c r="D28" s="298">
        <f>IFERROR(VLOOKUP(C28,'字段信息'!A:C,2,),"")</f>
      </c>
      <c r="E28" s="299"/>
      <c r="F28" s="299">
        <f t="shared" si="0"/>
      </c>
      <c r="G28" s="299" t="s">
        <v>1786</v>
      </c>
      <c r="H28" s="300"/>
      <c r="I28" s="300"/>
      <c r="J28" s="300"/>
      <c r="K28" s="300"/>
      <c r="L28" s="301" t="s">
        <v>1791</v>
      </c>
      <c r="M28" s="308" t="s">
        <v>1778</v>
      </c>
      <c r="N28" s="317" t="s">
        <v>1796</v>
      </c>
      <c r="O28" s="305" t="s">
        <v>1780</v>
      </c>
      <c r="P28" s="305" t="s">
        <v>1826</v>
      </c>
      <c r="Q28" s="306"/>
      <c r="R28" s="307"/>
      <c r="S28" s="306"/>
      <c r="T28" s="307"/>
      <c r="U28" s="323"/>
      <c r="V28" s="308"/>
      <c r="W28" s="317"/>
      <c r="X28" s="305"/>
      <c r="Y28" s="305"/>
      <c r="Z28" s="306"/>
      <c r="AA28" s="307"/>
      <c r="AB28" s="306"/>
      <c r="AC28" s="307"/>
    </row>
    <row r="29">
      <c r="A29" s="266"/>
      <c r="B29" s="296">
        <f>IFERROR(VLOOKUP(C29,'字段信息'!A:C,3,),"")</f>
      </c>
      <c r="C29" s="296" t="s">
        <v>1827</v>
      </c>
      <c r="D29" s="298">
        <f>IFERROR(VLOOKUP(C29,'字段信息'!A:C,2,),"")</f>
      </c>
      <c r="E29" s="299"/>
      <c r="F29" s="299">
        <f t="shared" si="0"/>
      </c>
      <c r="G29" s="299" t="s">
        <v>1786</v>
      </c>
      <c r="H29" s="300"/>
      <c r="I29" s="300"/>
      <c r="J29" s="300"/>
      <c r="K29" s="300"/>
      <c r="L29" s="301" t="s">
        <v>1791</v>
      </c>
      <c r="M29" s="308" t="s">
        <v>1778</v>
      </c>
      <c r="N29" s="317" t="s">
        <v>1796</v>
      </c>
      <c r="O29" s="305" t="s">
        <v>1780</v>
      </c>
      <c r="P29" s="305" t="s">
        <v>1824</v>
      </c>
      <c r="Q29" s="306"/>
      <c r="R29" s="307"/>
      <c r="S29" s="306"/>
      <c r="T29" s="307"/>
      <c r="U29" s="323"/>
      <c r="V29" s="308"/>
      <c r="W29" s="317"/>
      <c r="X29" s="305"/>
      <c r="Y29" s="305"/>
      <c r="Z29" s="306"/>
      <c r="AA29" s="307"/>
      <c r="AB29" s="306"/>
      <c r="AC29" s="307"/>
    </row>
    <row r="30">
      <c r="A30" s="266"/>
      <c r="B30" s="296">
        <f>IFERROR(VLOOKUP(C30,'字段信息'!A:C,3,),"")</f>
      </c>
      <c r="C30" s="296" t="s">
        <v>1828</v>
      </c>
      <c r="D30" s="298">
        <f>IFERROR(VLOOKUP(C30,'字段信息'!A:C,2,),"")</f>
      </c>
      <c r="E30" s="299"/>
      <c r="F30" s="299">
        <f t="shared" si="0"/>
      </c>
      <c r="G30" s="299" t="s">
        <v>1786</v>
      </c>
      <c r="H30" s="300"/>
      <c r="I30" s="300"/>
      <c r="J30" s="300"/>
      <c r="K30" s="300"/>
      <c r="L30" s="301" t="s">
        <v>1791</v>
      </c>
      <c r="M30" s="308" t="s">
        <v>1778</v>
      </c>
      <c r="N30" s="317" t="s">
        <v>1796</v>
      </c>
      <c r="O30" s="305" t="s">
        <v>1780</v>
      </c>
      <c r="P30" s="305" t="s">
        <v>1826</v>
      </c>
      <c r="Q30" s="306"/>
      <c r="R30" s="307"/>
      <c r="S30" s="306"/>
      <c r="T30" s="307"/>
      <c r="U30" s="323"/>
      <c r="V30" s="308"/>
      <c r="W30" s="317"/>
      <c r="X30" s="305"/>
      <c r="Y30" s="305"/>
      <c r="Z30" s="306"/>
      <c r="AA30" s="307"/>
      <c r="AB30" s="306"/>
      <c r="AC30" s="307"/>
    </row>
    <row customHeight="true" ht="16.071428571428573" r="31">
      <c r="A31" s="266"/>
      <c r="B31" s="296">
        <f>IFERROR(VLOOKUP(C31,'字段信息'!A:C,3,),"")</f>
      </c>
      <c r="C31" s="297" t="s">
        <v>1829</v>
      </c>
      <c r="D31" s="298">
        <f>IFERROR(VLOOKUP(C31,'字段信息'!A:C,2,),"")</f>
      </c>
      <c r="E31" s="299"/>
      <c r="F31" s="299">
        <f t="shared" si="0"/>
      </c>
      <c r="G31" s="299" t="s">
        <v>1786</v>
      </c>
      <c r="H31" s="300"/>
      <c r="I31" s="300"/>
      <c r="J31" s="300"/>
      <c r="K31" s="300"/>
      <c r="L31" s="301"/>
      <c r="M31" s="308" t="s">
        <v>1778</v>
      </c>
      <c r="N31" s="317" t="s">
        <v>1796</v>
      </c>
      <c r="O31" s="305" t="s">
        <v>1780</v>
      </c>
      <c r="P31" s="305" t="s">
        <v>1830</v>
      </c>
      <c r="Q31" s="306"/>
      <c r="R31" s="307"/>
      <c r="S31" s="306"/>
      <c r="T31" s="307"/>
      <c r="U31" s="323"/>
      <c r="V31" s="308"/>
      <c r="W31" s="317"/>
      <c r="X31" s="305"/>
      <c r="Y31" s="305"/>
      <c r="Z31" s="306"/>
      <c r="AA31" s="307"/>
      <c r="AB31" s="306"/>
      <c r="AC31" s="307"/>
    </row>
    <row customHeight="true" ht="16.071428571428573" r="32">
      <c r="A32" s="266"/>
      <c r="B32" s="296">
        <f>IFERROR(VLOOKUP(C32,'字段信息'!A:C,3,),"")</f>
      </c>
      <c r="C32" s="297" t="s">
        <v>1831</v>
      </c>
      <c r="D32" s="298">
        <f>IFERROR(VLOOKUP(C32,'字段信息'!A:C,2,),"")</f>
      </c>
      <c r="E32" s="299"/>
      <c r="F32" s="299">
        <f t="shared" si="0"/>
      </c>
      <c r="G32" s="299" t="s">
        <v>1786</v>
      </c>
      <c r="H32" s="300"/>
      <c r="I32" s="300"/>
      <c r="J32" s="300"/>
      <c r="K32" s="300"/>
      <c r="L32" s="301"/>
      <c r="M32" s="308" t="s">
        <v>1778</v>
      </c>
      <c r="N32" s="317" t="s">
        <v>1796</v>
      </c>
      <c r="O32" s="305" t="s">
        <v>1780</v>
      </c>
      <c r="P32" s="305" t="s">
        <v>1832</v>
      </c>
      <c r="Q32" s="306"/>
      <c r="R32" s="307"/>
      <c r="S32" s="306"/>
      <c r="T32" s="307"/>
      <c r="U32" s="265"/>
      <c r="V32" s="308"/>
      <c r="W32" s="317"/>
      <c r="X32" s="305"/>
      <c r="Y32" s="305"/>
      <c r="Z32" s="306"/>
      <c r="AA32" s="307"/>
      <c r="AB32" s="306"/>
      <c r="AC32" s="307"/>
    </row>
    <row customHeight="true" ht="16.071428571428573" r="33">
      <c r="A33" s="266"/>
      <c r="B33" s="296">
        <f>IFERROR(VLOOKUP(C33,'字段信息'!A:C,3,),"")</f>
      </c>
      <c r="C33" s="297" t="s">
        <v>1833</v>
      </c>
      <c r="D33" s="298">
        <f>IFERROR(VLOOKUP(C33,'字段信息'!A:C,2,),"")</f>
      </c>
      <c r="E33" s="299"/>
      <c r="F33" s="299">
        <f t="shared" si="0"/>
      </c>
      <c r="G33" s="299" t="s">
        <v>1786</v>
      </c>
      <c r="H33" s="300"/>
      <c r="I33" s="300"/>
      <c r="J33" s="300"/>
      <c r="K33" s="300"/>
      <c r="L33" s="301"/>
      <c r="M33" s="308" t="s">
        <v>1778</v>
      </c>
      <c r="N33" s="317" t="s">
        <v>1796</v>
      </c>
      <c r="O33" s="305" t="s">
        <v>1780</v>
      </c>
      <c r="P33" s="305" t="s">
        <v>1834</v>
      </c>
      <c r="Q33" s="306"/>
      <c r="R33" s="307"/>
      <c r="S33" s="306"/>
      <c r="T33" s="307"/>
      <c r="U33" s="265"/>
      <c r="V33" s="308"/>
      <c r="W33" s="317"/>
      <c r="X33" s="305"/>
      <c r="Y33" s="305"/>
      <c r="Z33" s="306"/>
      <c r="AA33" s="307"/>
      <c r="AB33" s="306"/>
      <c r="AC33" s="307"/>
    </row>
    <row customHeight="true" ht="16.071428571428573" r="34">
      <c r="A34" s="266"/>
      <c r="B34" s="296">
        <f>IFERROR(VLOOKUP(C34,'字段信息'!A:C,3,),"")</f>
      </c>
      <c r="C34" s="297" t="s">
        <v>1835</v>
      </c>
      <c r="D34" s="298">
        <f>IFERROR(VLOOKUP(C34,'字段信息'!A:C,2,),"")</f>
      </c>
      <c r="E34" s="299"/>
      <c r="F34" s="299">
        <f t="shared" si="0"/>
      </c>
      <c r="G34" s="299" t="s">
        <v>1786</v>
      </c>
      <c r="H34" s="300"/>
      <c r="I34" s="300"/>
      <c r="J34" s="300"/>
      <c r="K34" s="300"/>
      <c r="L34" s="301"/>
      <c r="M34" s="308"/>
      <c r="N34" s="317"/>
      <c r="O34" s="305"/>
      <c r="P34" s="305"/>
      <c r="Q34" s="306"/>
      <c r="R34" s="307"/>
      <c r="S34" s="306"/>
      <c r="T34" s="307"/>
      <c r="U34" s="323"/>
      <c r="V34" s="308"/>
      <c r="W34" s="317"/>
      <c r="X34" s="305"/>
      <c r="Y34" s="305"/>
      <c r="Z34" s="306"/>
      <c r="AA34" s="307"/>
      <c r="AB34" s="306"/>
      <c r="AC34" s="307"/>
    </row>
    <row customHeight="true" ht="16.071428571428573" r="35">
      <c r="A35" s="266"/>
      <c r="B35" s="296">
        <f>IFERROR(VLOOKUP(C35,'字段信息'!A:C,3,),"")</f>
      </c>
      <c r="C35" s="297" t="s">
        <v>1836</v>
      </c>
      <c r="D35" s="298">
        <f>IFERROR(VLOOKUP(C35,'字段信息'!A:C,2,),"")</f>
      </c>
      <c r="E35" s="299"/>
      <c r="F35" s="299">
        <f t="shared" si="0"/>
      </c>
      <c r="G35" s="299" t="s">
        <v>1786</v>
      </c>
      <c r="H35" s="300"/>
      <c r="I35" s="300"/>
      <c r="J35" s="300"/>
      <c r="K35" s="300"/>
      <c r="L35" s="301"/>
      <c r="M35" s="308"/>
      <c r="N35" s="317"/>
      <c r="O35" s="305"/>
      <c r="P35" s="305"/>
      <c r="Q35" s="306"/>
      <c r="R35" s="307"/>
      <c r="S35" s="306"/>
      <c r="T35" s="307"/>
      <c r="U35" s="323"/>
      <c r="V35" s="308" t="s">
        <v>1837</v>
      </c>
      <c r="W35" s="317"/>
      <c r="X35" s="305"/>
      <c r="Y35" s="305"/>
      <c r="Z35" s="306"/>
      <c r="AA35" s="307"/>
      <c r="AB35" s="306"/>
      <c r="AC35" s="307"/>
    </row>
    <row customHeight="true" ht="16.071428571428573" r="36">
      <c r="A36" s="266"/>
      <c r="B36" s="296">
        <f>IFERROR(VLOOKUP(C36,'字段信息'!A:C,3,),"")</f>
      </c>
      <c r="C36" s="297" t="s">
        <v>1838</v>
      </c>
      <c r="D36" s="298">
        <f>IFERROR(VLOOKUP(C36,'字段信息'!A:C,2,),"")</f>
      </c>
      <c r="E36" s="299"/>
      <c r="F36" s="299">
        <f t="shared" si="0"/>
      </c>
      <c r="G36" s="299" t="s">
        <v>1786</v>
      </c>
      <c r="H36" s="300"/>
      <c r="I36" s="300"/>
      <c r="J36" s="300"/>
      <c r="K36" s="300"/>
      <c r="L36" s="301"/>
      <c r="M36" s="308"/>
      <c r="N36" s="317"/>
      <c r="O36" s="305"/>
      <c r="P36" s="305"/>
      <c r="Q36" s="306"/>
      <c r="R36" s="307"/>
      <c r="S36" s="306"/>
      <c r="T36" s="307"/>
      <c r="U36" s="323"/>
      <c r="V36" s="308" t="s">
        <v>1837</v>
      </c>
      <c r="W36" s="317"/>
      <c r="X36" s="305"/>
      <c r="Y36" s="305"/>
      <c r="Z36" s="306"/>
      <c r="AA36" s="307"/>
      <c r="AB36" s="306"/>
      <c r="AC36" s="307"/>
    </row>
    <row customHeight="true" ht="16.071428571428573" r="37">
      <c r="A37" s="266"/>
      <c r="B37" s="296">
        <f>IFERROR(VLOOKUP(C37,'字段信息'!A:C,3,),"")</f>
      </c>
      <c r="C37" s="324" t="s">
        <v>1839</v>
      </c>
      <c r="D37" s="298">
        <f>IFERROR(VLOOKUP(C37,'字段信息'!A:C,2,),"")</f>
      </c>
      <c r="E37" s="299"/>
      <c r="F37" s="299">
        <f t="shared" si="0"/>
      </c>
      <c r="G37" s="299" t="s">
        <v>1786</v>
      </c>
      <c r="H37" s="300"/>
      <c r="I37" s="300"/>
      <c r="J37" s="300"/>
      <c r="K37" s="300"/>
      <c r="L37" s="301"/>
      <c r="M37" s="308"/>
      <c r="N37" s="317"/>
      <c r="O37" s="305"/>
      <c r="P37" s="305"/>
      <c r="Q37" s="306"/>
      <c r="R37" s="307"/>
      <c r="S37" s="306"/>
      <c r="T37" s="307"/>
      <c r="U37" s="323"/>
      <c r="V37" s="308"/>
      <c r="W37" s="317"/>
      <c r="X37" s="305"/>
      <c r="Y37" s="305"/>
      <c r="Z37" s="306"/>
      <c r="AA37" s="307"/>
      <c r="AB37" s="306"/>
      <c r="AC37" s="307"/>
    </row>
    <row customHeight="true" ht="16.071428571428573" r="38">
      <c r="A38" s="266"/>
      <c r="B38" s="296">
        <f>IFERROR(VLOOKUP(C38,'字段信息'!A:C,3,),"")</f>
      </c>
      <c r="C38" s="324" t="s">
        <v>1840</v>
      </c>
      <c r="D38" s="298">
        <f>IFERROR(VLOOKUP(C38,'字段信息'!A:C,2,),"")</f>
      </c>
      <c r="E38" s="299"/>
      <c r="F38" s="299">
        <f t="shared" si="0"/>
      </c>
      <c r="G38" s="299" t="s">
        <v>1786</v>
      </c>
      <c r="H38" s="300"/>
      <c r="I38" s="300"/>
      <c r="J38" s="300"/>
      <c r="K38" s="300"/>
      <c r="L38" s="301"/>
      <c r="M38" s="308"/>
      <c r="N38" s="317"/>
      <c r="O38" s="305"/>
      <c r="P38" s="305"/>
      <c r="Q38" s="306"/>
      <c r="R38" s="307"/>
      <c r="S38" s="306"/>
      <c r="T38" s="307"/>
      <c r="U38" s="323"/>
      <c r="V38" s="308"/>
      <c r="W38" s="317"/>
      <c r="X38" s="305"/>
      <c r="Y38" s="305"/>
      <c r="Z38" s="306"/>
      <c r="AA38" s="307"/>
      <c r="AB38" s="306"/>
      <c r="AC38" s="307"/>
    </row>
    <row customHeight="true" ht="16.071428571428573" r="39">
      <c r="A39" s="266"/>
      <c r="B39" s="296">
        <f>IFERROR(VLOOKUP(C39,'字段信息'!A:C,3,),"")</f>
      </c>
      <c r="C39" s="324" t="s">
        <v>1841</v>
      </c>
      <c r="D39" s="298">
        <f>IFERROR(VLOOKUP(C39,'字段信息'!A:C,2,),"")</f>
      </c>
      <c r="E39" s="299"/>
      <c r="F39" s="299">
        <f t="shared" si="0"/>
      </c>
      <c r="G39" s="299" t="s">
        <v>1786</v>
      </c>
      <c r="H39" s="300"/>
      <c r="I39" s="300"/>
      <c r="J39" s="300"/>
      <c r="K39" s="300"/>
      <c r="L39" s="301"/>
      <c r="M39" s="308"/>
      <c r="N39" s="317"/>
      <c r="O39" s="305"/>
      <c r="P39" s="305"/>
      <c r="Q39" s="306"/>
      <c r="R39" s="307"/>
      <c r="S39" s="306"/>
      <c r="T39" s="307"/>
      <c r="U39" s="323"/>
      <c r="V39" s="308"/>
      <c r="W39" s="317"/>
      <c r="X39" s="305"/>
      <c r="Y39" s="305"/>
      <c r="Z39" s="306"/>
      <c r="AA39" s="307"/>
      <c r="AB39" s="306"/>
      <c r="AC39" s="307"/>
    </row>
    <row customHeight="true" ht="16.071428571428573" r="40">
      <c r="A40" s="266"/>
      <c r="B40" s="296">
        <f>IFERROR(VLOOKUP(C40,'字段信息'!A:C,3,),"")</f>
      </c>
      <c r="C40" s="324" t="s">
        <v>1842</v>
      </c>
      <c r="D40" s="298">
        <f>IFERROR(VLOOKUP(C40,'字段信息'!A:C,2,),"")</f>
      </c>
      <c r="E40" s="299"/>
      <c r="F40" s="299">
        <f t="shared" si="0"/>
      </c>
      <c r="G40" s="299" t="s">
        <v>1786</v>
      </c>
      <c r="H40" s="300"/>
      <c r="I40" s="300"/>
      <c r="J40" s="300"/>
      <c r="K40" s="300"/>
      <c r="L40" s="301"/>
      <c r="M40" s="308"/>
      <c r="N40" s="317"/>
      <c r="O40" s="305"/>
      <c r="P40" s="305"/>
      <c r="Q40" s="306"/>
      <c r="R40" s="307"/>
      <c r="S40" s="306"/>
      <c r="T40" s="307"/>
      <c r="U40" s="323"/>
      <c r="V40" s="308"/>
      <c r="W40" s="317"/>
      <c r="X40" s="305"/>
      <c r="Y40" s="305"/>
      <c r="Z40" s="306"/>
      <c r="AA40" s="307"/>
      <c r="AB40" s="306"/>
      <c r="AC40" s="307"/>
    </row>
    <row customHeight="true" ht="16.071428571428573" r="41">
      <c r="A41" s="266"/>
      <c r="B41" s="296">
        <f>IFERROR(VLOOKUP(C41,'字段信息'!A:C,3,),"")</f>
      </c>
      <c r="C41" s="324" t="s">
        <v>1843</v>
      </c>
      <c r="D41" s="298">
        <f>IFERROR(VLOOKUP(C41,'字段信息'!A:C,2,),"")</f>
      </c>
      <c r="E41" s="299"/>
      <c r="F41" s="299">
        <f t="shared" si="0"/>
      </c>
      <c r="G41" s="299" t="s">
        <v>1786</v>
      </c>
      <c r="H41" s="300"/>
      <c r="I41" s="300"/>
      <c r="J41" s="300"/>
      <c r="K41" s="300"/>
      <c r="L41" s="301"/>
      <c r="M41" s="308"/>
      <c r="N41" s="317"/>
      <c r="O41" s="305"/>
      <c r="P41" s="305"/>
      <c r="Q41" s="306"/>
      <c r="R41" s="307"/>
      <c r="S41" s="306"/>
      <c r="T41" s="307"/>
      <c r="U41" s="323"/>
      <c r="V41" s="308"/>
      <c r="W41" s="317"/>
      <c r="X41" s="305"/>
      <c r="Y41" s="305"/>
      <c r="Z41" s="306"/>
      <c r="AA41" s="307"/>
      <c r="AB41" s="306"/>
      <c r="AC41" s="307"/>
    </row>
    <row customHeight="true" ht="16.071428571428573" r="42">
      <c r="A42" s="266"/>
      <c r="B42" s="296">
        <f>IFERROR(VLOOKUP(C42,'字段信息'!A:C,3,),"")</f>
      </c>
      <c r="C42" s="324" t="s">
        <v>1844</v>
      </c>
      <c r="D42" s="298">
        <f>IFERROR(VLOOKUP(C42,'字段信息'!A:C,2,),"")</f>
      </c>
      <c r="E42" s="299"/>
      <c r="F42" s="299">
        <f t="shared" si="0"/>
      </c>
      <c r="G42" s="299" t="s">
        <v>1786</v>
      </c>
      <c r="H42" s="300"/>
      <c r="I42" s="300"/>
      <c r="J42" s="300"/>
      <c r="K42" s="300"/>
      <c r="L42" s="301"/>
      <c r="M42" s="308"/>
      <c r="N42" s="317"/>
      <c r="O42" s="305"/>
      <c r="P42" s="305"/>
      <c r="Q42" s="306"/>
      <c r="R42" s="307"/>
      <c r="S42" s="306"/>
      <c r="T42" s="307"/>
      <c r="U42" s="323"/>
      <c r="V42" s="308"/>
      <c r="W42" s="317"/>
      <c r="X42" s="305"/>
      <c r="Y42" s="305"/>
      <c r="Z42" s="306"/>
      <c r="AA42" s="307"/>
      <c r="AB42" s="306"/>
      <c r="AC42" s="307"/>
    </row>
    <row customHeight="true" ht="16.071428571428573" r="43">
      <c r="A43" s="266"/>
      <c r="B43" s="296">
        <f>IFERROR(VLOOKUP(C43,'字段信息'!A:C,3,),"")</f>
      </c>
      <c r="C43" s="324" t="s">
        <v>1845</v>
      </c>
      <c r="D43" s="298">
        <f>IFERROR(VLOOKUP(C43,'字段信息'!A:C,2,),"")</f>
      </c>
      <c r="E43" s="299"/>
      <c r="F43" s="299">
        <f t="shared" si="0"/>
      </c>
      <c r="G43" s="299" t="s">
        <v>1786</v>
      </c>
      <c r="H43" s="300"/>
      <c r="I43" s="300"/>
      <c r="J43" s="300"/>
      <c r="K43" s="300"/>
      <c r="L43" s="301"/>
      <c r="M43" s="308"/>
      <c r="N43" s="317"/>
      <c r="O43" s="305"/>
      <c r="P43" s="305"/>
      <c r="Q43" s="306"/>
      <c r="R43" s="307"/>
      <c r="S43" s="306"/>
      <c r="T43" s="307"/>
      <c r="U43" s="323"/>
      <c r="V43" s="308"/>
      <c r="W43" s="317"/>
      <c r="X43" s="305"/>
      <c r="Y43" s="305"/>
      <c r="Z43" s="306"/>
      <c r="AA43" s="307"/>
      <c r="AB43" s="306"/>
      <c r="AC43" s="307"/>
    </row>
    <row customHeight="true" ht="16.071428571428573" r="44">
      <c r="A44" s="266"/>
      <c r="B44" s="296">
        <f>IFERROR(VLOOKUP(C44,'字段信息'!A:C,3,),"")</f>
      </c>
      <c r="C44" s="324" t="s">
        <v>1846</v>
      </c>
      <c r="D44" s="298">
        <f>IFERROR(VLOOKUP(C44,'字段信息'!A:C,2,),"")</f>
      </c>
      <c r="E44" s="299"/>
      <c r="F44" s="299">
        <f t="shared" si="0"/>
      </c>
      <c r="G44" s="299" t="s">
        <v>1786</v>
      </c>
      <c r="H44" s="300"/>
      <c r="I44" s="300"/>
      <c r="J44" s="300"/>
      <c r="K44" s="300"/>
      <c r="L44" s="301"/>
      <c r="M44" s="308"/>
      <c r="N44" s="317"/>
      <c r="O44" s="305"/>
      <c r="P44" s="305"/>
      <c r="Q44" s="306"/>
      <c r="R44" s="307"/>
      <c r="S44" s="306"/>
      <c r="T44" s="307"/>
      <c r="U44" s="323"/>
      <c r="V44" s="308"/>
      <c r="W44" s="317"/>
      <c r="X44" s="305"/>
      <c r="Y44" s="305"/>
      <c r="Z44" s="306"/>
      <c r="AA44" s="307"/>
      <c r="AB44" s="306"/>
      <c r="AC44" s="307"/>
    </row>
    <row customHeight="true" ht="16.071428571428573" r="45">
      <c r="A45" s="266"/>
      <c r="B45" s="296">
        <f>IFERROR(VLOOKUP(C45,'字段信息'!A:C,3,),"")</f>
      </c>
      <c r="C45" s="324" t="s">
        <v>1847</v>
      </c>
      <c r="D45" s="298">
        <f>IFERROR(VLOOKUP(C45,'字段信息'!A:C,2,),"")</f>
      </c>
      <c r="E45" s="299"/>
      <c r="F45" s="299">
        <f t="shared" si="0"/>
      </c>
      <c r="G45" s="299" t="s">
        <v>1786</v>
      </c>
      <c r="H45" s="300"/>
      <c r="I45" s="300"/>
      <c r="J45" s="300"/>
      <c r="K45" s="300"/>
      <c r="L45" s="301"/>
      <c r="M45" s="308"/>
      <c r="N45" s="317"/>
      <c r="O45" s="305"/>
      <c r="P45" s="305"/>
      <c r="Q45" s="306"/>
      <c r="R45" s="307"/>
      <c r="S45" s="306"/>
      <c r="T45" s="307"/>
      <c r="U45" s="323"/>
      <c r="V45" s="308"/>
      <c r="W45" s="317"/>
      <c r="X45" s="305"/>
      <c r="Y45" s="305"/>
      <c r="Z45" s="306"/>
      <c r="AA45" s="307"/>
      <c r="AB45" s="306"/>
      <c r="AC45" s="307"/>
    </row>
    <row r="46">
      <c r="A46" s="266"/>
      <c r="B46" s="296">
        <f>IFERROR(VLOOKUP(C46,'字段信息'!A:C,3,),"")</f>
      </c>
      <c r="C46" s="324" t="s">
        <v>1848</v>
      </c>
      <c r="D46" s="298">
        <f>IFERROR(VLOOKUP(C46,'字段信息'!A:C,2,),"")</f>
      </c>
      <c r="E46" s="299"/>
      <c r="F46" s="299">
        <f t="shared" si="0"/>
      </c>
      <c r="G46" s="299" t="s">
        <v>1786</v>
      </c>
      <c r="H46" s="300"/>
      <c r="I46" s="300"/>
      <c r="J46" s="300"/>
      <c r="K46" s="300"/>
      <c r="L46" s="301" t="s">
        <v>1791</v>
      </c>
      <c r="M46" s="308" t="s">
        <v>1849</v>
      </c>
      <c r="N46" s="317" t="s">
        <v>1796</v>
      </c>
      <c r="O46" s="305" t="s">
        <v>1780</v>
      </c>
      <c r="P46" s="305" t="s">
        <v>1850</v>
      </c>
      <c r="Q46" s="306"/>
      <c r="R46" s="307"/>
      <c r="S46" s="306"/>
      <c r="T46" s="307"/>
      <c r="U46" s="323"/>
      <c r="V46" s="308" t="s">
        <v>1778</v>
      </c>
      <c r="W46" s="317" t="s">
        <v>1796</v>
      </c>
      <c r="X46" s="309" t="s">
        <v>1783</v>
      </c>
      <c r="Y46" s="309" t="s">
        <v>1851</v>
      </c>
      <c r="Z46" s="306"/>
      <c r="AA46" s="307"/>
      <c r="AB46" s="306"/>
      <c r="AC46" s="307"/>
    </row>
    <row r="47">
      <c r="A47" s="266"/>
      <c r="B47" s="296">
        <f>IFERROR(VLOOKUP(C47,'字段信息'!A:C,3,),"")</f>
      </c>
      <c r="C47" s="305" t="s">
        <v>1852</v>
      </c>
      <c r="D47" s="298">
        <f>IFERROR(VLOOKUP(C47,'字段信息'!A:C,2,),"")</f>
      </c>
      <c r="E47" s="299"/>
      <c r="F47" s="299">
        <f t="shared" si="0"/>
      </c>
      <c r="G47" s="299" t="s">
        <v>1786</v>
      </c>
      <c r="H47" s="300"/>
      <c r="I47" s="300"/>
      <c r="J47" s="300"/>
      <c r="K47" s="300"/>
      <c r="L47" s="301" t="s">
        <v>1791</v>
      </c>
      <c r="M47" s="308" t="s">
        <v>1778</v>
      </c>
      <c r="N47" s="317" t="s">
        <v>1796</v>
      </c>
      <c r="O47" s="305" t="s">
        <v>1780</v>
      </c>
      <c r="P47" s="305" t="s">
        <v>1852</v>
      </c>
      <c r="Q47" s="306"/>
      <c r="R47" s="319"/>
      <c r="S47" s="306"/>
      <c r="T47" s="307"/>
      <c r="U47" s="323"/>
      <c r="V47" s="308"/>
      <c r="W47" s="317"/>
      <c r="X47" s="305"/>
      <c r="Y47" s="305"/>
      <c r="Z47" s="306"/>
      <c r="AA47" s="319"/>
      <c r="AB47" s="306"/>
      <c r="AC47" s="307"/>
    </row>
    <row r="48">
      <c r="A48" s="266"/>
      <c r="B48" s="296">
        <f>IFERROR(VLOOKUP(C48,'字段信息'!A:C,3,),"")</f>
      </c>
      <c r="C48" s="296" t="s">
        <v>1853</v>
      </c>
      <c r="D48" s="298">
        <f>IFERROR(VLOOKUP(C48,'字段信息'!A:C,2,),"")</f>
      </c>
      <c r="E48" s="299"/>
      <c r="F48" s="299">
        <f t="shared" si="0"/>
      </c>
      <c r="G48" s="299" t="s">
        <v>1786</v>
      </c>
      <c r="H48" s="300"/>
      <c r="I48" s="300"/>
      <c r="J48" s="300"/>
      <c r="K48" s="300"/>
      <c r="L48" s="301" t="s">
        <v>1791</v>
      </c>
      <c r="M48" s="316" t="s">
        <v>1854</v>
      </c>
      <c r="N48" s="317" t="s">
        <v>1796</v>
      </c>
      <c r="O48" s="325"/>
      <c r="P48" s="305"/>
      <c r="Q48" s="306"/>
      <c r="R48" s="307"/>
      <c r="S48" s="306"/>
      <c r="T48" s="307"/>
      <c r="U48" s="323"/>
      <c r="V48" s="316" t="s">
        <v>1854</v>
      </c>
      <c r="W48" s="317" t="s">
        <v>1796</v>
      </c>
      <c r="X48" s="325"/>
      <c r="Y48" s="305"/>
      <c r="Z48" s="306"/>
      <c r="AA48" s="307"/>
      <c r="AB48" s="306"/>
      <c r="AC48" s="307"/>
    </row>
    <row r="49">
      <c r="A49" s="266"/>
      <c r="B49" s="296">
        <f>IFERROR(VLOOKUP(C49,'字段信息'!A:C,3,),"")</f>
      </c>
      <c r="C49" s="296" t="s">
        <v>1855</v>
      </c>
      <c r="D49" s="298">
        <f>IFERROR(VLOOKUP(C49,'字段信息'!A:C,2,),"")</f>
      </c>
      <c r="E49" s="299"/>
      <c r="F49" s="299">
        <f t="shared" si="0"/>
      </c>
      <c r="G49" s="299" t="s">
        <v>1786</v>
      </c>
      <c r="H49" s="300"/>
      <c r="I49" s="300"/>
      <c r="J49" s="300"/>
      <c r="K49" s="300"/>
      <c r="L49" s="301" t="s">
        <v>1791</v>
      </c>
      <c r="M49" s="316" t="s">
        <v>1856</v>
      </c>
      <c r="N49" s="317" t="s">
        <v>1796</v>
      </c>
      <c r="O49" s="325"/>
      <c r="P49" s="300"/>
      <c r="Q49" s="306"/>
      <c r="R49" s="307"/>
      <c r="S49" s="306"/>
      <c r="T49" s="307"/>
      <c r="U49" s="323"/>
      <c r="V49" s="316" t="s">
        <v>1856</v>
      </c>
      <c r="W49" s="317" t="s">
        <v>1796</v>
      </c>
      <c r="X49" s="325"/>
      <c r="Y49" s="300"/>
      <c r="Z49" s="306"/>
      <c r="AA49" s="307"/>
      <c r="AB49" s="306"/>
      <c r="AC49" s="307"/>
    </row>
    <row r="50">
      <c r="U50" s="323"/>
    </row>
    <row r="51">
      <c r="U51" s="323"/>
    </row>
    <row r="52">
      <c r="U52" s="323"/>
    </row>
    <row r="53">
      <c r="U53" s="323"/>
    </row>
    <row r="54">
      <c r="U54" s="323"/>
    </row>
    <row r="55">
      <c r="U55" s="323"/>
    </row>
    <row r="56">
      <c r="M56" s="326"/>
      <c r="N56" s="327"/>
      <c r="O56" s="326"/>
      <c r="Q56" s="326"/>
      <c r="S56" s="326"/>
      <c r="U56" s="323"/>
      <c r="V56" s="326"/>
      <c r="W56" s="327"/>
      <c r="X56" s="326"/>
      <c r="Z56" s="326"/>
      <c r="AB56" s="326"/>
    </row>
    <row r="57">
      <c r="M57" s="326"/>
      <c r="N57" s="327"/>
      <c r="O57" s="326"/>
      <c r="Q57" s="326"/>
      <c r="S57" s="326"/>
      <c r="U57" s="323"/>
      <c r="V57" s="326"/>
      <c r="W57" s="327"/>
      <c r="X57" s="326"/>
      <c r="Z57" s="326"/>
      <c r="AB57" s="326"/>
    </row>
    <row r="58">
      <c r="M58" s="326"/>
      <c r="N58" s="327"/>
      <c r="O58" s="326"/>
      <c r="Q58" s="326"/>
      <c r="S58" s="326"/>
      <c r="U58" s="323"/>
      <c r="V58" s="326"/>
      <c r="W58" s="327"/>
      <c r="X58" s="326"/>
      <c r="Z58" s="326"/>
      <c r="AB58" s="326"/>
    </row>
    <row r="59">
      <c r="M59" s="326"/>
      <c r="N59" s="327"/>
      <c r="O59" s="326"/>
      <c r="Q59" s="326"/>
      <c r="S59" s="326"/>
      <c r="U59" s="323"/>
      <c r="V59" s="326"/>
      <c r="W59" s="327"/>
      <c r="X59" s="326"/>
      <c r="Z59" s="326"/>
      <c r="AB59" s="326"/>
    </row>
    <row r="60">
      <c r="M60" s="326"/>
      <c r="N60" s="327"/>
      <c r="O60" s="326"/>
      <c r="Q60" s="326"/>
      <c r="S60" s="326"/>
      <c r="U60" s="323"/>
      <c r="V60" s="326"/>
      <c r="W60" s="327"/>
      <c r="X60" s="326"/>
      <c r="Z60" s="326"/>
      <c r="AB60" s="326"/>
    </row>
    <row r="61">
      <c r="M61" s="326"/>
      <c r="N61" s="327"/>
      <c r="O61" s="326"/>
      <c r="Q61" s="326"/>
      <c r="S61" s="326"/>
      <c r="U61" s="323"/>
      <c r="V61" s="326"/>
      <c r="W61" s="327"/>
      <c r="X61" s="326"/>
      <c r="Z61" s="326"/>
      <c r="AB61" s="326"/>
    </row>
    <row r="62">
      <c r="M62" s="326"/>
      <c r="N62" s="327"/>
      <c r="O62" s="326"/>
      <c r="Q62" s="326"/>
      <c r="S62" s="326"/>
      <c r="U62" s="323"/>
      <c r="V62" s="326"/>
      <c r="W62" s="327"/>
      <c r="X62" s="326"/>
      <c r="Z62" s="326"/>
      <c r="AB62" s="326"/>
    </row>
    <row r="63">
      <c r="M63" s="326"/>
      <c r="N63" s="327"/>
      <c r="O63" s="326"/>
      <c r="Q63" s="326"/>
      <c r="S63" s="326"/>
      <c r="U63" s="323"/>
      <c r="V63" s="326"/>
      <c r="W63" s="327"/>
      <c r="X63" s="326"/>
      <c r="Z63" s="326"/>
      <c r="AB63" s="326"/>
    </row>
    <row r="64">
      <c r="M64" s="326"/>
      <c r="N64" s="327"/>
      <c r="O64" s="326"/>
      <c r="Q64" s="326"/>
      <c r="S64" s="326"/>
      <c r="V64" s="326"/>
      <c r="W64" s="327"/>
      <c r="X64" s="326"/>
      <c r="Z64" s="326"/>
      <c r="AB64" s="326"/>
    </row>
    <row r="65">
      <c r="M65" s="326"/>
      <c r="N65" s="327"/>
      <c r="O65" s="326"/>
      <c r="Q65" s="326"/>
      <c r="S65" s="326"/>
      <c r="V65" s="326"/>
      <c r="W65" s="327"/>
      <c r="X65" s="326"/>
      <c r="Z65" s="326"/>
      <c r="AB65" s="326"/>
    </row>
    <row r="66">
      <c r="M66" s="326"/>
      <c r="N66" s="327"/>
      <c r="O66" s="326"/>
      <c r="Q66" s="326"/>
      <c r="S66" s="326"/>
      <c r="V66" s="326"/>
      <c r="W66" s="327"/>
      <c r="X66" s="326"/>
      <c r="Z66" s="326"/>
      <c r="AB66" s="326"/>
    </row>
    <row r="67">
      <c r="M67" s="326"/>
      <c r="N67" s="327"/>
      <c r="O67" s="326"/>
      <c r="Q67" s="326"/>
      <c r="S67" s="326"/>
      <c r="V67" s="326"/>
      <c r="W67" s="327"/>
      <c r="X67" s="326"/>
      <c r="Z67" s="326"/>
      <c r="AB67" s="326"/>
    </row>
    <row r="68">
      <c r="M68" s="326"/>
      <c r="N68" s="327"/>
      <c r="O68" s="326"/>
      <c r="Q68" s="326"/>
      <c r="S68" s="326"/>
      <c r="V68" s="326"/>
      <c r="W68" s="327"/>
      <c r="X68" s="326"/>
      <c r="Z68" s="326"/>
      <c r="AB68" s="326"/>
    </row>
    <row r="69">
      <c r="M69" s="326"/>
      <c r="N69" s="327"/>
      <c r="O69" s="326"/>
      <c r="Q69" s="326"/>
      <c r="S69" s="326"/>
      <c r="V69" s="326"/>
      <c r="W69" s="327"/>
      <c r="X69" s="326"/>
      <c r="Z69" s="326"/>
      <c r="AB69" s="326"/>
    </row>
    <row r="70">
      <c r="M70" s="326"/>
      <c r="N70" s="327"/>
      <c r="O70" s="326"/>
      <c r="Q70" s="326"/>
      <c r="S70" s="326"/>
      <c r="V70" s="326"/>
      <c r="W70" s="327"/>
      <c r="X70" s="326"/>
      <c r="Z70" s="326"/>
      <c r="AB70" s="326"/>
    </row>
    <row r="71">
      <c r="M71" s="326"/>
      <c r="N71" s="327"/>
      <c r="O71" s="326"/>
      <c r="Q71" s="326"/>
      <c r="S71" s="326"/>
      <c r="V71" s="326"/>
      <c r="W71" s="327"/>
      <c r="X71" s="326"/>
      <c r="Z71" s="326"/>
      <c r="AB71" s="326"/>
    </row>
    <row r="72">
      <c r="M72" s="326"/>
      <c r="N72" s="327"/>
      <c r="O72" s="326"/>
      <c r="Q72" s="326"/>
      <c r="S72" s="326"/>
      <c r="V72" s="326"/>
      <c r="W72" s="327"/>
      <c r="X72" s="326"/>
      <c r="Z72" s="326"/>
      <c r="AB72" s="326"/>
    </row>
    <row r="73">
      <c r="M73" s="326"/>
      <c r="N73" s="327"/>
      <c r="O73" s="326"/>
      <c r="Q73" s="326"/>
      <c r="S73" s="326"/>
      <c r="V73" s="326"/>
      <c r="W73" s="327"/>
      <c r="X73" s="326"/>
      <c r="Z73" s="326"/>
      <c r="AB73" s="326"/>
    </row>
    <row r="74">
      <c r="M74" s="326"/>
      <c r="N74" s="327"/>
      <c r="O74" s="326"/>
      <c r="Q74" s="326"/>
      <c r="S74" s="326"/>
      <c r="V74" s="326"/>
      <c r="W74" s="327"/>
      <c r="X74" s="326"/>
      <c r="Z74" s="326"/>
      <c r="AB74" s="326"/>
    </row>
    <row r="75">
      <c r="M75" s="326"/>
      <c r="N75" s="327"/>
      <c r="O75" s="326"/>
      <c r="Q75" s="326"/>
      <c r="S75" s="326"/>
      <c r="V75" s="326"/>
      <c r="W75" s="327"/>
      <c r="X75" s="326"/>
      <c r="Z75" s="326"/>
      <c r="AB75" s="326"/>
    </row>
    <row r="76">
      <c r="M76" s="326"/>
      <c r="N76" s="327"/>
      <c r="O76" s="326"/>
      <c r="Q76" s="326"/>
      <c r="S76" s="326"/>
      <c r="V76" s="326"/>
      <c r="W76" s="327"/>
      <c r="X76" s="326"/>
      <c r="Z76" s="326"/>
      <c r="AB76" s="326"/>
    </row>
    <row r="77">
      <c r="M77" s="326"/>
      <c r="N77" s="327"/>
      <c r="O77" s="326"/>
      <c r="Q77" s="326"/>
      <c r="S77" s="326"/>
      <c r="V77" s="326"/>
      <c r="W77" s="327"/>
      <c r="X77" s="326"/>
      <c r="Z77" s="326"/>
      <c r="AB77" s="326"/>
    </row>
    <row r="78">
      <c r="M78" s="326"/>
      <c r="N78" s="327"/>
      <c r="O78" s="326"/>
      <c r="Q78" s="326"/>
      <c r="S78" s="326"/>
      <c r="V78" s="326"/>
      <c r="W78" s="327"/>
      <c r="X78" s="326"/>
      <c r="Z78" s="326"/>
      <c r="AB78" s="326"/>
    </row>
    <row r="79">
      <c r="M79" s="326"/>
      <c r="N79" s="327"/>
      <c r="O79" s="326"/>
      <c r="Q79" s="326"/>
      <c r="S79" s="326"/>
      <c r="V79" s="326"/>
      <c r="W79" s="327"/>
      <c r="X79" s="326"/>
      <c r="Z79" s="326"/>
      <c r="AB79" s="326"/>
    </row>
  </sheetData>
  <autoFilter ref="A8:T79"/>
  <mergeCells>
    <mergeCell ref="B1:D1"/>
    <mergeCell ref="C2:F2"/>
    <mergeCell ref="M7:T7"/>
    <mergeCell ref="B7:G7"/>
    <mergeCell ref="C6:G6"/>
    <mergeCell ref="V7:AC7"/>
    <mergeCell ref="V6:X6"/>
    <mergeCell ref="M6:O6"/>
  </mergeCells>
  <hyperlinks>
    <hyperlink ref="A1" location="'1. 0 DWD层目录'!A1" display="返回"/>
    <hyperlink ref="A2" location="'规则库'!A1" display="规则库"/>
  </hyperlinks>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8f959e"/>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8" min="8" style="0" width="7.154929577464789"/>
    <col collapsed="false" customWidth="true" hidden="true" max="8" min="8" style="0" width="7.154929577464789"/>
    <col collapsed="false" customWidth="true" hidden="false" max="16" min="16" style="0" width="21.464788598074115"/>
    <col collapsed="false" customWidth="true" hidden="false" max="24" min="24" style="0" width="34.08450704225352"/>
    <col collapsed="false" customWidth="true" hidden="false" max="32" min="32" style="0" width="7.154929577464789"/>
    <col collapsed="false" customWidth="true" hidden="false" max="33" min="33" style="0" width="34.08450704225352"/>
    <col collapsed="false" customWidth="true" hidden="false" max="7" min="7" style="0" width="8.732394366197184"/>
    <col collapsed="false" customWidth="true" hidden="false" max="15" min="15" style="0" width="38.929577464788736"/>
    <col collapsed="false" customWidth="true" hidden="false" max="23" min="23" style="0" width="7.154929577464789"/>
    <col collapsed="false" customWidth="true" hidden="false" max="31" min="31" style="0" width="20.544593614778446"/>
    <col collapsed="false" customWidth="true" hidden="false" max="6" min="6" style="0" width="17.070422535211268"/>
    <col collapsed="false" customWidth="true" hidden="false" max="14" min="14" style="0" width="7.154929577464789"/>
    <col collapsed="false" customWidth="true" hidden="false" max="22" min="22" style="0" width="25.77986232841795"/>
    <col collapsed="false" customWidth="true" hidden="false" max="30" min="30" style="0" width="3.2769874045165714"/>
    <col collapsed="false" customWidth="true" hidden="false" max="5" min="5" style="0" width="10.647887323943662"/>
    <col collapsed="false" customWidth="true" hidden="false" max="13" min="13" style="0" width="21.35211267605634"/>
    <col collapsed="false" customWidth="true" hidden="false" max="21" min="21" style="0" width="6.572770441828307"/>
    <col collapsed="false" customWidth="true" hidden="false" max="29" min="29" style="0" width="5.577464788732394"/>
    <col collapsed="false" customWidth="true" hidden="false" max="38" min="38" style="0" width="5.577464788732394"/>
    <col collapsed="false" customWidth="true" hidden="false" max="4" min="4" style="0" width="12.112676056338028"/>
    <col collapsed="false" customWidth="true" hidden="false" max="12" min="12" style="0" width="9.746478873239436"/>
    <col collapsed="false" customWidth="true" hidden="true" max="12" min="12" style="0" width="9.746478873239436"/>
    <col collapsed="false" customWidth="true" hidden="false" max="20" min="20" style="0" width="5.577464788732394"/>
    <col collapsed="false" customWidth="true" hidden="false" max="28" min="28" style="0" width="28.901408450704224"/>
    <col collapsed="false" customWidth="true" hidden="false" max="37" min="37" style="0" width="28.901408450704224"/>
    <col collapsed="false" customWidth="true" hidden="false" max="3" min="3" style="0" width="19.774647887323944"/>
    <col collapsed="false" customWidth="true" hidden="false" max="11" min="11" style="0" width="8.732394366197184"/>
    <col collapsed="false" customWidth="true" hidden="true" max="11" min="11" style="0" width="8.732394366197184"/>
    <col collapsed="false" customWidth="true" hidden="false" max="19" min="19" style="0" width="29.014081887796095"/>
    <col collapsed="false" customWidth="true" hidden="false" max="27" min="27" style="0" width="18.403753312727698"/>
    <col collapsed="false" customWidth="true" hidden="false" max="36" min="36" style="0" width="21.38965963832292"/>
    <col collapsed="false" customWidth="true" hidden="false" max="2" min="2" style="0" width="15.943661971830986"/>
    <col collapsed="false" customWidth="true" hidden="false" max="10" min="10" style="0" width="13.80281690140845"/>
    <col collapsed="false" customWidth="true" hidden="true" max="10" min="10" style="0" width="13.80281690140845"/>
    <col collapsed="false" customWidth="true" hidden="false" max="18" min="18" style="0" width="8.732394366197184"/>
    <col collapsed="false" customWidth="true" hidden="false" max="26" min="26" style="0" width="26.309859154929576"/>
    <col collapsed="false" customWidth="true" hidden="false" max="35" min="35" style="0" width="26.309859154929576"/>
    <col collapsed="false" customWidth="true" hidden="false" max="1" min="1" style="0" width="5.23943661971831"/>
    <col collapsed="false" customWidth="true" hidden="false" max="9" min="9" style="0" width="8.732394366197184"/>
    <col collapsed="false" customWidth="true" hidden="true" max="9" min="9" style="0" width="8.732394366197184"/>
    <col collapsed="false" customWidth="true" hidden="false" max="17" min="17" style="0" width="26.422535076947355"/>
    <col collapsed="false" customWidth="true" hidden="false" max="25" min="25" style="0" width="21.35211267605634"/>
    <col collapsed="false" customWidth="true" hidden="false" max="34" min="34" style="0" width="21.35211267605634"/>
  </cols>
  <sheetData>
    <row r="1">
      <c r="A1" s="328" t="s">
        <v>1857</v>
      </c>
      <c r="B1" s="329" t="s">
        <v>1858</v>
      </c>
      <c r="C1" s="330"/>
      <c r="D1" s="330"/>
      <c r="E1" s="331"/>
      <c r="F1" s="331"/>
      <c r="G1" s="331"/>
      <c r="H1" s="332"/>
      <c r="I1" s="332"/>
      <c r="J1" s="332"/>
      <c r="K1" s="332"/>
      <c r="L1" s="332"/>
      <c r="M1" s="333"/>
      <c r="N1" s="334"/>
      <c r="O1" s="335"/>
      <c r="P1" s="331"/>
      <c r="Q1" s="335"/>
      <c r="R1" s="331"/>
      <c r="S1" s="335"/>
      <c r="T1" s="331"/>
      <c r="U1" s="331"/>
      <c r="V1" s="333"/>
      <c r="W1" s="334"/>
      <c r="X1" s="335"/>
      <c r="Y1" s="331"/>
      <c r="Z1" s="335"/>
      <c r="AA1" s="335"/>
      <c r="AB1" s="335"/>
      <c r="AC1" s="331"/>
      <c r="AD1" s="332"/>
      <c r="AE1" s="333"/>
      <c r="AF1" s="334"/>
      <c r="AG1" s="335"/>
      <c r="AH1" s="331"/>
      <c r="AI1" s="335"/>
      <c r="AJ1" s="335"/>
      <c r="AK1" s="335"/>
      <c r="AL1" s="331"/>
    </row>
    <row r="2">
      <c r="A2" s="328" t="s">
        <v>1859</v>
      </c>
      <c r="B2" s="336" t="s">
        <v>1860</v>
      </c>
      <c r="C2" s="337" t="s">
        <v>1861</v>
      </c>
      <c r="D2" s="338"/>
      <c r="E2" s="338"/>
      <c r="F2" s="338"/>
      <c r="G2" s="338"/>
      <c r="H2" s="332"/>
      <c r="I2" s="332"/>
      <c r="J2" s="332"/>
      <c r="K2" s="332"/>
      <c r="L2" s="332"/>
      <c r="M2" s="333"/>
      <c r="N2" s="334"/>
      <c r="O2" s="335"/>
      <c r="P2" s="331"/>
      <c r="Q2" s="335"/>
      <c r="R2" s="331"/>
      <c r="S2" s="335"/>
      <c r="T2" s="331"/>
      <c r="U2" s="331"/>
      <c r="V2" s="333"/>
      <c r="W2" s="334"/>
      <c r="X2" s="335"/>
      <c r="Y2" s="331"/>
      <c r="Z2" s="335"/>
      <c r="AA2" s="335"/>
      <c r="AB2" s="335"/>
      <c r="AC2" s="331"/>
      <c r="AD2" s="332"/>
      <c r="AE2" s="333"/>
      <c r="AF2" s="334"/>
      <c r="AG2" s="335"/>
      <c r="AH2" s="331"/>
      <c r="AI2" s="335"/>
      <c r="AJ2" s="335"/>
      <c r="AK2" s="335"/>
      <c r="AL2" s="331"/>
    </row>
    <row r="3">
      <c r="A3" s="339"/>
      <c r="B3" s="340" t="s">
        <v>1862</v>
      </c>
      <c r="C3" s="341" t="s">
        <v>1863</v>
      </c>
      <c r="D3" s="342" t="s">
        <v>1864</v>
      </c>
      <c r="E3" s="343" t="s">
        <v>1865</v>
      </c>
      <c r="F3" s="340" t="s">
        <v>1866</v>
      </c>
      <c r="G3" s="344" t="s">
        <v>1867</v>
      </c>
      <c r="H3" s="332"/>
      <c r="I3" s="332"/>
      <c r="J3" s="332"/>
      <c r="K3" s="332"/>
      <c r="L3" s="332"/>
      <c r="M3" s="333"/>
      <c r="N3" s="334"/>
      <c r="O3" s="335"/>
      <c r="P3" s="331"/>
      <c r="Q3" s="335"/>
      <c r="R3" s="331"/>
      <c r="S3" s="335"/>
      <c r="T3" s="331"/>
      <c r="U3" s="331"/>
      <c r="V3" s="333"/>
      <c r="W3" s="334"/>
      <c r="X3" s="335"/>
      <c r="Y3" s="331"/>
      <c r="Z3" s="335"/>
      <c r="AA3" s="335"/>
      <c r="AB3" s="335"/>
      <c r="AC3" s="331"/>
      <c r="AD3" s="332"/>
      <c r="AE3" s="333"/>
      <c r="AF3" s="334"/>
      <c r="AG3" s="335"/>
      <c r="AH3" s="331"/>
      <c r="AI3" s="335"/>
      <c r="AJ3" s="335"/>
      <c r="AK3" s="335"/>
      <c r="AL3" s="331"/>
    </row>
    <row r="4">
      <c r="A4" s="339"/>
      <c r="B4" s="340" t="s">
        <v>1868</v>
      </c>
      <c r="C4" s="344" t="s">
        <v>1869</v>
      </c>
      <c r="D4" s="345" t="s">
        <v>1870</v>
      </c>
      <c r="E4" s="346" t="s">
        <v>1871</v>
      </c>
      <c r="F4" s="345" t="s">
        <v>1872</v>
      </c>
      <c r="G4" s="344" t="s">
        <v>1873</v>
      </c>
      <c r="H4" s="332"/>
      <c r="I4" s="332"/>
      <c r="J4" s="332"/>
      <c r="K4" s="332"/>
      <c r="L4" s="332"/>
      <c r="M4" s="333"/>
      <c r="N4" s="334"/>
      <c r="O4" s="335"/>
      <c r="P4" s="331"/>
      <c r="Q4" s="335"/>
      <c r="R4" s="331"/>
      <c r="S4" s="335"/>
      <c r="T4" s="331"/>
      <c r="U4" s="331"/>
      <c r="V4" s="333"/>
      <c r="W4" s="334"/>
      <c r="X4" s="335"/>
      <c r="Y4" s="331"/>
      <c r="Z4" s="335"/>
      <c r="AA4" s="335"/>
      <c r="AB4" s="335"/>
      <c r="AC4" s="331"/>
      <c r="AD4" s="332"/>
      <c r="AE4" s="333"/>
      <c r="AF4" s="334"/>
      <c r="AG4" s="335"/>
      <c r="AH4" s="331"/>
      <c r="AI4" s="335"/>
      <c r="AJ4" s="335"/>
      <c r="AK4" s="335"/>
      <c r="AL4" s="331"/>
    </row>
    <row r="5">
      <c r="A5" s="339"/>
      <c r="B5" s="340" t="s">
        <v>1874</v>
      </c>
      <c r="C5" s="341" t="s">
        <v>1875</v>
      </c>
      <c r="D5" s="342" t="s">
        <v>1876</v>
      </c>
      <c r="E5" s="347"/>
      <c r="F5" s="342" t="s">
        <v>1877</v>
      </c>
      <c r="G5" s="348"/>
      <c r="H5" s="332"/>
      <c r="I5" s="332"/>
      <c r="J5" s="332"/>
      <c r="K5" s="332"/>
      <c r="L5" s="332"/>
      <c r="M5" s="349" t="s">
        <v>1878</v>
      </c>
      <c r="N5" s="334"/>
      <c r="O5" s="335"/>
      <c r="P5" s="331"/>
      <c r="Q5" s="335"/>
      <c r="R5" s="331"/>
      <c r="S5" s="335"/>
      <c r="T5" s="331"/>
      <c r="U5" s="331"/>
      <c r="V5" s="333"/>
      <c r="W5" s="334"/>
      <c r="X5" s="335"/>
      <c r="Y5" s="331"/>
      <c r="Z5" s="335"/>
      <c r="AA5" s="335"/>
      <c r="AB5" s="335"/>
      <c r="AC5" s="331"/>
      <c r="AD5" s="332"/>
      <c r="AE5" s="333"/>
      <c r="AF5" s="334"/>
      <c r="AG5" s="335"/>
      <c r="AH5" s="331"/>
      <c r="AI5" s="335"/>
      <c r="AJ5" s="335"/>
      <c r="AK5" s="335"/>
      <c r="AL5" s="331"/>
    </row>
    <row r="6">
      <c r="A6" s="339"/>
      <c r="B6" s="350" t="s">
        <v>1879</v>
      </c>
      <c r="C6" s="351" t="s">
        <v>1880</v>
      </c>
      <c r="D6" s="352"/>
      <c r="E6" s="352"/>
      <c r="F6" s="352"/>
      <c r="G6" s="352"/>
      <c r="H6" s="332"/>
      <c r="I6" s="332"/>
      <c r="J6" s="332"/>
      <c r="K6" s="332"/>
      <c r="L6" s="332"/>
      <c r="M6" s="349" t="s">
        <v>1881</v>
      </c>
      <c r="N6" s="334"/>
      <c r="O6" s="335"/>
      <c r="Q6" s="335"/>
      <c r="R6" s="331"/>
      <c r="S6" s="335"/>
      <c r="T6" s="331"/>
      <c r="U6" s="331"/>
      <c r="V6" s="333"/>
      <c r="W6" s="334"/>
      <c r="X6" s="335"/>
      <c r="Y6" s="331"/>
      <c r="Z6" s="335"/>
      <c r="AA6" s="335"/>
      <c r="AB6" s="335"/>
      <c r="AC6" s="331"/>
      <c r="AD6" s="332"/>
      <c r="AE6" s="333"/>
      <c r="AF6" s="334"/>
      <c r="AG6" s="335"/>
      <c r="AH6" s="331"/>
      <c r="AI6" s="335"/>
      <c r="AJ6" s="335"/>
      <c r="AK6" s="335"/>
      <c r="AL6" s="331"/>
    </row>
    <row r="7">
      <c r="A7" s="353"/>
      <c r="B7" s="354" t="s">
        <v>1882</v>
      </c>
      <c r="C7" s="354"/>
      <c r="D7" s="354"/>
      <c r="E7" s="354"/>
      <c r="F7" s="354"/>
      <c r="G7" s="354"/>
      <c r="H7" s="354"/>
      <c r="I7" s="354"/>
      <c r="J7" s="354"/>
      <c r="K7" s="354"/>
      <c r="L7" s="354"/>
      <c r="M7" s="355" t="s">
        <v>1883</v>
      </c>
      <c r="N7" s="354"/>
      <c r="O7" s="356"/>
      <c r="P7" s="354"/>
      <c r="Q7" s="356"/>
      <c r="R7" s="354"/>
      <c r="S7" s="356"/>
      <c r="T7" s="354"/>
      <c r="U7" s="334"/>
      <c r="V7" s="355" t="s">
        <v>1884</v>
      </c>
      <c r="W7" s="355"/>
      <c r="X7" s="355"/>
      <c r="Y7" s="355"/>
      <c r="Z7" s="355"/>
      <c r="AA7" s="355"/>
      <c r="AB7" s="355"/>
      <c r="AC7" s="355"/>
      <c r="AD7" s="332"/>
      <c r="AE7" s="355" t="s">
        <v>1885</v>
      </c>
      <c r="AF7" s="355"/>
      <c r="AG7" s="355"/>
      <c r="AH7" s="355"/>
      <c r="AI7" s="355"/>
      <c r="AJ7" s="355"/>
      <c r="AK7" s="355"/>
      <c r="AL7" s="355"/>
    </row>
    <row r="8">
      <c r="A8" s="353"/>
      <c r="B8" s="357" t="s">
        <v>1886</v>
      </c>
      <c r="C8" s="357" t="s">
        <v>1887</v>
      </c>
      <c r="D8" s="357" t="s">
        <v>1888</v>
      </c>
      <c r="E8" s="357" t="s">
        <v>1889</v>
      </c>
      <c r="F8" s="357" t="s">
        <v>1890</v>
      </c>
      <c r="G8" s="357" t="s">
        <v>1891</v>
      </c>
      <c r="H8" s="357" t="s">
        <v>1892</v>
      </c>
      <c r="I8" s="357" t="s">
        <v>1893</v>
      </c>
      <c r="J8" s="357" t="s">
        <v>1894</v>
      </c>
      <c r="K8" s="357" t="s">
        <v>1895</v>
      </c>
      <c r="L8" s="357" t="s">
        <v>1896</v>
      </c>
      <c r="M8" s="358" t="s">
        <v>1897</v>
      </c>
      <c r="N8" s="359" t="s">
        <v>1898</v>
      </c>
      <c r="O8" s="360" t="s">
        <v>1899</v>
      </c>
      <c r="P8" s="357" t="s">
        <v>1900</v>
      </c>
      <c r="Q8" s="358" t="s">
        <v>1901</v>
      </c>
      <c r="R8" s="357" t="s">
        <v>1902</v>
      </c>
      <c r="S8" s="358" t="s">
        <v>1903</v>
      </c>
      <c r="T8" s="357" t="s">
        <v>1904</v>
      </c>
      <c r="U8" s="334"/>
      <c r="V8" s="358" t="s">
        <v>1897</v>
      </c>
      <c r="W8" s="359" t="s">
        <v>1898</v>
      </c>
      <c r="X8" s="360" t="s">
        <v>1899</v>
      </c>
      <c r="Y8" s="357" t="s">
        <v>1900</v>
      </c>
      <c r="Z8" s="358" t="s">
        <v>1901</v>
      </c>
      <c r="AA8" s="358" t="s">
        <v>1902</v>
      </c>
      <c r="AB8" s="358" t="s">
        <v>1903</v>
      </c>
      <c r="AC8" s="357" t="s">
        <v>1904</v>
      </c>
      <c r="AD8" s="332"/>
      <c r="AE8" s="358" t="s">
        <v>1897</v>
      </c>
      <c r="AF8" s="359" t="s">
        <v>1898</v>
      </c>
      <c r="AG8" s="360" t="s">
        <v>1899</v>
      </c>
      <c r="AH8" s="357" t="s">
        <v>1900</v>
      </c>
      <c r="AI8" s="358" t="s">
        <v>1901</v>
      </c>
      <c r="AJ8" s="358" t="s">
        <v>1902</v>
      </c>
      <c r="AK8" s="358" t="s">
        <v>1903</v>
      </c>
      <c r="AL8" s="357" t="s">
        <v>1904</v>
      </c>
    </row>
    <row r="9">
      <c r="A9" s="332"/>
      <c r="B9" s="361">
        <f>IFERROR(VLOOKUP(C9,'字段信息'!A:C,3,),"")</f>
      </c>
      <c r="C9" s="362" t="s">
        <v>1905</v>
      </c>
      <c r="D9" s="363">
        <f>IFERROR(VLOOKUP(C9,'字段信息'!A:C,2,),"")</f>
      </c>
      <c r="E9" s="364"/>
      <c r="F9" s="364">
        <f t="shared" ref="F9:F31" si="0">B9</f>
      </c>
      <c r="G9" s="364"/>
      <c r="H9" s="365"/>
      <c r="I9" s="365"/>
      <c r="J9" s="365"/>
      <c r="K9" s="365"/>
      <c r="L9" s="366"/>
      <c r="M9" s="367" t="s">
        <v>1906</v>
      </c>
      <c r="N9" s="368"/>
      <c r="O9" s="369"/>
      <c r="P9" s="370"/>
      <c r="Q9" s="371"/>
      <c r="R9" s="372"/>
      <c r="S9" s="371"/>
      <c r="T9" s="372"/>
      <c r="U9" s="331"/>
      <c r="V9" s="367" t="s">
        <v>1906</v>
      </c>
      <c r="W9" s="368" t="s">
        <v>1907</v>
      </c>
      <c r="X9" s="373" t="s">
        <v>1908</v>
      </c>
      <c r="Y9" s="374" t="s">
        <v>1909</v>
      </c>
      <c r="Z9" s="371"/>
      <c r="AA9" s="371"/>
      <c r="AB9" s="371"/>
      <c r="AC9" s="372"/>
      <c r="AD9" s="332"/>
      <c r="AE9" s="367" t="s">
        <v>1906</v>
      </c>
      <c r="AF9" s="368"/>
      <c r="AG9" s="373" t="s">
        <v>1910</v>
      </c>
      <c r="AH9" s="362" t="s">
        <v>1905</v>
      </c>
      <c r="AI9" s="371"/>
      <c r="AJ9" s="371"/>
      <c r="AK9" s="371"/>
      <c r="AL9" s="372"/>
    </row>
    <row r="10">
      <c r="A10" s="332"/>
      <c r="B10" s="361">
        <f>IFERROR(VLOOKUP(C10,'字段信息'!A:C,3,),"")</f>
      </c>
      <c r="C10" s="362" t="s">
        <v>1911</v>
      </c>
      <c r="D10" s="363">
        <f>IFERROR(VLOOKUP(C10,'字段信息'!A:C,2,),"")</f>
      </c>
      <c r="E10" s="364"/>
      <c r="F10" s="364">
        <f t="shared" si="0"/>
      </c>
      <c r="G10" s="364" t="s">
        <v>1912</v>
      </c>
      <c r="H10" s="365"/>
      <c r="I10" s="365"/>
      <c r="J10" s="365"/>
      <c r="K10" s="365"/>
      <c r="L10" s="366" t="s">
        <v>1913</v>
      </c>
      <c r="M10" s="367" t="s">
        <v>1914</v>
      </c>
      <c r="N10" s="368" t="s">
        <v>1907</v>
      </c>
      <c r="O10" s="373"/>
      <c r="P10" s="373"/>
      <c r="Q10" s="371"/>
      <c r="R10" s="372"/>
      <c r="S10" s="371"/>
      <c r="T10" s="372"/>
      <c r="U10" s="331"/>
      <c r="V10" s="367" t="s">
        <v>1914</v>
      </c>
      <c r="W10" s="368" t="s">
        <v>1907</v>
      </c>
      <c r="X10" s="373" t="s">
        <v>1908</v>
      </c>
      <c r="Y10" s="372" t="s">
        <v>1915</v>
      </c>
      <c r="Z10" s="371"/>
      <c r="AA10" s="371"/>
      <c r="AB10" s="371"/>
      <c r="AC10" s="372"/>
      <c r="AD10" s="332"/>
      <c r="AE10" s="367" t="s">
        <v>1914</v>
      </c>
      <c r="AF10" s="368" t="s">
        <v>1907</v>
      </c>
      <c r="AG10" s="373" t="s">
        <v>1910</v>
      </c>
      <c r="AH10" s="362" t="s">
        <v>1911</v>
      </c>
      <c r="AI10" s="371"/>
      <c r="AJ10" s="371"/>
      <c r="AK10" s="371"/>
      <c r="AL10" s="372"/>
    </row>
    <row r="11">
      <c r="A11" s="332"/>
      <c r="B11" s="361">
        <f>IFERROR(VLOOKUP(C11,'字段信息'!A:C,3,),"")</f>
      </c>
      <c r="C11" s="362" t="s">
        <v>1916</v>
      </c>
      <c r="D11" s="363">
        <f>IFERROR(VLOOKUP(C11,'字段信息'!A:C,2,),"")</f>
      </c>
      <c r="E11" s="364"/>
      <c r="F11" s="364">
        <f t="shared" si="0"/>
      </c>
      <c r="G11" s="364" t="s">
        <v>1912</v>
      </c>
      <c r="H11" s="365"/>
      <c r="I11" s="365"/>
      <c r="J11" s="365"/>
      <c r="K11" s="365"/>
      <c r="L11" s="366" t="s">
        <v>1913</v>
      </c>
      <c r="M11" s="367" t="s">
        <v>1917</v>
      </c>
      <c r="N11" s="375" t="s">
        <v>1907</v>
      </c>
      <c r="O11" s="373"/>
      <c r="P11" s="373"/>
      <c r="Q11" s="371"/>
      <c r="R11" s="372"/>
      <c r="S11" s="371"/>
      <c r="T11" s="372"/>
      <c r="U11" s="331"/>
      <c r="V11" s="367" t="s">
        <v>1917</v>
      </c>
      <c r="W11" s="375" t="s">
        <v>1907</v>
      </c>
      <c r="X11" s="373" t="s">
        <v>1908</v>
      </c>
      <c r="Y11" s="372" t="s">
        <v>1918</v>
      </c>
      <c r="Z11" s="371"/>
      <c r="AA11" s="371"/>
      <c r="AB11" s="371"/>
      <c r="AC11" s="372"/>
      <c r="AD11" s="332"/>
      <c r="AE11" s="367" t="s">
        <v>1917</v>
      </c>
      <c r="AF11" s="375" t="s">
        <v>1907</v>
      </c>
      <c r="AG11" s="373" t="s">
        <v>1910</v>
      </c>
      <c r="AH11" s="362" t="s">
        <v>1916</v>
      </c>
      <c r="AI11" s="371"/>
      <c r="AJ11" s="371"/>
      <c r="AK11" s="371"/>
      <c r="AL11" s="372"/>
    </row>
    <row r="12">
      <c r="A12" s="332"/>
      <c r="B12" s="361">
        <f>IFERROR(VLOOKUP(C12,'字段信息'!A:C,3,),"")</f>
      </c>
      <c r="C12" s="362" t="s">
        <v>1919</v>
      </c>
      <c r="D12" s="363">
        <f>IFERROR(VLOOKUP(C12,'字段信息'!A:C,2,),"")</f>
      </c>
      <c r="E12" s="364"/>
      <c r="F12" s="364">
        <f t="shared" si="0"/>
      </c>
      <c r="G12" s="364" t="s">
        <v>1912</v>
      </c>
      <c r="H12" s="365"/>
      <c r="I12" s="365"/>
      <c r="J12" s="365"/>
      <c r="K12" s="365"/>
      <c r="L12" s="366" t="s">
        <v>1913</v>
      </c>
      <c r="M12" s="376" t="s">
        <v>1920</v>
      </c>
      <c r="N12" s="377" t="s">
        <v>1907</v>
      </c>
      <c r="O12" s="373" t="s">
        <v>1921</v>
      </c>
      <c r="P12" s="362" t="s">
        <v>1919</v>
      </c>
      <c r="Q12" s="371"/>
      <c r="R12" s="372"/>
      <c r="S12" s="371"/>
      <c r="T12" s="372"/>
      <c r="U12" s="331"/>
      <c r="V12" s="376" t="s">
        <v>1920</v>
      </c>
      <c r="W12" s="377" t="s">
        <v>1907</v>
      </c>
      <c r="X12" s="373" t="s">
        <v>1908</v>
      </c>
      <c r="Y12" s="362" t="s">
        <v>1922</v>
      </c>
      <c r="Z12" s="371"/>
      <c r="AA12" s="371"/>
      <c r="AB12" s="371"/>
      <c r="AC12" s="372"/>
      <c r="AD12" s="332"/>
      <c r="AE12" s="376" t="s">
        <v>1920</v>
      </c>
      <c r="AF12" s="377" t="s">
        <v>1907</v>
      </c>
      <c r="AG12" s="373" t="s">
        <v>1910</v>
      </c>
      <c r="AH12" s="362" t="s">
        <v>1919</v>
      </c>
      <c r="AI12" s="371"/>
      <c r="AJ12" s="371"/>
      <c r="AK12" s="371"/>
      <c r="AL12" s="372"/>
    </row>
    <row r="13">
      <c r="A13" s="332"/>
      <c r="B13" s="361" t="s">
        <v>1923</v>
      </c>
      <c r="C13" s="362" t="s">
        <v>1924</v>
      </c>
      <c r="D13" s="363">
        <f>IFERROR(VLOOKUP(C13,'字段信息'!A:C,2,),"")</f>
      </c>
      <c r="E13" s="364"/>
      <c r="F13" s="364">
        <f t="shared" si="0"/>
      </c>
      <c r="G13" s="364" t="s">
        <v>1912</v>
      </c>
      <c r="H13" s="365"/>
      <c r="I13" s="365"/>
      <c r="J13" s="365"/>
      <c r="K13" s="365"/>
      <c r="L13" s="366" t="s">
        <v>1913</v>
      </c>
      <c r="M13" s="376" t="s">
        <v>1920</v>
      </c>
      <c r="N13" s="377" t="s">
        <v>1907</v>
      </c>
      <c r="O13" s="373" t="s">
        <v>1921</v>
      </c>
      <c r="P13" s="378" t="s">
        <v>1925</v>
      </c>
      <c r="Q13" s="371"/>
      <c r="R13" s="372"/>
      <c r="S13" s="371"/>
      <c r="T13" s="372"/>
      <c r="U13" s="331"/>
      <c r="V13" s="376" t="s">
        <v>1920</v>
      </c>
      <c r="W13" s="377" t="s">
        <v>1907</v>
      </c>
      <c r="X13" s="373" t="s">
        <v>1908</v>
      </c>
      <c r="Y13" s="378" t="s">
        <v>1926</v>
      </c>
      <c r="Z13" s="371"/>
      <c r="AA13" s="371"/>
      <c r="AB13" s="371"/>
      <c r="AC13" s="372"/>
      <c r="AD13" s="332"/>
      <c r="AE13" s="376" t="s">
        <v>1920</v>
      </c>
      <c r="AF13" s="377" t="s">
        <v>1907</v>
      </c>
      <c r="AG13" s="373" t="s">
        <v>1910</v>
      </c>
      <c r="AH13" s="378" t="s">
        <v>1926</v>
      </c>
      <c r="AI13" s="371"/>
      <c r="AJ13" s="371"/>
      <c r="AK13" s="371"/>
      <c r="AL13" s="372"/>
    </row>
    <row r="14">
      <c r="A14" s="332"/>
      <c r="B14" s="361" t="s">
        <v>1927</v>
      </c>
      <c r="C14" s="362" t="s">
        <v>1928</v>
      </c>
      <c r="D14" s="363">
        <f>IFERROR(VLOOKUP(C14,'字段信息'!A:C,2,),"")</f>
      </c>
      <c r="E14" s="364"/>
      <c r="F14" s="364">
        <f t="shared" si="0"/>
      </c>
      <c r="G14" s="364" t="s">
        <v>1912</v>
      </c>
      <c r="H14" s="365"/>
      <c r="I14" s="365"/>
      <c r="J14" s="365"/>
      <c r="K14" s="365"/>
      <c r="L14" s="366" t="s">
        <v>1913</v>
      </c>
      <c r="M14" s="376" t="s">
        <v>1920</v>
      </c>
      <c r="N14" s="377" t="s">
        <v>1907</v>
      </c>
      <c r="O14" s="373" t="s">
        <v>1921</v>
      </c>
      <c r="P14" s="378" t="s">
        <v>1929</v>
      </c>
      <c r="Q14" s="371"/>
      <c r="R14" s="372"/>
      <c r="S14" s="371"/>
      <c r="T14" s="372"/>
      <c r="U14" s="331"/>
      <c r="V14" s="376" t="s">
        <v>1920</v>
      </c>
      <c r="W14" s="377" t="s">
        <v>1907</v>
      </c>
      <c r="X14" s="373" t="s">
        <v>1908</v>
      </c>
      <c r="Y14" s="378" t="s">
        <v>1930</v>
      </c>
      <c r="Z14" s="371"/>
      <c r="AA14" s="371"/>
      <c r="AB14" s="371"/>
      <c r="AC14" s="372"/>
      <c r="AD14" s="332"/>
      <c r="AE14" s="376" t="s">
        <v>1920</v>
      </c>
      <c r="AF14" s="377" t="s">
        <v>1907</v>
      </c>
      <c r="AG14" s="373" t="s">
        <v>1910</v>
      </c>
      <c r="AH14" s="378" t="s">
        <v>1930</v>
      </c>
      <c r="AI14" s="371"/>
      <c r="AJ14" s="371"/>
      <c r="AK14" s="371"/>
      <c r="AL14" s="372"/>
    </row>
    <row r="15">
      <c r="A15" s="332"/>
      <c r="B15" s="361">
        <f>IFERROR(VLOOKUP(C15,'字段信息'!A:C,3,),"")</f>
      </c>
      <c r="C15" s="362" t="s">
        <v>1931</v>
      </c>
      <c r="D15" s="363">
        <f>IFERROR(VLOOKUP(C15,'字段信息'!A:C,2,),"")</f>
      </c>
      <c r="E15" s="364"/>
      <c r="F15" s="364">
        <f t="shared" si="0"/>
      </c>
      <c r="G15" s="364" t="s">
        <v>1912</v>
      </c>
      <c r="H15" s="365"/>
      <c r="I15" s="365"/>
      <c r="J15" s="365"/>
      <c r="K15" s="365"/>
      <c r="L15" s="366"/>
      <c r="M15" s="379" t="s">
        <v>1932</v>
      </c>
      <c r="N15" s="377" t="s">
        <v>1907</v>
      </c>
      <c r="O15" s="380" t="s">
        <v>1933</v>
      </c>
      <c r="P15" s="381" t="s">
        <v>1934</v>
      </c>
      <c r="Q15" s="381" t="s">
        <v>1935</v>
      </c>
      <c r="R15" s="372"/>
      <c r="S15" s="371"/>
      <c r="T15" s="372"/>
      <c r="U15" s="331"/>
      <c r="V15" s="379" t="s">
        <v>1932</v>
      </c>
      <c r="W15" s="377" t="s">
        <v>1907</v>
      </c>
      <c r="X15" s="380" t="s">
        <v>1933</v>
      </c>
      <c r="Y15" s="381" t="s">
        <v>1934</v>
      </c>
      <c r="Z15" s="381" t="s">
        <v>1935</v>
      </c>
      <c r="AA15" s="371"/>
      <c r="AB15" s="371"/>
      <c r="AC15" s="372"/>
      <c r="AD15" s="332"/>
      <c r="AE15" s="376" t="s">
        <v>1920</v>
      </c>
      <c r="AF15" s="377" t="s">
        <v>1907</v>
      </c>
      <c r="AG15" s="373" t="s">
        <v>1910</v>
      </c>
      <c r="AH15" s="362" t="s">
        <v>1931</v>
      </c>
      <c r="AI15" s="382"/>
      <c r="AJ15" s="371"/>
      <c r="AK15" s="371"/>
      <c r="AL15" s="372"/>
    </row>
    <row r="16">
      <c r="A16" s="332"/>
      <c r="B16" s="361">
        <f>IFERROR(VLOOKUP(C16,'字段信息'!A:C,3,),"")</f>
      </c>
      <c r="C16" s="362" t="s">
        <v>1936</v>
      </c>
      <c r="D16" s="363">
        <f>IFERROR(VLOOKUP(C16,'字段信息'!A:C,2,),"")</f>
      </c>
      <c r="E16" s="364"/>
      <c r="F16" s="364">
        <f t="shared" si="0"/>
      </c>
      <c r="G16" s="364" t="s">
        <v>1912</v>
      </c>
      <c r="H16" s="365"/>
      <c r="I16" s="365"/>
      <c r="J16" s="365"/>
      <c r="K16" s="365"/>
      <c r="L16" s="366"/>
      <c r="M16" s="379" t="s">
        <v>1937</v>
      </c>
      <c r="N16" s="377" t="s">
        <v>1907</v>
      </c>
      <c r="O16" s="380" t="s">
        <v>1938</v>
      </c>
      <c r="P16" s="381" t="s">
        <v>1936</v>
      </c>
      <c r="Q16" s="381" t="s">
        <v>1939</v>
      </c>
      <c r="R16" s="372"/>
      <c r="S16" s="371"/>
      <c r="T16" s="372"/>
      <c r="U16" s="331"/>
      <c r="V16" s="379" t="s">
        <v>1937</v>
      </c>
      <c r="W16" s="377" t="s">
        <v>1907</v>
      </c>
      <c r="X16" s="380" t="s">
        <v>1938</v>
      </c>
      <c r="Y16" s="381" t="s">
        <v>1936</v>
      </c>
      <c r="Z16" s="383" t="s">
        <v>1939</v>
      </c>
      <c r="AA16" s="371"/>
      <c r="AB16" s="371"/>
      <c r="AC16" s="372"/>
      <c r="AD16" s="332"/>
      <c r="AE16" s="376" t="s">
        <v>1920</v>
      </c>
      <c r="AF16" s="377" t="s">
        <v>1907</v>
      </c>
      <c r="AG16" s="373" t="s">
        <v>1910</v>
      </c>
      <c r="AH16" s="381" t="s">
        <v>1936</v>
      </c>
      <c r="AI16" s="383"/>
      <c r="AJ16" s="371"/>
      <c r="AK16" s="371"/>
      <c r="AL16" s="372"/>
    </row>
    <row r="17">
      <c r="A17" s="332"/>
      <c r="B17" s="361">
        <f>IFERROR(VLOOKUP(C17,'字段信息'!A:C,3,),"")</f>
      </c>
      <c r="C17" s="362" t="s">
        <v>1940</v>
      </c>
      <c r="D17" s="363">
        <f>IFERROR(VLOOKUP(C17,'字段信息'!A:C,2,),"")</f>
      </c>
      <c r="E17" s="364"/>
      <c r="F17" s="364">
        <f t="shared" si="0"/>
      </c>
      <c r="G17" s="364" t="s">
        <v>1912</v>
      </c>
      <c r="H17" s="365"/>
      <c r="I17" s="365"/>
      <c r="J17" s="365"/>
      <c r="K17" s="365"/>
      <c r="L17" s="366"/>
      <c r="M17" s="379" t="s">
        <v>1937</v>
      </c>
      <c r="N17" s="377" t="s">
        <v>1907</v>
      </c>
      <c r="O17" s="380" t="s">
        <v>1938</v>
      </c>
      <c r="P17" s="381" t="s">
        <v>1936</v>
      </c>
      <c r="Q17" s="383" t="s">
        <v>1939</v>
      </c>
      <c r="R17" s="372"/>
      <c r="S17" s="371"/>
      <c r="T17" s="372"/>
      <c r="U17" s="331"/>
      <c r="V17" s="379" t="s">
        <v>1937</v>
      </c>
      <c r="W17" s="377" t="s">
        <v>1907</v>
      </c>
      <c r="X17" s="380" t="s">
        <v>1938</v>
      </c>
      <c r="Y17" s="381" t="s">
        <v>1936</v>
      </c>
      <c r="Z17" s="383" t="s">
        <v>1939</v>
      </c>
      <c r="AA17" s="371"/>
      <c r="AB17" s="371"/>
      <c r="AC17" s="372"/>
      <c r="AD17" s="332"/>
      <c r="AE17" s="376" t="s">
        <v>1920</v>
      </c>
      <c r="AF17" s="377" t="s">
        <v>1907</v>
      </c>
      <c r="AG17" s="373" t="s">
        <v>1910</v>
      </c>
      <c r="AH17" s="381" t="s">
        <v>1936</v>
      </c>
      <c r="AI17" s="383"/>
      <c r="AJ17" s="371"/>
      <c r="AK17" s="371"/>
      <c r="AL17" s="372"/>
    </row>
    <row r="18">
      <c r="A18" s="332"/>
      <c r="B18" s="361">
        <f>IFERROR(VLOOKUP(C18,'字段信息'!A:C,3,),"")</f>
      </c>
      <c r="C18" s="384" t="s">
        <v>1941</v>
      </c>
      <c r="D18" s="363">
        <f>IFERROR(VLOOKUP(C18,'字段信息'!A:C,2,),"")</f>
      </c>
      <c r="E18" s="364"/>
      <c r="F18" s="364">
        <f t="shared" si="0"/>
      </c>
      <c r="G18" s="364" t="s">
        <v>1912</v>
      </c>
      <c r="H18" s="365"/>
      <c r="I18" s="365"/>
      <c r="J18" s="365"/>
      <c r="K18" s="365"/>
      <c r="L18" s="366" t="s">
        <v>1913</v>
      </c>
      <c r="M18" s="376" t="s">
        <v>1942</v>
      </c>
      <c r="N18" s="377"/>
      <c r="O18" s="373"/>
      <c r="P18" s="365"/>
      <c r="Q18" s="371"/>
      <c r="R18" s="372"/>
      <c r="S18" s="371"/>
      <c r="T18" s="372"/>
      <c r="U18" s="331"/>
      <c r="V18" s="376" t="s">
        <v>1920</v>
      </c>
      <c r="W18" s="377" t="s">
        <v>1907</v>
      </c>
      <c r="X18" s="373" t="s">
        <v>1908</v>
      </c>
      <c r="Y18" s="378" t="s">
        <v>1943</v>
      </c>
      <c r="Z18" s="371"/>
      <c r="AA18" s="371"/>
      <c r="AB18" s="371"/>
      <c r="AC18" s="372"/>
      <c r="AD18" s="332"/>
      <c r="AE18" s="376" t="s">
        <v>1920</v>
      </c>
      <c r="AF18" s="377" t="s">
        <v>1907</v>
      </c>
      <c r="AG18" s="373" t="s">
        <v>1910</v>
      </c>
      <c r="AH18" s="384" t="s">
        <v>1941</v>
      </c>
      <c r="AI18" s="371"/>
      <c r="AJ18" s="371"/>
      <c r="AK18" s="371"/>
      <c r="AL18" s="372"/>
    </row>
    <row r="19">
      <c r="A19" s="332"/>
      <c r="B19" s="361">
        <f>IFERROR(VLOOKUP(C19,'字段信息'!A:C,3,),"")</f>
      </c>
      <c r="C19" s="362" t="s">
        <v>1944</v>
      </c>
      <c r="D19" s="363">
        <f>IFERROR(VLOOKUP(C19,'字段信息'!A:C,2,),"")</f>
      </c>
      <c r="E19" s="364"/>
      <c r="F19" s="364">
        <f t="shared" si="0"/>
      </c>
      <c r="G19" s="364" t="s">
        <v>1912</v>
      </c>
      <c r="H19" s="365"/>
      <c r="I19" s="365"/>
      <c r="J19" s="365"/>
      <c r="K19" s="365"/>
      <c r="L19" s="366" t="s">
        <v>1913</v>
      </c>
      <c r="M19" s="376" t="s">
        <v>1942</v>
      </c>
      <c r="N19" s="377"/>
      <c r="O19" s="373"/>
      <c r="P19" s="365"/>
      <c r="Q19" s="371"/>
      <c r="R19" s="372"/>
      <c r="S19" s="371"/>
      <c r="T19" s="372"/>
      <c r="U19" s="331"/>
      <c r="V19" s="376" t="s">
        <v>1942</v>
      </c>
      <c r="W19" s="377"/>
      <c r="X19" s="373"/>
      <c r="Y19" s="365"/>
      <c r="Z19" s="371"/>
      <c r="AA19" s="371"/>
      <c r="AB19" s="371"/>
      <c r="AC19" s="372"/>
      <c r="AD19" s="332"/>
      <c r="AE19" s="376" t="s">
        <v>1920</v>
      </c>
      <c r="AF19" s="377" t="s">
        <v>1907</v>
      </c>
      <c r="AG19" s="373" t="s">
        <v>1910</v>
      </c>
      <c r="AH19" s="362" t="s">
        <v>1944</v>
      </c>
      <c r="AI19" s="371"/>
      <c r="AJ19" s="371"/>
      <c r="AK19" s="371"/>
      <c r="AL19" s="372"/>
    </row>
    <row r="20">
      <c r="A20" s="332"/>
      <c r="B20" s="361">
        <f>IFERROR(VLOOKUP(C20,'字段信息'!A:C,3,),"")</f>
      </c>
      <c r="C20" s="362" t="s">
        <v>1945</v>
      </c>
      <c r="D20" s="363">
        <f>IFERROR(VLOOKUP(C20,'字段信息'!A:C,2,),"")</f>
      </c>
      <c r="E20" s="364"/>
      <c r="F20" s="364">
        <f t="shared" si="0"/>
      </c>
      <c r="G20" s="364" t="s">
        <v>1912</v>
      </c>
      <c r="H20" s="365"/>
      <c r="I20" s="365"/>
      <c r="J20" s="365"/>
      <c r="K20" s="365"/>
      <c r="L20" s="366"/>
      <c r="M20" s="376" t="s">
        <v>1942</v>
      </c>
      <c r="N20" s="377"/>
      <c r="O20" s="373"/>
      <c r="P20" s="378"/>
      <c r="Q20" s="371"/>
      <c r="R20" s="372"/>
      <c r="S20" s="371"/>
      <c r="T20" s="372"/>
      <c r="U20" s="331"/>
      <c r="V20" s="379" t="s">
        <v>1946</v>
      </c>
      <c r="W20" s="377" t="s">
        <v>1907</v>
      </c>
      <c r="X20" s="385" t="s">
        <v>1947</v>
      </c>
      <c r="Y20" s="378"/>
      <c r="Z20" s="371"/>
      <c r="AA20" s="371"/>
      <c r="AB20" s="371"/>
      <c r="AC20" s="372"/>
      <c r="AD20" s="332"/>
      <c r="AE20" s="376" t="s">
        <v>1920</v>
      </c>
      <c r="AF20" s="377" t="s">
        <v>1907</v>
      </c>
      <c r="AG20" s="373" t="s">
        <v>1910</v>
      </c>
      <c r="AH20" s="362" t="s">
        <v>1945</v>
      </c>
      <c r="AI20" s="371"/>
      <c r="AJ20" s="371"/>
      <c r="AK20" s="371"/>
      <c r="AL20" s="372"/>
    </row>
    <row r="21">
      <c r="A21" s="332"/>
      <c r="B21" s="361">
        <f>IFERROR(VLOOKUP(C21,'字段信息'!A:C,3,),"")</f>
      </c>
      <c r="C21" s="362" t="s">
        <v>1948</v>
      </c>
      <c r="D21" s="363">
        <f>IFERROR(VLOOKUP(C21,'字段信息'!A:C,2,),"")</f>
      </c>
      <c r="E21" s="364"/>
      <c r="F21" s="364">
        <f t="shared" si="0"/>
      </c>
      <c r="G21" s="364" t="s">
        <v>1912</v>
      </c>
      <c r="H21" s="365"/>
      <c r="I21" s="365"/>
      <c r="J21" s="365"/>
      <c r="K21" s="365"/>
      <c r="L21" s="366"/>
      <c r="M21" s="376" t="s">
        <v>1942</v>
      </c>
      <c r="N21" s="377"/>
      <c r="O21" s="373"/>
      <c r="P21" s="378"/>
      <c r="Q21" s="371"/>
      <c r="R21" s="372"/>
      <c r="S21" s="371"/>
      <c r="T21" s="372"/>
      <c r="U21" s="331"/>
      <c r="V21" s="379" t="s">
        <v>1946</v>
      </c>
      <c r="W21" s="377" t="s">
        <v>1907</v>
      </c>
      <c r="X21" s="385" t="s">
        <v>1947</v>
      </c>
      <c r="Y21" s="378"/>
      <c r="Z21" s="371"/>
      <c r="AA21" s="371"/>
      <c r="AB21" s="371"/>
      <c r="AC21" s="372"/>
      <c r="AD21" s="332"/>
      <c r="AE21" s="376" t="s">
        <v>1920</v>
      </c>
      <c r="AF21" s="377" t="s">
        <v>1907</v>
      </c>
      <c r="AG21" s="373" t="s">
        <v>1910</v>
      </c>
      <c r="AH21" s="362" t="s">
        <v>1948</v>
      </c>
      <c r="AI21" s="371"/>
      <c r="AJ21" s="371"/>
      <c r="AK21" s="371"/>
      <c r="AL21" s="372"/>
    </row>
    <row r="22">
      <c r="A22" s="332"/>
      <c r="B22" s="361">
        <f>IFERROR(VLOOKUP(C22,'字段信息'!A:C,3,),"")</f>
      </c>
      <c r="C22" s="386" t="s">
        <v>1949</v>
      </c>
      <c r="D22" s="363">
        <f>IFERROR(VLOOKUP(C22,'字段信息'!A:C,2,),"")</f>
      </c>
      <c r="E22" s="364"/>
      <c r="F22" s="364">
        <f t="shared" si="0"/>
      </c>
      <c r="G22" s="364" t="s">
        <v>1912</v>
      </c>
      <c r="H22" s="365"/>
      <c r="I22" s="365"/>
      <c r="J22" s="365"/>
      <c r="K22" s="365"/>
      <c r="L22" s="366"/>
      <c r="M22" s="376" t="s">
        <v>1920</v>
      </c>
      <c r="N22" s="387" t="s">
        <v>1907</v>
      </c>
      <c r="O22" s="388" t="s">
        <v>1921</v>
      </c>
      <c r="P22" s="378" t="s">
        <v>1950</v>
      </c>
      <c r="Q22" s="371"/>
      <c r="R22" s="372"/>
      <c r="S22" s="371"/>
      <c r="T22" s="372"/>
      <c r="U22" s="331"/>
      <c r="V22" s="376" t="s">
        <v>1920</v>
      </c>
      <c r="W22" s="377" t="s">
        <v>1907</v>
      </c>
      <c r="X22" s="373"/>
      <c r="Y22" s="378"/>
      <c r="Z22" s="371"/>
      <c r="AA22" s="371"/>
      <c r="AB22" s="371"/>
      <c r="AC22" s="372"/>
      <c r="AD22" s="332"/>
      <c r="AE22" s="376" t="s">
        <v>1942</v>
      </c>
      <c r="AF22" s="377" t="s">
        <v>1907</v>
      </c>
      <c r="AG22" s="373"/>
      <c r="AH22" s="378"/>
      <c r="AI22" s="371"/>
      <c r="AJ22" s="371"/>
      <c r="AK22" s="371"/>
      <c r="AL22" s="372"/>
    </row>
    <row r="23">
      <c r="A23" s="332"/>
      <c r="B23" s="361">
        <f>IFERROR(VLOOKUP(C23,'字段信息'!A:C,3,),"")</f>
      </c>
      <c r="C23" s="331" t="s">
        <v>1951</v>
      </c>
      <c r="D23" s="363">
        <f>IFERROR(VLOOKUP(C23,'字段信息'!A:C,2,),"")</f>
      </c>
      <c r="E23" s="364"/>
      <c r="F23" s="364">
        <f t="shared" si="0"/>
      </c>
      <c r="G23" s="364" t="s">
        <v>1912</v>
      </c>
      <c r="H23" s="365"/>
      <c r="I23" s="365"/>
      <c r="J23" s="365"/>
      <c r="K23" s="365"/>
      <c r="L23" s="366"/>
      <c r="M23" s="389" t="s">
        <v>1942</v>
      </c>
      <c r="N23" s="368" t="s">
        <v>1907</v>
      </c>
      <c r="O23" s="369"/>
      <c r="P23" s="390"/>
      <c r="Q23" s="371"/>
      <c r="R23" s="372"/>
      <c r="S23" s="371"/>
      <c r="T23" s="372"/>
      <c r="U23" s="331"/>
      <c r="V23" s="376" t="s">
        <v>1920</v>
      </c>
      <c r="W23" s="377" t="s">
        <v>1907</v>
      </c>
      <c r="X23" s="373" t="s">
        <v>1908</v>
      </c>
      <c r="Y23" s="378" t="s">
        <v>1952</v>
      </c>
      <c r="Z23" s="371"/>
      <c r="AA23" s="391" t="s">
        <v>1953</v>
      </c>
      <c r="AB23" s="371"/>
      <c r="AC23" s="372"/>
      <c r="AD23" s="332"/>
      <c r="AE23" s="376" t="s">
        <v>1942</v>
      </c>
      <c r="AF23" s="377" t="s">
        <v>1907</v>
      </c>
      <c r="AG23" s="373"/>
      <c r="AH23" s="378"/>
      <c r="AI23" s="371"/>
      <c r="AJ23" s="391"/>
      <c r="AK23" s="371"/>
      <c r="AL23" s="372"/>
    </row>
    <row r="24">
      <c r="A24" s="332"/>
      <c r="B24" s="361">
        <f>IFERROR(VLOOKUP(C24,'字段信息'!A:C,3,),"")</f>
      </c>
      <c r="C24" s="362" t="s">
        <v>1954</v>
      </c>
      <c r="D24" s="363">
        <f>IFERROR(VLOOKUP(C24,'字段信息'!A:C,2,),"")</f>
      </c>
      <c r="E24" s="364"/>
      <c r="F24" s="364">
        <f t="shared" si="0"/>
      </c>
      <c r="G24" s="364" t="s">
        <v>1912</v>
      </c>
      <c r="H24" s="365"/>
      <c r="I24" s="365"/>
      <c r="J24" s="365"/>
      <c r="K24" s="365"/>
      <c r="L24" s="366"/>
      <c r="M24" s="389" t="s">
        <v>1942</v>
      </c>
      <c r="N24" s="368"/>
      <c r="O24" s="392"/>
      <c r="P24" s="393"/>
      <c r="Q24" s="394"/>
      <c r="R24" s="395"/>
      <c r="S24" s="371"/>
      <c r="T24" s="372"/>
      <c r="U24" s="396"/>
      <c r="V24" s="376" t="s">
        <v>1942</v>
      </c>
      <c r="W24" s="368"/>
      <c r="X24" s="373"/>
      <c r="Y24" s="392"/>
      <c r="Z24" s="394"/>
      <c r="AA24" s="397"/>
      <c r="AB24" s="398"/>
      <c r="AC24" s="397"/>
      <c r="AE24" s="376" t="s">
        <v>1920</v>
      </c>
      <c r="AF24" s="377" t="s">
        <v>1907</v>
      </c>
      <c r="AG24" s="373" t="s">
        <v>1910</v>
      </c>
      <c r="AH24" s="362" t="s">
        <v>1954</v>
      </c>
      <c r="AI24" s="394"/>
      <c r="AJ24" s="399" t="s">
        <v>1955</v>
      </c>
      <c r="AK24" s="398"/>
      <c r="AL24" s="397"/>
    </row>
    <row r="25">
      <c r="A25" s="332"/>
      <c r="B25" s="361">
        <f>IFERROR(VLOOKUP(C25,'字段信息'!A:C,3,),"")</f>
      </c>
      <c r="C25" s="362" t="s">
        <v>1956</v>
      </c>
      <c r="D25" s="363">
        <f>IFERROR(VLOOKUP(C25,'字段信息'!A:C,2,),"")</f>
      </c>
      <c r="E25" s="364"/>
      <c r="F25" s="364">
        <f t="shared" si="0"/>
      </c>
      <c r="G25" s="364" t="s">
        <v>1912</v>
      </c>
      <c r="H25" s="365"/>
      <c r="I25" s="365"/>
      <c r="J25" s="365"/>
      <c r="K25" s="365"/>
      <c r="L25" s="366"/>
      <c r="M25" s="389" t="s">
        <v>1942</v>
      </c>
      <c r="N25" s="368"/>
      <c r="O25" s="392"/>
      <c r="P25" s="393"/>
      <c r="Q25" s="394"/>
      <c r="R25" s="395"/>
      <c r="S25" s="371"/>
      <c r="T25" s="372"/>
      <c r="U25" s="396"/>
      <c r="V25" s="376" t="s">
        <v>1942</v>
      </c>
      <c r="W25" s="368"/>
      <c r="X25" s="373"/>
      <c r="Y25" s="392"/>
      <c r="Z25" s="394"/>
      <c r="AA25" s="397"/>
      <c r="AB25" s="398"/>
      <c r="AC25" s="397"/>
      <c r="AE25" s="376" t="s">
        <v>1920</v>
      </c>
      <c r="AF25" s="377" t="s">
        <v>1907</v>
      </c>
      <c r="AG25" s="373" t="s">
        <v>1910</v>
      </c>
      <c r="AH25" s="362" t="s">
        <v>1956</v>
      </c>
      <c r="AI25" s="394"/>
      <c r="AJ25" s="399">
        <v>600</v>
      </c>
      <c r="AK25" s="400" t="s">
        <v>1957</v>
      </c>
      <c r="AL25" s="397"/>
    </row>
    <row r="26">
      <c r="A26" s="332"/>
      <c r="B26" s="361">
        <f>IFERROR(VLOOKUP(C26,'字段信息'!A:C,3,),"")</f>
      </c>
      <c r="C26" s="362" t="s">
        <v>1958</v>
      </c>
      <c r="D26" s="363">
        <f>IFERROR(VLOOKUP(C26,'字段信息'!A:C,2,),"")</f>
      </c>
      <c r="E26" s="364"/>
      <c r="F26" s="364">
        <f t="shared" si="0"/>
      </c>
      <c r="G26" s="364" t="s">
        <v>1912</v>
      </c>
      <c r="H26" s="365"/>
      <c r="I26" s="365"/>
      <c r="J26" s="365"/>
      <c r="K26" s="365"/>
      <c r="L26" s="366" t="s">
        <v>1913</v>
      </c>
      <c r="M26" s="401" t="s">
        <v>1959</v>
      </c>
      <c r="N26" s="368" t="s">
        <v>1907</v>
      </c>
      <c r="O26" s="392" t="s">
        <v>1960</v>
      </c>
      <c r="P26" s="393"/>
      <c r="Q26" s="394"/>
      <c r="R26" s="395"/>
      <c r="S26" s="371"/>
      <c r="T26" s="372"/>
      <c r="U26" s="396"/>
      <c r="V26" s="402" t="s">
        <v>1959</v>
      </c>
      <c r="W26" s="368" t="s">
        <v>1907</v>
      </c>
      <c r="X26" s="373" t="s">
        <v>1908</v>
      </c>
      <c r="Y26" s="392" t="s">
        <v>1960</v>
      </c>
      <c r="Z26" s="394"/>
      <c r="AA26" s="397"/>
      <c r="AB26" s="398"/>
      <c r="AC26" s="397"/>
      <c r="AE26" s="376" t="s">
        <v>1920</v>
      </c>
      <c r="AF26" s="368" t="s">
        <v>1907</v>
      </c>
      <c r="AG26" s="373" t="s">
        <v>1910</v>
      </c>
      <c r="AH26" s="362" t="s">
        <v>1958</v>
      </c>
      <c r="AI26" s="394"/>
      <c r="AJ26" s="394" t="s">
        <v>1961</v>
      </c>
      <c r="AK26" s="398"/>
      <c r="AL26" s="397"/>
    </row>
    <row r="27">
      <c r="A27" s="332"/>
      <c r="B27" s="361">
        <f>IFERROR(VLOOKUP(C27,'字段信息'!A:C,3,),"")</f>
      </c>
      <c r="C27" s="362" t="s">
        <v>1962</v>
      </c>
      <c r="D27" s="363">
        <f>IFERROR(VLOOKUP(C27,'字段信息'!A:C,2,),"")</f>
      </c>
      <c r="E27" s="364"/>
      <c r="F27" s="364">
        <f t="shared" si="0"/>
      </c>
      <c r="G27" s="364" t="s">
        <v>1912</v>
      </c>
      <c r="H27" s="365"/>
      <c r="I27" s="365"/>
      <c r="J27" s="365"/>
      <c r="K27" s="365"/>
      <c r="L27" s="366" t="s">
        <v>1913</v>
      </c>
      <c r="M27" s="401" t="s">
        <v>1959</v>
      </c>
      <c r="N27" s="368" t="s">
        <v>1907</v>
      </c>
      <c r="O27" s="392" t="s">
        <v>1960</v>
      </c>
      <c r="P27" s="390"/>
      <c r="Q27" s="403"/>
      <c r="R27" s="372"/>
      <c r="S27" s="371"/>
      <c r="T27" s="372"/>
      <c r="U27" s="396"/>
      <c r="V27" s="402" t="s">
        <v>1959</v>
      </c>
      <c r="W27" s="368" t="s">
        <v>1907</v>
      </c>
      <c r="X27" s="373" t="s">
        <v>1908</v>
      </c>
      <c r="Y27" s="392" t="s">
        <v>1960</v>
      </c>
      <c r="Z27" s="398"/>
      <c r="AA27" s="397"/>
      <c r="AB27" s="398"/>
      <c r="AC27" s="397"/>
      <c r="AE27" s="376" t="s">
        <v>1920</v>
      </c>
      <c r="AF27" s="368" t="s">
        <v>1907</v>
      </c>
      <c r="AG27" s="373" t="s">
        <v>1910</v>
      </c>
      <c r="AH27" s="362" t="s">
        <v>1962</v>
      </c>
      <c r="AI27" s="398"/>
      <c r="AJ27" s="397"/>
      <c r="AK27" s="398"/>
      <c r="AL27" s="397"/>
    </row>
    <row r="28">
      <c r="A28" s="332"/>
      <c r="B28" s="361">
        <f>IFERROR(VLOOKUP(C28,'字段信息'!A:C,3,),"")</f>
      </c>
      <c r="C28" s="362" t="s">
        <v>1963</v>
      </c>
      <c r="D28" s="363">
        <f>IFERROR(VLOOKUP(C28,'字段信息'!A:C,2,),"")</f>
      </c>
      <c r="E28" s="364"/>
      <c r="F28" s="364">
        <f t="shared" si="0"/>
      </c>
      <c r="G28" s="364" t="s">
        <v>1912</v>
      </c>
      <c r="H28" s="365"/>
      <c r="I28" s="365"/>
      <c r="J28" s="365"/>
      <c r="K28" s="365"/>
      <c r="L28" s="366" t="s">
        <v>1913</v>
      </c>
      <c r="M28" s="381" t="s">
        <v>1920</v>
      </c>
      <c r="N28" s="368" t="s">
        <v>1907</v>
      </c>
      <c r="O28" s="369" t="s">
        <v>1921</v>
      </c>
      <c r="P28" s="390" t="s">
        <v>1964</v>
      </c>
      <c r="Q28" s="371"/>
      <c r="R28" s="372"/>
      <c r="S28" s="371"/>
      <c r="T28" s="372"/>
      <c r="U28" s="396"/>
      <c r="V28" s="402" t="s">
        <v>1920</v>
      </c>
      <c r="W28" s="368" t="s">
        <v>1907</v>
      </c>
      <c r="X28" s="373" t="s">
        <v>1908</v>
      </c>
      <c r="Y28" s="392" t="s">
        <v>1965</v>
      </c>
      <c r="Z28" s="398"/>
      <c r="AA28" s="397"/>
      <c r="AB28" s="398"/>
      <c r="AC28" s="397"/>
      <c r="AE28" s="376" t="s">
        <v>1920</v>
      </c>
      <c r="AF28" s="368" t="s">
        <v>1907</v>
      </c>
      <c r="AG28" s="373" t="s">
        <v>1910</v>
      </c>
      <c r="AH28" s="362" t="s">
        <v>1963</v>
      </c>
      <c r="AI28" s="398"/>
      <c r="AJ28" s="397"/>
      <c r="AK28" s="398"/>
      <c r="AL28" s="397"/>
    </row>
    <row r="29">
      <c r="A29" s="332"/>
      <c r="B29" s="361">
        <f>IFERROR(VLOOKUP(C29,'字段信息'!A:C,3,),"")</f>
      </c>
      <c r="C29" s="362" t="s">
        <v>1966</v>
      </c>
      <c r="D29" s="363">
        <f>IFERROR(VLOOKUP(C29,'字段信息'!A:C,2,),"")</f>
      </c>
      <c r="E29" s="364"/>
      <c r="F29" s="364">
        <f t="shared" si="0"/>
      </c>
      <c r="G29" s="364" t="s">
        <v>1912</v>
      </c>
      <c r="H29" s="365"/>
      <c r="I29" s="365"/>
      <c r="J29" s="365"/>
      <c r="K29" s="365"/>
      <c r="L29" s="366" t="s">
        <v>1913</v>
      </c>
      <c r="M29" s="379" t="s">
        <v>1920</v>
      </c>
      <c r="N29" s="375" t="s">
        <v>1907</v>
      </c>
      <c r="O29" s="404" t="s">
        <v>1921</v>
      </c>
      <c r="P29" s="378" t="s">
        <v>1964</v>
      </c>
      <c r="Q29" s="371"/>
      <c r="R29" s="372"/>
      <c r="S29" s="371"/>
      <c r="T29" s="372"/>
      <c r="U29" s="396"/>
      <c r="V29" s="402" t="s">
        <v>1920</v>
      </c>
      <c r="W29" s="368" t="s">
        <v>1907</v>
      </c>
      <c r="X29" s="373" t="s">
        <v>1908</v>
      </c>
      <c r="Y29" s="392" t="s">
        <v>1965</v>
      </c>
      <c r="Z29" s="398"/>
      <c r="AA29" s="397"/>
      <c r="AB29" s="398"/>
      <c r="AC29" s="397"/>
      <c r="AE29" s="376" t="s">
        <v>1920</v>
      </c>
      <c r="AF29" s="368" t="s">
        <v>1907</v>
      </c>
      <c r="AG29" s="373" t="s">
        <v>1910</v>
      </c>
      <c r="AH29" s="362" t="s">
        <v>1966</v>
      </c>
      <c r="AI29" s="398"/>
      <c r="AJ29" s="397"/>
      <c r="AK29" s="398"/>
      <c r="AL29" s="397"/>
    </row>
    <row r="30">
      <c r="A30" s="332"/>
      <c r="B30" s="361">
        <f>IFERROR(VLOOKUP(C30,'字段信息'!A:C,3,),"")</f>
      </c>
      <c r="C30" s="362" t="s">
        <v>1967</v>
      </c>
      <c r="D30" s="363">
        <f>IFERROR(VLOOKUP(C30,'字段信息'!A:C,2,),"")</f>
      </c>
      <c r="E30" s="364"/>
      <c r="F30" s="364">
        <f t="shared" si="0"/>
      </c>
      <c r="G30" s="364" t="s">
        <v>1912</v>
      </c>
      <c r="H30" s="365"/>
      <c r="I30" s="365"/>
      <c r="J30" s="365"/>
      <c r="K30" s="365"/>
      <c r="L30" s="366" t="s">
        <v>1913</v>
      </c>
      <c r="M30" s="376" t="s">
        <v>1968</v>
      </c>
      <c r="N30" s="377" t="s">
        <v>1907</v>
      </c>
      <c r="O30" s="373"/>
      <c r="P30" s="378" t="s">
        <v>1969</v>
      </c>
      <c r="Q30" s="371"/>
      <c r="R30" s="372"/>
      <c r="S30" s="371"/>
      <c r="T30" s="372"/>
      <c r="U30" s="331"/>
      <c r="V30" s="376" t="s">
        <v>1968</v>
      </c>
      <c r="W30" s="377" t="s">
        <v>1907</v>
      </c>
      <c r="X30" s="373"/>
      <c r="Y30" s="380" t="s">
        <v>1970</v>
      </c>
      <c r="Z30" s="371"/>
      <c r="AA30" s="371"/>
      <c r="AB30" s="371"/>
      <c r="AC30" s="372"/>
      <c r="AD30" s="332"/>
      <c r="AE30" s="376" t="s">
        <v>1968</v>
      </c>
      <c r="AF30" s="377" t="s">
        <v>1907</v>
      </c>
      <c r="AG30" s="373"/>
      <c r="AH30" s="380"/>
      <c r="AI30" s="371"/>
      <c r="AJ30" s="391"/>
      <c r="AK30" s="391" t="s">
        <v>1971</v>
      </c>
      <c r="AL30" s="372"/>
    </row>
    <row r="31">
      <c r="A31" s="332"/>
      <c r="B31" s="361">
        <f>IFERROR(VLOOKUP(C31,'字段信息'!A:C,3,),"")</f>
      </c>
      <c r="C31" s="362" t="s">
        <v>1972</v>
      </c>
      <c r="D31" s="363">
        <f>IFERROR(VLOOKUP(C31,'字段信息'!A:C,2,),"")</f>
      </c>
      <c r="E31" s="364"/>
      <c r="F31" s="364">
        <f t="shared" si="0"/>
      </c>
      <c r="G31" s="364" t="s">
        <v>1912</v>
      </c>
      <c r="H31" s="365"/>
      <c r="I31" s="365"/>
      <c r="J31" s="365"/>
      <c r="K31" s="365"/>
      <c r="L31" s="366" t="s">
        <v>1913</v>
      </c>
      <c r="M31" s="405" t="s">
        <v>1973</v>
      </c>
      <c r="N31" s="377" t="s">
        <v>1907</v>
      </c>
      <c r="O31" s="373"/>
      <c r="P31" s="365"/>
      <c r="Q31" s="371"/>
      <c r="R31" s="372"/>
      <c r="S31" s="371"/>
      <c r="T31" s="372"/>
      <c r="U31" s="331"/>
      <c r="V31" s="405" t="s">
        <v>1973</v>
      </c>
      <c r="W31" s="377" t="s">
        <v>1907</v>
      </c>
      <c r="X31" s="373"/>
      <c r="Y31" s="365"/>
      <c r="Z31" s="371"/>
      <c r="AA31" s="371"/>
      <c r="AB31" s="371"/>
      <c r="AC31" s="372"/>
      <c r="AD31" s="332"/>
      <c r="AE31" s="405" t="s">
        <v>1973</v>
      </c>
      <c r="AF31" s="377" t="s">
        <v>1907</v>
      </c>
      <c r="AG31" s="373"/>
      <c r="AH31" s="365"/>
      <c r="AI31" s="371"/>
      <c r="AJ31" s="371"/>
      <c r="AK31" s="371"/>
      <c r="AL31" s="372"/>
    </row>
    <row r="32">
      <c r="M32" s="406"/>
      <c r="O32" s="407"/>
      <c r="Q32" s="407"/>
      <c r="S32" s="407"/>
      <c r="V32" s="406"/>
      <c r="X32" s="407"/>
      <c r="Z32" s="407"/>
      <c r="AA32" s="407"/>
      <c r="AB32" s="407"/>
      <c r="AE32" s="406"/>
      <c r="AG32" s="407"/>
      <c r="AI32" s="407"/>
      <c r="AJ32" s="407"/>
      <c r="AK32" s="407"/>
    </row>
    <row r="33">
      <c r="M33" s="406"/>
      <c r="O33" s="407"/>
      <c r="Q33" s="407"/>
      <c r="S33" s="407"/>
      <c r="V33" s="406"/>
      <c r="X33" s="407"/>
      <c r="Z33" s="407"/>
      <c r="AA33" s="407"/>
      <c r="AB33" s="407"/>
      <c r="AE33" s="406"/>
      <c r="AG33" s="407"/>
      <c r="AI33" s="407"/>
      <c r="AJ33" s="407"/>
      <c r="AK33" s="407"/>
    </row>
    <row r="34">
      <c r="M34" s="406"/>
      <c r="O34" s="407"/>
      <c r="Q34" s="407"/>
      <c r="S34" s="407"/>
      <c r="V34" s="406"/>
      <c r="X34" s="407"/>
      <c r="Z34" s="407"/>
      <c r="AA34" s="407"/>
      <c r="AB34" s="407"/>
      <c r="AE34" s="406"/>
      <c r="AG34" s="407"/>
      <c r="AI34" s="407"/>
      <c r="AJ34" s="407"/>
      <c r="AK34" s="407"/>
    </row>
    <row r="35">
      <c r="M35" s="406"/>
      <c r="O35" s="407"/>
      <c r="Q35" s="407"/>
      <c r="S35" s="407"/>
      <c r="V35" s="406"/>
      <c r="X35" s="407"/>
      <c r="Z35" s="407"/>
      <c r="AA35" s="407"/>
      <c r="AB35" s="407"/>
      <c r="AE35" s="406"/>
      <c r="AG35" s="407"/>
      <c r="AI35" s="407"/>
      <c r="AJ35" s="407"/>
      <c r="AK35" s="407"/>
    </row>
    <row r="36">
      <c r="M36" s="406"/>
      <c r="O36" s="407"/>
      <c r="Q36" s="407"/>
      <c r="S36" s="407"/>
      <c r="V36" s="406"/>
      <c r="X36" s="407"/>
      <c r="Z36" s="407"/>
      <c r="AA36" s="407"/>
      <c r="AB36" s="407"/>
      <c r="AE36" s="406"/>
      <c r="AG36" s="407"/>
      <c r="AI36" s="407"/>
      <c r="AJ36" s="407"/>
      <c r="AK36" s="407"/>
    </row>
    <row r="37">
      <c r="M37" s="406"/>
      <c r="O37" s="407"/>
      <c r="Q37" s="407"/>
      <c r="S37" s="407"/>
      <c r="V37" s="406"/>
      <c r="X37" s="407"/>
      <c r="Z37" s="407"/>
      <c r="AA37" s="407"/>
      <c r="AB37" s="407"/>
      <c r="AE37" s="406"/>
      <c r="AG37" s="407"/>
      <c r="AI37" s="407"/>
      <c r="AJ37" s="407"/>
      <c r="AK37" s="407"/>
    </row>
    <row r="38">
      <c r="M38" s="406"/>
      <c r="O38" s="407"/>
      <c r="Q38" s="407"/>
      <c r="S38" s="407"/>
      <c r="V38" s="406"/>
      <c r="X38" s="407"/>
      <c r="Z38" s="407"/>
      <c r="AA38" s="407"/>
      <c r="AB38" s="407"/>
      <c r="AE38" s="406"/>
      <c r="AG38" s="407"/>
      <c r="AI38" s="407"/>
      <c r="AJ38" s="407"/>
      <c r="AK38" s="407"/>
    </row>
    <row r="39">
      <c r="M39" s="406"/>
      <c r="O39" s="407"/>
      <c r="Q39" s="407"/>
      <c r="S39" s="407"/>
      <c r="V39" s="406"/>
      <c r="X39" s="407"/>
      <c r="Z39" s="407"/>
      <c r="AA39" s="407"/>
      <c r="AB39" s="407"/>
      <c r="AE39" s="406"/>
      <c r="AG39" s="407"/>
      <c r="AI39" s="407"/>
      <c r="AJ39" s="407"/>
      <c r="AK39" s="407"/>
    </row>
    <row r="40">
      <c r="M40" s="406"/>
      <c r="O40" s="407"/>
      <c r="Q40" s="407"/>
      <c r="S40" s="407"/>
      <c r="V40" s="406"/>
      <c r="X40" s="407"/>
      <c r="Z40" s="407"/>
      <c r="AA40" s="407"/>
      <c r="AB40" s="407"/>
      <c r="AE40" s="406"/>
      <c r="AG40" s="407"/>
      <c r="AI40" s="407"/>
      <c r="AJ40" s="407"/>
      <c r="AK40" s="407"/>
    </row>
    <row r="41">
      <c r="M41" s="406"/>
      <c r="O41" s="407"/>
      <c r="Q41" s="407"/>
      <c r="S41" s="407"/>
      <c r="V41" s="406"/>
      <c r="X41" s="407"/>
      <c r="Z41" s="407"/>
      <c r="AA41" s="407"/>
      <c r="AB41" s="407"/>
      <c r="AE41" s="406"/>
      <c r="AG41" s="407"/>
      <c r="AI41" s="407"/>
      <c r="AJ41" s="407"/>
      <c r="AK41" s="407"/>
    </row>
    <row r="42">
      <c r="M42" s="406"/>
      <c r="O42" s="407"/>
      <c r="Q42" s="407"/>
      <c r="S42" s="407"/>
      <c r="V42" s="406"/>
      <c r="X42" s="407"/>
      <c r="Z42" s="407"/>
      <c r="AA42" s="407"/>
      <c r="AB42" s="407"/>
      <c r="AE42" s="406"/>
      <c r="AG42" s="407"/>
      <c r="AI42" s="407"/>
      <c r="AJ42" s="407"/>
      <c r="AK42" s="407"/>
    </row>
    <row r="43">
      <c r="M43" s="406"/>
      <c r="O43" s="407"/>
      <c r="Q43" s="407"/>
      <c r="S43" s="407"/>
      <c r="V43" s="406"/>
      <c r="X43" s="407"/>
      <c r="Z43" s="407"/>
      <c r="AA43" s="407"/>
      <c r="AB43" s="407"/>
      <c r="AE43" s="406"/>
      <c r="AG43" s="407"/>
      <c r="AI43" s="407"/>
      <c r="AJ43" s="407"/>
      <c r="AK43" s="407"/>
    </row>
    <row r="44">
      <c r="M44" s="406"/>
      <c r="O44" s="407"/>
      <c r="Q44" s="407"/>
      <c r="S44" s="407"/>
      <c r="V44" s="406"/>
      <c r="X44" s="407"/>
      <c r="Z44" s="407"/>
      <c r="AA44" s="407"/>
      <c r="AB44" s="407"/>
      <c r="AE44" s="406"/>
      <c r="AG44" s="407"/>
      <c r="AI44" s="407"/>
      <c r="AJ44" s="407"/>
      <c r="AK44" s="407"/>
    </row>
    <row r="45">
      <c r="M45" s="406"/>
      <c r="O45" s="407"/>
      <c r="Q45" s="407"/>
      <c r="S45" s="407"/>
      <c r="V45" s="406"/>
      <c r="X45" s="407"/>
      <c r="Z45" s="407"/>
      <c r="AA45" s="407"/>
      <c r="AB45" s="407"/>
      <c r="AE45" s="406"/>
      <c r="AG45" s="407"/>
      <c r="AI45" s="407"/>
      <c r="AJ45" s="407"/>
      <c r="AK45" s="407"/>
    </row>
    <row r="46">
      <c r="M46" s="406"/>
      <c r="O46" s="407"/>
      <c r="Q46" s="407"/>
      <c r="S46" s="407"/>
      <c r="V46" s="406"/>
      <c r="X46" s="407"/>
      <c r="Z46" s="407"/>
      <c r="AA46" s="407"/>
      <c r="AB46" s="407"/>
      <c r="AE46" s="406"/>
      <c r="AG46" s="407"/>
      <c r="AI46" s="407"/>
      <c r="AJ46" s="407"/>
      <c r="AK46" s="407"/>
    </row>
    <row r="47">
      <c r="M47" s="406"/>
      <c r="O47" s="407"/>
      <c r="Q47" s="407"/>
      <c r="S47" s="407"/>
      <c r="V47" s="406"/>
      <c r="X47" s="407"/>
      <c r="Z47" s="407"/>
      <c r="AA47" s="407"/>
      <c r="AB47" s="407"/>
      <c r="AE47" s="406"/>
      <c r="AG47" s="407"/>
      <c r="AI47" s="407"/>
      <c r="AJ47" s="407"/>
      <c r="AK47" s="407"/>
    </row>
    <row r="48">
      <c r="M48" s="406"/>
      <c r="O48" s="407"/>
      <c r="Q48" s="407"/>
      <c r="S48" s="407"/>
      <c r="V48" s="406"/>
      <c r="X48" s="407"/>
      <c r="Z48" s="407"/>
      <c r="AA48" s="407"/>
      <c r="AB48" s="407"/>
      <c r="AE48" s="406"/>
      <c r="AG48" s="407"/>
      <c r="AI48" s="407"/>
      <c r="AJ48" s="407"/>
      <c r="AK48" s="407"/>
    </row>
    <row r="49">
      <c r="M49" s="406"/>
      <c r="O49" s="407"/>
      <c r="Q49" s="407"/>
      <c r="S49" s="407"/>
      <c r="V49" s="406"/>
      <c r="X49" s="407"/>
      <c r="Z49" s="407"/>
      <c r="AA49" s="407"/>
      <c r="AB49" s="407"/>
      <c r="AE49" s="406"/>
      <c r="AG49" s="407"/>
      <c r="AI49" s="407"/>
      <c r="AJ49" s="407"/>
      <c r="AK49" s="407"/>
    </row>
    <row r="50">
      <c r="M50" s="406"/>
      <c r="O50" s="407"/>
      <c r="Q50" s="407"/>
      <c r="S50" s="407"/>
      <c r="V50" s="406"/>
      <c r="X50" s="407"/>
      <c r="Z50" s="407"/>
      <c r="AA50" s="407"/>
      <c r="AB50" s="407"/>
      <c r="AE50" s="406"/>
      <c r="AG50" s="407"/>
      <c r="AI50" s="407"/>
      <c r="AJ50" s="407"/>
      <c r="AK50" s="407"/>
    </row>
    <row r="51">
      <c r="M51" s="406"/>
      <c r="O51" s="407"/>
      <c r="Q51" s="407"/>
      <c r="S51" s="407"/>
      <c r="V51" s="406"/>
      <c r="X51" s="407"/>
      <c r="Z51" s="407"/>
      <c r="AA51" s="407"/>
      <c r="AB51" s="407"/>
      <c r="AE51" s="406"/>
      <c r="AG51" s="407"/>
      <c r="AI51" s="407"/>
      <c r="AJ51" s="407"/>
      <c r="AK51" s="407"/>
    </row>
    <row r="52">
      <c r="M52" s="406"/>
      <c r="O52" s="407"/>
      <c r="Q52" s="407"/>
      <c r="S52" s="407"/>
      <c r="V52" s="406"/>
      <c r="X52" s="407"/>
      <c r="Z52" s="407"/>
      <c r="AA52" s="407"/>
      <c r="AB52" s="407"/>
      <c r="AE52" s="406"/>
      <c r="AG52" s="407"/>
      <c r="AI52" s="407"/>
      <c r="AJ52" s="407"/>
      <c r="AK52" s="407"/>
    </row>
    <row r="53">
      <c r="M53" s="406"/>
      <c r="O53" s="407"/>
      <c r="Q53" s="407"/>
      <c r="S53" s="407"/>
      <c r="V53" s="406"/>
      <c r="X53" s="407"/>
      <c r="Z53" s="407"/>
      <c r="AA53" s="407"/>
      <c r="AB53" s="407"/>
      <c r="AE53" s="406"/>
      <c r="AG53" s="407"/>
      <c r="AI53" s="407"/>
      <c r="AJ53" s="407"/>
      <c r="AK53" s="407"/>
    </row>
    <row r="54">
      <c r="M54" s="406"/>
      <c r="O54" s="407"/>
      <c r="Q54" s="407"/>
      <c r="S54" s="407"/>
      <c r="V54" s="406"/>
      <c r="X54" s="407"/>
      <c r="Z54" s="407"/>
      <c r="AA54" s="407"/>
      <c r="AB54" s="407"/>
      <c r="AE54" s="406"/>
      <c r="AG54" s="407"/>
      <c r="AI54" s="407"/>
      <c r="AJ54" s="407"/>
      <c r="AK54" s="407"/>
    </row>
    <row r="55">
      <c r="M55" s="406"/>
      <c r="O55" s="407"/>
      <c r="Q55" s="407"/>
      <c r="S55" s="407"/>
      <c r="V55" s="406"/>
      <c r="X55" s="407"/>
      <c r="Z55" s="407"/>
      <c r="AA55" s="407"/>
      <c r="AB55" s="407"/>
      <c r="AE55" s="406"/>
      <c r="AG55" s="407"/>
      <c r="AI55" s="407"/>
      <c r="AJ55" s="407"/>
      <c r="AK55" s="407"/>
    </row>
    <row r="56">
      <c r="M56" s="406"/>
      <c r="O56" s="407"/>
      <c r="Q56" s="407"/>
      <c r="S56" s="407"/>
      <c r="V56" s="406"/>
      <c r="X56" s="407"/>
      <c r="Z56" s="407"/>
      <c r="AA56" s="407"/>
      <c r="AB56" s="407"/>
      <c r="AE56" s="406"/>
      <c r="AG56" s="407"/>
      <c r="AI56" s="407"/>
      <c r="AJ56" s="407"/>
      <c r="AK56" s="407"/>
    </row>
    <row r="57">
      <c r="M57" s="406"/>
      <c r="O57" s="407"/>
      <c r="Q57" s="407"/>
      <c r="S57" s="407"/>
      <c r="V57" s="406"/>
      <c r="X57" s="407"/>
      <c r="Z57" s="407"/>
      <c r="AA57" s="407"/>
      <c r="AB57" s="407"/>
      <c r="AE57" s="406"/>
      <c r="AG57" s="407"/>
      <c r="AI57" s="407"/>
      <c r="AJ57" s="407"/>
      <c r="AK57" s="407"/>
    </row>
    <row r="58">
      <c r="M58" s="406"/>
      <c r="O58" s="407"/>
      <c r="Q58" s="407"/>
      <c r="S58" s="407"/>
      <c r="V58" s="406"/>
      <c r="X58" s="407"/>
      <c r="Z58" s="407"/>
      <c r="AA58" s="407"/>
      <c r="AB58" s="407"/>
      <c r="AE58" s="406"/>
      <c r="AG58" s="407"/>
      <c r="AI58" s="407"/>
      <c r="AJ58" s="407"/>
      <c r="AK58" s="407"/>
    </row>
    <row r="59">
      <c r="M59" s="406"/>
      <c r="O59" s="407"/>
      <c r="Q59" s="407"/>
      <c r="S59" s="407"/>
      <c r="V59" s="406"/>
      <c r="X59" s="407"/>
      <c r="Z59" s="407"/>
      <c r="AA59" s="407"/>
      <c r="AB59" s="407"/>
      <c r="AE59" s="406"/>
      <c r="AG59" s="407"/>
      <c r="AI59" s="407"/>
      <c r="AJ59" s="407"/>
      <c r="AK59" s="407"/>
    </row>
    <row r="60">
      <c r="M60" s="406"/>
      <c r="O60" s="407"/>
      <c r="Q60" s="407"/>
      <c r="S60" s="407"/>
      <c r="V60" s="406"/>
      <c r="X60" s="407"/>
      <c r="Z60" s="407"/>
      <c r="AA60" s="407"/>
      <c r="AB60" s="407"/>
      <c r="AE60" s="406"/>
      <c r="AG60" s="407"/>
      <c r="AI60" s="407"/>
      <c r="AJ60" s="407"/>
      <c r="AK60" s="407"/>
    </row>
    <row r="61">
      <c r="M61" s="406"/>
      <c r="O61" s="407"/>
      <c r="Q61" s="407"/>
      <c r="S61" s="407"/>
      <c r="V61" s="406"/>
      <c r="X61" s="407"/>
      <c r="Z61" s="407"/>
      <c r="AA61" s="407"/>
      <c r="AB61" s="407"/>
      <c r="AE61" s="406"/>
      <c r="AG61" s="407"/>
      <c r="AI61" s="407"/>
      <c r="AJ61" s="407"/>
      <c r="AK61" s="407"/>
    </row>
  </sheetData>
  <autoFilter ref="A8:AL61"/>
  <mergeCells>
    <mergeCell ref="AE7:AL7"/>
    <mergeCell ref="C6:G6"/>
    <mergeCell ref="B7:G7"/>
    <mergeCell ref="M7:T7"/>
    <mergeCell ref="C2:F2"/>
    <mergeCell ref="B1:D1"/>
    <mergeCell ref="V7:AC7"/>
  </mergeCells>
  <hyperlinks>
    <hyperlink ref="A1" location="'1. 0 DWD层目录'!A1" display="返回"/>
    <hyperlink ref="A2" location="'规则库'!A1" display="规则库"/>
  </hyperlinks>
  <picture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3" min="3" style="0" width="19.774647887323944"/>
    <col collapsed="false" customWidth="true" hidden="false" max="7" min="7" style="0" width="8.732394366197184"/>
    <col collapsed="false" customWidth="true" hidden="false" max="11" min="11" style="0" width="8.732394366197184"/>
    <col collapsed="false" customWidth="true" hidden="true" max="11" min="11" style="0" width="8.732394366197184"/>
    <col collapsed="false" customWidth="true" hidden="false" max="16" min="16" style="0" width="45.835010060362194"/>
    <col collapsed="false" customWidth="true" hidden="false" max="20" min="20" style="0" width="5.577464788732394"/>
    <col collapsed="false" customWidth="true" hidden="false" max="4" min="4" style="0" width="12.56338028169014"/>
    <col collapsed="false" customWidth="true" hidden="false" max="8" min="8" style="0" width="7.154929577464789"/>
    <col collapsed="false" customWidth="true" hidden="true" max="8" min="8" style="0" width="7.154929577464789"/>
    <col collapsed="false" customWidth="true" hidden="false" max="9" min="9" style="0" width="8.732394366197184"/>
    <col collapsed="false" customWidth="true" hidden="true" max="9" min="9" style="0" width="8.732394366197184"/>
    <col collapsed="false" customWidth="true" hidden="false" max="12" min="12" style="0" width="9.746478873239436"/>
    <col collapsed="false" customWidth="true" hidden="true" max="12" min="12" style="0" width="9.746478873239436"/>
    <col collapsed="false" customWidth="true" hidden="false" max="13" min="13" style="0" width="29.20186831972751"/>
    <col collapsed="false" customWidth="true" hidden="false" max="17" min="17" style="0" width="26.422535076947355"/>
    <col collapsed="false" customWidth="true" hidden="false" max="1" min="1" style="0" width="5.23943661971831"/>
    <col collapsed="false" customWidth="true" hidden="false" max="5" min="5" style="0" width="10.647887323943662"/>
    <col collapsed="false" customWidth="true" hidden="false" max="10" min="10" style="0" width="13.80281690140845"/>
    <col collapsed="false" customWidth="true" hidden="true" max="10" min="10" style="0" width="13.80281690140845"/>
    <col collapsed="false" customWidth="true" hidden="false" max="14" min="14" style="0" width="7.154929577464789"/>
    <col collapsed="false" customWidth="true" hidden="false" max="18" min="18" style="0" width="28.995314719717626"/>
    <col collapsed="false" customWidth="true" hidden="false" max="2" min="2" style="0" width="24.3943661971831"/>
    <col collapsed="false" customWidth="true" hidden="false" max="6" min="6" style="0" width="17.070422535211268"/>
    <col collapsed="false" customWidth="true" hidden="false" max="15" min="15" style="0" width="34.08450704225352"/>
    <col collapsed="false" customWidth="true" hidden="false" max="19" min="19" style="0" width="29.014081887796095"/>
  </cols>
  <sheetData>
    <row r="1">
      <c r="A1" s="408" t="s">
        <v>1974</v>
      </c>
      <c r="B1" s="409" t="s">
        <v>1975</v>
      </c>
      <c r="C1" s="410"/>
      <c r="D1" s="410"/>
      <c r="E1" s="411"/>
      <c r="F1" s="411"/>
      <c r="G1" s="411"/>
      <c r="H1" s="412"/>
      <c r="I1" s="412"/>
      <c r="J1" s="412"/>
      <c r="K1" s="412"/>
      <c r="L1" s="412"/>
      <c r="M1" s="413"/>
      <c r="N1" s="414"/>
      <c r="O1" s="415"/>
      <c r="P1" s="411"/>
      <c r="Q1" s="415"/>
      <c r="R1" s="411"/>
      <c r="S1" s="415"/>
      <c r="T1" s="411"/>
    </row>
    <row r="2">
      <c r="A2" s="408" t="s">
        <v>1976</v>
      </c>
      <c r="B2" s="416" t="s">
        <v>1977</v>
      </c>
      <c r="C2" s="417" t="s">
        <v>1978</v>
      </c>
      <c r="D2" s="418"/>
      <c r="E2" s="418"/>
      <c r="F2" s="418"/>
      <c r="G2" s="418"/>
      <c r="H2" s="412"/>
      <c r="I2" s="412"/>
      <c r="J2" s="412"/>
      <c r="K2" s="412"/>
      <c r="L2" s="412"/>
      <c r="M2" s="413"/>
      <c r="N2" s="414"/>
      <c r="O2" s="415"/>
      <c r="P2" s="411"/>
      <c r="Q2" s="415"/>
      <c r="R2" s="411"/>
      <c r="S2" s="415"/>
      <c r="T2" s="411"/>
    </row>
    <row r="3">
      <c r="A3" s="419"/>
      <c r="B3" s="420" t="s">
        <v>1979</v>
      </c>
      <c r="C3" s="421" t="s">
        <v>1980</v>
      </c>
      <c r="D3" s="422" t="s">
        <v>1981</v>
      </c>
      <c r="E3" s="423" t="s">
        <v>1982</v>
      </c>
      <c r="F3" s="420" t="s">
        <v>1983</v>
      </c>
      <c r="G3" s="424" t="s">
        <v>1984</v>
      </c>
      <c r="H3" s="412"/>
      <c r="I3" s="412"/>
      <c r="J3" s="412"/>
      <c r="K3" s="412"/>
      <c r="L3" s="412"/>
      <c r="M3" s="413"/>
      <c r="N3" s="414"/>
      <c r="O3" s="415"/>
      <c r="P3" s="411"/>
      <c r="Q3" s="415"/>
      <c r="R3" s="411"/>
      <c r="S3" s="415"/>
      <c r="T3" s="411"/>
    </row>
    <row r="4">
      <c r="A4" s="419"/>
      <c r="B4" s="420" t="s">
        <v>1985</v>
      </c>
      <c r="C4" s="424" t="s">
        <v>1986</v>
      </c>
      <c r="D4" s="425" t="s">
        <v>1987</v>
      </c>
      <c r="E4" s="426" t="s">
        <v>1988</v>
      </c>
      <c r="F4" s="425" t="s">
        <v>1989</v>
      </c>
      <c r="G4" s="421" t="s">
        <v>1990</v>
      </c>
      <c r="H4" s="412"/>
      <c r="I4" s="412"/>
      <c r="J4" s="412"/>
      <c r="K4" s="412"/>
      <c r="L4" s="412"/>
      <c r="M4" s="413"/>
      <c r="N4" s="414"/>
      <c r="O4" s="415"/>
      <c r="P4" s="411"/>
      <c r="Q4" s="415"/>
      <c r="R4" s="411"/>
      <c r="S4" s="415"/>
      <c r="T4" s="411"/>
    </row>
    <row r="5">
      <c r="A5" s="419"/>
      <c r="B5" s="420" t="s">
        <v>1991</v>
      </c>
      <c r="C5" s="421" t="s">
        <v>1992</v>
      </c>
      <c r="D5" s="422" t="s">
        <v>1993</v>
      </c>
      <c r="E5" s="427"/>
      <c r="F5" s="422" t="s">
        <v>1994</v>
      </c>
      <c r="G5" s="428"/>
      <c r="H5" s="412"/>
      <c r="I5" s="412"/>
      <c r="J5" s="412"/>
      <c r="K5" s="412"/>
      <c r="L5" s="412"/>
      <c r="M5" s="413"/>
      <c r="N5" s="414"/>
      <c r="O5" s="415"/>
      <c r="P5" s="411"/>
      <c r="Q5" s="415"/>
      <c r="R5" s="411"/>
      <c r="S5" s="415"/>
      <c r="T5" s="411"/>
    </row>
    <row r="6">
      <c r="A6" s="419"/>
      <c r="B6" s="429" t="s">
        <v>1995</v>
      </c>
      <c r="C6" s="430" t="s">
        <v>1996</v>
      </c>
      <c r="D6" s="431"/>
      <c r="E6" s="431"/>
      <c r="F6" s="431"/>
      <c r="G6" s="431"/>
      <c r="H6" s="412"/>
      <c r="I6" s="412"/>
      <c r="J6" s="412"/>
      <c r="K6" s="412"/>
      <c r="L6" s="412"/>
      <c r="M6" s="413"/>
      <c r="N6" s="414"/>
      <c r="O6" s="415"/>
      <c r="P6" s="411"/>
      <c r="Q6" s="415"/>
      <c r="R6" s="411"/>
      <c r="S6" s="415"/>
      <c r="T6" s="411"/>
    </row>
    <row r="7">
      <c r="A7" s="432"/>
      <c r="B7" s="433" t="s">
        <v>1997</v>
      </c>
      <c r="C7" s="433"/>
      <c r="D7" s="433"/>
      <c r="E7" s="433"/>
      <c r="F7" s="433"/>
      <c r="G7" s="433"/>
      <c r="H7" s="433"/>
      <c r="I7" s="433"/>
      <c r="J7" s="433"/>
      <c r="K7" s="433"/>
      <c r="L7" s="433"/>
      <c r="M7" s="434" t="s">
        <v>1998</v>
      </c>
      <c r="N7" s="433"/>
      <c r="O7" s="435"/>
      <c r="P7" s="433"/>
      <c r="Q7" s="435"/>
      <c r="R7" s="433"/>
      <c r="S7" s="435"/>
      <c r="T7" s="433"/>
    </row>
    <row r="8">
      <c r="A8" s="432"/>
      <c r="B8" s="436" t="s">
        <v>1999</v>
      </c>
      <c r="C8" s="436" t="s">
        <v>2000</v>
      </c>
      <c r="D8" s="436" t="s">
        <v>2001</v>
      </c>
      <c r="E8" s="436" t="s">
        <v>2002</v>
      </c>
      <c r="F8" s="436" t="s">
        <v>2003</v>
      </c>
      <c r="G8" s="436" t="s">
        <v>2004</v>
      </c>
      <c r="H8" s="436" t="s">
        <v>2005</v>
      </c>
      <c r="I8" s="436" t="s">
        <v>2006</v>
      </c>
      <c r="J8" s="436" t="s">
        <v>2007</v>
      </c>
      <c r="K8" s="436" t="s">
        <v>2008</v>
      </c>
      <c r="L8" s="436" t="s">
        <v>2009</v>
      </c>
      <c r="M8" s="437" t="s">
        <v>2010</v>
      </c>
      <c r="N8" s="438" t="s">
        <v>2011</v>
      </c>
      <c r="O8" s="439" t="s">
        <v>2012</v>
      </c>
      <c r="P8" s="436" t="s">
        <v>2013</v>
      </c>
      <c r="Q8" s="437" t="s">
        <v>2014</v>
      </c>
      <c r="R8" s="436" t="s">
        <v>2015</v>
      </c>
      <c r="S8" s="437" t="s">
        <v>2016</v>
      </c>
      <c r="T8" s="436" t="s">
        <v>2017</v>
      </c>
    </row>
    <row r="9">
      <c r="A9" s="412"/>
      <c r="B9" s="440">
        <f>IFERROR(VLOOKUP(C9,'字段信息'!A:C,3,),"")</f>
      </c>
      <c r="C9" s="441" t="s">
        <v>2018</v>
      </c>
      <c r="D9" s="442">
        <f>IFERROR(VLOOKUP(C9,'字段信息'!A:C,2,),"")</f>
      </c>
      <c r="E9" s="443"/>
      <c r="F9" s="443">
        <f t="shared" ref="F9:F50" si="0">B9</f>
      </c>
      <c r="G9" s="443"/>
      <c r="H9" s="444"/>
      <c r="I9" s="444"/>
      <c r="J9" s="444"/>
      <c r="K9" s="444"/>
      <c r="L9" s="445"/>
      <c r="M9" s="446" t="s">
        <v>2019</v>
      </c>
      <c r="N9" s="447" t="s">
        <v>2020</v>
      </c>
      <c r="O9" s="448" t="s">
        <v>2021</v>
      </c>
      <c r="P9" s="449" t="s">
        <v>2022</v>
      </c>
      <c r="Q9" s="450"/>
      <c r="R9" s="451"/>
      <c r="S9" s="450"/>
      <c r="T9" s="451"/>
    </row>
    <row r="10">
      <c r="A10" s="412"/>
      <c r="B10" s="440">
        <f>IFERROR(VLOOKUP(C10,'字段信息'!A:C,3,),"")</f>
      </c>
      <c r="C10" s="440" t="s">
        <v>2023</v>
      </c>
      <c r="D10" s="442">
        <f>IFERROR(VLOOKUP(C10,'字段信息'!A:C,2,),"")</f>
      </c>
      <c r="E10" s="443"/>
      <c r="F10" s="443">
        <f t="shared" si="0"/>
      </c>
      <c r="G10" s="443" t="s">
        <v>2024</v>
      </c>
      <c r="H10" s="444"/>
      <c r="I10" s="444"/>
      <c r="J10" s="444"/>
      <c r="K10" s="444"/>
      <c r="L10" s="452"/>
      <c r="M10" s="453" t="s">
        <v>2019</v>
      </c>
      <c r="N10" s="454" t="s">
        <v>2025</v>
      </c>
      <c r="O10" s="455" t="s">
        <v>2021</v>
      </c>
      <c r="P10" s="455" t="s">
        <v>2026</v>
      </c>
      <c r="Q10" s="450"/>
      <c r="R10" s="451"/>
      <c r="S10" s="450"/>
      <c r="T10" s="451"/>
    </row>
    <row r="11">
      <c r="A11" s="412"/>
      <c r="B11" s="440">
        <f>IFERROR(VLOOKUP(C11,'字段信息'!A:C,3,),"")</f>
      </c>
      <c r="C11" s="440" t="s">
        <v>2027</v>
      </c>
      <c r="D11" s="442">
        <f>IFERROR(VLOOKUP(C11,'字段信息'!A:C,2,),"")</f>
      </c>
      <c r="E11" s="443"/>
      <c r="F11" s="443">
        <f t="shared" si="0"/>
      </c>
      <c r="G11" s="443" t="s">
        <v>2024</v>
      </c>
      <c r="H11" s="444"/>
      <c r="I11" s="444"/>
      <c r="J11" s="444"/>
      <c r="K11" s="444"/>
      <c r="L11" s="452" t="s">
        <v>2028</v>
      </c>
      <c r="M11" s="453" t="s">
        <v>2019</v>
      </c>
      <c r="N11" s="454" t="s">
        <v>2029</v>
      </c>
      <c r="O11" s="456" t="s">
        <v>2021</v>
      </c>
      <c r="P11" s="456" t="s">
        <v>2030</v>
      </c>
      <c r="Q11" s="450"/>
      <c r="R11" s="451"/>
      <c r="S11" s="450"/>
      <c r="T11" s="451"/>
    </row>
    <row r="12">
      <c r="A12" s="412"/>
      <c r="B12" s="440">
        <f>IFERROR(VLOOKUP(C12,'字段信息'!A:C,3,),"")</f>
      </c>
      <c r="C12" s="440" t="s">
        <v>2031</v>
      </c>
      <c r="D12" s="442">
        <f>IFERROR(VLOOKUP(C12,'字段信息'!A:C,2,),"")</f>
      </c>
      <c r="E12" s="443"/>
      <c r="F12" s="443">
        <f t="shared" si="0"/>
      </c>
      <c r="G12" s="443" t="s">
        <v>2024</v>
      </c>
      <c r="H12" s="444"/>
      <c r="I12" s="444"/>
      <c r="J12" s="444"/>
      <c r="K12" s="444"/>
      <c r="L12" s="452" t="s">
        <v>2028</v>
      </c>
      <c r="M12" s="453" t="s">
        <v>2019</v>
      </c>
      <c r="N12" s="457" t="s">
        <v>2032</v>
      </c>
      <c r="O12" s="449" t="s">
        <v>2021</v>
      </c>
      <c r="P12" s="449" t="s">
        <v>2033</v>
      </c>
      <c r="Q12" s="458"/>
      <c r="R12" s="451"/>
      <c r="S12" s="450"/>
      <c r="T12" s="451"/>
    </row>
    <row r="13">
      <c r="A13" s="412"/>
      <c r="B13" s="440">
        <f>IFERROR(VLOOKUP(C13,'字段信息'!A:C,3,),"")</f>
      </c>
      <c r="C13" s="440" t="s">
        <v>2034</v>
      </c>
      <c r="D13" s="442">
        <f>IFERROR(VLOOKUP(C13,'字段信息'!A:C,2,),"")</f>
      </c>
      <c r="E13" s="443"/>
      <c r="F13" s="443">
        <f t="shared" si="0"/>
      </c>
      <c r="G13" s="443" t="s">
        <v>2024</v>
      </c>
      <c r="H13" s="444"/>
      <c r="I13" s="444"/>
      <c r="J13" s="444"/>
      <c r="K13" s="444"/>
      <c r="L13" s="452"/>
      <c r="M13" s="453" t="s">
        <v>2035</v>
      </c>
      <c r="N13" s="457"/>
      <c r="O13" s="449"/>
      <c r="P13" s="449"/>
      <c r="Q13" s="458"/>
      <c r="R13" s="451"/>
      <c r="S13" s="450"/>
      <c r="T13" s="451"/>
    </row>
    <row customHeight="true" ht="16.071428571428573" r="14">
      <c r="A14" s="412"/>
      <c r="B14" s="440">
        <f>IFERROR(VLOOKUP(C14,'字段信息'!A:C,3,),"")</f>
      </c>
      <c r="C14" s="441" t="s">
        <v>2036</v>
      </c>
      <c r="D14" s="442">
        <f>IFERROR(VLOOKUP(C14,'字段信息'!A:C,2,),"")</f>
      </c>
      <c r="E14" s="443"/>
      <c r="F14" s="443">
        <f t="shared" si="0"/>
      </c>
      <c r="G14" s="443" t="s">
        <v>2024</v>
      </c>
      <c r="H14" s="444"/>
      <c r="I14" s="444"/>
      <c r="J14" s="444"/>
      <c r="K14" s="444"/>
      <c r="L14" s="452"/>
      <c r="M14" s="453" t="s">
        <v>2019</v>
      </c>
      <c r="N14" s="457" t="s">
        <v>2032</v>
      </c>
      <c r="O14" s="449" t="s">
        <v>2021</v>
      </c>
      <c r="P14" s="449" t="s">
        <v>2037</v>
      </c>
      <c r="Q14" s="458"/>
      <c r="R14" s="451"/>
      <c r="S14" s="450"/>
      <c r="T14" s="451"/>
    </row>
    <row r="15">
      <c r="A15" s="459"/>
      <c r="B15" s="440">
        <f>IFERROR(VLOOKUP(C15,'字段信息'!A:C,3,),"")</f>
      </c>
      <c r="C15" s="441" t="s">
        <v>2038</v>
      </c>
      <c r="D15" s="442">
        <f>IFERROR(VLOOKUP(C15,'字段信息'!A:C,2,),"")</f>
      </c>
      <c r="E15" s="443"/>
      <c r="F15" s="443">
        <f t="shared" si="0"/>
      </c>
      <c r="G15" s="443" t="s">
        <v>2024</v>
      </c>
      <c r="H15" s="444"/>
      <c r="I15" s="444"/>
      <c r="J15" s="444"/>
      <c r="K15" s="444"/>
      <c r="L15" s="452"/>
      <c r="M15" s="460" t="s">
        <v>2039</v>
      </c>
      <c r="N15" s="457" t="s">
        <v>2032</v>
      </c>
      <c r="O15" s="461" t="s">
        <v>2040</v>
      </c>
      <c r="P15" s="462" t="s">
        <v>2041</v>
      </c>
      <c r="Q15" s="463"/>
      <c r="R15" s="464"/>
      <c r="S15" s="450"/>
      <c r="T15" s="451"/>
    </row>
    <row r="16">
      <c r="A16" s="459"/>
      <c r="B16" s="440">
        <f>IFERROR(VLOOKUP(C16,'字段信息'!A:C,3,),"")</f>
      </c>
      <c r="C16" s="441" t="s">
        <v>2042</v>
      </c>
      <c r="D16" s="442">
        <f>IFERROR(VLOOKUP(C16,'字段信息'!A:C,2,),"")</f>
      </c>
      <c r="E16" s="443"/>
      <c r="F16" s="443">
        <f t="shared" si="0"/>
      </c>
      <c r="G16" s="443" t="s">
        <v>2024</v>
      </c>
      <c r="H16" s="444"/>
      <c r="I16" s="444"/>
      <c r="J16" s="444"/>
      <c r="K16" s="444"/>
      <c r="L16" s="452"/>
      <c r="M16" s="453" t="s">
        <v>2043</v>
      </c>
      <c r="N16" s="465" t="s">
        <v>2032</v>
      </c>
      <c r="O16" s="466" t="s">
        <v>2044</v>
      </c>
      <c r="P16" s="467" t="s">
        <v>2045</v>
      </c>
      <c r="Q16" s="468" t="s">
        <v>2046</v>
      </c>
      <c r="R16" s="464" t="s">
        <v>2047</v>
      </c>
      <c r="S16" s="450"/>
      <c r="T16" s="451"/>
    </row>
    <row customHeight="true" ht="16.071428571428573" r="17">
      <c r="A17" s="412"/>
      <c r="B17" s="440">
        <f>IFERROR(VLOOKUP(C17,'字段信息'!A:C,3,),"")</f>
      </c>
      <c r="C17" s="441" t="s">
        <v>2048</v>
      </c>
      <c r="D17" s="442">
        <f>IFERROR(VLOOKUP(C17,'字段信息'!A:C,2,),"")</f>
      </c>
      <c r="E17" s="443"/>
      <c r="F17" s="443">
        <f t="shared" si="0"/>
      </c>
      <c r="G17" s="443" t="s">
        <v>2024</v>
      </c>
      <c r="H17" s="444"/>
      <c r="I17" s="444"/>
      <c r="J17" s="444"/>
      <c r="K17" s="444"/>
      <c r="L17" s="452"/>
      <c r="M17" s="453" t="s">
        <v>2019</v>
      </c>
      <c r="N17" s="465" t="s">
        <v>2032</v>
      </c>
      <c r="O17" s="455" t="s">
        <v>2021</v>
      </c>
      <c r="P17" s="449" t="s">
        <v>2049</v>
      </c>
      <c r="Q17" s="450"/>
      <c r="R17" s="451"/>
      <c r="S17" s="450"/>
      <c r="T17" s="451"/>
    </row>
    <row customHeight="true" ht="35.714285714285715" r="18">
      <c r="A18" s="412"/>
      <c r="B18" s="440">
        <f>IFERROR(VLOOKUP(C18,'字段信息'!A:C,3,),"")</f>
      </c>
      <c r="C18" s="441" t="s">
        <v>2050</v>
      </c>
      <c r="D18" s="442">
        <f>IFERROR(VLOOKUP(C18,'字段信息'!A:C,2,),"")</f>
      </c>
      <c r="E18" s="443"/>
      <c r="F18" s="443">
        <f t="shared" si="0"/>
      </c>
      <c r="G18" s="443" t="s">
        <v>2024</v>
      </c>
      <c r="H18" s="444"/>
      <c r="I18" s="444"/>
      <c r="J18" s="444"/>
      <c r="K18" s="444"/>
      <c r="L18" s="452"/>
      <c r="M18" s="453" t="s">
        <v>2039</v>
      </c>
      <c r="N18" s="465" t="s">
        <v>2032</v>
      </c>
      <c r="O18" s="455" t="s">
        <v>2051</v>
      </c>
      <c r="P18" s="460" t="s">
        <v>2052</v>
      </c>
      <c r="Q18" s="468"/>
      <c r="R18" s="451"/>
      <c r="S18" s="450"/>
      <c r="T18" s="451"/>
    </row>
    <row r="19">
      <c r="A19" s="412"/>
      <c r="B19" s="440">
        <f>IFERROR(VLOOKUP(C19,'字段信息'!A:C,3,),"")</f>
      </c>
      <c r="C19" s="441" t="s">
        <v>2053</v>
      </c>
      <c r="D19" s="442">
        <f>IFERROR(VLOOKUP(C19,'字段信息'!A:C,2,),"")</f>
      </c>
      <c r="E19" s="443"/>
      <c r="F19" s="443">
        <f t="shared" si="0"/>
      </c>
      <c r="G19" s="443" t="s">
        <v>2024</v>
      </c>
      <c r="H19" s="444"/>
      <c r="I19" s="444"/>
      <c r="J19" s="444"/>
      <c r="K19" s="444"/>
      <c r="L19" s="452"/>
      <c r="M19" s="453" t="s">
        <v>2039</v>
      </c>
      <c r="N19" s="465" t="s">
        <v>2032</v>
      </c>
      <c r="O19" s="455" t="s">
        <v>2051</v>
      </c>
      <c r="P19" s="449" t="s">
        <v>2054</v>
      </c>
      <c r="Q19" s="468" t="s">
        <v>2055</v>
      </c>
      <c r="R19" s="451"/>
      <c r="S19" s="450"/>
      <c r="T19" s="451"/>
    </row>
    <row customHeight="true" ht="16.071428571428573" r="20">
      <c r="A20" s="412"/>
      <c r="B20" s="440">
        <f>IFERROR(VLOOKUP(C20,'字段信息'!A:C,3,),"")</f>
      </c>
      <c r="C20" s="441" t="s">
        <v>2056</v>
      </c>
      <c r="D20" s="442">
        <f>IFERROR(VLOOKUP(C20,'字段信息'!A:C,2,),"")</f>
      </c>
      <c r="E20" s="443"/>
      <c r="F20" s="443">
        <f t="shared" si="0"/>
      </c>
      <c r="G20" s="443" t="s">
        <v>2024</v>
      </c>
      <c r="H20" s="444"/>
      <c r="I20" s="444"/>
      <c r="J20" s="444"/>
      <c r="K20" s="444"/>
      <c r="L20" s="452"/>
      <c r="M20" s="453" t="s">
        <v>2019</v>
      </c>
      <c r="N20" s="465" t="s">
        <v>2032</v>
      </c>
      <c r="O20" s="455" t="s">
        <v>2021</v>
      </c>
      <c r="P20" s="449" t="s">
        <v>2057</v>
      </c>
      <c r="Q20" s="450"/>
      <c r="R20" s="451"/>
      <c r="S20" s="450"/>
      <c r="T20" s="451"/>
    </row>
    <row customHeight="true" ht="16.071428571428573" r="21">
      <c r="A21" s="412"/>
      <c r="B21" s="440">
        <f>IFERROR(VLOOKUP(C21,'字段信息'!A:C,3,),"")</f>
      </c>
      <c r="C21" s="441" t="s">
        <v>2058</v>
      </c>
      <c r="D21" s="442">
        <f>IFERROR(VLOOKUP(C21,'字段信息'!A:C,2,),"")</f>
      </c>
      <c r="E21" s="443"/>
      <c r="F21" s="443">
        <f t="shared" si="0"/>
      </c>
      <c r="G21" s="443" t="s">
        <v>2024</v>
      </c>
      <c r="H21" s="444"/>
      <c r="I21" s="444"/>
      <c r="J21" s="444"/>
      <c r="K21" s="444"/>
      <c r="L21" s="452"/>
      <c r="M21" s="453" t="s">
        <v>2019</v>
      </c>
      <c r="N21" s="465" t="s">
        <v>2032</v>
      </c>
      <c r="O21" s="455" t="s">
        <v>2021</v>
      </c>
      <c r="P21" s="449" t="s">
        <v>2059</v>
      </c>
      <c r="Q21" s="450"/>
      <c r="R21" s="451"/>
      <c r="S21" s="450"/>
      <c r="T21" s="451"/>
    </row>
    <row r="22">
      <c r="A22" s="412"/>
      <c r="B22" s="440">
        <f>IFERROR(VLOOKUP(C22,'字段信息'!A:C,3,),"")</f>
      </c>
      <c r="C22" s="441" t="s">
        <v>2060</v>
      </c>
      <c r="D22" s="442">
        <f>IFERROR(VLOOKUP(C22,'字段信息'!A:C,2,),"")</f>
      </c>
      <c r="E22" s="443"/>
      <c r="F22" s="443">
        <f t="shared" si="0"/>
      </c>
      <c r="G22" s="443" t="s">
        <v>2024</v>
      </c>
      <c r="H22" s="444"/>
      <c r="I22" s="444"/>
      <c r="J22" s="444"/>
      <c r="K22" s="444"/>
      <c r="L22" s="452"/>
      <c r="M22" s="453" t="s">
        <v>2061</v>
      </c>
      <c r="N22" s="465" t="s">
        <v>2032</v>
      </c>
      <c r="O22" s="455" t="s">
        <v>2062</v>
      </c>
      <c r="P22" s="449" t="s">
        <v>2063</v>
      </c>
      <c r="Q22" s="468" t="s">
        <v>2064</v>
      </c>
      <c r="R22" s="464" t="s">
        <v>2047</v>
      </c>
      <c r="S22" s="450"/>
      <c r="T22" s="451"/>
    </row>
    <row customHeight="true" ht="16.071428571428573" r="23">
      <c r="A23" s="412"/>
      <c r="B23" s="440">
        <f>IFERROR(VLOOKUP(C23,'字段信息'!A:C,3,),"")</f>
      </c>
      <c r="C23" s="441" t="s">
        <v>2065</v>
      </c>
      <c r="D23" s="442">
        <f>IFERROR(VLOOKUP(C23,'字段信息'!A:C,2,),"")</f>
      </c>
      <c r="E23" s="443"/>
      <c r="F23" s="443">
        <f t="shared" si="0"/>
      </c>
      <c r="G23" s="443" t="s">
        <v>2024</v>
      </c>
      <c r="H23" s="444"/>
      <c r="I23" s="444"/>
      <c r="J23" s="444"/>
      <c r="K23" s="444"/>
      <c r="L23" s="452"/>
      <c r="M23" s="453" t="s">
        <v>2019</v>
      </c>
      <c r="N23" s="465" t="s">
        <v>2032</v>
      </c>
      <c r="O23" s="455" t="s">
        <v>2021</v>
      </c>
      <c r="P23" s="449" t="s">
        <v>2066</v>
      </c>
      <c r="Q23" s="450"/>
      <c r="R23" s="451"/>
      <c r="S23" s="450"/>
      <c r="T23" s="451"/>
    </row>
    <row r="24">
      <c r="A24" s="412"/>
      <c r="B24" s="440">
        <f>IFERROR(VLOOKUP(C24,'字段信息'!A:C,3,),"")</f>
      </c>
      <c r="C24" s="441" t="s">
        <v>2067</v>
      </c>
      <c r="D24" s="442">
        <f>IFERROR(VLOOKUP(C24,'字段信息'!A:C,2,),"")</f>
      </c>
      <c r="E24" s="443"/>
      <c r="F24" s="443">
        <f t="shared" si="0"/>
      </c>
      <c r="G24" s="443" t="s">
        <v>2024</v>
      </c>
      <c r="H24" s="444"/>
      <c r="I24" s="444"/>
      <c r="J24" s="444"/>
      <c r="K24" s="444"/>
      <c r="L24" s="452"/>
      <c r="M24" s="446" t="s">
        <v>2061</v>
      </c>
      <c r="N24" s="465" t="s">
        <v>2032</v>
      </c>
      <c r="O24" s="455" t="s">
        <v>2062</v>
      </c>
      <c r="P24" s="449" t="s">
        <v>2068</v>
      </c>
      <c r="Q24" s="468" t="s">
        <v>2064</v>
      </c>
      <c r="R24" s="464" t="s">
        <v>2047</v>
      </c>
      <c r="S24" s="450"/>
      <c r="T24" s="451"/>
    </row>
    <row r="25">
      <c r="A25" s="412"/>
      <c r="B25" s="440">
        <f>IFERROR(VLOOKUP(C25,'字段信息'!A:C,3,),"")</f>
      </c>
      <c r="C25" s="441" t="s">
        <v>2069</v>
      </c>
      <c r="D25" s="442">
        <f>IFERROR(VLOOKUP(C25,'字段信息'!A:C,2,),"")</f>
      </c>
      <c r="E25" s="443"/>
      <c r="F25" s="443">
        <f t="shared" si="0"/>
      </c>
      <c r="G25" s="443" t="s">
        <v>2024</v>
      </c>
      <c r="H25" s="444"/>
      <c r="I25" s="444"/>
      <c r="J25" s="444"/>
      <c r="K25" s="444"/>
      <c r="L25" s="452"/>
      <c r="M25" s="453" t="s">
        <v>2019</v>
      </c>
      <c r="N25" s="469" t="s">
        <v>2032</v>
      </c>
      <c r="O25" s="455" t="s">
        <v>2070</v>
      </c>
      <c r="P25" s="449" t="s">
        <v>2071</v>
      </c>
      <c r="Q25" s="468" t="s">
        <v>2072</v>
      </c>
      <c r="R25" s="451"/>
      <c r="S25" s="450"/>
      <c r="T25" s="451"/>
    </row>
    <row customHeight="true" ht="16.071428571428573" r="26">
      <c r="A26" s="412"/>
      <c r="B26" s="440">
        <f>IFERROR(VLOOKUP(C26,'字段信息'!A:C,3,),"")</f>
      </c>
      <c r="C26" s="441" t="s">
        <v>2073</v>
      </c>
      <c r="D26" s="442">
        <f>IFERROR(VLOOKUP(C26,'字段信息'!A:C,2,),"")</f>
      </c>
      <c r="E26" s="443"/>
      <c r="F26" s="443">
        <f t="shared" si="0"/>
      </c>
      <c r="G26" s="443" t="s">
        <v>2024</v>
      </c>
      <c r="H26" s="444"/>
      <c r="I26" s="444"/>
      <c r="J26" s="444"/>
      <c r="K26" s="444"/>
      <c r="L26" s="452"/>
      <c r="M26" s="470" t="s">
        <v>2019</v>
      </c>
      <c r="N26" s="465" t="s">
        <v>2032</v>
      </c>
      <c r="O26" s="455" t="s">
        <v>2021</v>
      </c>
      <c r="P26" s="449" t="s">
        <v>2074</v>
      </c>
      <c r="Q26" s="450"/>
      <c r="R26" s="451"/>
      <c r="S26" s="450"/>
      <c r="T26" s="451"/>
    </row>
    <row r="27">
      <c r="A27" s="412"/>
      <c r="B27" s="440">
        <f>IFERROR(VLOOKUP(C27,'字段信息'!A:C,3,),"")</f>
      </c>
      <c r="C27" s="440" t="s">
        <v>2075</v>
      </c>
      <c r="D27" s="442">
        <f>IFERROR(VLOOKUP(C27,'字段信息'!A:C,2,),"")</f>
      </c>
      <c r="E27" s="443"/>
      <c r="F27" s="443">
        <f t="shared" si="0"/>
      </c>
      <c r="G27" s="443" t="s">
        <v>2024</v>
      </c>
      <c r="H27" s="444"/>
      <c r="I27" s="444"/>
      <c r="J27" s="444"/>
      <c r="K27" s="444"/>
      <c r="L27" s="452" t="s">
        <v>2028</v>
      </c>
      <c r="M27" s="453" t="s">
        <v>2019</v>
      </c>
      <c r="N27" s="465" t="s">
        <v>2032</v>
      </c>
      <c r="O27" s="455" t="s">
        <v>2021</v>
      </c>
      <c r="P27" s="449" t="s">
        <v>2076</v>
      </c>
      <c r="Q27" s="450"/>
      <c r="R27" s="451"/>
      <c r="S27" s="450"/>
      <c r="T27" s="451"/>
    </row>
    <row r="28">
      <c r="A28" s="412"/>
      <c r="B28" s="440">
        <f>IFERROR(VLOOKUP(C28,'字段信息'!A:C,3,),"")</f>
      </c>
      <c r="C28" s="440" t="s">
        <v>2077</v>
      </c>
      <c r="D28" s="442">
        <f>IFERROR(VLOOKUP(C28,'字段信息'!A:C,2,),"")</f>
      </c>
      <c r="E28" s="443"/>
      <c r="F28" s="443">
        <f t="shared" si="0"/>
      </c>
      <c r="G28" s="443" t="s">
        <v>2024</v>
      </c>
      <c r="H28" s="444"/>
      <c r="I28" s="444"/>
      <c r="J28" s="444"/>
      <c r="K28" s="444"/>
      <c r="L28" s="445" t="s">
        <v>2028</v>
      </c>
      <c r="M28" s="471" t="s">
        <v>2078</v>
      </c>
      <c r="N28" s="472" t="s">
        <v>2032</v>
      </c>
      <c r="O28" s="473" t="s">
        <v>2079</v>
      </c>
      <c r="P28" s="473" t="s">
        <v>2080</v>
      </c>
      <c r="Q28" s="450"/>
      <c r="R28" s="451"/>
      <c r="S28" s="450"/>
      <c r="T28" s="451"/>
    </row>
    <row r="29">
      <c r="A29" s="412"/>
      <c r="B29" s="440">
        <f>IFERROR(VLOOKUP(C29,'字段信息'!A:C,3,),"")</f>
      </c>
      <c r="C29" s="441" t="s">
        <v>2081</v>
      </c>
      <c r="D29" s="442">
        <f>IFERROR(VLOOKUP(C29,'字段信息'!A:C,2,),"")</f>
      </c>
      <c r="E29" s="443"/>
      <c r="F29" s="443">
        <f t="shared" si="0"/>
      </c>
      <c r="G29" s="443" t="s">
        <v>2024</v>
      </c>
      <c r="H29" s="444"/>
      <c r="I29" s="444"/>
      <c r="J29" s="444"/>
      <c r="K29" s="444"/>
      <c r="L29" s="445"/>
      <c r="M29" s="470" t="s">
        <v>2019</v>
      </c>
      <c r="N29" s="472" t="s">
        <v>2032</v>
      </c>
      <c r="O29" s="449" t="s">
        <v>2021</v>
      </c>
      <c r="P29" s="474" t="s">
        <v>2082</v>
      </c>
      <c r="Q29" s="475"/>
      <c r="R29" s="451"/>
      <c r="S29" s="450"/>
      <c r="T29" s="451"/>
    </row>
    <row r="30">
      <c r="A30" s="412"/>
      <c r="B30" s="440">
        <f>IFERROR(VLOOKUP(C30,'字段信息'!A:C,3,),"")</f>
      </c>
      <c r="C30" s="441" t="s">
        <v>2083</v>
      </c>
      <c r="D30" s="442">
        <f>IFERROR(VLOOKUP(C30,'字段信息'!A:C,2,),"")</f>
      </c>
      <c r="E30" s="443"/>
      <c r="F30" s="443">
        <f t="shared" si="0"/>
      </c>
      <c r="G30" s="443" t="s">
        <v>2024</v>
      </c>
      <c r="H30" s="444"/>
      <c r="I30" s="444"/>
      <c r="J30" s="444"/>
      <c r="K30" s="444"/>
      <c r="L30" s="445"/>
      <c r="M30" s="470" t="s">
        <v>2019</v>
      </c>
      <c r="N30" s="472" t="s">
        <v>2032</v>
      </c>
      <c r="O30" s="449" t="s">
        <v>2021</v>
      </c>
      <c r="P30" s="474" t="s">
        <v>2084</v>
      </c>
      <c r="Q30" s="475"/>
      <c r="R30" s="451"/>
      <c r="S30" s="450"/>
      <c r="T30" s="451"/>
    </row>
    <row r="31">
      <c r="A31" s="412"/>
      <c r="B31" s="440">
        <f>IFERROR(VLOOKUP(C31,'字段信息'!A:C,3,),"")</f>
      </c>
      <c r="C31" s="441" t="s">
        <v>2085</v>
      </c>
      <c r="D31" s="442">
        <f>IFERROR(VLOOKUP(C31,'字段信息'!A:C,2,),"")</f>
      </c>
      <c r="E31" s="443"/>
      <c r="F31" s="443">
        <f t="shared" si="0"/>
      </c>
      <c r="G31" s="443" t="s">
        <v>2024</v>
      </c>
      <c r="H31" s="444"/>
      <c r="I31" s="444"/>
      <c r="J31" s="444"/>
      <c r="K31" s="444"/>
      <c r="L31" s="445"/>
      <c r="M31" s="476" t="s">
        <v>2086</v>
      </c>
      <c r="N31" s="477" t="s">
        <v>2032</v>
      </c>
      <c r="O31" s="478" t="s">
        <v>2087</v>
      </c>
      <c r="P31" s="474" t="s">
        <v>2088</v>
      </c>
      <c r="Q31" s="468" t="s">
        <v>2089</v>
      </c>
      <c r="R31" s="451"/>
      <c r="S31" s="450"/>
      <c r="T31" s="451"/>
    </row>
    <row customHeight="true" ht="47.61904761904762" r="32">
      <c r="A32" s="412"/>
      <c r="B32" s="440">
        <f>IFERROR(VLOOKUP(C32,'字段信息'!A:C,3,),"")</f>
      </c>
      <c r="C32" s="441" t="s">
        <v>2090</v>
      </c>
      <c r="D32" s="442">
        <f>IFERROR(VLOOKUP(C32,'字段信息'!A:C,2,),"")</f>
      </c>
      <c r="E32" s="443"/>
      <c r="F32" s="443">
        <f t="shared" si="0"/>
      </c>
      <c r="G32" s="443" t="s">
        <v>2024</v>
      </c>
      <c r="H32" s="444"/>
      <c r="I32" s="444"/>
      <c r="J32" s="444"/>
      <c r="K32" s="444"/>
      <c r="L32" s="445" t="s">
        <v>2028</v>
      </c>
      <c r="M32" s="476" t="s">
        <v>2091</v>
      </c>
      <c r="N32" s="477" t="s">
        <v>2032</v>
      </c>
      <c r="O32" s="478" t="s">
        <v>2092</v>
      </c>
      <c r="P32" s="474" t="s">
        <v>2093</v>
      </c>
      <c r="Q32" s="479" t="s">
        <v>2094</v>
      </c>
      <c r="R32" s="451"/>
      <c r="S32" s="450"/>
      <c r="T32" s="451"/>
    </row>
    <row customHeight="true" ht="47.61904761904762" r="33">
      <c r="A33" s="412"/>
      <c r="B33" s="440">
        <f>IFERROR(VLOOKUP(C33,'字段信息'!A:C,3,),"")</f>
      </c>
      <c r="C33" s="441" t="s">
        <v>2095</v>
      </c>
      <c r="D33" s="442">
        <f>IFERROR(VLOOKUP(C33,'字段信息'!A:C,2,),"")</f>
      </c>
      <c r="E33" s="443"/>
      <c r="F33" s="443">
        <f t="shared" si="0"/>
      </c>
      <c r="G33" s="443" t="s">
        <v>2024</v>
      </c>
      <c r="H33" s="444"/>
      <c r="I33" s="444"/>
      <c r="J33" s="444"/>
      <c r="K33" s="444"/>
      <c r="L33" s="445"/>
      <c r="M33" s="476" t="s">
        <v>2091</v>
      </c>
      <c r="N33" s="477" t="s">
        <v>2032</v>
      </c>
      <c r="O33" s="478" t="s">
        <v>2092</v>
      </c>
      <c r="P33" s="476" t="s">
        <v>2096</v>
      </c>
      <c r="Q33" s="480" t="s">
        <v>2094</v>
      </c>
      <c r="R33" s="451"/>
      <c r="S33" s="450"/>
      <c r="T33" s="451"/>
    </row>
    <row r="34">
      <c r="A34" s="412"/>
      <c r="B34" s="440">
        <f>IFERROR(VLOOKUP(C34,'字段信息'!A:C,3,),"")</f>
      </c>
      <c r="C34" s="441" t="s">
        <v>2097</v>
      </c>
      <c r="D34" s="442">
        <f>IFERROR(VLOOKUP(C34,'字段信息'!A:C,2,),"")</f>
      </c>
      <c r="E34" s="443"/>
      <c r="F34" s="443">
        <f t="shared" si="0"/>
      </c>
      <c r="G34" s="443" t="s">
        <v>2024</v>
      </c>
      <c r="H34" s="444"/>
      <c r="I34" s="444"/>
      <c r="J34" s="444"/>
      <c r="K34" s="444"/>
      <c r="L34" s="445"/>
      <c r="M34" s="476" t="s">
        <v>2091</v>
      </c>
      <c r="N34" s="477" t="s">
        <v>2032</v>
      </c>
      <c r="O34" s="481" t="s">
        <v>2092</v>
      </c>
      <c r="P34" s="442" t="s">
        <v>2098</v>
      </c>
      <c r="Q34" s="482" t="s">
        <v>2094</v>
      </c>
      <c r="R34" s="451"/>
      <c r="S34" s="450"/>
      <c r="T34" s="451"/>
    </row>
    <row r="35">
      <c r="A35" s="412"/>
      <c r="B35" s="440">
        <f>IFERROR(VLOOKUP(C35,'字段信息'!A:C,3,),"")</f>
      </c>
      <c r="C35" s="441" t="s">
        <v>2099</v>
      </c>
      <c r="D35" s="442">
        <f>IFERROR(VLOOKUP(C35,'字段信息'!A:C,2,),"")</f>
      </c>
      <c r="E35" s="443"/>
      <c r="F35" s="443">
        <f t="shared" si="0"/>
      </c>
      <c r="G35" s="443" t="s">
        <v>2024</v>
      </c>
      <c r="H35" s="444"/>
      <c r="I35" s="444"/>
      <c r="J35" s="444"/>
      <c r="K35" s="444"/>
      <c r="L35" s="445"/>
      <c r="M35" s="476" t="s">
        <v>2091</v>
      </c>
      <c r="N35" s="477" t="s">
        <v>2032</v>
      </c>
      <c r="O35" s="481" t="s">
        <v>2092</v>
      </c>
      <c r="P35" s="442" t="s">
        <v>2100</v>
      </c>
      <c r="Q35" s="482" t="s">
        <v>2094</v>
      </c>
      <c r="R35" s="451"/>
      <c r="S35" s="450"/>
      <c r="T35" s="451"/>
    </row>
    <row r="36">
      <c r="A36" s="412"/>
      <c r="B36" s="440">
        <f>IFERROR(VLOOKUP(C36,'字段信息'!A:C,3,),"")</f>
      </c>
      <c r="C36" s="441" t="s">
        <v>2101</v>
      </c>
      <c r="D36" s="442">
        <f>IFERROR(VLOOKUP(C36,'字段信息'!A:C,2,),"")</f>
      </c>
      <c r="E36" s="443"/>
      <c r="F36" s="443">
        <f t="shared" si="0"/>
      </c>
      <c r="G36" s="443" t="s">
        <v>2024</v>
      </c>
      <c r="H36" s="444"/>
      <c r="I36" s="444"/>
      <c r="J36" s="444"/>
      <c r="K36" s="444"/>
      <c r="L36" s="445"/>
      <c r="M36" s="476" t="s">
        <v>2091</v>
      </c>
      <c r="N36" s="477" t="s">
        <v>2032</v>
      </c>
      <c r="O36" s="481" t="s">
        <v>2092</v>
      </c>
      <c r="P36" s="442" t="s">
        <v>2102</v>
      </c>
      <c r="Q36" s="482" t="s">
        <v>2094</v>
      </c>
      <c r="R36" s="451"/>
      <c r="S36" s="450"/>
      <c r="T36" s="451"/>
    </row>
    <row r="37">
      <c r="A37" s="412"/>
      <c r="B37" s="440">
        <f>IFERROR(VLOOKUP(C37,'字段信息'!A:C,3,),"")</f>
      </c>
      <c r="C37" s="441" t="s">
        <v>2103</v>
      </c>
      <c r="D37" s="442">
        <f>IFERROR(VLOOKUP(C37,'字段信息'!A:C,2,),"")</f>
      </c>
      <c r="E37" s="443"/>
      <c r="F37" s="443">
        <f t="shared" si="0"/>
      </c>
      <c r="G37" s="443" t="s">
        <v>2024</v>
      </c>
      <c r="H37" s="444"/>
      <c r="I37" s="444"/>
      <c r="J37" s="444"/>
      <c r="K37" s="444"/>
      <c r="L37" s="445"/>
      <c r="M37" s="476" t="s">
        <v>2091</v>
      </c>
      <c r="N37" s="477" t="s">
        <v>2032</v>
      </c>
      <c r="O37" s="481" t="s">
        <v>2092</v>
      </c>
      <c r="P37" s="442" t="s">
        <v>2104</v>
      </c>
      <c r="Q37" s="482" t="s">
        <v>2094</v>
      </c>
      <c r="R37" s="451"/>
      <c r="S37" s="450"/>
      <c r="T37" s="451"/>
    </row>
    <row r="38">
      <c r="A38" s="412"/>
      <c r="B38" s="440">
        <f>IFERROR(VLOOKUP(C38,'字段信息'!A:C,3,),"")</f>
      </c>
      <c r="C38" s="441" t="s">
        <v>2105</v>
      </c>
      <c r="D38" s="442">
        <f>IFERROR(VLOOKUP(C38,'字段信息'!A:C,2,),"")</f>
      </c>
      <c r="E38" s="443"/>
      <c r="F38" s="443">
        <f t="shared" si="0"/>
      </c>
      <c r="G38" s="443" t="s">
        <v>2024</v>
      </c>
      <c r="H38" s="444"/>
      <c r="I38" s="444"/>
      <c r="J38" s="444"/>
      <c r="K38" s="444"/>
      <c r="L38" s="445"/>
      <c r="M38" s="476" t="s">
        <v>2091</v>
      </c>
      <c r="N38" s="477" t="s">
        <v>2032</v>
      </c>
      <c r="O38" s="481" t="s">
        <v>2092</v>
      </c>
      <c r="P38" s="442" t="s">
        <v>2106</v>
      </c>
      <c r="Q38" s="482" t="s">
        <v>2094</v>
      </c>
      <c r="R38" s="451"/>
      <c r="S38" s="450"/>
      <c r="T38" s="451"/>
    </row>
    <row r="39">
      <c r="A39" s="412"/>
      <c r="B39" s="440">
        <f>IFERROR(VLOOKUP(C39,'字段信息'!A:C,3,),"")</f>
      </c>
      <c r="C39" s="441" t="s">
        <v>2107</v>
      </c>
      <c r="D39" s="442">
        <f>IFERROR(VLOOKUP(C39,'字段信息'!A:C,2,),"")</f>
      </c>
      <c r="E39" s="443"/>
      <c r="F39" s="443">
        <f t="shared" si="0"/>
      </c>
      <c r="G39" s="443" t="s">
        <v>2024</v>
      </c>
      <c r="H39" s="444"/>
      <c r="I39" s="444"/>
      <c r="J39" s="444"/>
      <c r="K39" s="444"/>
      <c r="L39" s="445"/>
      <c r="M39" s="476" t="s">
        <v>2091</v>
      </c>
      <c r="N39" s="477" t="s">
        <v>2032</v>
      </c>
      <c r="O39" s="481" t="s">
        <v>2092</v>
      </c>
      <c r="P39" s="442" t="s">
        <v>2108</v>
      </c>
      <c r="Q39" s="482" t="s">
        <v>2094</v>
      </c>
      <c r="R39" s="451"/>
      <c r="S39" s="450"/>
      <c r="T39" s="451"/>
    </row>
    <row customHeight="true" ht="16.071428571428573" r="40">
      <c r="A40" s="412"/>
      <c r="B40" s="440">
        <f>IFERROR(VLOOKUP(C40,'字段信息'!A:C,3,),"")</f>
      </c>
      <c r="C40" s="441" t="s">
        <v>2109</v>
      </c>
      <c r="D40" s="442">
        <f>IFERROR(VLOOKUP(C40,'字段信息'!A:C,2,),"")</f>
      </c>
      <c r="E40" s="443"/>
      <c r="F40" s="443">
        <f t="shared" si="0"/>
      </c>
      <c r="G40" s="443" t="s">
        <v>2024</v>
      </c>
      <c r="H40" s="444"/>
      <c r="I40" s="444"/>
      <c r="J40" s="444"/>
      <c r="K40" s="444"/>
      <c r="L40" s="445"/>
      <c r="M40" s="453"/>
      <c r="N40" s="477"/>
      <c r="O40" s="449"/>
      <c r="P40" s="449"/>
      <c r="Q40" s="450"/>
      <c r="R40" s="451"/>
      <c r="S40" s="450"/>
      <c r="T40" s="451"/>
    </row>
    <row customHeight="true" ht="16.071428571428573" r="41">
      <c r="A41" s="412"/>
      <c r="B41" s="440">
        <f>IFERROR(VLOOKUP(C41,'字段信息'!A:C,3,),"")</f>
      </c>
      <c r="C41" s="441" t="s">
        <v>2110</v>
      </c>
      <c r="D41" s="442">
        <f>IFERROR(VLOOKUP(C41,'字段信息'!A:C,2,),"")</f>
      </c>
      <c r="E41" s="443"/>
      <c r="F41" s="443">
        <f t="shared" si="0"/>
      </c>
      <c r="G41" s="443" t="s">
        <v>2024</v>
      </c>
      <c r="H41" s="444"/>
      <c r="I41" s="444"/>
      <c r="J41" s="444"/>
      <c r="K41" s="444"/>
      <c r="L41" s="445"/>
      <c r="M41" s="453"/>
      <c r="N41" s="477"/>
      <c r="O41" s="449"/>
      <c r="P41" s="449"/>
      <c r="Q41" s="450"/>
      <c r="R41" s="451"/>
      <c r="S41" s="450"/>
      <c r="T41" s="451"/>
    </row>
    <row r="42">
      <c r="A42" s="412"/>
      <c r="B42" s="440">
        <f>IFERROR(VLOOKUP(C42,'字段信息'!A:C,3,),"")</f>
      </c>
      <c r="C42" s="441" t="s">
        <v>2111</v>
      </c>
      <c r="D42" s="442">
        <f>IFERROR(VLOOKUP(C42,'字段信息'!A:C,2,),"")</f>
      </c>
      <c r="E42" s="443"/>
      <c r="F42" s="443">
        <f t="shared" si="0"/>
      </c>
      <c r="G42" s="443" t="s">
        <v>2024</v>
      </c>
      <c r="H42" s="444"/>
      <c r="I42" s="444"/>
      <c r="J42" s="444"/>
      <c r="K42" s="444"/>
      <c r="L42" s="445"/>
      <c r="M42" s="453" t="s">
        <v>2112</v>
      </c>
      <c r="N42" s="477"/>
      <c r="O42" s="449"/>
      <c r="P42" s="449"/>
      <c r="Q42" s="450"/>
      <c r="R42" s="451"/>
      <c r="S42" s="450"/>
      <c r="T42" s="451"/>
    </row>
    <row r="43">
      <c r="A43" s="412"/>
      <c r="B43" s="440">
        <f>IFERROR(VLOOKUP(C43,'字段信息'!A:C,3,),"")</f>
      </c>
      <c r="C43" s="441" t="s">
        <v>2113</v>
      </c>
      <c r="D43" s="442">
        <f>IFERROR(VLOOKUP(C43,'字段信息'!A:C,2,),"")</f>
      </c>
      <c r="E43" s="443"/>
      <c r="F43" s="443">
        <f t="shared" si="0"/>
      </c>
      <c r="G43" s="443" t="s">
        <v>2024</v>
      </c>
      <c r="H43" s="444"/>
      <c r="I43" s="444"/>
      <c r="J43" s="444"/>
      <c r="K43" s="444"/>
      <c r="L43" s="445"/>
      <c r="M43" s="453" t="s">
        <v>2114</v>
      </c>
      <c r="N43" s="477"/>
      <c r="O43" s="449"/>
      <c r="P43" s="449"/>
      <c r="Q43" s="450"/>
      <c r="R43" s="451"/>
      <c r="S43" s="450"/>
      <c r="T43" s="451"/>
    </row>
    <row r="44">
      <c r="A44" s="412"/>
      <c r="B44" s="440">
        <f>IFERROR(VLOOKUP(C44,'字段信息'!A:C,3,),"")</f>
      </c>
      <c r="C44" s="441" t="s">
        <v>2115</v>
      </c>
      <c r="D44" s="442">
        <f>IFERROR(VLOOKUP(C44,'字段信息'!A:C,2,),"")</f>
      </c>
      <c r="E44" s="443"/>
      <c r="F44" s="443">
        <f t="shared" si="0"/>
      </c>
      <c r="G44" s="443" t="s">
        <v>2024</v>
      </c>
      <c r="H44" s="444"/>
      <c r="I44" s="444"/>
      <c r="J44" s="444"/>
      <c r="K44" s="444"/>
      <c r="L44" s="445"/>
      <c r="M44" s="453" t="s">
        <v>2019</v>
      </c>
      <c r="N44" s="477" t="s">
        <v>2032</v>
      </c>
      <c r="O44" s="449" t="s">
        <v>2021</v>
      </c>
      <c r="P44" s="449" t="s">
        <v>2116</v>
      </c>
      <c r="Q44" s="450"/>
      <c r="R44" s="451"/>
      <c r="S44" s="450"/>
      <c r="T44" s="451"/>
    </row>
    <row r="45">
      <c r="A45" s="412"/>
      <c r="B45" s="440">
        <f>IFERROR(VLOOKUP(C45,'字段信息'!A:C,3,),"")</f>
      </c>
      <c r="C45" s="441" t="s">
        <v>2117</v>
      </c>
      <c r="D45" s="442">
        <f>IFERROR(VLOOKUP(C45,'字段信息'!A:C,2,),"")</f>
      </c>
      <c r="E45" s="443"/>
      <c r="F45" s="443">
        <f t="shared" si="0"/>
      </c>
      <c r="G45" s="443" t="s">
        <v>2024</v>
      </c>
      <c r="H45" s="444"/>
      <c r="I45" s="444"/>
      <c r="J45" s="444"/>
      <c r="K45" s="444"/>
      <c r="L45" s="445"/>
      <c r="M45" s="453" t="s">
        <v>2118</v>
      </c>
      <c r="N45" s="477"/>
      <c r="O45" s="449"/>
      <c r="P45" s="449"/>
      <c r="Q45" s="450"/>
      <c r="R45" s="451"/>
      <c r="S45" s="450"/>
      <c r="T45" s="451"/>
    </row>
    <row r="46">
      <c r="A46" s="412"/>
      <c r="B46" s="440">
        <f>IFERROR(VLOOKUP(C46,'字段信息'!A:C,3,),"")</f>
      </c>
      <c r="C46" s="449" t="s">
        <v>2119</v>
      </c>
      <c r="D46" s="442">
        <f>IFERROR(VLOOKUP(C46,'字段信息'!A:C,2,),"")</f>
      </c>
      <c r="E46" s="443"/>
      <c r="F46" s="443">
        <f t="shared" si="0"/>
      </c>
      <c r="G46" s="443" t="s">
        <v>2024</v>
      </c>
      <c r="H46" s="444"/>
      <c r="I46" s="444"/>
      <c r="J46" s="444"/>
      <c r="K46" s="444"/>
      <c r="L46" s="445" t="s">
        <v>2028</v>
      </c>
      <c r="M46" s="453" t="s">
        <v>2019</v>
      </c>
      <c r="N46" s="477" t="s">
        <v>2032</v>
      </c>
      <c r="O46" s="449" t="s">
        <v>2021</v>
      </c>
      <c r="P46" s="449" t="s">
        <v>2120</v>
      </c>
      <c r="Q46" s="450"/>
      <c r="R46" s="451"/>
      <c r="S46" s="450"/>
      <c r="T46" s="451"/>
    </row>
    <row r="47">
      <c r="A47" s="412"/>
      <c r="B47" s="440">
        <f>IFERROR(VLOOKUP(C47,'字段信息'!A:C,3,),"")</f>
      </c>
      <c r="C47" s="449" t="s">
        <v>2121</v>
      </c>
      <c r="D47" s="442">
        <f>IFERROR(VLOOKUP(C47,'字段信息'!A:C,2,),"")</f>
      </c>
      <c r="E47" s="443"/>
      <c r="F47" s="443">
        <f t="shared" si="0"/>
      </c>
      <c r="G47" s="443" t="s">
        <v>2024</v>
      </c>
      <c r="H47" s="444"/>
      <c r="I47" s="444"/>
      <c r="J47" s="444"/>
      <c r="K47" s="444"/>
      <c r="L47" s="445" t="s">
        <v>2028</v>
      </c>
      <c r="M47" s="453" t="s">
        <v>2019</v>
      </c>
      <c r="N47" s="477" t="s">
        <v>2032</v>
      </c>
      <c r="O47" s="449" t="s">
        <v>2021</v>
      </c>
      <c r="P47" s="449" t="s">
        <v>2122</v>
      </c>
      <c r="Q47" s="450"/>
      <c r="R47" s="451"/>
      <c r="S47" s="450"/>
      <c r="T47" s="451"/>
    </row>
    <row r="48">
      <c r="A48" s="412"/>
      <c r="B48" s="440">
        <f>IFERROR(VLOOKUP(C48,'字段信息'!A:C,3,),"")</f>
      </c>
      <c r="C48" s="449" t="s">
        <v>2123</v>
      </c>
      <c r="D48" s="442">
        <f>IFERROR(VLOOKUP(C48,'字段信息'!A:C,2,),"")</f>
      </c>
      <c r="E48" s="443"/>
      <c r="F48" s="443">
        <f t="shared" si="0"/>
      </c>
      <c r="G48" s="443" t="s">
        <v>2024</v>
      </c>
      <c r="H48" s="444"/>
      <c r="I48" s="444"/>
      <c r="J48" s="444"/>
      <c r="K48" s="444"/>
      <c r="L48" s="445" t="s">
        <v>2028</v>
      </c>
      <c r="M48" s="453" t="s">
        <v>2019</v>
      </c>
      <c r="N48" s="477" t="s">
        <v>2032</v>
      </c>
      <c r="O48" s="449" t="s">
        <v>2021</v>
      </c>
      <c r="P48" s="449" t="s">
        <v>2124</v>
      </c>
      <c r="Q48" s="450"/>
      <c r="R48" s="451"/>
      <c r="S48" s="450"/>
      <c r="T48" s="451"/>
    </row>
    <row r="49">
      <c r="A49" s="412"/>
      <c r="B49" s="440">
        <f>IFERROR(VLOOKUP(C49,'字段信息'!A:C,3,),"")</f>
      </c>
      <c r="C49" s="440" t="s">
        <v>2125</v>
      </c>
      <c r="D49" s="442">
        <f>IFERROR(VLOOKUP(C49,'字段信息'!A:C,2,),"")</f>
      </c>
      <c r="E49" s="443"/>
      <c r="F49" s="443">
        <f t="shared" si="0"/>
      </c>
      <c r="G49" s="443" t="s">
        <v>2024</v>
      </c>
      <c r="H49" s="444"/>
      <c r="I49" s="444"/>
      <c r="J49" s="444"/>
      <c r="K49" s="444"/>
      <c r="L49" s="445" t="s">
        <v>2028</v>
      </c>
      <c r="M49" s="476" t="s">
        <v>2126</v>
      </c>
      <c r="N49" s="477" t="s">
        <v>2032</v>
      </c>
      <c r="O49" s="482"/>
      <c r="P49" s="449"/>
      <c r="Q49" s="450"/>
      <c r="R49" s="451"/>
      <c r="S49" s="450"/>
      <c r="T49" s="451"/>
    </row>
    <row r="50">
      <c r="A50" s="412"/>
      <c r="B50" s="440">
        <f>IFERROR(VLOOKUP(C50,'字段信息'!A:C,3,),"")</f>
      </c>
      <c r="C50" s="440" t="s">
        <v>2127</v>
      </c>
      <c r="D50" s="442">
        <f>IFERROR(VLOOKUP(C50,'字段信息'!A:C,2,),"")</f>
      </c>
      <c r="E50" s="443"/>
      <c r="F50" s="443">
        <f t="shared" si="0"/>
      </c>
      <c r="G50" s="443" t="s">
        <v>2024</v>
      </c>
      <c r="H50" s="444"/>
      <c r="I50" s="444"/>
      <c r="J50" s="444"/>
      <c r="K50" s="444"/>
      <c r="L50" s="445" t="s">
        <v>2028</v>
      </c>
      <c r="M50" s="476" t="s">
        <v>2128</v>
      </c>
      <c r="N50" s="477" t="s">
        <v>2032</v>
      </c>
      <c r="O50" s="482"/>
      <c r="P50" s="444"/>
      <c r="Q50" s="450"/>
      <c r="R50" s="451"/>
      <c r="S50" s="450"/>
      <c r="T50" s="451"/>
    </row>
    <row r="51"/>
    <row r="52"/>
    <row r="53"/>
    <row r="54"/>
    <row r="55"/>
    <row r="56"/>
    <row r="57">
      <c r="M57" s="483"/>
      <c r="N57" s="484"/>
      <c r="O57" s="483"/>
      <c r="Q57" s="483"/>
      <c r="S57" s="483"/>
    </row>
    <row r="58">
      <c r="M58" s="483"/>
      <c r="N58" s="484"/>
      <c r="O58" s="483"/>
      <c r="Q58" s="483"/>
      <c r="S58" s="483"/>
    </row>
    <row r="59">
      <c r="M59" s="483"/>
      <c r="N59" s="484"/>
      <c r="O59" s="483"/>
      <c r="Q59" s="483"/>
      <c r="S59" s="483"/>
    </row>
    <row r="60">
      <c r="M60" s="483"/>
      <c r="N60" s="484"/>
      <c r="O60" s="483"/>
      <c r="Q60" s="483"/>
      <c r="S60" s="483"/>
    </row>
    <row r="61">
      <c r="M61" s="483"/>
      <c r="N61" s="484"/>
      <c r="O61" s="483"/>
      <c r="Q61" s="483"/>
      <c r="S61" s="483"/>
    </row>
    <row r="62">
      <c r="M62" s="483"/>
      <c r="N62" s="484"/>
      <c r="O62" s="483"/>
      <c r="Q62" s="483"/>
      <c r="S62" s="483"/>
    </row>
    <row r="63">
      <c r="M63" s="483"/>
      <c r="N63" s="484"/>
      <c r="O63" s="483"/>
      <c r="Q63" s="483"/>
      <c r="S63" s="483"/>
    </row>
    <row r="64">
      <c r="M64" s="483"/>
      <c r="N64" s="484"/>
      <c r="O64" s="483"/>
      <c r="Q64" s="483"/>
      <c r="S64" s="483"/>
    </row>
    <row r="65">
      <c r="M65" s="483"/>
      <c r="N65" s="484"/>
      <c r="O65" s="483"/>
      <c r="Q65" s="483"/>
      <c r="S65" s="483"/>
    </row>
    <row r="66">
      <c r="M66" s="483"/>
      <c r="N66" s="484"/>
      <c r="O66" s="483"/>
      <c r="Q66" s="483"/>
      <c r="S66" s="483"/>
    </row>
    <row r="67">
      <c r="M67" s="483"/>
      <c r="N67" s="484"/>
      <c r="O67" s="483"/>
      <c r="Q67" s="483"/>
      <c r="S67" s="483"/>
    </row>
    <row r="68">
      <c r="M68" s="483"/>
      <c r="N68" s="484"/>
      <c r="O68" s="483"/>
      <c r="Q68" s="483"/>
      <c r="S68" s="483"/>
    </row>
    <row r="69">
      <c r="M69" s="483"/>
      <c r="N69" s="484"/>
      <c r="O69" s="483"/>
      <c r="Q69" s="483"/>
      <c r="S69" s="483"/>
    </row>
    <row r="70">
      <c r="M70" s="483"/>
      <c r="N70" s="484"/>
      <c r="O70" s="483"/>
      <c r="Q70" s="483"/>
      <c r="S70" s="483"/>
    </row>
    <row r="71">
      <c r="M71" s="483"/>
      <c r="N71" s="484"/>
      <c r="O71" s="483"/>
      <c r="Q71" s="483"/>
      <c r="S71" s="483"/>
    </row>
    <row r="72">
      <c r="M72" s="483"/>
      <c r="N72" s="484"/>
      <c r="O72" s="483"/>
      <c r="Q72" s="483"/>
      <c r="S72" s="483"/>
    </row>
    <row r="73">
      <c r="M73" s="483"/>
      <c r="N73" s="484"/>
      <c r="O73" s="483"/>
      <c r="Q73" s="483"/>
      <c r="S73" s="483"/>
    </row>
    <row r="74">
      <c r="M74" s="483"/>
      <c r="N74" s="484"/>
      <c r="O74" s="483"/>
      <c r="Q74" s="483"/>
      <c r="S74" s="483"/>
    </row>
    <row r="75">
      <c r="M75" s="483"/>
      <c r="N75" s="484"/>
      <c r="O75" s="483"/>
      <c r="Q75" s="483"/>
      <c r="S75" s="483"/>
    </row>
    <row r="76">
      <c r="M76" s="483"/>
      <c r="N76" s="484"/>
      <c r="O76" s="483"/>
      <c r="Q76" s="483"/>
      <c r="S76" s="483"/>
    </row>
    <row r="77">
      <c r="M77" s="483"/>
      <c r="N77" s="484"/>
      <c r="O77" s="483"/>
      <c r="Q77" s="483"/>
      <c r="S77" s="483"/>
    </row>
    <row r="78">
      <c r="M78" s="483"/>
      <c r="N78" s="484"/>
      <c r="O78" s="483"/>
      <c r="Q78" s="483"/>
      <c r="S78" s="483"/>
    </row>
    <row r="79">
      <c r="M79" s="483"/>
      <c r="N79" s="484"/>
      <c r="O79" s="483"/>
      <c r="Q79" s="483"/>
      <c r="S79" s="483"/>
    </row>
    <row r="80">
      <c r="M80" s="483"/>
      <c r="N80" s="484"/>
      <c r="O80" s="483"/>
      <c r="Q80" s="483"/>
      <c r="S80" s="483"/>
    </row>
  </sheetData>
  <mergeCells>
    <mergeCell ref="C6:G6"/>
    <mergeCell ref="B7:G7"/>
    <mergeCell ref="M7:T7"/>
    <mergeCell ref="C2:F2"/>
    <mergeCell ref="B1:D1"/>
  </mergeCells>
  <hyperlinks>
    <hyperlink ref="A1" location="'1. 0 DWD层目录'!A1" display="返回"/>
    <hyperlink ref="A2" location="'规则库'!A1" display="规则库"/>
  </hyperlinks>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8f959e"/>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4" min="4" style="0" width="12.56338028169014"/>
    <col collapsed="false" customWidth="true" hidden="false" max="12" min="12" style="0" width="9.746478873239436"/>
    <col collapsed="false" customWidth="true" hidden="true" max="12" min="12" style="0" width="9.746478873239436"/>
    <col collapsed="false" customWidth="true" hidden="false" max="16" min="16" style="0" width="34.845273086660164"/>
    <col collapsed="false" customWidth="true" hidden="false" max="17" min="17" style="0" width="26.422535076947355"/>
    <col collapsed="false" customWidth="true" hidden="false" max="20" min="20" style="0" width="5.577464788732394"/>
    <col collapsed="false" customWidth="true" hidden="false" max="3" min="3" style="0" width="19.774647887323944"/>
    <col collapsed="false" customWidth="true" hidden="false" max="8" min="8" style="0" width="7.154929577464789"/>
    <col collapsed="false" customWidth="true" hidden="true" max="8" min="8" style="0" width="7.154929577464789"/>
    <col collapsed="false" customWidth="true" hidden="false" max="11" min="11" style="0" width="8.732394366197184"/>
    <col collapsed="false" customWidth="true" hidden="true" max="11" min="11" style="0" width="8.732394366197184"/>
    <col collapsed="false" customWidth="true" hidden="false" max="15" min="15" style="0" width="34.08450704225352"/>
    <col collapsed="false" customWidth="true" hidden="false" max="19" min="19" style="0" width="39.90610392813762"/>
    <col collapsed="false" customWidth="true" hidden="false" max="2" min="2" style="0" width="24.3943661971831"/>
    <col collapsed="false" customWidth="true" hidden="false" max="7" min="7" style="0" width="8.732394366197184"/>
    <col collapsed="false" customWidth="true" hidden="false" max="10" min="10" style="0" width="13.80281690140845"/>
    <col collapsed="false" customWidth="true" hidden="true" max="10" min="10" style="0" width="13.80281690140845"/>
    <col collapsed="false" customWidth="true" hidden="false" max="14" min="14" style="0" width="7.154929577464789"/>
    <col collapsed="false" customWidth="true" hidden="false" max="13" min="13" style="0" width="25.70892447858146"/>
    <col collapsed="false" customWidth="true" hidden="false" max="18" min="18" style="0" width="48.713624623646034"/>
    <col collapsed="false" customWidth="true" hidden="false" max="1" min="1" style="0" width="5.23943661971831"/>
    <col collapsed="false" customWidth="true" hidden="false" max="5" min="5" style="0" width="10.647887323943662"/>
    <col collapsed="false" customWidth="true" hidden="false" max="6" min="6" style="0" width="17.070422535211268"/>
    <col collapsed="false" customWidth="true" hidden="false" max="9" min="9" style="0" width="8.732394366197184"/>
    <col collapsed="false" customWidth="true" hidden="true" max="9" min="9" style="0" width="8.732394366197184"/>
  </cols>
  <sheetData>
    <row r="1">
      <c r="A1" s="485" t="s">
        <v>2129</v>
      </c>
      <c r="B1" s="486" t="s">
        <v>2130</v>
      </c>
      <c r="C1" s="487"/>
      <c r="D1" s="487"/>
      <c r="E1" s="488"/>
      <c r="F1" s="488"/>
      <c r="G1" s="488"/>
      <c r="H1" s="489"/>
      <c r="I1" s="489"/>
      <c r="J1" s="489"/>
      <c r="K1" s="489"/>
      <c r="L1" s="489"/>
      <c r="M1" s="490"/>
      <c r="N1" s="491"/>
      <c r="O1" s="492"/>
      <c r="P1" s="488"/>
      <c r="Q1" s="492"/>
      <c r="R1" s="488"/>
      <c r="S1" s="492"/>
      <c r="T1" s="488"/>
    </row>
    <row r="2">
      <c r="A2" s="485" t="s">
        <v>2131</v>
      </c>
      <c r="B2" s="493" t="s">
        <v>2132</v>
      </c>
      <c r="C2" s="494" t="s">
        <v>2133</v>
      </c>
      <c r="D2" s="495"/>
      <c r="E2" s="495"/>
      <c r="F2" s="495"/>
      <c r="G2" s="495"/>
      <c r="H2" s="489"/>
      <c r="I2" s="489"/>
      <c r="J2" s="489"/>
      <c r="K2" s="489"/>
      <c r="L2" s="489"/>
      <c r="M2" s="490"/>
      <c r="N2" s="491"/>
      <c r="O2" s="492"/>
      <c r="P2" s="488"/>
      <c r="Q2" s="492"/>
      <c r="R2" s="488"/>
      <c r="S2" s="492"/>
      <c r="T2" s="488"/>
    </row>
    <row r="3">
      <c r="A3" s="496"/>
      <c r="B3" s="497" t="s">
        <v>2134</v>
      </c>
      <c r="C3" s="498" t="s">
        <v>2135</v>
      </c>
      <c r="D3" s="499" t="s">
        <v>2136</v>
      </c>
      <c r="E3" s="500" t="s">
        <v>2137</v>
      </c>
      <c r="F3" s="497" t="s">
        <v>2138</v>
      </c>
      <c r="G3" s="501" t="s">
        <v>2139</v>
      </c>
      <c r="H3" s="489"/>
      <c r="I3" s="489"/>
      <c r="J3" s="489"/>
      <c r="K3" s="489"/>
      <c r="L3" s="489"/>
      <c r="M3" s="490"/>
      <c r="N3" s="491"/>
      <c r="O3" s="492"/>
      <c r="P3" s="488"/>
      <c r="Q3" s="492"/>
      <c r="R3" s="488"/>
      <c r="S3" s="492"/>
      <c r="T3" s="488"/>
    </row>
    <row r="4">
      <c r="A4" s="496"/>
      <c r="B4" s="497" t="s">
        <v>2140</v>
      </c>
      <c r="C4" s="501" t="s">
        <v>2141</v>
      </c>
      <c r="D4" s="502" t="s">
        <v>2142</v>
      </c>
      <c r="E4" s="503" t="s">
        <v>2143</v>
      </c>
      <c r="F4" s="502" t="s">
        <v>2144</v>
      </c>
      <c r="G4" s="498" t="s">
        <v>2145</v>
      </c>
      <c r="H4" s="489"/>
      <c r="I4" s="489"/>
      <c r="J4" s="489"/>
      <c r="K4" s="489"/>
      <c r="L4" s="489"/>
      <c r="M4" s="490"/>
      <c r="N4" s="491"/>
      <c r="O4" s="492"/>
      <c r="P4" s="488"/>
      <c r="Q4" s="492"/>
      <c r="R4" s="488"/>
      <c r="S4" s="492"/>
      <c r="T4" s="488"/>
    </row>
    <row r="5">
      <c r="A5" s="496"/>
      <c r="B5" s="497" t="s">
        <v>2146</v>
      </c>
      <c r="C5" s="498" t="s">
        <v>2147</v>
      </c>
      <c r="D5" s="499" t="s">
        <v>2148</v>
      </c>
      <c r="E5" s="504"/>
      <c r="F5" s="499" t="s">
        <v>2149</v>
      </c>
      <c r="G5" s="505"/>
      <c r="H5" s="489"/>
      <c r="I5" s="489"/>
      <c r="J5" s="489"/>
      <c r="K5" s="489"/>
      <c r="L5" s="489"/>
      <c r="M5" s="490"/>
      <c r="N5" s="491"/>
      <c r="O5" s="492"/>
      <c r="P5" s="488"/>
      <c r="Q5" s="492"/>
      <c r="R5" s="488"/>
      <c r="S5" s="492"/>
      <c r="T5" s="488"/>
    </row>
    <row r="6">
      <c r="A6" s="496"/>
      <c r="B6" s="506" t="s">
        <v>2150</v>
      </c>
      <c r="C6" s="507" t="s">
        <v>2151</v>
      </c>
      <c r="D6" s="508"/>
      <c r="E6" s="508"/>
      <c r="F6" s="508"/>
      <c r="G6" s="508"/>
      <c r="H6" s="489"/>
      <c r="I6" s="489"/>
      <c r="J6" s="489"/>
      <c r="K6" s="489"/>
      <c r="L6" s="489"/>
      <c r="M6" s="490"/>
      <c r="N6" s="491"/>
      <c r="O6" s="492"/>
      <c r="P6" s="488"/>
      <c r="Q6" s="492"/>
      <c r="R6" s="488"/>
      <c r="S6" s="492"/>
      <c r="T6" s="488"/>
    </row>
    <row r="7">
      <c r="A7" s="509"/>
      <c r="B7" s="510" t="s">
        <v>2152</v>
      </c>
      <c r="C7" s="510"/>
      <c r="D7" s="510"/>
      <c r="E7" s="510"/>
      <c r="F7" s="510"/>
      <c r="G7" s="510"/>
      <c r="H7" s="510"/>
      <c r="I7" s="510"/>
      <c r="J7" s="510"/>
      <c r="K7" s="510"/>
      <c r="L7" s="510"/>
      <c r="M7" s="511" t="s">
        <v>2153</v>
      </c>
      <c r="N7" s="510"/>
      <c r="O7" s="512"/>
      <c r="P7" s="510"/>
      <c r="Q7" s="512"/>
      <c r="R7" s="510"/>
      <c r="S7" s="512"/>
      <c r="T7" s="510"/>
    </row>
    <row r="8">
      <c r="A8" s="509"/>
      <c r="B8" s="513" t="s">
        <v>2154</v>
      </c>
      <c r="C8" s="513" t="s">
        <v>2155</v>
      </c>
      <c r="D8" s="513" t="s">
        <v>2156</v>
      </c>
      <c r="E8" s="513" t="s">
        <v>2157</v>
      </c>
      <c r="F8" s="513" t="s">
        <v>2158</v>
      </c>
      <c r="G8" s="513" t="s">
        <v>2159</v>
      </c>
      <c r="H8" s="513" t="s">
        <v>2160</v>
      </c>
      <c r="I8" s="513" t="s">
        <v>2161</v>
      </c>
      <c r="J8" s="513" t="s">
        <v>2162</v>
      </c>
      <c r="K8" s="513" t="s">
        <v>2163</v>
      </c>
      <c r="L8" s="513" t="s">
        <v>2164</v>
      </c>
      <c r="M8" s="514" t="s">
        <v>2165</v>
      </c>
      <c r="N8" s="515" t="s">
        <v>2166</v>
      </c>
      <c r="O8" s="516" t="s">
        <v>2167</v>
      </c>
      <c r="P8" s="513" t="s">
        <v>2168</v>
      </c>
      <c r="Q8" s="514" t="s">
        <v>2169</v>
      </c>
      <c r="R8" s="513" t="s">
        <v>2170</v>
      </c>
      <c r="S8" s="514" t="s">
        <v>2171</v>
      </c>
      <c r="T8" s="513" t="s">
        <v>2172</v>
      </c>
    </row>
    <row r="9">
      <c r="A9" s="489"/>
      <c r="B9" s="517">
        <f>IFERROR(VLOOKUP(C9,'字段信息'!A:C,3,),"")</f>
      </c>
      <c r="C9" s="518" t="s">
        <v>2173</v>
      </c>
      <c r="D9" s="519">
        <f>IFERROR(VLOOKUP(C9,'字段信息'!A:C,2,),"")</f>
      </c>
      <c r="E9" s="520"/>
      <c r="F9" s="520">
        <f t="shared" ref="F9:F28" si="0">B9</f>
      </c>
      <c r="G9" s="520"/>
      <c r="H9" s="521"/>
      <c r="I9" s="521"/>
      <c r="J9" s="521"/>
      <c r="K9" s="521"/>
      <c r="L9" s="522"/>
      <c r="M9" s="523" t="s">
        <v>2174</v>
      </c>
      <c r="N9" s="524" t="s">
        <v>2175</v>
      </c>
      <c r="O9" s="525" t="s">
        <v>2176</v>
      </c>
      <c r="P9" s="526" t="s">
        <v>2177</v>
      </c>
      <c r="Q9" s="527" t="s">
        <v>2178</v>
      </c>
      <c r="R9" s="528" t="s">
        <v>2179</v>
      </c>
      <c r="S9" s="527" t="s">
        <v>2180</v>
      </c>
      <c r="T9" s="529"/>
    </row>
    <row r="10">
      <c r="A10" s="489"/>
      <c r="B10" s="517">
        <f>IFERROR(VLOOKUP(C10,'字段信息'!A:C,3,),"")</f>
      </c>
      <c r="C10" s="517" t="s">
        <v>2181</v>
      </c>
      <c r="D10" s="519">
        <f>IFERROR(VLOOKUP(C10,'字段信息'!A:C,2,),"")</f>
      </c>
      <c r="E10" s="520"/>
      <c r="F10" s="520">
        <f t="shared" si="0"/>
      </c>
      <c r="G10" s="520" t="s">
        <v>2182</v>
      </c>
      <c r="H10" s="521"/>
      <c r="I10" s="521"/>
      <c r="J10" s="521"/>
      <c r="K10" s="521"/>
      <c r="L10" s="530"/>
      <c r="M10" s="531" t="s">
        <v>2183</v>
      </c>
      <c r="N10" s="532" t="s">
        <v>2184</v>
      </c>
      <c r="O10" s="525" t="s">
        <v>2185</v>
      </c>
      <c r="P10" s="526" t="s">
        <v>2186</v>
      </c>
      <c r="Q10" s="533"/>
      <c r="R10" s="529"/>
      <c r="S10" s="533"/>
      <c r="T10" s="529"/>
    </row>
    <row r="11">
      <c r="A11" s="489"/>
      <c r="B11" s="517">
        <f>IFERROR(VLOOKUP(C11,'字段信息'!A:C,3,),"")</f>
      </c>
      <c r="C11" s="517" t="s">
        <v>2187</v>
      </c>
      <c r="D11" s="519">
        <f>IFERROR(VLOOKUP(C11,'字段信息'!A:C,2,),"")</f>
      </c>
      <c r="E11" s="520"/>
      <c r="F11" s="520">
        <f t="shared" si="0"/>
      </c>
      <c r="G11" s="520" t="s">
        <v>2182</v>
      </c>
      <c r="H11" s="521"/>
      <c r="I11" s="521"/>
      <c r="J11" s="521"/>
      <c r="K11" s="521"/>
      <c r="L11" s="530" t="s">
        <v>2188</v>
      </c>
      <c r="M11" s="531" t="s">
        <v>2183</v>
      </c>
      <c r="N11" s="532" t="s">
        <v>2189</v>
      </c>
      <c r="O11" s="525" t="s">
        <v>2185</v>
      </c>
      <c r="P11" s="526" t="s">
        <v>2190</v>
      </c>
      <c r="Q11" s="533"/>
      <c r="R11" s="529"/>
      <c r="S11" s="533"/>
      <c r="T11" s="529"/>
    </row>
    <row r="12">
      <c r="A12" s="489"/>
      <c r="B12" s="517">
        <f>IFERROR(VLOOKUP(C12,'字段信息'!A:C,3,),"")</f>
      </c>
      <c r="C12" s="517" t="s">
        <v>2191</v>
      </c>
      <c r="D12" s="519">
        <f>IFERROR(VLOOKUP(C12,'字段信息'!A:C,2,),"")</f>
      </c>
      <c r="E12" s="520"/>
      <c r="F12" s="520">
        <f t="shared" si="0"/>
      </c>
      <c r="G12" s="520" t="s">
        <v>2182</v>
      </c>
      <c r="H12" s="521"/>
      <c r="I12" s="521"/>
      <c r="J12" s="521"/>
      <c r="K12" s="521"/>
      <c r="L12" s="530" t="s">
        <v>2188</v>
      </c>
      <c r="M12" s="531" t="s">
        <v>2192</v>
      </c>
      <c r="N12" s="534" t="s">
        <v>2193</v>
      </c>
      <c r="O12" s="525" t="s">
        <v>2194</v>
      </c>
      <c r="P12" s="526" t="s">
        <v>2195</v>
      </c>
      <c r="Q12" s="527" t="s">
        <v>2196</v>
      </c>
      <c r="R12" s="529"/>
      <c r="S12" s="533"/>
      <c r="T12" s="529"/>
    </row>
    <row r="13">
      <c r="A13" s="489"/>
      <c r="B13" s="517">
        <f>IFERROR(VLOOKUP(C13,'字段信息'!A:C,3,),"")</f>
      </c>
      <c r="C13" s="517" t="s">
        <v>2197</v>
      </c>
      <c r="D13" s="519">
        <f>IFERROR(VLOOKUP(C13,'字段信息'!A:C,2,),"")</f>
      </c>
      <c r="E13" s="520"/>
      <c r="F13" s="520">
        <f t="shared" si="0"/>
      </c>
      <c r="G13" s="520"/>
      <c r="H13" s="521"/>
      <c r="I13" s="521"/>
      <c r="J13" s="521"/>
      <c r="K13" s="521"/>
      <c r="L13" s="530"/>
      <c r="M13" s="531" t="s">
        <v>2183</v>
      </c>
      <c r="N13" s="534" t="s">
        <v>2193</v>
      </c>
      <c r="O13" s="525" t="s">
        <v>2198</v>
      </c>
      <c r="P13" s="526" t="s">
        <v>2199</v>
      </c>
      <c r="Q13" s="527" t="s">
        <v>2200</v>
      </c>
      <c r="R13" s="529"/>
      <c r="S13" s="533"/>
      <c r="T13" s="529"/>
    </row>
    <row r="14">
      <c r="A14" s="535" t="s">
        <v>2201</v>
      </c>
      <c r="B14" s="517">
        <f>IFERROR(VLOOKUP(C14,'字段信息'!A:C,3,),"")</f>
      </c>
      <c r="C14" s="518" t="s">
        <v>2202</v>
      </c>
      <c r="D14" s="519">
        <f>IFERROR(VLOOKUP(C14,'字段信息'!A:C,2,),"")</f>
      </c>
      <c r="E14" s="520"/>
      <c r="F14" s="520">
        <f t="shared" si="0"/>
      </c>
      <c r="G14" s="520" t="s">
        <v>2182</v>
      </c>
      <c r="H14" s="521"/>
      <c r="I14" s="521"/>
      <c r="J14" s="521"/>
      <c r="K14" s="521"/>
      <c r="L14" s="522" t="s">
        <v>2188</v>
      </c>
      <c r="M14" s="536" t="s">
        <v>2203</v>
      </c>
      <c r="N14" s="537" t="s">
        <v>2193</v>
      </c>
      <c r="O14" s="538" t="s">
        <v>2204</v>
      </c>
      <c r="P14" s="526" t="s">
        <v>2205</v>
      </c>
      <c r="Q14" s="527" t="s">
        <v>2206</v>
      </c>
      <c r="R14" s="529"/>
      <c r="S14" s="526" t="s">
        <v>2207</v>
      </c>
      <c r="T14" s="529"/>
    </row>
    <row r="15">
      <c r="A15" s="489"/>
      <c r="B15" s="517">
        <f>IFERROR(VLOOKUP(C15,'字段信息'!A:C,3,),"")</f>
      </c>
      <c r="C15" s="517" t="s">
        <v>2208</v>
      </c>
      <c r="D15" s="519">
        <f>IFERROR(VLOOKUP(C15,'字段信息'!A:C,2,),"")</f>
      </c>
      <c r="E15" s="520"/>
      <c r="F15" s="520">
        <f t="shared" si="0"/>
      </c>
      <c r="G15" s="520" t="s">
        <v>2182</v>
      </c>
      <c r="H15" s="521"/>
      <c r="I15" s="521"/>
      <c r="J15" s="521"/>
      <c r="K15" s="521"/>
      <c r="L15" s="530" t="s">
        <v>2188</v>
      </c>
      <c r="M15" s="531" t="s">
        <v>2209</v>
      </c>
      <c r="N15" s="534" t="s">
        <v>2193</v>
      </c>
      <c r="O15" s="525" t="s">
        <v>2210</v>
      </c>
      <c r="P15" s="526" t="s">
        <v>2211</v>
      </c>
      <c r="Q15" s="527" t="s">
        <v>2212</v>
      </c>
      <c r="R15" s="529"/>
      <c r="S15" s="533"/>
      <c r="T15" s="529"/>
    </row>
    <row r="16">
      <c r="A16" s="489"/>
      <c r="B16" s="517">
        <f>IFERROR(VLOOKUP(C16,'字段信息'!A:C,3,),"")</f>
      </c>
      <c r="C16" s="517" t="s">
        <v>2213</v>
      </c>
      <c r="D16" s="519">
        <f>IFERROR(VLOOKUP(C16,'字段信息'!A:C,2,),"")</f>
      </c>
      <c r="E16" s="520"/>
      <c r="F16" s="520">
        <f t="shared" si="0"/>
      </c>
      <c r="G16" s="520" t="s">
        <v>2182</v>
      </c>
      <c r="H16" s="521"/>
      <c r="I16" s="521"/>
      <c r="J16" s="521"/>
      <c r="K16" s="521"/>
      <c r="L16" s="522" t="s">
        <v>2188</v>
      </c>
      <c r="M16" s="531" t="s">
        <v>2209</v>
      </c>
      <c r="N16" s="539" t="s">
        <v>2193</v>
      </c>
      <c r="O16" s="525" t="s">
        <v>2210</v>
      </c>
      <c r="P16" s="526" t="s">
        <v>2214</v>
      </c>
      <c r="Q16" s="527" t="s">
        <v>2212</v>
      </c>
      <c r="R16" s="529"/>
      <c r="S16" s="533"/>
      <c r="T16" s="529"/>
    </row>
    <row r="17">
      <c r="A17" s="489"/>
      <c r="B17" s="517">
        <f>IFERROR(VLOOKUP(C17,'字段信息'!A:C,3,),"")</f>
      </c>
      <c r="C17" s="517" t="s">
        <v>2215</v>
      </c>
      <c r="D17" s="519">
        <f>IFERROR(VLOOKUP(C17,'字段信息'!A:C,2,),"")</f>
      </c>
      <c r="E17" s="520"/>
      <c r="F17" s="520">
        <f t="shared" si="0"/>
      </c>
      <c r="G17" s="520" t="s">
        <v>2182</v>
      </c>
      <c r="H17" s="521"/>
      <c r="I17" s="521"/>
      <c r="J17" s="521"/>
      <c r="K17" s="521"/>
      <c r="L17" s="522"/>
      <c r="M17" s="531" t="s">
        <v>2216</v>
      </c>
      <c r="N17" s="540" t="s">
        <v>2193</v>
      </c>
      <c r="O17" s="525" t="s">
        <v>2217</v>
      </c>
      <c r="P17" s="541" t="s">
        <v>2218</v>
      </c>
      <c r="Q17" s="527" t="s">
        <v>2219</v>
      </c>
      <c r="R17" s="529"/>
      <c r="S17" s="533"/>
      <c r="T17" s="529"/>
    </row>
    <row r="18">
      <c r="A18" s="489"/>
      <c r="B18" s="517">
        <f>IFERROR(VLOOKUP(C18,'字段信息'!A:C,3,),"")</f>
      </c>
      <c r="C18" s="517" t="s">
        <v>2220</v>
      </c>
      <c r="D18" s="519">
        <f>IFERROR(VLOOKUP(C18,'字段信息'!A:C,2,),"")</f>
      </c>
      <c r="E18" s="520"/>
      <c r="F18" s="520">
        <f t="shared" si="0"/>
      </c>
      <c r="G18" s="520" t="s">
        <v>2182</v>
      </c>
      <c r="H18" s="521"/>
      <c r="I18" s="521"/>
      <c r="J18" s="521"/>
      <c r="K18" s="521"/>
      <c r="L18" s="522"/>
      <c r="M18" s="531" t="s">
        <v>2216</v>
      </c>
      <c r="N18" s="540" t="s">
        <v>2193</v>
      </c>
      <c r="O18" s="525" t="s">
        <v>2221</v>
      </c>
      <c r="P18" s="542" t="s">
        <v>2214</v>
      </c>
      <c r="Q18" s="527" t="s">
        <v>2222</v>
      </c>
      <c r="R18" s="529"/>
      <c r="S18" s="533"/>
      <c r="T18" s="529"/>
    </row>
    <row customHeight="true" ht="23.80952380952381" r="19">
      <c r="A19" s="489"/>
      <c r="B19" s="517">
        <f>IFERROR(VLOOKUP(C19,'字段信息'!A:C,3,),"")</f>
      </c>
      <c r="C19" s="518" t="s">
        <v>2223</v>
      </c>
      <c r="D19" s="519">
        <f>IFERROR(VLOOKUP(C19,'字段信息'!A:C,2,),"")</f>
      </c>
      <c r="E19" s="520"/>
      <c r="F19" s="520">
        <f t="shared" si="0"/>
      </c>
      <c r="G19" s="520" t="s">
        <v>2182</v>
      </c>
      <c r="H19" s="521"/>
      <c r="I19" s="521"/>
      <c r="J19" s="521"/>
      <c r="K19" s="521"/>
      <c r="L19" s="522"/>
      <c r="M19" s="531" t="s">
        <v>2216</v>
      </c>
      <c r="N19" s="540" t="s">
        <v>2193</v>
      </c>
      <c r="O19" s="525" t="s">
        <v>2217</v>
      </c>
      <c r="P19" s="541" t="s">
        <v>2218</v>
      </c>
      <c r="Q19" s="527" t="s">
        <v>2219</v>
      </c>
      <c r="R19" s="529"/>
      <c r="S19" s="533"/>
      <c r="T19" s="529"/>
    </row>
    <row customHeight="true" ht="23.80952380952381" r="20">
      <c r="A20" s="489"/>
      <c r="B20" s="517">
        <f>IFERROR(VLOOKUP(C20,'字段信息'!A:C,3,),"")</f>
      </c>
      <c r="C20" s="518" t="s">
        <v>2224</v>
      </c>
      <c r="D20" s="519">
        <f>IFERROR(VLOOKUP(C20,'字段信息'!A:C,2,),"")</f>
      </c>
      <c r="E20" s="520"/>
      <c r="F20" s="520">
        <f t="shared" si="0"/>
      </c>
      <c r="G20" s="520" t="s">
        <v>2182</v>
      </c>
      <c r="H20" s="521"/>
      <c r="I20" s="521"/>
      <c r="J20" s="521"/>
      <c r="K20" s="521"/>
      <c r="L20" s="522"/>
      <c r="M20" s="531" t="s">
        <v>2216</v>
      </c>
      <c r="N20" s="540" t="s">
        <v>2193</v>
      </c>
      <c r="O20" s="525" t="s">
        <v>2221</v>
      </c>
      <c r="P20" s="542" t="s">
        <v>2214</v>
      </c>
      <c r="Q20" s="527" t="s">
        <v>2222</v>
      </c>
      <c r="R20" s="529"/>
      <c r="S20" s="533"/>
      <c r="T20" s="529"/>
    </row>
    <row r="21">
      <c r="A21" s="489"/>
      <c r="B21" s="517">
        <f>IFERROR(VLOOKUP(C21,'字段信息'!A:C,3,),"")</f>
      </c>
      <c r="C21" s="518" t="s">
        <v>2225</v>
      </c>
      <c r="D21" s="519">
        <f>IFERROR(VLOOKUP(C21,'字段信息'!A:C,2,),"")</f>
      </c>
      <c r="E21" s="520"/>
      <c r="F21" s="520">
        <f t="shared" si="0"/>
      </c>
      <c r="G21" s="520" t="s">
        <v>2182</v>
      </c>
      <c r="H21" s="521"/>
      <c r="I21" s="521"/>
      <c r="J21" s="521"/>
      <c r="K21" s="521"/>
      <c r="L21" s="522"/>
      <c r="M21" s="531" t="s">
        <v>2226</v>
      </c>
      <c r="N21" s="537" t="s">
        <v>2193</v>
      </c>
      <c r="O21" s="543" t="s">
        <v>2227</v>
      </c>
      <c r="P21" s="536" t="s">
        <v>2199</v>
      </c>
      <c r="Q21" s="527" t="s">
        <v>2228</v>
      </c>
      <c r="R21" s="529"/>
      <c r="S21" s="533"/>
      <c r="T21" s="529"/>
    </row>
    <row r="22">
      <c r="A22" s="544"/>
      <c r="B22" s="545">
        <f>IFERROR(VLOOKUP(C22,'字段信息'!A:C,3,),"")</f>
      </c>
      <c r="C22" s="546" t="s">
        <v>2229</v>
      </c>
      <c r="D22" s="547">
        <f>IFERROR(VLOOKUP(C22,'字段信息'!A:C,2,),"")</f>
      </c>
      <c r="E22" s="548"/>
      <c r="F22" s="548">
        <f t="shared" si="0"/>
      </c>
      <c r="G22" s="548" t="s">
        <v>2182</v>
      </c>
      <c r="H22" s="549"/>
      <c r="I22" s="549"/>
      <c r="J22" s="549"/>
      <c r="K22" s="549"/>
      <c r="L22" s="550"/>
      <c r="M22" s="551" t="s">
        <v>2226</v>
      </c>
      <c r="N22" s="552" t="s">
        <v>2193</v>
      </c>
      <c r="O22" s="553" t="s">
        <v>2230</v>
      </c>
      <c r="P22" s="554" t="s">
        <v>2214</v>
      </c>
      <c r="Q22" s="555" t="s">
        <v>2222</v>
      </c>
      <c r="R22" s="556"/>
      <c r="S22" s="557"/>
      <c r="T22" s="556"/>
    </row>
    <row customHeight="true" ht="23.80952380952381" r="23">
      <c r="A23" s="544"/>
      <c r="B23" s="545">
        <f>IFERROR(VLOOKUP(C23,'字段信息'!A:C,3,),"")</f>
      </c>
      <c r="C23" s="546" t="s">
        <v>2231</v>
      </c>
      <c r="D23" s="547">
        <f>IFERROR(VLOOKUP(C23,'字段信息'!A:C,2,),"")</f>
      </c>
      <c r="E23" s="548"/>
      <c r="F23" s="548">
        <f t="shared" si="0"/>
      </c>
      <c r="G23" s="548" t="s">
        <v>2182</v>
      </c>
      <c r="H23" s="549"/>
      <c r="I23" s="549"/>
      <c r="J23" s="549"/>
      <c r="K23" s="549"/>
      <c r="L23" s="550"/>
      <c r="M23" s="551" t="s">
        <v>2232</v>
      </c>
      <c r="N23" s="552" t="s">
        <v>2193</v>
      </c>
      <c r="O23" s="553" t="s">
        <v>2233</v>
      </c>
      <c r="P23" s="554" t="s">
        <v>2199</v>
      </c>
      <c r="Q23" s="555" t="s">
        <v>2234</v>
      </c>
      <c r="R23" s="556"/>
      <c r="S23" s="557"/>
      <c r="T23" s="556"/>
    </row>
    <row customHeight="true" ht="23.80952380952381" r="24">
      <c r="A24" s="544"/>
      <c r="B24" s="545">
        <f>IFERROR(VLOOKUP(C24,'字段信息'!A:C,3,),"")</f>
      </c>
      <c r="C24" s="546" t="s">
        <v>2235</v>
      </c>
      <c r="D24" s="547">
        <f>IFERROR(VLOOKUP(C24,'字段信息'!A:C,2,),"")</f>
      </c>
      <c r="E24" s="548"/>
      <c r="F24" s="548">
        <f t="shared" si="0"/>
      </c>
      <c r="G24" s="548" t="s">
        <v>2182</v>
      </c>
      <c r="H24" s="549"/>
      <c r="I24" s="549"/>
      <c r="J24" s="549"/>
      <c r="K24" s="549"/>
      <c r="L24" s="550"/>
      <c r="M24" s="551" t="s">
        <v>2232</v>
      </c>
      <c r="N24" s="552" t="s">
        <v>2193</v>
      </c>
      <c r="O24" s="553" t="s">
        <v>2233</v>
      </c>
      <c r="P24" s="554" t="s">
        <v>2199</v>
      </c>
      <c r="Q24" s="555" t="s">
        <v>2236</v>
      </c>
      <c r="R24" s="556"/>
      <c r="S24" s="557"/>
      <c r="T24" s="556"/>
    </row>
    <row customHeight="true" ht="23.80952380952381" r="25">
      <c r="A25" s="544"/>
      <c r="B25" s="545">
        <f>IFERROR(VLOOKUP(C25,'字段信息'!A:C,3,),"")</f>
      </c>
      <c r="C25" s="546" t="s">
        <v>2237</v>
      </c>
      <c r="D25" s="547">
        <f>IFERROR(VLOOKUP(C25,'字段信息'!A:C,2,),"")</f>
      </c>
      <c r="E25" s="548"/>
      <c r="F25" s="548">
        <f t="shared" si="0"/>
      </c>
      <c r="G25" s="548" t="s">
        <v>2182</v>
      </c>
      <c r="H25" s="549"/>
      <c r="I25" s="549"/>
      <c r="J25" s="549"/>
      <c r="K25" s="549"/>
      <c r="L25" s="550"/>
      <c r="M25" s="551" t="s">
        <v>2183</v>
      </c>
      <c r="N25" s="552" t="s">
        <v>2193</v>
      </c>
      <c r="O25" s="553" t="s">
        <v>2238</v>
      </c>
      <c r="P25" s="554" t="s">
        <v>2239</v>
      </c>
      <c r="Q25" s="555" t="s">
        <v>2240</v>
      </c>
      <c r="R25" s="556"/>
      <c r="S25" s="557"/>
      <c r="T25" s="556"/>
    </row>
    <row r="26">
      <c r="A26" s="544"/>
      <c r="B26" s="545">
        <f>IFERROR(VLOOKUP(C26,'字段信息'!A:C,3,),"")</f>
      </c>
      <c r="C26" s="546" t="s">
        <v>2241</v>
      </c>
      <c r="D26" s="547">
        <f>IFERROR(VLOOKUP(C26,'字段信息'!A:C,2,),"")</f>
      </c>
      <c r="E26" s="548"/>
      <c r="F26" s="548">
        <f t="shared" si="0"/>
      </c>
      <c r="G26" s="548" t="s">
        <v>2182</v>
      </c>
      <c r="H26" s="549"/>
      <c r="I26" s="549"/>
      <c r="J26" s="549"/>
      <c r="K26" s="549"/>
      <c r="L26" s="550" t="s">
        <v>2188</v>
      </c>
      <c r="M26" s="551" t="s">
        <v>2183</v>
      </c>
      <c r="N26" s="552" t="s">
        <v>2193</v>
      </c>
      <c r="O26" s="553" t="s">
        <v>2238</v>
      </c>
      <c r="P26" s="554" t="s">
        <v>2242</v>
      </c>
      <c r="Q26" s="555" t="s">
        <v>2240</v>
      </c>
      <c r="R26" s="556"/>
      <c r="S26" s="557"/>
      <c r="T26" s="556"/>
    </row>
    <row r="27">
      <c r="A27" s="489"/>
      <c r="B27" s="517">
        <f>IFERROR(VLOOKUP(C27,'字段信息'!A:C,3,),"")</f>
      </c>
      <c r="C27" s="517" t="s">
        <v>2243</v>
      </c>
      <c r="D27" s="519">
        <f>IFERROR(VLOOKUP(C27,'字段信息'!A:C,2,),"")</f>
      </c>
      <c r="E27" s="520"/>
      <c r="F27" s="520">
        <f t="shared" si="0"/>
      </c>
      <c r="G27" s="520" t="s">
        <v>2182</v>
      </c>
      <c r="H27" s="521"/>
      <c r="I27" s="521"/>
      <c r="J27" s="521"/>
      <c r="K27" s="521"/>
      <c r="L27" s="522" t="s">
        <v>2188</v>
      </c>
      <c r="M27" s="536" t="s">
        <v>2244</v>
      </c>
      <c r="N27" s="537" t="s">
        <v>2193</v>
      </c>
      <c r="O27" s="538" t="s">
        <v>2185</v>
      </c>
      <c r="P27" s="525"/>
      <c r="Q27" s="533"/>
      <c r="R27" s="529"/>
      <c r="S27" s="533"/>
      <c r="T27" s="529"/>
    </row>
    <row r="28">
      <c r="A28" s="489"/>
      <c r="B28" s="517">
        <f>IFERROR(VLOOKUP(C28,'字段信息'!A:C,3,),"")</f>
      </c>
      <c r="C28" s="517" t="s">
        <v>2245</v>
      </c>
      <c r="D28" s="519">
        <f>IFERROR(VLOOKUP(C28,'字段信息'!A:C,2,),"")</f>
      </c>
      <c r="E28" s="520"/>
      <c r="F28" s="520">
        <f t="shared" si="0"/>
      </c>
      <c r="G28" s="520" t="s">
        <v>2182</v>
      </c>
      <c r="H28" s="521"/>
      <c r="I28" s="521"/>
      <c r="J28" s="521"/>
      <c r="K28" s="521"/>
      <c r="L28" s="522" t="s">
        <v>2188</v>
      </c>
      <c r="M28" s="536" t="s">
        <v>2246</v>
      </c>
      <c r="N28" s="537" t="s">
        <v>2193</v>
      </c>
      <c r="O28" s="538" t="s">
        <v>2185</v>
      </c>
      <c r="P28" s="521"/>
      <c r="Q28" s="533"/>
      <c r="R28" s="529"/>
      <c r="S28" s="533"/>
      <c r="T28" s="529"/>
    </row>
    <row r="29"/>
    <row r="30"/>
    <row r="31"/>
    <row r="32"/>
    <row r="33"/>
    <row r="34"/>
    <row r="35">
      <c r="M35" s="558"/>
      <c r="N35" s="559"/>
      <c r="O35" s="558"/>
      <c r="Q35" s="558"/>
      <c r="S35" s="558"/>
    </row>
    <row r="36">
      <c r="M36" s="558"/>
      <c r="N36" s="559"/>
      <c r="O36" s="558"/>
      <c r="Q36" s="558"/>
      <c r="S36" s="558"/>
    </row>
    <row r="37">
      <c r="M37" s="558"/>
      <c r="N37" s="559"/>
      <c r="O37" s="558"/>
      <c r="Q37" s="558"/>
      <c r="S37" s="558"/>
    </row>
    <row r="38">
      <c r="M38" s="558"/>
      <c r="N38" s="559"/>
      <c r="O38" s="558"/>
      <c r="Q38" s="558"/>
      <c r="S38" s="558"/>
    </row>
    <row r="39">
      <c r="M39" s="558"/>
      <c r="N39" s="559"/>
      <c r="O39" s="558"/>
      <c r="Q39" s="558"/>
      <c r="S39" s="558"/>
    </row>
    <row r="40">
      <c r="M40" s="558"/>
      <c r="N40" s="559"/>
      <c r="O40" s="558"/>
      <c r="Q40" s="558"/>
      <c r="S40" s="558"/>
    </row>
    <row r="41">
      <c r="M41" s="558"/>
      <c r="N41" s="559"/>
      <c r="O41" s="558"/>
      <c r="Q41" s="558"/>
      <c r="S41" s="558"/>
    </row>
    <row r="42">
      <c r="M42" s="558"/>
      <c r="N42" s="559"/>
      <c r="O42" s="558"/>
      <c r="Q42" s="558"/>
      <c r="S42" s="558"/>
    </row>
    <row r="43">
      <c r="M43" s="558"/>
      <c r="N43" s="559"/>
      <c r="O43" s="558"/>
      <c r="Q43" s="558"/>
      <c r="S43" s="558"/>
    </row>
    <row r="44">
      <c r="M44" s="558"/>
      <c r="N44" s="559"/>
      <c r="O44" s="558"/>
      <c r="Q44" s="558"/>
      <c r="S44" s="558"/>
    </row>
    <row r="45">
      <c r="M45" s="558"/>
      <c r="N45" s="559"/>
      <c r="O45" s="558"/>
      <c r="Q45" s="558"/>
      <c r="S45" s="558"/>
    </row>
    <row r="46">
      <c r="M46" s="558"/>
      <c r="N46" s="559"/>
      <c r="O46" s="558"/>
      <c r="Q46" s="558"/>
      <c r="S46" s="558"/>
    </row>
    <row r="47">
      <c r="M47" s="558"/>
      <c r="N47" s="559"/>
      <c r="O47" s="558"/>
      <c r="Q47" s="558"/>
      <c r="S47" s="558"/>
    </row>
    <row r="48">
      <c r="M48" s="558"/>
      <c r="N48" s="559"/>
      <c r="O48" s="558"/>
      <c r="Q48" s="558"/>
      <c r="S48" s="558"/>
    </row>
    <row r="49">
      <c r="M49" s="558"/>
      <c r="N49" s="559"/>
      <c r="O49" s="558"/>
      <c r="Q49" s="558"/>
      <c r="S49" s="558"/>
    </row>
    <row r="50">
      <c r="M50" s="558"/>
      <c r="N50" s="559"/>
      <c r="O50" s="558"/>
      <c r="Q50" s="558"/>
      <c r="S50" s="558"/>
    </row>
    <row r="51">
      <c r="M51" s="558"/>
      <c r="N51" s="559"/>
      <c r="O51" s="558"/>
      <c r="Q51" s="558"/>
      <c r="S51" s="558"/>
    </row>
    <row r="52">
      <c r="M52" s="558"/>
      <c r="N52" s="559"/>
      <c r="O52" s="558"/>
      <c r="Q52" s="558"/>
      <c r="S52" s="558"/>
    </row>
    <row r="53">
      <c r="M53" s="558"/>
      <c r="N53" s="559"/>
      <c r="O53" s="558"/>
      <c r="Q53" s="558"/>
      <c r="S53" s="558"/>
    </row>
    <row r="54">
      <c r="M54" s="558"/>
      <c r="N54" s="559"/>
      <c r="O54" s="558"/>
      <c r="Q54" s="558"/>
      <c r="S54" s="558"/>
    </row>
    <row r="55">
      <c r="M55" s="558"/>
      <c r="N55" s="559"/>
      <c r="O55" s="558"/>
      <c r="Q55" s="558"/>
      <c r="S55" s="558"/>
    </row>
    <row r="56">
      <c r="M56" s="558"/>
      <c r="N56" s="559"/>
      <c r="O56" s="558"/>
      <c r="Q56" s="558"/>
      <c r="S56" s="558"/>
    </row>
    <row r="57">
      <c r="M57" s="558"/>
      <c r="N57" s="559"/>
      <c r="O57" s="558"/>
      <c r="Q57" s="558"/>
      <c r="S57" s="558"/>
    </row>
    <row r="58">
      <c r="M58" s="558"/>
      <c r="N58" s="559"/>
      <c r="O58" s="558"/>
      <c r="Q58" s="558"/>
      <c r="S58" s="558"/>
    </row>
  </sheetData>
  <autoFilter ref="A8:T58"/>
  <mergeCells>
    <mergeCell ref="M7:T7"/>
    <mergeCell ref="C6:G6"/>
    <mergeCell ref="B7:G7"/>
    <mergeCell ref="C2:F2"/>
    <mergeCell ref="B1:D1"/>
  </mergeCells>
  <hyperlinks>
    <hyperlink ref="A1" location="'1. 0 DWD层目录'!A1" display="返回"/>
    <hyperlink ref="A2" location="'规则库'!A1" display="规则库"/>
  </hyperlinks>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52" min="52" style="0" width="21.35211267605634"/>
    <col collapsed="false" customWidth="true" hidden="false" max="69" min="69" style="0" width="34.08450704225352"/>
    <col collapsed="false" customWidth="true" hidden="false" max="4" min="4" style="0" width="12.56338028169014"/>
    <col collapsed="false" customWidth="true" hidden="false" max="20" min="20" style="0" width="5.577464788732394"/>
    <col collapsed="false" customWidth="true" hidden="false" max="35" min="35" style="0" width="26.309859154929576"/>
    <col collapsed="false" customWidth="true" hidden="false" max="51" min="51" style="0" width="34.08450704225352"/>
    <col collapsed="false" customWidth="true" hidden="false" max="68" min="68" style="0" width="7.154929577464789"/>
    <col collapsed="false" customWidth="true" hidden="false" max="3" min="3" style="0" width="19.774647887323944"/>
    <col collapsed="false" customWidth="true" hidden="false" max="19" min="19" style="0" width="29.014081887796095"/>
    <col collapsed="false" customWidth="true" hidden="false" max="34" min="34" style="0" width="21.35211267605634"/>
    <col collapsed="false" customWidth="true" hidden="false" max="50" min="50" style="0" width="7.154929577464789"/>
    <col collapsed="false" customWidth="true" hidden="false" max="67" min="67" style="0" width="27.59570567104531"/>
    <col collapsed="false" customWidth="true" hidden="false" max="2" min="2" style="0" width="18.737089201877936"/>
    <col collapsed="false" customWidth="true" hidden="false" max="18" min="18" style="0" width="20.751175044661146"/>
    <col collapsed="false" customWidth="true" hidden="false" max="33" min="33" style="0" width="34.08450704225352"/>
    <col collapsed="false" customWidth="true" hidden="false" max="49" min="49" style="0" width="35.438176064824496"/>
    <col collapsed="false" customWidth="true" hidden="false" max="66" min="66" style="0" width="5.577464788732394"/>
    <col collapsed="false" customWidth="true" hidden="false" max="1" min="1" style="0" width="5.23943661971831"/>
    <col collapsed="false" customWidth="true" hidden="false" max="17" min="17" style="0" width="18.15962836813277"/>
    <col collapsed="false" customWidth="true" hidden="false" max="48" min="48" style="0" width="5.577464788732394"/>
    <col collapsed="false" customWidth="true" hidden="false" max="64" min="64" style="0" width="28.901408450704224"/>
    <col collapsed="false" customWidth="true" hidden="false" max="65" min="65" style="0" width="5.577464788732394"/>
    <col collapsed="false" customWidth="true" hidden="false" max="16" min="16" style="0" width="17.746478873239436"/>
    <col collapsed="false" customWidth="true" hidden="false" max="32" min="32" style="0" width="7.154929577464789"/>
    <col collapsed="false" customWidth="true" hidden="false" max="47" min="47" style="0" width="5.577464788732394"/>
    <col collapsed="false" customWidth="true" hidden="false" max="63" min="63" style="0" width="26.760563380281692"/>
    <col collapsed="false" customWidth="true" hidden="false" max="15" min="15" style="0" width="23.718309859154928"/>
    <col collapsed="false" customWidth="true" hidden="false" max="31" min="31" style="0" width="21.50237299508557"/>
    <col collapsed="false" customWidth="true" hidden="false" max="46" min="46" style="0" width="28.901408450704224"/>
    <col collapsed="false" customWidth="true" hidden="false" max="61" min="61" style="0" width="16.845070422535212"/>
    <col collapsed="false" customWidth="true" hidden="false" max="62" min="62" style="0" width="26.309859154929576"/>
    <col collapsed="false" customWidth="true" hidden="false" max="14" min="14" style="0" width="7.154929577464789"/>
    <col collapsed="false" customWidth="true" hidden="false" max="30" min="30" style="0" width="8.021903722806675"/>
    <col collapsed="false" customWidth="true" hidden="false" max="45" min="45" style="0" width="8.732394366197184"/>
    <col collapsed="false" customWidth="true" hidden="false" max="60" min="60" style="0" width="21.690140845070424"/>
    <col collapsed="false" customWidth="true" hidden="false" max="13" min="13" style="0" width="47.04225352112676"/>
    <col collapsed="false" customWidth="true" hidden="false" max="29" min="29" style="0" width="5.577464788732394"/>
    <col collapsed="false" customWidth="true" hidden="false" max="44" min="44" style="0" width="26.309859154929576"/>
    <col collapsed="false" customWidth="true" hidden="false" max="59" min="59" style="0" width="7.154929577464789"/>
    <col collapsed="false" customWidth="true" hidden="false" max="12" min="12" style="0" width="9.746478873239436"/>
    <col collapsed="false" customWidth="true" hidden="true" max="12" min="12" style="0" width="9.746478873239436"/>
    <col collapsed="false" customWidth="true" hidden="false" max="28" min="28" style="0" width="28.901408450704224"/>
    <col collapsed="false" customWidth="true" hidden="false" max="43" min="43" style="0" width="21.35211267605634"/>
    <col collapsed="false" customWidth="true" hidden="false" max="58" min="58" style="0" width="34.76056338028169"/>
    <col collapsed="false" customWidth="true" hidden="false" max="11" min="11" style="0" width="8.732394366197184"/>
    <col collapsed="false" customWidth="true" hidden="true" max="11" min="11" style="0" width="8.732394366197184"/>
    <col collapsed="false" customWidth="true" hidden="false" max="27" min="27" style="0" width="14.215954822372431"/>
    <col collapsed="false" customWidth="true" hidden="false" max="42" min="42" style="0" width="34.08450704225352"/>
    <col collapsed="false" customWidth="true" hidden="false" max="57" min="57" style="0" width="5.577464788732394"/>
    <col collapsed="false" customWidth="true" hidden="false" max="75" min="75" style="0" width="5.577464788732394"/>
    <col collapsed="false" customWidth="true" hidden="false" max="10" min="10" style="0" width="13.80281690140845"/>
    <col collapsed="false" customWidth="true" hidden="true" max="10" min="10" style="0" width="13.80281690140845"/>
    <col collapsed="false" customWidth="true" hidden="false" max="26" min="26" style="0" width="26.309859154929576"/>
    <col collapsed="false" customWidth="true" hidden="false" max="41" min="41" style="0" width="7.154929577464789"/>
    <col collapsed="false" customWidth="true" hidden="false" max="74" min="74" style="0" width="5.577464788732394"/>
    <col collapsed="false" customWidth="true" hidden="false" max="9" min="9" style="0" width="8.732394366197184"/>
    <col collapsed="false" customWidth="true" hidden="true" max="9" min="9" style="0" width="8.732394366197184"/>
    <col collapsed="false" customWidth="true" hidden="false" max="25" min="25" style="0" width="21.35211267605634"/>
    <col collapsed="false" customWidth="true" hidden="false" max="40" min="40" style="0" width="23.53585003816732"/>
    <col collapsed="false" customWidth="true" hidden="false" max="56" min="56" style="0" width="5.577464788732394"/>
    <col collapsed="false" customWidth="true" hidden="false" max="73" min="73" style="0" width="28.901408450704224"/>
    <col collapsed="false" customWidth="true" hidden="false" max="8" min="8" style="0" width="7.154929577464789"/>
    <col collapsed="false" customWidth="true" hidden="true" max="8" min="8" style="0" width="7.154929577464789"/>
    <col collapsed="false" customWidth="true" hidden="false" max="24" min="24" style="0" width="34.08450704225352"/>
    <col collapsed="false" customWidth="true" hidden="false" max="39" min="39" style="0" width="5.577464788732394"/>
    <col collapsed="false" customWidth="true" hidden="false" max="55" min="55" style="0" width="28.901408450704224"/>
    <col collapsed="false" customWidth="true" hidden="false" max="72" min="72" style="0" width="8.732394366197184"/>
    <col collapsed="false" customWidth="true" hidden="false" max="7" min="7" style="0" width="8.732394366197184"/>
    <col collapsed="false" customWidth="true" hidden="false" max="23" min="23" style="0" width="7.154929577464789"/>
    <col collapsed="false" customWidth="true" hidden="false" max="38" min="38" style="0" width="5.577464788732394"/>
    <col collapsed="false" customWidth="true" hidden="false" max="54" min="54" style="0" width="8.732394366197184"/>
    <col collapsed="false" customWidth="true" hidden="false" max="71" min="71" style="0" width="26.309859154929576"/>
    <col collapsed="false" customWidth="true" hidden="false" max="6" min="6" style="0" width="17.070422535211268"/>
    <col collapsed="false" customWidth="true" hidden="false" max="22" min="22" style="0" width="51.187799861898796"/>
    <col collapsed="false" customWidth="true" hidden="false" max="37" min="37" style="0" width="28.901408450704224"/>
    <col collapsed="false" customWidth="true" hidden="false" max="53" min="53" style="0" width="26.309859154929576"/>
    <col collapsed="false" customWidth="true" hidden="false" max="70" min="70" style="0" width="21.35211267605634"/>
    <col collapsed="false" customWidth="true" hidden="false" max="5" min="5" style="0" width="10.647887323943662"/>
    <col collapsed="false" customWidth="true" hidden="false" max="21" min="21" style="0" width="1.877935619234616"/>
    <col collapsed="false" customWidth="true" hidden="false" max="36" min="36" style="0" width="8.732394366197184"/>
  </cols>
  <sheetData>
    <row r="1">
      <c r="A1" s="560" t="s">
        <v>2247</v>
      </c>
      <c r="B1" s="561" t="s">
        <v>2248</v>
      </c>
      <c r="C1" s="562"/>
      <c r="D1" s="562"/>
      <c r="E1" s="563"/>
      <c r="F1" s="563"/>
      <c r="G1" s="563"/>
      <c r="H1" s="564"/>
      <c r="I1" s="564"/>
      <c r="J1" s="564"/>
      <c r="K1" s="564"/>
      <c r="L1" s="564"/>
      <c r="M1" s="565"/>
      <c r="N1" s="566"/>
      <c r="O1" s="567"/>
      <c r="P1" s="567"/>
      <c r="Q1" s="567"/>
      <c r="R1" s="563"/>
      <c r="S1" s="567"/>
      <c r="T1" s="563"/>
      <c r="V1" s="565"/>
      <c r="W1" s="566"/>
      <c r="X1" s="567"/>
      <c r="Y1" s="567"/>
      <c r="Z1" s="567"/>
      <c r="AA1" s="563"/>
      <c r="AB1" s="567"/>
      <c r="AC1" s="563"/>
      <c r="AE1" s="565"/>
      <c r="AF1" s="566"/>
      <c r="AG1" s="567"/>
      <c r="AH1" s="567"/>
      <c r="AI1" s="567"/>
      <c r="AJ1" s="563"/>
      <c r="AK1" s="567"/>
      <c r="AL1" s="563"/>
      <c r="AN1" s="565"/>
      <c r="AO1" s="566"/>
      <c r="AP1" s="567"/>
      <c r="AQ1" s="567"/>
      <c r="AR1" s="567"/>
      <c r="AS1" s="563"/>
      <c r="AT1" s="567"/>
      <c r="AU1" s="563"/>
      <c r="AW1" s="565"/>
      <c r="AX1" s="566"/>
      <c r="AY1" s="567"/>
      <c r="AZ1" s="567"/>
      <c r="BA1" s="567"/>
      <c r="BB1" s="563"/>
      <c r="BC1" s="567"/>
      <c r="BD1" s="563"/>
      <c r="BF1" s="565"/>
      <c r="BG1" s="566"/>
      <c r="BH1" s="567"/>
      <c r="BI1" s="567"/>
      <c r="BJ1" s="567"/>
      <c r="BK1" s="563"/>
      <c r="BL1" s="567"/>
      <c r="BM1" s="563"/>
      <c r="BO1" s="565"/>
      <c r="BP1" s="566"/>
      <c r="BQ1" s="567"/>
      <c r="BR1" s="567"/>
      <c r="BS1" s="567"/>
      <c r="BT1" s="563"/>
      <c r="BU1" s="567"/>
      <c r="BV1" s="563"/>
    </row>
    <row r="2">
      <c r="A2" s="560" t="s">
        <v>2249</v>
      </c>
      <c r="B2" s="568" t="s">
        <v>2250</v>
      </c>
      <c r="C2" s="569" t="s">
        <v>2251</v>
      </c>
      <c r="D2" s="570"/>
      <c r="E2" s="570"/>
      <c r="F2" s="570"/>
      <c r="G2" s="570"/>
      <c r="H2" s="564"/>
      <c r="I2" s="564"/>
      <c r="J2" s="564"/>
      <c r="K2" s="564"/>
      <c r="L2" s="564"/>
      <c r="M2" s="565"/>
      <c r="N2" s="566"/>
      <c r="O2" s="567"/>
      <c r="P2" s="567"/>
      <c r="Q2" s="567"/>
      <c r="R2" s="563"/>
      <c r="S2" s="567"/>
      <c r="T2" s="563"/>
      <c r="V2" s="565"/>
      <c r="W2" s="566"/>
      <c r="X2" s="567"/>
      <c r="Y2" s="567"/>
      <c r="Z2" s="567"/>
      <c r="AA2" s="563"/>
      <c r="AB2" s="567"/>
      <c r="AC2" s="563"/>
      <c r="AE2" s="565"/>
      <c r="AF2" s="566"/>
      <c r="AG2" s="567"/>
      <c r="AH2" s="567"/>
      <c r="AI2" s="567"/>
      <c r="AJ2" s="563"/>
      <c r="AK2" s="567"/>
      <c r="AL2" s="563"/>
      <c r="AN2" s="565"/>
      <c r="AO2" s="566"/>
      <c r="AP2" s="567"/>
      <c r="AQ2" s="567"/>
      <c r="AR2" s="567"/>
      <c r="AS2" s="563"/>
      <c r="AT2" s="567"/>
      <c r="AU2" s="563"/>
      <c r="AW2" s="565"/>
      <c r="AX2" s="566"/>
      <c r="AY2" s="567"/>
      <c r="AZ2" s="567"/>
      <c r="BA2" s="567"/>
      <c r="BB2" s="563"/>
      <c r="BC2" s="567"/>
      <c r="BD2" s="563"/>
      <c r="BF2" s="565"/>
      <c r="BG2" s="566"/>
      <c r="BH2" s="567"/>
      <c r="BI2" s="567"/>
      <c r="BJ2" s="567"/>
      <c r="BK2" s="563"/>
      <c r="BL2" s="567"/>
      <c r="BM2" s="563"/>
      <c r="BO2" s="565"/>
      <c r="BP2" s="566"/>
      <c r="BQ2" s="567"/>
      <c r="BR2" s="567"/>
      <c r="BS2" s="567"/>
      <c r="BT2" s="563"/>
      <c r="BU2" s="567"/>
      <c r="BV2" s="563"/>
    </row>
    <row r="3">
      <c r="A3" s="571"/>
      <c r="B3" s="572" t="s">
        <v>2252</v>
      </c>
      <c r="C3" s="573" t="s">
        <v>2253</v>
      </c>
      <c r="D3" s="574" t="s">
        <v>2254</v>
      </c>
      <c r="E3" s="575" t="s">
        <v>2255</v>
      </c>
      <c r="F3" s="572" t="s">
        <v>2256</v>
      </c>
      <c r="G3" s="576" t="s">
        <v>2257</v>
      </c>
      <c r="H3" s="564"/>
      <c r="I3" s="564"/>
      <c r="J3" s="564"/>
      <c r="K3" s="564"/>
      <c r="L3" s="564"/>
      <c r="M3" s="565"/>
      <c r="N3" s="566"/>
      <c r="O3" s="567"/>
      <c r="P3" s="567"/>
      <c r="Q3" s="567"/>
      <c r="R3" s="563"/>
      <c r="S3" s="567"/>
      <c r="T3" s="563"/>
      <c r="V3" s="565"/>
      <c r="W3" s="566"/>
      <c r="X3" s="567"/>
      <c r="Y3" s="567"/>
      <c r="Z3" s="567"/>
      <c r="AA3" s="563"/>
      <c r="AB3" s="567"/>
      <c r="AC3" s="563"/>
      <c r="AE3" s="565"/>
      <c r="AF3" s="566"/>
      <c r="AG3" s="567"/>
      <c r="AH3" s="567"/>
      <c r="AI3" s="567"/>
      <c r="AJ3" s="563"/>
      <c r="AK3" s="567"/>
      <c r="AL3" s="563"/>
      <c r="AN3" s="565"/>
      <c r="AO3" s="566"/>
      <c r="AP3" s="567"/>
      <c r="AQ3" s="567"/>
      <c r="AR3" s="567"/>
      <c r="AS3" s="563"/>
      <c r="AT3" s="567"/>
      <c r="AU3" s="563"/>
      <c r="AW3" s="565"/>
      <c r="AX3" s="566"/>
      <c r="AY3" s="567"/>
      <c r="AZ3" s="567"/>
      <c r="BA3" s="567"/>
      <c r="BB3" s="563"/>
      <c r="BC3" s="567"/>
      <c r="BD3" s="563"/>
      <c r="BF3" s="565"/>
      <c r="BG3" s="566"/>
      <c r="BH3" s="567"/>
      <c r="BI3" s="567"/>
      <c r="BJ3" s="567"/>
      <c r="BK3" s="563"/>
      <c r="BL3" s="567"/>
      <c r="BM3" s="563"/>
      <c r="BO3" s="565"/>
      <c r="BP3" s="566"/>
      <c r="BQ3" s="567"/>
      <c r="BR3" s="567"/>
      <c r="BS3" s="567"/>
      <c r="BT3" s="563"/>
      <c r="BU3" s="567"/>
      <c r="BV3" s="563"/>
    </row>
    <row r="4">
      <c r="A4" s="571"/>
      <c r="B4" s="572" t="s">
        <v>2258</v>
      </c>
      <c r="C4" s="576" t="s">
        <v>2259</v>
      </c>
      <c r="D4" s="577" t="s">
        <v>2260</v>
      </c>
      <c r="E4" s="578" t="s">
        <v>2261</v>
      </c>
      <c r="F4" s="577" t="s">
        <v>2262</v>
      </c>
      <c r="G4" s="573" t="s">
        <v>2263</v>
      </c>
      <c r="H4" s="564"/>
      <c r="I4" s="564"/>
      <c r="J4" s="564"/>
      <c r="K4" s="564"/>
      <c r="L4" s="564"/>
      <c r="M4" s="565"/>
      <c r="N4" s="566"/>
      <c r="O4" s="567"/>
      <c r="P4" s="567"/>
      <c r="Q4" s="567"/>
      <c r="R4" s="563"/>
      <c r="S4" s="567"/>
      <c r="T4" s="563"/>
      <c r="V4" s="565"/>
      <c r="W4" s="566"/>
      <c r="X4" s="567"/>
      <c r="Y4" s="567"/>
      <c r="Z4" s="567"/>
      <c r="AA4" s="563"/>
      <c r="AB4" s="567"/>
      <c r="AC4" s="563"/>
      <c r="AE4" s="565"/>
      <c r="AF4" s="566"/>
      <c r="AG4" s="567"/>
      <c r="AH4" s="567"/>
      <c r="AI4" s="567"/>
      <c r="AJ4" s="563"/>
      <c r="AK4" s="567"/>
      <c r="AL4" s="563"/>
      <c r="AN4" s="565"/>
      <c r="AO4" s="566"/>
      <c r="AP4" s="567"/>
      <c r="AQ4" s="567"/>
      <c r="AR4" s="567"/>
      <c r="AS4" s="563"/>
      <c r="AT4" s="567"/>
      <c r="AU4" s="563"/>
      <c r="AW4" s="565"/>
      <c r="AX4" s="566"/>
      <c r="AY4" s="567"/>
      <c r="AZ4" s="567"/>
      <c r="BA4" s="567"/>
      <c r="BB4" s="563"/>
      <c r="BC4" s="567"/>
      <c r="BD4" s="563"/>
      <c r="BF4" s="565"/>
      <c r="BG4" s="566"/>
      <c r="BH4" s="567"/>
      <c r="BI4" s="567"/>
      <c r="BJ4" s="567"/>
      <c r="BK4" s="563"/>
      <c r="BL4" s="567"/>
      <c r="BM4" s="563"/>
      <c r="BO4" s="565"/>
      <c r="BP4" s="566"/>
      <c r="BQ4" s="567"/>
      <c r="BR4" s="567"/>
      <c r="BS4" s="567"/>
      <c r="BT4" s="563"/>
      <c r="BU4" s="567"/>
      <c r="BV4" s="563"/>
    </row>
    <row r="5">
      <c r="A5" s="571"/>
      <c r="B5" s="572" t="s">
        <v>2264</v>
      </c>
      <c r="C5" s="573" t="s">
        <v>2265</v>
      </c>
      <c r="D5" s="574" t="s">
        <v>2266</v>
      </c>
      <c r="E5" s="579"/>
      <c r="F5" s="574" t="s">
        <v>2267</v>
      </c>
      <c r="G5" s="580"/>
      <c r="H5" s="564"/>
      <c r="I5" s="564"/>
      <c r="J5" s="564"/>
      <c r="K5" s="564"/>
      <c r="L5" s="564"/>
      <c r="M5" s="565"/>
      <c r="N5" s="566"/>
      <c r="O5" s="567"/>
      <c r="P5" s="567"/>
      <c r="Q5" s="567"/>
      <c r="R5" s="563"/>
      <c r="S5" s="567"/>
      <c r="T5" s="563"/>
      <c r="V5" s="565"/>
      <c r="W5" s="566"/>
      <c r="X5" s="567"/>
      <c r="Y5" s="567"/>
      <c r="Z5" s="567"/>
      <c r="AA5" s="563"/>
      <c r="AB5" s="567"/>
      <c r="AC5" s="563"/>
      <c r="AE5" s="565"/>
      <c r="AF5" s="566"/>
      <c r="AG5" s="567"/>
      <c r="AH5" s="567"/>
      <c r="AI5" s="567"/>
      <c r="AJ5" s="563"/>
      <c r="AK5" s="567"/>
      <c r="AL5" s="563"/>
      <c r="AN5" s="565"/>
      <c r="AO5" s="566"/>
      <c r="AP5" s="567"/>
      <c r="AQ5" s="567"/>
      <c r="AR5" s="567"/>
      <c r="AS5" s="563"/>
      <c r="AT5" s="567"/>
      <c r="AU5" s="563"/>
      <c r="AW5" s="565"/>
      <c r="AX5" s="566"/>
      <c r="AY5" s="567"/>
      <c r="AZ5" s="567"/>
      <c r="BA5" s="567"/>
      <c r="BB5" s="563"/>
      <c r="BC5" s="567"/>
      <c r="BD5" s="563"/>
      <c r="BF5" s="565"/>
      <c r="BG5" s="566"/>
      <c r="BH5" s="567"/>
      <c r="BI5" s="567"/>
      <c r="BJ5" s="567"/>
      <c r="BK5" s="563"/>
      <c r="BL5" s="567"/>
      <c r="BM5" s="563"/>
      <c r="BO5" s="565"/>
      <c r="BP5" s="566"/>
      <c r="BQ5" s="567"/>
      <c r="BR5" s="567"/>
      <c r="BS5" s="567"/>
      <c r="BT5" s="563"/>
      <c r="BU5" s="567"/>
      <c r="BV5" s="563"/>
    </row>
    <row r="6">
      <c r="A6" s="571"/>
      <c r="B6" s="581" t="s">
        <v>2268</v>
      </c>
      <c r="C6" s="582" t="s">
        <v>2269</v>
      </c>
      <c r="D6" s="582"/>
      <c r="E6" s="582"/>
      <c r="F6" s="582"/>
      <c r="G6" s="582"/>
      <c r="H6" s="564"/>
      <c r="I6" s="564"/>
      <c r="J6" s="564"/>
      <c r="K6" s="564"/>
      <c r="L6" s="564"/>
      <c r="M6" s="565"/>
      <c r="N6" s="566"/>
      <c r="O6" s="567"/>
      <c r="P6" s="567"/>
      <c r="Q6" s="567"/>
      <c r="R6" s="563"/>
      <c r="S6" s="567"/>
      <c r="T6" s="563"/>
      <c r="V6" s="583" t="s">
        <v>2270</v>
      </c>
      <c r="W6" s="566"/>
      <c r="X6" s="567"/>
      <c r="Y6" s="567"/>
      <c r="Z6" s="567"/>
      <c r="AA6" s="563"/>
      <c r="AB6" s="567"/>
      <c r="AC6" s="563"/>
      <c r="AE6" s="583"/>
      <c r="AF6" s="566"/>
      <c r="AG6" s="567"/>
      <c r="AH6" s="567"/>
      <c r="AI6" s="567"/>
      <c r="AJ6" s="563"/>
      <c r="AK6" s="567"/>
      <c r="AL6" s="563"/>
      <c r="AN6" s="584"/>
      <c r="AO6" s="566"/>
      <c r="AP6" s="567"/>
      <c r="AQ6" s="567"/>
      <c r="AR6" s="567"/>
      <c r="AS6" s="563"/>
      <c r="AT6" s="567"/>
      <c r="AU6" s="563"/>
      <c r="AW6" s="584"/>
      <c r="AX6" s="566"/>
      <c r="AY6" s="567"/>
      <c r="AZ6" s="567"/>
      <c r="BA6" s="567"/>
      <c r="BB6" s="563"/>
      <c r="BC6" s="567"/>
      <c r="BD6" s="563"/>
      <c r="BF6" s="565"/>
      <c r="BG6" s="566"/>
      <c r="BH6" s="567"/>
      <c r="BI6" s="567"/>
      <c r="BJ6" s="567"/>
      <c r="BK6" s="563"/>
      <c r="BL6" s="567"/>
      <c r="BM6" s="563"/>
      <c r="BO6" s="584"/>
      <c r="BP6" s="566"/>
      <c r="BQ6" s="567"/>
      <c r="BR6" s="567"/>
      <c r="BS6" s="567"/>
      <c r="BT6" s="563"/>
      <c r="BU6" s="567"/>
      <c r="BV6" s="563"/>
    </row>
    <row r="7">
      <c r="A7" s="585"/>
      <c r="B7" s="586" t="s">
        <v>2271</v>
      </c>
      <c r="C7" s="586"/>
      <c r="D7" s="586"/>
      <c r="E7" s="586"/>
      <c r="F7" s="586"/>
      <c r="G7" s="586"/>
      <c r="H7" s="586"/>
      <c r="I7" s="586"/>
      <c r="J7" s="586"/>
      <c r="K7" s="586"/>
      <c r="L7" s="586"/>
      <c r="M7" s="587" t="s">
        <v>2272</v>
      </c>
      <c r="N7" s="588"/>
      <c r="O7" s="588"/>
      <c r="P7" s="588"/>
      <c r="Q7" s="588"/>
      <c r="R7" s="588"/>
      <c r="S7" s="588"/>
      <c r="T7" s="588"/>
      <c r="U7" s="589"/>
      <c r="V7" s="590" t="s">
        <v>2273</v>
      </c>
      <c r="W7" s="590"/>
      <c r="X7" s="590"/>
      <c r="Y7" s="590"/>
      <c r="Z7" s="590"/>
      <c r="AA7" s="590"/>
      <c r="AB7" s="590"/>
      <c r="AC7" s="590"/>
      <c r="AE7" s="590" t="s">
        <v>2274</v>
      </c>
      <c r="AF7" s="590"/>
      <c r="AG7" s="590"/>
      <c r="AH7" s="590"/>
      <c r="AI7" s="590"/>
      <c r="AJ7" s="590"/>
      <c r="AK7" s="590"/>
      <c r="AL7" s="590"/>
      <c r="AN7" s="587" t="s">
        <v>2275</v>
      </c>
      <c r="AO7" s="588"/>
      <c r="AP7" s="588"/>
      <c r="AQ7" s="588"/>
      <c r="AR7" s="588"/>
      <c r="AS7" s="588"/>
      <c r="AT7" s="588"/>
      <c r="AU7" s="588"/>
      <c r="AW7" s="587" t="s">
        <v>2276</v>
      </c>
      <c r="AX7" s="587"/>
      <c r="AY7" s="587"/>
      <c r="AZ7" s="587"/>
      <c r="BA7" s="587"/>
      <c r="BB7" s="587"/>
      <c r="BC7" s="587"/>
      <c r="BD7" s="587"/>
      <c r="BF7" s="587" t="s">
        <v>2277</v>
      </c>
      <c r="BG7" s="587"/>
      <c r="BH7" s="587"/>
      <c r="BI7" s="587"/>
      <c r="BJ7" s="587"/>
      <c r="BK7" s="587"/>
      <c r="BL7" s="587"/>
      <c r="BM7" s="587"/>
      <c r="BO7" s="587" t="s">
        <v>2278</v>
      </c>
      <c r="BP7" s="587"/>
      <c r="BQ7" s="587"/>
      <c r="BR7" s="587"/>
      <c r="BS7" s="587"/>
      <c r="BT7" s="587"/>
      <c r="BU7" s="587"/>
      <c r="BV7" s="587"/>
    </row>
    <row r="8">
      <c r="A8" s="585"/>
      <c r="B8" s="591" t="s">
        <v>2279</v>
      </c>
      <c r="C8" s="591" t="s">
        <v>2280</v>
      </c>
      <c r="D8" s="591" t="s">
        <v>2281</v>
      </c>
      <c r="E8" s="591" t="s">
        <v>2282</v>
      </c>
      <c r="F8" s="591" t="s">
        <v>2283</v>
      </c>
      <c r="G8" s="591" t="s">
        <v>2284</v>
      </c>
      <c r="H8" s="591" t="s">
        <v>2285</v>
      </c>
      <c r="I8" s="591" t="s">
        <v>2286</v>
      </c>
      <c r="J8" s="591" t="s">
        <v>2287</v>
      </c>
      <c r="K8" s="591" t="s">
        <v>2288</v>
      </c>
      <c r="L8" s="591" t="s">
        <v>2289</v>
      </c>
      <c r="M8" s="592" t="s">
        <v>2290</v>
      </c>
      <c r="N8" s="593" t="s">
        <v>2291</v>
      </c>
      <c r="O8" s="594" t="s">
        <v>2292</v>
      </c>
      <c r="P8" s="592" t="s">
        <v>2293</v>
      </c>
      <c r="Q8" s="592" t="s">
        <v>2294</v>
      </c>
      <c r="R8" s="591" t="s">
        <v>2295</v>
      </c>
      <c r="S8" s="592" t="s">
        <v>2296</v>
      </c>
      <c r="T8" s="591" t="s">
        <v>2297</v>
      </c>
      <c r="U8" s="589"/>
      <c r="V8" s="595" t="s">
        <v>2290</v>
      </c>
      <c r="W8" s="596" t="s">
        <v>2291</v>
      </c>
      <c r="X8" s="595" t="s">
        <v>2292</v>
      </c>
      <c r="Y8" s="595" t="s">
        <v>2293</v>
      </c>
      <c r="Z8" s="595" t="s">
        <v>2294</v>
      </c>
      <c r="AA8" s="596" t="s">
        <v>2295</v>
      </c>
      <c r="AB8" s="595" t="s">
        <v>2296</v>
      </c>
      <c r="AC8" s="596" t="s">
        <v>2297</v>
      </c>
      <c r="AE8" s="595" t="s">
        <v>2290</v>
      </c>
      <c r="AF8" s="596" t="s">
        <v>2291</v>
      </c>
      <c r="AG8" s="595" t="s">
        <v>2292</v>
      </c>
      <c r="AH8" s="595" t="s">
        <v>2293</v>
      </c>
      <c r="AI8" s="595" t="s">
        <v>2294</v>
      </c>
      <c r="AJ8" s="596" t="s">
        <v>2295</v>
      </c>
      <c r="AK8" s="595" t="s">
        <v>2296</v>
      </c>
      <c r="AL8" s="596" t="s">
        <v>2297</v>
      </c>
      <c r="AN8" s="592" t="s">
        <v>2290</v>
      </c>
      <c r="AO8" s="591" t="s">
        <v>2291</v>
      </c>
      <c r="AP8" s="592" t="s">
        <v>2292</v>
      </c>
      <c r="AQ8" s="592" t="s">
        <v>2293</v>
      </c>
      <c r="AR8" s="592" t="s">
        <v>2294</v>
      </c>
      <c r="AS8" s="591" t="s">
        <v>2295</v>
      </c>
      <c r="AT8" s="592" t="s">
        <v>2296</v>
      </c>
      <c r="AU8" s="591" t="s">
        <v>2297</v>
      </c>
      <c r="AW8" s="592" t="s">
        <v>2290</v>
      </c>
      <c r="AX8" s="591" t="s">
        <v>2291</v>
      </c>
      <c r="AY8" s="592" t="s">
        <v>2292</v>
      </c>
      <c r="AZ8" s="592" t="s">
        <v>2293</v>
      </c>
      <c r="BA8" s="592" t="s">
        <v>2294</v>
      </c>
      <c r="BB8" s="591" t="s">
        <v>2295</v>
      </c>
      <c r="BC8" s="592" t="s">
        <v>2296</v>
      </c>
      <c r="BD8" s="591" t="s">
        <v>2297</v>
      </c>
      <c r="BF8" s="595" t="s">
        <v>2290</v>
      </c>
      <c r="BG8" s="596" t="s">
        <v>2291</v>
      </c>
      <c r="BH8" s="595" t="s">
        <v>2292</v>
      </c>
      <c r="BI8" s="595" t="s">
        <v>2293</v>
      </c>
      <c r="BJ8" s="595" t="s">
        <v>2294</v>
      </c>
      <c r="BK8" s="596" t="s">
        <v>2295</v>
      </c>
      <c r="BL8" s="595" t="s">
        <v>2296</v>
      </c>
      <c r="BM8" s="596" t="s">
        <v>2297</v>
      </c>
      <c r="BO8" s="592" t="s">
        <v>2290</v>
      </c>
      <c r="BP8" s="591" t="s">
        <v>2291</v>
      </c>
      <c r="BQ8" s="592" t="s">
        <v>2292</v>
      </c>
      <c r="BR8" s="592" t="s">
        <v>2293</v>
      </c>
      <c r="BS8" s="592" t="s">
        <v>2294</v>
      </c>
      <c r="BT8" s="591" t="s">
        <v>2295</v>
      </c>
      <c r="BU8" s="592" t="s">
        <v>2296</v>
      </c>
      <c r="BV8" s="591" t="s">
        <v>2297</v>
      </c>
    </row>
    <row hidden="true" r="9">
      <c r="A9" s="564"/>
      <c r="B9" s="597">
        <f>IFERROR(VLOOKUP(C9,'字段信息'!A:C,3,),"")</f>
      </c>
      <c r="C9" s="598" t="s">
        <v>2298</v>
      </c>
      <c r="D9" s="599">
        <f>IFERROR(VLOOKUP(C9,'字段信息'!A:C,2,),"")</f>
      </c>
      <c r="E9" s="600"/>
      <c r="F9" s="600">
        <f t="shared" ref="F9:F96" si="0">B9</f>
      </c>
      <c r="G9" s="600"/>
      <c r="H9" s="601"/>
      <c r="I9" s="601"/>
      <c r="J9" s="601"/>
      <c r="K9" s="601"/>
      <c r="L9" s="602"/>
      <c r="M9" s="603" t="s">
        <v>2299</v>
      </c>
      <c r="N9" s="604" t="s">
        <v>2300</v>
      </c>
      <c r="O9" s="605"/>
      <c r="P9" s="606"/>
      <c r="Q9" s="607"/>
      <c r="R9" s="608"/>
      <c r="S9" s="607"/>
      <c r="T9" s="608"/>
      <c r="U9" s="589"/>
      <c r="V9" s="609" t="s">
        <v>2299</v>
      </c>
      <c r="W9" s="610" t="s">
        <v>2300</v>
      </c>
      <c r="X9" s="605"/>
      <c r="Y9" s="611"/>
      <c r="Z9" s="612"/>
      <c r="AA9" s="613"/>
      <c r="AB9" s="612"/>
      <c r="AC9" s="613"/>
      <c r="AE9" s="614" t="s">
        <v>2299</v>
      </c>
      <c r="AF9" s="604" t="s">
        <v>2300</v>
      </c>
      <c r="AG9" s="615" t="s">
        <v>2301</v>
      </c>
      <c r="AH9" s="616" t="s">
        <v>2302</v>
      </c>
      <c r="AI9" s="612"/>
      <c r="AJ9" s="613"/>
      <c r="AK9" s="612"/>
      <c r="AL9" s="613"/>
      <c r="AN9" s="599"/>
      <c r="AO9" s="617"/>
      <c r="AP9" s="618"/>
      <c r="AQ9" s="608"/>
      <c r="AR9" s="598"/>
      <c r="AS9" s="608"/>
      <c r="AT9" s="607"/>
      <c r="AU9" s="608"/>
      <c r="AW9" s="610" t="s">
        <v>2300</v>
      </c>
      <c r="AX9" s="619" t="s">
        <v>2303</v>
      </c>
      <c r="AY9" s="618" t="s">
        <v>2304</v>
      </c>
      <c r="AZ9" s="620" t="s">
        <v>2305</v>
      </c>
      <c r="BA9" s="598"/>
      <c r="BB9" s="608"/>
      <c r="BC9" s="607"/>
      <c r="BD9" s="608"/>
      <c r="BF9" s="621" t="s">
        <v>2299</v>
      </c>
      <c r="BG9" s="622" t="s">
        <v>2306</v>
      </c>
      <c r="BH9" s="605" t="s">
        <v>2307</v>
      </c>
      <c r="BI9" s="598" t="s">
        <v>2298</v>
      </c>
      <c r="BJ9" s="612"/>
      <c r="BK9" s="613"/>
      <c r="BL9" s="612"/>
      <c r="BM9" s="613"/>
      <c r="BO9" s="614" t="s">
        <v>2308</v>
      </c>
      <c r="BP9" s="623" t="s">
        <v>2300</v>
      </c>
      <c r="BQ9" s="616" t="s">
        <v>2309</v>
      </c>
      <c r="BR9" s="624" t="s">
        <v>2310</v>
      </c>
      <c r="BS9" s="598"/>
      <c r="BT9" s="608"/>
      <c r="BU9" s="607"/>
      <c r="BV9" s="608"/>
    </row>
    <row hidden="true" r="10">
      <c r="A10" s="564"/>
      <c r="B10" s="597">
        <f>IFERROR(VLOOKUP(C10,'字段信息'!A:C,3,),"")</f>
      </c>
      <c r="C10" s="598" t="s">
        <v>2311</v>
      </c>
      <c r="D10" s="599">
        <f>IFERROR(VLOOKUP(C10,'字段信息'!A:C,2,),"")</f>
      </c>
      <c r="E10" s="600"/>
      <c r="F10" s="600">
        <f t="shared" si="0"/>
      </c>
      <c r="G10" s="600" t="s">
        <v>2312</v>
      </c>
      <c r="H10" s="601"/>
      <c r="I10" s="601"/>
      <c r="J10" s="601"/>
      <c r="K10" s="601"/>
      <c r="L10" s="602" t="s">
        <v>2313</v>
      </c>
      <c r="M10" s="603" t="s">
        <v>2299</v>
      </c>
      <c r="N10" s="610" t="s">
        <v>2314</v>
      </c>
      <c r="O10" s="624"/>
      <c r="P10" s="606"/>
      <c r="Q10" s="607"/>
      <c r="R10" s="608"/>
      <c r="S10" s="607"/>
      <c r="T10" s="608"/>
      <c r="U10" s="589"/>
      <c r="V10" s="609" t="s">
        <v>2315</v>
      </c>
      <c r="W10" s="610" t="s">
        <v>2314</v>
      </c>
      <c r="X10" s="616"/>
      <c r="Y10" s="611"/>
      <c r="Z10" s="612"/>
      <c r="AA10" s="613"/>
      <c r="AB10" s="612"/>
      <c r="AC10" s="613"/>
      <c r="AE10" s="609" t="s">
        <v>2299</v>
      </c>
      <c r="AF10" s="610" t="s">
        <v>2314</v>
      </c>
      <c r="AG10" s="615" t="s">
        <v>2301</v>
      </c>
      <c r="AH10" s="624" t="s">
        <v>2316</v>
      </c>
      <c r="AI10" s="612"/>
      <c r="AJ10" s="613"/>
      <c r="AK10" s="612"/>
      <c r="AL10" s="613"/>
      <c r="AN10" s="599"/>
      <c r="AO10" s="617"/>
      <c r="AP10" s="618"/>
      <c r="AQ10" s="600"/>
      <c r="AR10" s="598"/>
      <c r="AS10" s="608"/>
      <c r="AT10" s="607"/>
      <c r="AU10" s="608"/>
      <c r="AW10" s="610" t="s">
        <v>2314</v>
      </c>
      <c r="AX10" s="619" t="s">
        <v>2303</v>
      </c>
      <c r="AY10" s="618" t="s">
        <v>2304</v>
      </c>
      <c r="AZ10" s="608" t="s">
        <v>2317</v>
      </c>
      <c r="BA10" s="598"/>
      <c r="BB10" s="608"/>
      <c r="BC10" s="607"/>
      <c r="BD10" s="608"/>
      <c r="BF10" s="621" t="s">
        <v>2299</v>
      </c>
      <c r="BG10" s="622" t="s">
        <v>2306</v>
      </c>
      <c r="BH10" s="605" t="s">
        <v>2307</v>
      </c>
      <c r="BI10" s="598" t="s">
        <v>2311</v>
      </c>
      <c r="BJ10" s="612"/>
      <c r="BK10" s="613"/>
      <c r="BL10" s="612"/>
      <c r="BM10" s="613"/>
      <c r="BO10" s="609" t="s">
        <v>2299</v>
      </c>
      <c r="BP10" s="625" t="s">
        <v>2314</v>
      </c>
      <c r="BQ10" s="616" t="s">
        <v>2318</v>
      </c>
      <c r="BR10" s="624" t="s">
        <v>2319</v>
      </c>
      <c r="BS10" s="597"/>
      <c r="BT10" s="608"/>
      <c r="BU10" s="607"/>
      <c r="BV10" s="608"/>
    </row>
    <row hidden="true" r="11">
      <c r="A11" s="564"/>
      <c r="B11" s="597">
        <f>IFERROR(VLOOKUP(C11,'字段信息'!A:C,3,),"")</f>
      </c>
      <c r="C11" s="598" t="s">
        <v>2320</v>
      </c>
      <c r="D11" s="599">
        <f>IFERROR(VLOOKUP(C11,'字段信息'!A:C,2,),"")</f>
      </c>
      <c r="E11" s="600"/>
      <c r="F11" s="600">
        <f t="shared" si="0"/>
      </c>
      <c r="G11" s="600" t="s">
        <v>2312</v>
      </c>
      <c r="H11" s="601"/>
      <c r="I11" s="601"/>
      <c r="J11" s="601"/>
      <c r="K11" s="601"/>
      <c r="L11" s="626" t="s">
        <v>2313</v>
      </c>
      <c r="M11" s="603" t="s">
        <v>2299</v>
      </c>
      <c r="N11" s="610" t="s">
        <v>2321</v>
      </c>
      <c r="O11" s="627"/>
      <c r="P11" s="599"/>
      <c r="Q11" s="607"/>
      <c r="R11" s="608"/>
      <c r="S11" s="607"/>
      <c r="T11" s="608"/>
      <c r="U11" s="589"/>
      <c r="V11" s="609" t="s">
        <v>2299</v>
      </c>
      <c r="W11" s="610" t="s">
        <v>2321</v>
      </c>
      <c r="X11" s="605"/>
      <c r="Y11" s="611"/>
      <c r="Z11" s="612"/>
      <c r="AA11" s="613"/>
      <c r="AB11" s="612"/>
      <c r="AC11" s="613"/>
      <c r="AE11" s="609" t="s">
        <v>2322</v>
      </c>
      <c r="AF11" s="610" t="s">
        <v>2321</v>
      </c>
      <c r="AG11" s="615" t="s">
        <v>2301</v>
      </c>
      <c r="AH11" s="624" t="s">
        <v>2323</v>
      </c>
      <c r="AI11" s="612"/>
      <c r="AJ11" s="613"/>
      <c r="AK11" s="612"/>
      <c r="AL11" s="613"/>
      <c r="AN11" s="599"/>
      <c r="AO11" s="617"/>
      <c r="AP11" s="618"/>
      <c r="AQ11" s="600"/>
      <c r="AR11" s="598"/>
      <c r="AS11" s="608"/>
      <c r="AT11" s="607"/>
      <c r="AU11" s="608"/>
      <c r="AW11" s="610" t="s">
        <v>2321</v>
      </c>
      <c r="AX11" s="628" t="s">
        <v>2303</v>
      </c>
      <c r="AY11" s="618" t="s">
        <v>2304</v>
      </c>
      <c r="AZ11" s="608" t="s">
        <v>2324</v>
      </c>
      <c r="BA11" s="598"/>
      <c r="BB11" s="608"/>
      <c r="BC11" s="607"/>
      <c r="BD11" s="608"/>
      <c r="BF11" s="621" t="s">
        <v>2299</v>
      </c>
      <c r="BG11" s="622" t="s">
        <v>2306</v>
      </c>
      <c r="BH11" s="605" t="s">
        <v>2307</v>
      </c>
      <c r="BI11" s="598" t="s">
        <v>2320</v>
      </c>
      <c r="BJ11" s="629"/>
      <c r="BK11" s="630"/>
      <c r="BL11" s="612"/>
      <c r="BM11" s="613"/>
      <c r="BO11" s="609" t="s">
        <v>2299</v>
      </c>
      <c r="BP11" s="625" t="s">
        <v>2321</v>
      </c>
      <c r="BQ11" s="616" t="s">
        <v>2318</v>
      </c>
      <c r="BR11" s="624" t="s">
        <v>2325</v>
      </c>
      <c r="BS11" s="597"/>
      <c r="BT11" s="608"/>
      <c r="BU11" s="607"/>
      <c r="BV11" s="608"/>
    </row>
    <row hidden="true" r="12">
      <c r="A12" s="564"/>
      <c r="B12" s="597">
        <f>IFERROR(VLOOKUP(C12,'字段信息'!A:C,3,),"")</f>
      </c>
      <c r="C12" s="598" t="s">
        <v>2326</v>
      </c>
      <c r="D12" s="599">
        <f>IFERROR(VLOOKUP(C12,'字段信息'!A:C,2,),"")</f>
      </c>
      <c r="E12" s="600"/>
      <c r="F12" s="600">
        <f t="shared" si="0"/>
      </c>
      <c r="G12" s="600" t="s">
        <v>2312</v>
      </c>
      <c r="H12" s="601"/>
      <c r="I12" s="601"/>
      <c r="J12" s="601"/>
      <c r="K12" s="601"/>
      <c r="L12" s="626" t="s">
        <v>2313</v>
      </c>
      <c r="M12" s="603" t="s">
        <v>2299</v>
      </c>
      <c r="N12" s="619" t="s">
        <v>2303</v>
      </c>
      <c r="O12" s="627" t="s">
        <v>2327</v>
      </c>
      <c r="P12" s="631" t="s">
        <v>2326</v>
      </c>
      <c r="Q12" s="607"/>
      <c r="R12" s="608"/>
      <c r="S12" s="607"/>
      <c r="T12" s="608"/>
      <c r="U12" s="589"/>
      <c r="V12" s="609" t="s">
        <v>2328</v>
      </c>
      <c r="W12" s="619" t="s">
        <v>2303</v>
      </c>
      <c r="X12" s="616" t="s">
        <v>2329</v>
      </c>
      <c r="Y12" s="609" t="s">
        <v>2330</v>
      </c>
      <c r="Z12" s="612"/>
      <c r="AA12" s="613"/>
      <c r="AB12" s="612"/>
      <c r="AC12" s="613"/>
      <c r="AE12" s="609" t="s">
        <v>2299</v>
      </c>
      <c r="AF12" s="619" t="s">
        <v>2303</v>
      </c>
      <c r="AG12" s="615" t="s">
        <v>2301</v>
      </c>
      <c r="AH12" s="616" t="s">
        <v>2331</v>
      </c>
      <c r="AI12" s="612"/>
      <c r="AJ12" s="613"/>
      <c r="AK12" s="612"/>
      <c r="AL12" s="613"/>
      <c r="AN12" s="631" t="s">
        <v>2299</v>
      </c>
      <c r="AO12" s="617" t="s">
        <v>2303</v>
      </c>
      <c r="AP12" s="618" t="s">
        <v>2332</v>
      </c>
      <c r="AQ12" s="598" t="s">
        <v>2326</v>
      </c>
      <c r="AR12" s="598"/>
      <c r="AS12" s="608"/>
      <c r="AT12" s="607"/>
      <c r="AU12" s="608"/>
      <c r="AW12" s="632" t="s">
        <v>2299</v>
      </c>
      <c r="AX12" s="617" t="s">
        <v>2303</v>
      </c>
      <c r="AY12" s="618" t="s">
        <v>2304</v>
      </c>
      <c r="AZ12" s="598" t="s">
        <v>2333</v>
      </c>
      <c r="BA12" s="598"/>
      <c r="BB12" s="608"/>
      <c r="BC12" s="607"/>
      <c r="BD12" s="608"/>
      <c r="BF12" s="621" t="s">
        <v>2299</v>
      </c>
      <c r="BG12" s="622" t="s">
        <v>2306</v>
      </c>
      <c r="BH12" s="605" t="s">
        <v>2307</v>
      </c>
      <c r="BI12" s="598" t="s">
        <v>2326</v>
      </c>
      <c r="BJ12" s="612"/>
      <c r="BK12" s="613"/>
      <c r="BL12" s="633"/>
      <c r="BM12" s="613"/>
      <c r="BO12" s="609" t="s">
        <v>2334</v>
      </c>
      <c r="BP12" s="634" t="s">
        <v>2303</v>
      </c>
      <c r="BQ12" s="616" t="s">
        <v>2335</v>
      </c>
      <c r="BR12" s="624" t="s">
        <v>2336</v>
      </c>
      <c r="BS12" s="597"/>
      <c r="BT12" s="608"/>
      <c r="BU12" s="607"/>
      <c r="BV12" s="608"/>
    </row>
    <row hidden="true" r="13">
      <c r="A13" s="564"/>
      <c r="B13" s="597">
        <f>IFERROR(VLOOKUP(C13,'字段信息'!A:C,3,),"")</f>
      </c>
      <c r="C13" s="598" t="s">
        <v>2337</v>
      </c>
      <c r="D13" s="599">
        <f>IFERROR(VLOOKUP(C13,'字段信息'!A:C,2,),"")</f>
      </c>
      <c r="E13" s="600"/>
      <c r="F13" s="600">
        <f t="shared" si="0"/>
      </c>
      <c r="G13" s="600" t="s">
        <v>2312</v>
      </c>
      <c r="H13" s="601"/>
      <c r="I13" s="601"/>
      <c r="J13" s="601"/>
      <c r="K13" s="601"/>
      <c r="L13" s="602" t="s">
        <v>2313</v>
      </c>
      <c r="M13" s="609" t="s">
        <v>2299</v>
      </c>
      <c r="N13" s="617" t="s">
        <v>2303</v>
      </c>
      <c r="O13" s="627" t="s">
        <v>2327</v>
      </c>
      <c r="P13" s="631" t="s">
        <v>2337</v>
      </c>
      <c r="Q13" s="607"/>
      <c r="R13" s="608"/>
      <c r="S13" s="607"/>
      <c r="T13" s="608"/>
      <c r="U13" s="589"/>
      <c r="V13" s="609" t="s">
        <v>2338</v>
      </c>
      <c r="W13" s="619"/>
      <c r="X13" s="616"/>
      <c r="Y13" s="609"/>
      <c r="Z13" s="612"/>
      <c r="AA13" s="613"/>
      <c r="AB13" s="612"/>
      <c r="AC13" s="613"/>
      <c r="AE13" s="609" t="s">
        <v>2299</v>
      </c>
      <c r="AF13" s="619" t="s">
        <v>2303</v>
      </c>
      <c r="AG13" s="615" t="s">
        <v>2301</v>
      </c>
      <c r="AH13" s="616" t="s">
        <v>2337</v>
      </c>
      <c r="AI13" s="598"/>
      <c r="AJ13" s="613"/>
      <c r="AK13" s="612"/>
      <c r="AL13" s="613"/>
      <c r="AN13" s="631" t="s">
        <v>2299</v>
      </c>
      <c r="AO13" s="617" t="s">
        <v>2303</v>
      </c>
      <c r="AP13" s="618" t="s">
        <v>2332</v>
      </c>
      <c r="AQ13" s="635" t="s">
        <v>2339</v>
      </c>
      <c r="AR13" s="598"/>
      <c r="AS13" s="608"/>
      <c r="AT13" s="607"/>
      <c r="AU13" s="608"/>
      <c r="AW13" s="632" t="s">
        <v>2299</v>
      </c>
      <c r="AX13" s="617" t="s">
        <v>2303</v>
      </c>
      <c r="AY13" s="618" t="s">
        <v>2304</v>
      </c>
      <c r="AZ13" s="635" t="s">
        <v>2340</v>
      </c>
      <c r="BA13" s="598"/>
      <c r="BB13" s="608"/>
      <c r="BC13" s="607"/>
      <c r="BD13" s="608"/>
      <c r="BF13" s="621" t="s">
        <v>2299</v>
      </c>
      <c r="BG13" s="622" t="s">
        <v>2306</v>
      </c>
      <c r="BH13" s="605" t="s">
        <v>2307</v>
      </c>
      <c r="BI13" s="598" t="s">
        <v>2337</v>
      </c>
      <c r="BJ13" s="612"/>
      <c r="BK13" s="613"/>
      <c r="BL13" s="636"/>
      <c r="BM13" s="613"/>
      <c r="BO13" s="609" t="s">
        <v>2341</v>
      </c>
      <c r="BP13" s="634" t="s">
        <v>2303</v>
      </c>
      <c r="BQ13" s="616" t="s">
        <v>2342</v>
      </c>
      <c r="BR13" s="624" t="s">
        <v>2343</v>
      </c>
      <c r="BS13" s="597"/>
      <c r="BT13" s="608"/>
      <c r="BU13" s="607"/>
      <c r="BV13" s="608"/>
    </row>
    <row hidden="true" r="14">
      <c r="A14" s="564"/>
      <c r="B14" s="597">
        <f>IFERROR(VLOOKUP(C14,'字段信息'!A:C,3,),"")</f>
      </c>
      <c r="C14" s="598" t="s">
        <v>2344</v>
      </c>
      <c r="D14" s="599">
        <f>IFERROR(VLOOKUP(C14,'字段信息'!A:C,2,),"")</f>
      </c>
      <c r="E14" s="600"/>
      <c r="F14" s="600">
        <f t="shared" si="0"/>
      </c>
      <c r="G14" s="600" t="s">
        <v>2312</v>
      </c>
      <c r="H14" s="601"/>
      <c r="I14" s="601"/>
      <c r="J14" s="601"/>
      <c r="K14" s="601"/>
      <c r="L14" s="602" t="s">
        <v>2313</v>
      </c>
      <c r="M14" s="603" t="s">
        <v>2299</v>
      </c>
      <c r="N14" s="617" t="s">
        <v>2303</v>
      </c>
      <c r="O14" s="627" t="s">
        <v>2327</v>
      </c>
      <c r="P14" s="631" t="s">
        <v>2344</v>
      </c>
      <c r="Q14" s="607"/>
      <c r="R14" s="608"/>
      <c r="S14" s="607"/>
      <c r="T14" s="608"/>
      <c r="U14" s="589"/>
      <c r="V14" s="609" t="s">
        <v>2345</v>
      </c>
      <c r="W14" s="619"/>
      <c r="X14" s="616"/>
      <c r="Y14" s="609"/>
      <c r="Z14" s="612"/>
      <c r="AA14" s="613"/>
      <c r="AB14" s="612"/>
      <c r="AC14" s="613"/>
      <c r="AE14" s="637" t="s">
        <v>2299</v>
      </c>
      <c r="AF14" s="628" t="s">
        <v>2303</v>
      </c>
      <c r="AG14" s="615" t="s">
        <v>2301</v>
      </c>
      <c r="AH14" s="615" t="s">
        <v>2344</v>
      </c>
      <c r="AI14" s="598"/>
      <c r="AJ14" s="613"/>
      <c r="AK14" s="612"/>
      <c r="AL14" s="613"/>
      <c r="AN14" s="631" t="s">
        <v>2299</v>
      </c>
      <c r="AO14" s="617" t="s">
        <v>2303</v>
      </c>
      <c r="AP14" s="618" t="s">
        <v>2332</v>
      </c>
      <c r="AQ14" s="635" t="s">
        <v>2346</v>
      </c>
      <c r="AR14" s="598"/>
      <c r="AS14" s="608"/>
      <c r="AT14" s="607"/>
      <c r="AU14" s="608"/>
      <c r="AW14" s="632" t="s">
        <v>2299</v>
      </c>
      <c r="AX14" s="617" t="s">
        <v>2303</v>
      </c>
      <c r="AY14" s="618" t="s">
        <v>2304</v>
      </c>
      <c r="AZ14" s="635" t="s">
        <v>2347</v>
      </c>
      <c r="BA14" s="638"/>
      <c r="BB14" s="608"/>
      <c r="BC14" s="607"/>
      <c r="BD14" s="608"/>
      <c r="BF14" s="621" t="s">
        <v>2299</v>
      </c>
      <c r="BG14" s="622" t="s">
        <v>2306</v>
      </c>
      <c r="BH14" s="605" t="s">
        <v>2307</v>
      </c>
      <c r="BI14" s="598" t="s">
        <v>2344</v>
      </c>
      <c r="BJ14" s="612"/>
      <c r="BK14" s="639"/>
      <c r="BL14" s="633"/>
      <c r="BM14" s="640"/>
      <c r="BO14" s="609" t="s">
        <v>2341</v>
      </c>
      <c r="BP14" s="641" t="s">
        <v>2303</v>
      </c>
      <c r="BQ14" s="616" t="s">
        <v>2342</v>
      </c>
      <c r="BR14" s="624" t="s">
        <v>2348</v>
      </c>
      <c r="BS14" s="598"/>
      <c r="BT14" s="608"/>
      <c r="BU14" s="607"/>
      <c r="BV14" s="608"/>
    </row>
    <row hidden="true" r="15">
      <c r="A15" s="564"/>
      <c r="B15" s="597">
        <f>IFERROR(VLOOKUP(C15,'字段信息'!A:C,3,),"")</f>
      </c>
      <c r="C15" s="598" t="s">
        <v>2349</v>
      </c>
      <c r="D15" s="599">
        <f>IFERROR(VLOOKUP(C15,'字段信息'!A:C,2,),"")</f>
      </c>
      <c r="E15" s="600"/>
      <c r="F15" s="600">
        <f t="shared" si="0"/>
      </c>
      <c r="G15" s="600" t="s">
        <v>2312</v>
      </c>
      <c r="H15" s="601"/>
      <c r="I15" s="601"/>
      <c r="J15" s="601"/>
      <c r="K15" s="601"/>
      <c r="L15" s="602" t="s">
        <v>2313</v>
      </c>
      <c r="M15" s="603" t="s">
        <v>2299</v>
      </c>
      <c r="N15" s="617" t="s">
        <v>2303</v>
      </c>
      <c r="O15" s="627" t="s">
        <v>2327</v>
      </c>
      <c r="P15" s="631" t="s">
        <v>2349</v>
      </c>
      <c r="Q15" s="631"/>
      <c r="R15" s="631"/>
      <c r="S15" s="607"/>
      <c r="T15" s="608"/>
      <c r="U15" s="589"/>
      <c r="V15" s="609" t="s">
        <v>2338</v>
      </c>
      <c r="W15" s="619" t="s">
        <v>2303</v>
      </c>
      <c r="X15" s="616" t="s">
        <v>2329</v>
      </c>
      <c r="Y15" s="609"/>
      <c r="Z15" s="612"/>
      <c r="AA15" s="613"/>
      <c r="AB15" s="612"/>
      <c r="AC15" s="613"/>
      <c r="AE15" s="609"/>
      <c r="AF15" s="619"/>
      <c r="AG15" s="616"/>
      <c r="AH15" s="621"/>
      <c r="AI15" s="598"/>
      <c r="AJ15" s="613"/>
      <c r="AK15" s="612"/>
      <c r="AL15" s="613"/>
      <c r="AN15" s="599"/>
      <c r="AO15" s="617"/>
      <c r="AP15" s="618"/>
      <c r="AQ15" s="608"/>
      <c r="AR15" s="642"/>
      <c r="AS15" s="608"/>
      <c r="AT15" s="607"/>
      <c r="AU15" s="608"/>
      <c r="AW15" s="599"/>
      <c r="AX15" s="617"/>
      <c r="AY15" s="618"/>
      <c r="AZ15" s="643"/>
      <c r="BA15" s="644"/>
      <c r="BB15" s="645"/>
      <c r="BC15" s="607"/>
      <c r="BD15" s="608"/>
      <c r="BF15" s="621" t="s">
        <v>2299</v>
      </c>
      <c r="BG15" s="622" t="s">
        <v>2306</v>
      </c>
      <c r="BH15" s="605" t="s">
        <v>2307</v>
      </c>
      <c r="BI15" s="598" t="s">
        <v>2349</v>
      </c>
      <c r="BJ15" s="646"/>
      <c r="BK15" s="647"/>
      <c r="BL15" s="646"/>
      <c r="BM15" s="613"/>
      <c r="BO15" s="599"/>
      <c r="BP15" s="617"/>
      <c r="BQ15" s="618"/>
      <c r="BR15" s="598"/>
      <c r="BS15" s="597"/>
      <c r="BT15" s="608"/>
      <c r="BU15" s="607"/>
      <c r="BV15" s="608"/>
    </row>
    <row hidden="true" r="16">
      <c r="A16" s="564"/>
      <c r="B16" s="597">
        <f>IFERROR(VLOOKUP(C16,'字段信息'!A:C,3,),"")</f>
      </c>
      <c r="C16" s="598" t="s">
        <v>2350</v>
      </c>
      <c r="D16" s="599">
        <f>IFERROR(VLOOKUP(C16,'字段信息'!A:C,2,),"")</f>
      </c>
      <c r="E16" s="600"/>
      <c r="F16" s="600">
        <f t="shared" si="0"/>
      </c>
      <c r="G16" s="600" t="s">
        <v>2312</v>
      </c>
      <c r="H16" s="601"/>
      <c r="I16" s="601"/>
      <c r="J16" s="601"/>
      <c r="K16" s="601"/>
      <c r="L16" s="602" t="s">
        <v>2313</v>
      </c>
      <c r="M16" s="603" t="s">
        <v>2299</v>
      </c>
      <c r="N16" s="617" t="s">
        <v>2303</v>
      </c>
      <c r="O16" s="627" t="s">
        <v>2327</v>
      </c>
      <c r="P16" s="599" t="s">
        <v>2350</v>
      </c>
      <c r="Q16" s="631"/>
      <c r="R16" s="631"/>
      <c r="S16" s="607"/>
      <c r="T16" s="608"/>
      <c r="U16" s="589"/>
      <c r="V16" s="609" t="s">
        <v>2345</v>
      </c>
      <c r="W16" s="619" t="s">
        <v>2303</v>
      </c>
      <c r="X16" s="616"/>
      <c r="Y16" s="609" t="s">
        <v>2351</v>
      </c>
      <c r="Z16" s="644"/>
      <c r="AA16" s="613"/>
      <c r="AB16" s="612"/>
      <c r="AC16" s="613"/>
      <c r="AE16" s="609"/>
      <c r="AF16" s="619"/>
      <c r="AG16" s="616"/>
      <c r="AH16" s="621"/>
      <c r="AI16" s="598"/>
      <c r="AJ16" s="613"/>
      <c r="AK16" s="612"/>
      <c r="AL16" s="613"/>
      <c r="AN16" s="599"/>
      <c r="AO16" s="617"/>
      <c r="AP16" s="618"/>
      <c r="AQ16" s="608"/>
      <c r="AR16" s="598"/>
      <c r="AS16" s="608"/>
      <c r="AT16" s="607"/>
      <c r="AU16" s="608"/>
      <c r="AW16" s="599"/>
      <c r="AX16" s="617"/>
      <c r="AY16" s="618"/>
      <c r="AZ16" s="643"/>
      <c r="BA16" s="598"/>
      <c r="BB16" s="645"/>
      <c r="BC16" s="607"/>
      <c r="BD16" s="608"/>
      <c r="BF16" s="621" t="s">
        <v>2299</v>
      </c>
      <c r="BG16" s="622" t="s">
        <v>2306</v>
      </c>
      <c r="BH16" s="605" t="s">
        <v>2307</v>
      </c>
      <c r="BI16" s="598" t="s">
        <v>2350</v>
      </c>
      <c r="BJ16" s="612"/>
      <c r="BK16" s="613"/>
      <c r="BL16" s="612"/>
      <c r="BM16" s="613"/>
      <c r="BO16" s="599"/>
      <c r="BP16" s="617"/>
      <c r="BQ16" s="618"/>
      <c r="BR16" s="598"/>
      <c r="BS16" s="597"/>
      <c r="BT16" s="608"/>
      <c r="BU16" s="607"/>
      <c r="BV16" s="608"/>
    </row>
    <row hidden="true" r="17">
      <c r="A17" s="564"/>
      <c r="B17" s="597">
        <f>IFERROR(VLOOKUP(C17,'字段信息'!A:C,3,),"")</f>
      </c>
      <c r="C17" s="598" t="s">
        <v>2352</v>
      </c>
      <c r="D17" s="599">
        <f>IFERROR(VLOOKUP(C17,'字段信息'!A:C,2,),"")</f>
      </c>
      <c r="E17" s="600"/>
      <c r="F17" s="600">
        <f t="shared" si="0"/>
      </c>
      <c r="G17" s="600" t="s">
        <v>2312</v>
      </c>
      <c r="H17" s="601"/>
      <c r="I17" s="601"/>
      <c r="J17" s="601"/>
      <c r="K17" s="601"/>
      <c r="L17" s="602" t="s">
        <v>2313</v>
      </c>
      <c r="M17" s="603" t="s">
        <v>2299</v>
      </c>
      <c r="N17" s="617" t="s">
        <v>2303</v>
      </c>
      <c r="O17" s="627" t="s">
        <v>2327</v>
      </c>
      <c r="P17" s="648" t="s">
        <v>2352</v>
      </c>
      <c r="Q17" s="631"/>
      <c r="R17" s="631"/>
      <c r="S17" s="607"/>
      <c r="T17" s="608"/>
      <c r="U17" s="589"/>
      <c r="V17" s="609" t="s">
        <v>2353</v>
      </c>
      <c r="W17" s="619"/>
      <c r="X17" s="616"/>
      <c r="Y17" s="611"/>
      <c r="Z17" s="612"/>
      <c r="AA17" s="613"/>
      <c r="AB17" s="612"/>
      <c r="AC17" s="613"/>
      <c r="AE17" s="637" t="s">
        <v>2299</v>
      </c>
      <c r="AF17" s="628" t="s">
        <v>2303</v>
      </c>
      <c r="AG17" s="615" t="s">
        <v>2301</v>
      </c>
      <c r="AH17" s="621" t="s">
        <v>2354</v>
      </c>
      <c r="AI17" s="598"/>
      <c r="AJ17" s="613"/>
      <c r="AK17" s="612"/>
      <c r="AL17" s="613"/>
      <c r="AN17" s="599"/>
      <c r="AO17" s="617"/>
      <c r="AP17" s="618"/>
      <c r="AQ17" s="608"/>
      <c r="AR17" s="598"/>
      <c r="AS17" s="608"/>
      <c r="AT17" s="607"/>
      <c r="AU17" s="608"/>
      <c r="AW17" s="599"/>
      <c r="AX17" s="617"/>
      <c r="AY17" s="618"/>
      <c r="AZ17" s="608"/>
      <c r="BA17" s="649"/>
      <c r="BB17" s="608"/>
      <c r="BC17" s="607"/>
      <c r="BD17" s="608"/>
      <c r="BF17" s="621" t="s">
        <v>2299</v>
      </c>
      <c r="BG17" s="622" t="s">
        <v>2306</v>
      </c>
      <c r="BH17" s="605" t="s">
        <v>2307</v>
      </c>
      <c r="BI17" s="598" t="s">
        <v>2352</v>
      </c>
      <c r="BJ17" s="612"/>
      <c r="BK17" s="613"/>
      <c r="BL17" s="612"/>
      <c r="BM17" s="613"/>
      <c r="BO17" s="599"/>
      <c r="BP17" s="617"/>
      <c r="BQ17" s="618"/>
      <c r="BR17" s="598"/>
      <c r="BS17" s="597"/>
      <c r="BT17" s="608"/>
      <c r="BU17" s="607"/>
      <c r="BV17" s="608"/>
    </row>
    <row hidden="true" r="18">
      <c r="A18" s="564"/>
      <c r="B18" s="597">
        <f>IFERROR(VLOOKUP(C18,'字段信息'!A:C,3,),"")</f>
      </c>
      <c r="C18" s="598" t="s">
        <v>2355</v>
      </c>
      <c r="D18" s="599">
        <f>IFERROR(VLOOKUP(C18,'字段信息'!A:C,2,),"")</f>
      </c>
      <c r="E18" s="600"/>
      <c r="F18" s="600">
        <f t="shared" si="0"/>
      </c>
      <c r="G18" s="600" t="s">
        <v>2312</v>
      </c>
      <c r="H18" s="601"/>
      <c r="I18" s="601"/>
      <c r="J18" s="601"/>
      <c r="K18" s="601"/>
      <c r="L18" s="602" t="s">
        <v>2313</v>
      </c>
      <c r="M18" s="603" t="s">
        <v>2299</v>
      </c>
      <c r="N18" s="617" t="s">
        <v>2303</v>
      </c>
      <c r="O18" s="627" t="s">
        <v>2327</v>
      </c>
      <c r="P18" s="648" t="s">
        <v>2355</v>
      </c>
      <c r="Q18" s="631"/>
      <c r="R18" s="631"/>
      <c r="S18" s="607"/>
      <c r="T18" s="608"/>
      <c r="U18" s="589"/>
      <c r="V18" s="609" t="s">
        <v>2353</v>
      </c>
      <c r="W18" s="619"/>
      <c r="X18" s="616"/>
      <c r="Y18" s="611"/>
      <c r="Z18" s="644"/>
      <c r="AA18" s="613"/>
      <c r="AB18" s="612"/>
      <c r="AC18" s="613"/>
      <c r="AE18" s="637" t="s">
        <v>2299</v>
      </c>
      <c r="AF18" s="628" t="s">
        <v>2303</v>
      </c>
      <c r="AG18" s="615" t="s">
        <v>2301</v>
      </c>
      <c r="AH18" s="621" t="s">
        <v>2356</v>
      </c>
      <c r="AI18" s="598"/>
      <c r="AJ18" s="613"/>
      <c r="AK18" s="612"/>
      <c r="AL18" s="613"/>
      <c r="AN18" s="599"/>
      <c r="AO18" s="617"/>
      <c r="AP18" s="618"/>
      <c r="AQ18" s="608"/>
      <c r="AR18" s="598"/>
      <c r="AS18" s="608"/>
      <c r="AT18" s="607"/>
      <c r="AU18" s="608"/>
      <c r="AW18" s="599"/>
      <c r="AX18" s="617"/>
      <c r="AY18" s="618"/>
      <c r="AZ18" s="608"/>
      <c r="BA18" s="598"/>
      <c r="BB18" s="608"/>
      <c r="BC18" s="607"/>
      <c r="BD18" s="608"/>
      <c r="BF18" s="621" t="s">
        <v>2299</v>
      </c>
      <c r="BG18" s="622" t="s">
        <v>2306</v>
      </c>
      <c r="BH18" s="605" t="s">
        <v>2307</v>
      </c>
      <c r="BI18" s="598" t="s">
        <v>2355</v>
      </c>
      <c r="BJ18" s="612"/>
      <c r="BK18" s="613"/>
      <c r="BL18" s="612"/>
      <c r="BM18" s="613"/>
      <c r="BO18" s="599"/>
      <c r="BP18" s="617"/>
      <c r="BQ18" s="618"/>
      <c r="BR18" s="598"/>
      <c r="BS18" s="597"/>
      <c r="BT18" s="608"/>
      <c r="BU18" s="607"/>
      <c r="BV18" s="608"/>
    </row>
    <row hidden="true" r="19">
      <c r="A19" s="564"/>
      <c r="B19" s="597">
        <f>IFERROR(VLOOKUP(C19,'字段信息'!A:C,3,),"")</f>
      </c>
      <c r="C19" s="598" t="s">
        <v>2357</v>
      </c>
      <c r="D19" s="599">
        <f>IFERROR(VLOOKUP(C19,'字段信息'!A:C,2,),"")</f>
      </c>
      <c r="E19" s="600"/>
      <c r="F19" s="600">
        <f t="shared" si="0"/>
      </c>
      <c r="G19" s="600" t="s">
        <v>2312</v>
      </c>
      <c r="H19" s="601"/>
      <c r="I19" s="601"/>
      <c r="J19" s="601"/>
      <c r="K19" s="601"/>
      <c r="L19" s="602" t="s">
        <v>2313</v>
      </c>
      <c r="M19" s="603" t="s">
        <v>2299</v>
      </c>
      <c r="N19" s="617" t="s">
        <v>2303</v>
      </c>
      <c r="O19" s="627" t="s">
        <v>2327</v>
      </c>
      <c r="P19" s="650" t="s">
        <v>2357</v>
      </c>
      <c r="Q19" s="631"/>
      <c r="R19" s="631"/>
      <c r="S19" s="607"/>
      <c r="T19" s="608"/>
      <c r="U19" s="589"/>
      <c r="V19" s="609" t="s">
        <v>2358</v>
      </c>
      <c r="W19" s="619" t="s">
        <v>2303</v>
      </c>
      <c r="X19" s="616" t="s">
        <v>2329</v>
      </c>
      <c r="Y19" s="609" t="s">
        <v>2330</v>
      </c>
      <c r="Z19" s="644"/>
      <c r="AA19" s="613"/>
      <c r="AB19" s="612"/>
      <c r="AC19" s="613"/>
      <c r="AE19" s="631" t="s">
        <v>2359</v>
      </c>
      <c r="AF19" s="617" t="s">
        <v>2303</v>
      </c>
      <c r="AG19" s="651" t="s">
        <v>2360</v>
      </c>
      <c r="AH19" s="609" t="s">
        <v>2361</v>
      </c>
      <c r="AI19" s="616" t="s">
        <v>2362</v>
      </c>
      <c r="AJ19" s="613"/>
      <c r="AK19" s="612"/>
      <c r="AL19" s="613"/>
      <c r="AN19" s="631" t="s">
        <v>2359</v>
      </c>
      <c r="AO19" s="617" t="s">
        <v>2303</v>
      </c>
      <c r="AP19" s="652" t="s">
        <v>2360</v>
      </c>
      <c r="AQ19" s="650" t="s">
        <v>2361</v>
      </c>
      <c r="AR19" s="650" t="s">
        <v>2362</v>
      </c>
      <c r="AS19" s="608"/>
      <c r="AT19" s="607"/>
      <c r="AU19" s="608"/>
      <c r="AW19" s="631" t="s">
        <v>2359</v>
      </c>
      <c r="AX19" s="617" t="s">
        <v>2303</v>
      </c>
      <c r="AY19" s="652" t="s">
        <v>2360</v>
      </c>
      <c r="AZ19" s="650" t="s">
        <v>2361</v>
      </c>
      <c r="BA19" s="650" t="s">
        <v>2362</v>
      </c>
      <c r="BB19" s="608"/>
      <c r="BC19" s="607"/>
      <c r="BD19" s="608"/>
      <c r="BE19" s="589"/>
      <c r="BF19" s="621" t="s">
        <v>2299</v>
      </c>
      <c r="BG19" s="622" t="s">
        <v>2306</v>
      </c>
      <c r="BH19" s="605" t="s">
        <v>2307</v>
      </c>
      <c r="BI19" s="598" t="s">
        <v>2357</v>
      </c>
      <c r="BJ19" s="612"/>
      <c r="BK19" s="613"/>
      <c r="BL19" s="612"/>
      <c r="BM19" s="613"/>
      <c r="BN19" s="589"/>
      <c r="BO19" s="599"/>
      <c r="BP19" s="617"/>
      <c r="BQ19" s="618"/>
      <c r="BR19" s="598"/>
      <c r="BS19" s="598"/>
      <c r="BT19" s="608"/>
      <c r="BU19" s="607"/>
      <c r="BV19" s="608"/>
    </row>
    <row hidden="true" r="20">
      <c r="A20" s="564"/>
      <c r="B20" s="597">
        <f>IFERROR(VLOOKUP(C20,'字段信息'!A:C,3,),"")</f>
      </c>
      <c r="C20" s="598" t="s">
        <v>2363</v>
      </c>
      <c r="D20" s="599">
        <f>IFERROR(VLOOKUP(C20,'字段信息'!A:C,2,),"")</f>
      </c>
      <c r="E20" s="600"/>
      <c r="F20" s="600">
        <f t="shared" si="0"/>
      </c>
      <c r="G20" s="600" t="s">
        <v>2312</v>
      </c>
      <c r="H20" s="601"/>
      <c r="I20" s="601"/>
      <c r="J20" s="601"/>
      <c r="K20" s="601"/>
      <c r="L20" s="602" t="s">
        <v>2313</v>
      </c>
      <c r="M20" s="603" t="s">
        <v>2299</v>
      </c>
      <c r="N20" s="617" t="s">
        <v>2303</v>
      </c>
      <c r="O20" s="627" t="s">
        <v>2327</v>
      </c>
      <c r="P20" s="650" t="s">
        <v>2363</v>
      </c>
      <c r="Q20" s="631"/>
      <c r="R20" s="631"/>
      <c r="S20" s="607"/>
      <c r="T20" s="608"/>
      <c r="U20" s="589"/>
      <c r="V20" s="609" t="s">
        <v>2353</v>
      </c>
      <c r="W20" s="619"/>
      <c r="X20" s="616"/>
      <c r="Y20" s="611"/>
      <c r="Z20" s="612"/>
      <c r="AA20" s="613"/>
      <c r="AB20" s="612"/>
      <c r="AC20" s="613"/>
      <c r="AE20" s="609" t="s">
        <v>2299</v>
      </c>
      <c r="AF20" s="617" t="s">
        <v>2303</v>
      </c>
      <c r="AG20" s="615" t="s">
        <v>2301</v>
      </c>
      <c r="AH20" s="653" t="s">
        <v>2363</v>
      </c>
      <c r="AI20" s="598"/>
      <c r="AJ20" s="613"/>
      <c r="AK20" s="612"/>
      <c r="AL20" s="613"/>
      <c r="AN20" s="631" t="s">
        <v>2364</v>
      </c>
      <c r="AO20" s="617" t="s">
        <v>2303</v>
      </c>
      <c r="AP20" s="652" t="s">
        <v>2365</v>
      </c>
      <c r="AQ20" s="650" t="s">
        <v>2363</v>
      </c>
      <c r="AR20" s="650" t="s">
        <v>2366</v>
      </c>
      <c r="AS20" s="608"/>
      <c r="AT20" s="607"/>
      <c r="AU20" s="608"/>
      <c r="AW20" s="654" t="s">
        <v>2364</v>
      </c>
      <c r="AX20" s="655" t="s">
        <v>2303</v>
      </c>
      <c r="AY20" s="656" t="s">
        <v>2365</v>
      </c>
      <c r="AZ20" s="657" t="s">
        <v>2363</v>
      </c>
      <c r="BA20" s="616" t="s">
        <v>2366</v>
      </c>
      <c r="BB20" s="608"/>
      <c r="BC20" s="607"/>
      <c r="BD20" s="608"/>
      <c r="BE20" s="589"/>
      <c r="BF20" s="621" t="s">
        <v>2299</v>
      </c>
      <c r="BG20" s="622" t="s">
        <v>2306</v>
      </c>
      <c r="BH20" s="605" t="s">
        <v>2307</v>
      </c>
      <c r="BI20" s="598" t="s">
        <v>2363</v>
      </c>
      <c r="BJ20" s="612"/>
      <c r="BK20" s="613"/>
      <c r="BL20" s="612"/>
      <c r="BM20" s="613"/>
      <c r="BN20" s="589"/>
      <c r="BO20" s="599"/>
      <c r="BP20" s="617"/>
      <c r="BQ20" s="618"/>
      <c r="BR20" s="598"/>
      <c r="BS20" s="598"/>
      <c r="BT20" s="608"/>
      <c r="BU20" s="607"/>
      <c r="BV20" s="608"/>
    </row>
    <row hidden="true" r="21">
      <c r="A21" s="564"/>
      <c r="B21" s="597">
        <f>IFERROR(VLOOKUP(C21,'字段信息'!A:C,3,),"")</f>
      </c>
      <c r="C21" s="598" t="s">
        <v>2367</v>
      </c>
      <c r="D21" s="599">
        <f>IFERROR(VLOOKUP(C21,'字段信息'!A:C,2,),"")</f>
      </c>
      <c r="E21" s="600"/>
      <c r="F21" s="600">
        <f t="shared" si="0"/>
      </c>
      <c r="G21" s="600" t="s">
        <v>2312</v>
      </c>
      <c r="H21" s="601"/>
      <c r="I21" s="601"/>
      <c r="J21" s="601"/>
      <c r="K21" s="601"/>
      <c r="L21" s="602"/>
      <c r="M21" s="603" t="s">
        <v>2299</v>
      </c>
      <c r="N21" s="617" t="s">
        <v>2303</v>
      </c>
      <c r="O21" s="627" t="s">
        <v>2327</v>
      </c>
      <c r="P21" s="631" t="s">
        <v>2367</v>
      </c>
      <c r="Q21" s="631"/>
      <c r="R21" s="631"/>
      <c r="S21" s="607"/>
      <c r="T21" s="608"/>
      <c r="U21" s="589"/>
      <c r="V21" s="609" t="s">
        <v>2353</v>
      </c>
      <c r="W21" s="619"/>
      <c r="X21" s="616"/>
      <c r="Y21" s="611"/>
      <c r="Z21" s="612"/>
      <c r="AA21" s="613"/>
      <c r="AB21" s="612"/>
      <c r="AC21" s="613"/>
      <c r="AE21" s="609" t="s">
        <v>2299</v>
      </c>
      <c r="AF21" s="617" t="s">
        <v>2303</v>
      </c>
      <c r="AG21" s="615" t="s">
        <v>2301</v>
      </c>
      <c r="AH21" s="616" t="s">
        <v>2367</v>
      </c>
      <c r="AI21" s="598"/>
      <c r="AJ21" s="613"/>
      <c r="AK21" s="612"/>
      <c r="AL21" s="613"/>
      <c r="AN21" s="631" t="s">
        <v>2364</v>
      </c>
      <c r="AO21" s="617" t="s">
        <v>2303</v>
      </c>
      <c r="AP21" s="652" t="s">
        <v>2365</v>
      </c>
      <c r="AQ21" s="650" t="s">
        <v>2363</v>
      </c>
      <c r="AR21" s="616" t="s">
        <v>2366</v>
      </c>
      <c r="AS21" s="608"/>
      <c r="AT21" s="607"/>
      <c r="AU21" s="608"/>
      <c r="AV21" s="589"/>
      <c r="AW21" s="609" t="s">
        <v>2364</v>
      </c>
      <c r="AX21" s="619" t="s">
        <v>2303</v>
      </c>
      <c r="AY21" s="616" t="s">
        <v>2365</v>
      </c>
      <c r="AZ21" s="609" t="s">
        <v>2363</v>
      </c>
      <c r="BA21" s="624" t="s">
        <v>2366</v>
      </c>
      <c r="BB21" s="608"/>
      <c r="BC21" s="607"/>
      <c r="BD21" s="608"/>
      <c r="BF21" s="621" t="s">
        <v>2299</v>
      </c>
      <c r="BG21" s="622" t="s">
        <v>2306</v>
      </c>
      <c r="BH21" s="605" t="s">
        <v>2307</v>
      </c>
      <c r="BI21" s="598" t="s">
        <v>2367</v>
      </c>
      <c r="BJ21" s="612"/>
      <c r="BK21" s="613"/>
      <c r="BL21" s="612"/>
      <c r="BM21" s="613"/>
      <c r="BO21" s="599"/>
      <c r="BP21" s="617"/>
      <c r="BQ21" s="618"/>
      <c r="BR21" s="598"/>
      <c r="BS21" s="598"/>
      <c r="BT21" s="608"/>
      <c r="BU21" s="607"/>
      <c r="BV21" s="608"/>
    </row>
    <row hidden="true" r="22">
      <c r="A22" s="564"/>
      <c r="B22" s="597">
        <f>IFERROR(VLOOKUP(C22,'字段信息'!A:C,3,),"")</f>
      </c>
      <c r="C22" s="598" t="s">
        <v>2368</v>
      </c>
      <c r="D22" s="599">
        <f>IFERROR(VLOOKUP(C22,'字段信息'!A:C,2,),"")</f>
      </c>
      <c r="E22" s="600"/>
      <c r="F22" s="600">
        <f t="shared" si="0"/>
      </c>
      <c r="G22" s="600" t="s">
        <v>2312</v>
      </c>
      <c r="H22" s="601"/>
      <c r="I22" s="601"/>
      <c r="J22" s="601"/>
      <c r="K22" s="601"/>
      <c r="L22" s="602" t="s">
        <v>2313</v>
      </c>
      <c r="M22" s="603" t="s">
        <v>2299</v>
      </c>
      <c r="N22" s="617" t="s">
        <v>2303</v>
      </c>
      <c r="O22" s="627" t="s">
        <v>2327</v>
      </c>
      <c r="P22" s="599" t="s">
        <v>2368</v>
      </c>
      <c r="Q22" s="631"/>
      <c r="R22" s="631"/>
      <c r="S22" s="607"/>
      <c r="T22" s="608"/>
      <c r="U22" s="589"/>
      <c r="V22" s="609" t="s">
        <v>2369</v>
      </c>
      <c r="W22" s="619" t="s">
        <v>2303</v>
      </c>
      <c r="X22" s="616" t="s">
        <v>2329</v>
      </c>
      <c r="Y22" s="609" t="s">
        <v>2370</v>
      </c>
      <c r="Z22" s="612"/>
      <c r="AA22" s="613"/>
      <c r="AB22" s="612"/>
      <c r="AC22" s="613"/>
      <c r="AE22" s="609"/>
      <c r="AF22" s="619"/>
      <c r="AG22" s="616"/>
      <c r="AH22" s="621"/>
      <c r="AI22" s="598"/>
      <c r="AJ22" s="613"/>
      <c r="AK22" s="612"/>
      <c r="AL22" s="613"/>
      <c r="AN22" s="599"/>
      <c r="AO22" s="617"/>
      <c r="AP22" s="618"/>
      <c r="AQ22" s="598"/>
      <c r="AR22" s="598"/>
      <c r="AS22" s="608"/>
      <c r="AT22" s="607"/>
      <c r="AU22" s="608"/>
      <c r="AV22" s="589"/>
      <c r="AW22" s="639"/>
      <c r="AX22" s="639"/>
      <c r="AY22" s="639"/>
      <c r="AZ22" s="639"/>
      <c r="BA22" s="658"/>
      <c r="BB22" s="608"/>
      <c r="BC22" s="607"/>
      <c r="BD22" s="608"/>
      <c r="BF22" s="621" t="s">
        <v>2299</v>
      </c>
      <c r="BG22" s="622" t="s">
        <v>2306</v>
      </c>
      <c r="BH22" s="605" t="s">
        <v>2307</v>
      </c>
      <c r="BI22" s="598" t="s">
        <v>2368</v>
      </c>
      <c r="BJ22" s="612"/>
      <c r="BK22" s="613"/>
      <c r="BL22" s="612"/>
      <c r="BM22" s="613"/>
      <c r="BO22" s="599"/>
      <c r="BP22" s="617"/>
      <c r="BQ22" s="618"/>
      <c r="BR22" s="598"/>
      <c r="BS22" s="598"/>
      <c r="BT22" s="608"/>
      <c r="BU22" s="607"/>
      <c r="BV22" s="608"/>
    </row>
    <row hidden="true" r="23">
      <c r="A23" s="564"/>
      <c r="B23" s="597">
        <f>IFERROR(VLOOKUP(C23,'字段信息'!A:C,3,),"")</f>
      </c>
      <c r="C23" s="598" t="s">
        <v>2371</v>
      </c>
      <c r="D23" s="599">
        <f>IFERROR(VLOOKUP(C23,'字段信息'!A:C,2,),"")</f>
      </c>
      <c r="E23" s="600"/>
      <c r="F23" s="600">
        <f t="shared" si="0"/>
      </c>
      <c r="G23" s="600" t="s">
        <v>2312</v>
      </c>
      <c r="H23" s="601"/>
      <c r="I23" s="601"/>
      <c r="J23" s="601"/>
      <c r="K23" s="601"/>
      <c r="L23" s="602" t="s">
        <v>2313</v>
      </c>
      <c r="M23" s="603" t="s">
        <v>2299</v>
      </c>
      <c r="N23" s="617" t="s">
        <v>2303</v>
      </c>
      <c r="O23" s="627" t="s">
        <v>2327</v>
      </c>
      <c r="P23" s="599" t="s">
        <v>2371</v>
      </c>
      <c r="Q23" s="631"/>
      <c r="R23" s="631"/>
      <c r="S23" s="607"/>
      <c r="T23" s="608"/>
      <c r="U23" s="589"/>
      <c r="V23" s="609" t="s">
        <v>2372</v>
      </c>
      <c r="W23" s="619" t="s">
        <v>2303</v>
      </c>
      <c r="X23" s="616" t="s">
        <v>2329</v>
      </c>
      <c r="Y23" s="609" t="s">
        <v>2373</v>
      </c>
      <c r="Z23" s="612"/>
      <c r="AA23" s="613"/>
      <c r="AB23" s="612"/>
      <c r="AC23" s="613"/>
      <c r="AE23" s="609" t="s">
        <v>2299</v>
      </c>
      <c r="AF23" s="619" t="s">
        <v>2303</v>
      </c>
      <c r="AG23" s="615" t="s">
        <v>2301</v>
      </c>
      <c r="AH23" s="616" t="s">
        <v>2374</v>
      </c>
      <c r="AI23" s="598"/>
      <c r="AJ23" s="613"/>
      <c r="AK23" s="612"/>
      <c r="AL23" s="613"/>
      <c r="AN23" s="599"/>
      <c r="AO23" s="617"/>
      <c r="AP23" s="618"/>
      <c r="AQ23" s="600"/>
      <c r="AR23" s="598"/>
      <c r="AS23" s="608"/>
      <c r="AT23" s="607"/>
      <c r="AU23" s="608"/>
      <c r="AW23" s="659"/>
      <c r="AX23" s="628"/>
      <c r="AY23" s="660"/>
      <c r="AZ23" s="661"/>
      <c r="BA23" s="598"/>
      <c r="BB23" s="608"/>
      <c r="BC23" s="607"/>
      <c r="BD23" s="608"/>
      <c r="BF23" s="621"/>
      <c r="BG23" s="622"/>
      <c r="BH23" s="605"/>
      <c r="BI23" s="598"/>
      <c r="BJ23" s="612"/>
      <c r="BK23" s="613"/>
      <c r="BL23" s="612"/>
      <c r="BM23" s="613"/>
      <c r="BO23" s="609" t="s">
        <v>2299</v>
      </c>
      <c r="BP23" s="634" t="s">
        <v>2303</v>
      </c>
      <c r="BQ23" s="616" t="s">
        <v>2375</v>
      </c>
      <c r="BR23" s="624" t="s">
        <v>2376</v>
      </c>
      <c r="BS23" s="616"/>
      <c r="BT23" s="608"/>
      <c r="BU23" s="607"/>
      <c r="BV23" s="608"/>
    </row>
    <row hidden="true" r="24">
      <c r="A24" s="564"/>
      <c r="B24" s="597">
        <f>IFERROR(VLOOKUP(C24,'字段信息'!A:C,3,),"")</f>
      </c>
      <c r="C24" s="598" t="s">
        <v>2377</v>
      </c>
      <c r="D24" s="599">
        <f>IFERROR(VLOOKUP(C24,'字段信息'!A:C,2,),"")</f>
      </c>
      <c r="E24" s="600"/>
      <c r="F24" s="600">
        <f t="shared" si="0"/>
      </c>
      <c r="G24" s="600" t="s">
        <v>2312</v>
      </c>
      <c r="H24" s="601"/>
      <c r="I24" s="601"/>
      <c r="J24" s="601"/>
      <c r="K24" s="601"/>
      <c r="L24" s="602" t="s">
        <v>2313</v>
      </c>
      <c r="M24" s="603" t="s">
        <v>2299</v>
      </c>
      <c r="N24" s="617" t="s">
        <v>2303</v>
      </c>
      <c r="O24" s="627" t="s">
        <v>2327</v>
      </c>
      <c r="P24" s="599" t="s">
        <v>2377</v>
      </c>
      <c r="Q24" s="631"/>
      <c r="R24" s="631" t="s">
        <v>2378</v>
      </c>
      <c r="S24" s="607"/>
      <c r="T24" s="608"/>
      <c r="U24" s="589"/>
      <c r="V24" s="609" t="s">
        <v>2379</v>
      </c>
      <c r="W24" s="619" t="s">
        <v>2303</v>
      </c>
      <c r="X24" s="605" t="s">
        <v>2380</v>
      </c>
      <c r="Y24" s="611" t="s">
        <v>2377</v>
      </c>
      <c r="Z24" s="662" t="s">
        <v>2381</v>
      </c>
      <c r="AA24" s="613"/>
      <c r="AB24" s="612"/>
      <c r="AC24" s="613"/>
      <c r="AE24" s="609"/>
      <c r="AF24" s="619"/>
      <c r="AG24" s="605"/>
      <c r="AH24" s="621"/>
      <c r="AI24" s="597"/>
      <c r="AJ24" s="613"/>
      <c r="AK24" s="612"/>
      <c r="AL24" s="613"/>
      <c r="AN24" s="599"/>
      <c r="AO24" s="617"/>
      <c r="AP24" s="618"/>
      <c r="AQ24" s="608"/>
      <c r="AR24" s="598"/>
      <c r="AS24" s="608"/>
      <c r="AT24" s="607"/>
      <c r="AU24" s="608"/>
      <c r="AW24" s="599"/>
      <c r="AX24" s="617"/>
      <c r="AY24" s="618"/>
      <c r="AZ24" s="608"/>
      <c r="BA24" s="598"/>
      <c r="BB24" s="608"/>
      <c r="BC24" s="607"/>
      <c r="BD24" s="608"/>
      <c r="BF24" s="663">
        <v>1122000000</v>
      </c>
      <c r="BG24" s="622"/>
      <c r="BH24" s="605"/>
      <c r="BI24" s="598"/>
      <c r="BJ24" s="612"/>
      <c r="BK24" s="613"/>
      <c r="BL24" s="612"/>
      <c r="BM24" s="613"/>
      <c r="BO24" s="631" t="s">
        <v>2379</v>
      </c>
      <c r="BP24" s="617" t="s">
        <v>2303</v>
      </c>
      <c r="BQ24" s="618" t="s">
        <v>2380</v>
      </c>
      <c r="BR24" s="624" t="s">
        <v>2382</v>
      </c>
      <c r="BS24" s="597"/>
      <c r="BT24" s="608"/>
      <c r="BU24" s="607"/>
      <c r="BV24" s="608"/>
    </row>
    <row hidden="true" r="25">
      <c r="A25" s="664"/>
      <c r="B25" s="597">
        <f>IFERROR(VLOOKUP(C25,'字段信息'!A:C,3,),"")</f>
      </c>
      <c r="C25" s="598" t="s">
        <v>2383</v>
      </c>
      <c r="D25" s="599">
        <f>IFERROR(VLOOKUP(C25,'字段信息'!A:C,2,),"")</f>
      </c>
      <c r="E25" s="600"/>
      <c r="F25" s="600">
        <f t="shared" si="0"/>
      </c>
      <c r="G25" s="600" t="s">
        <v>2312</v>
      </c>
      <c r="H25" s="601"/>
      <c r="I25" s="601"/>
      <c r="J25" s="601"/>
      <c r="K25" s="601"/>
      <c r="L25" s="602" t="s">
        <v>2313</v>
      </c>
      <c r="M25" s="603" t="s">
        <v>2299</v>
      </c>
      <c r="N25" s="617" t="s">
        <v>2303</v>
      </c>
      <c r="O25" s="627" t="s">
        <v>2327</v>
      </c>
      <c r="P25" s="599" t="s">
        <v>2383</v>
      </c>
      <c r="Q25" s="631"/>
      <c r="R25" s="631"/>
      <c r="S25" s="607"/>
      <c r="T25" s="608"/>
      <c r="U25" s="589"/>
      <c r="V25" s="609" t="s">
        <v>2353</v>
      </c>
      <c r="W25" s="619"/>
      <c r="X25" s="616"/>
      <c r="Y25" s="611"/>
      <c r="Z25" s="612"/>
      <c r="AA25" s="613"/>
      <c r="AB25" s="612"/>
      <c r="AC25" s="613"/>
      <c r="AE25" s="609" t="s">
        <v>2299</v>
      </c>
      <c r="AF25" s="617" t="s">
        <v>2303</v>
      </c>
      <c r="AG25" s="615" t="s">
        <v>2301</v>
      </c>
      <c r="AH25" s="616" t="s">
        <v>2384</v>
      </c>
      <c r="AI25" s="597"/>
      <c r="AJ25" s="613"/>
      <c r="AK25" s="612"/>
      <c r="AL25" s="613"/>
      <c r="AN25" s="599"/>
      <c r="AO25" s="617"/>
      <c r="AP25" s="618"/>
      <c r="AQ25" s="608"/>
      <c r="AR25" s="598"/>
      <c r="AS25" s="608"/>
      <c r="AT25" s="607"/>
      <c r="AU25" s="608"/>
      <c r="AW25" s="599"/>
      <c r="AX25" s="617"/>
      <c r="AY25" s="618"/>
      <c r="AZ25" s="608"/>
      <c r="BA25" s="598"/>
      <c r="BB25" s="608"/>
      <c r="BC25" s="607"/>
      <c r="BD25" s="608"/>
      <c r="BF25" s="621" t="s">
        <v>2299</v>
      </c>
      <c r="BG25" s="622" t="s">
        <v>2306</v>
      </c>
      <c r="BH25" s="605" t="s">
        <v>2307</v>
      </c>
      <c r="BI25" s="598" t="s">
        <v>2383</v>
      </c>
      <c r="BJ25" s="612"/>
      <c r="BK25" s="613"/>
      <c r="BL25" s="612"/>
      <c r="BM25" s="613"/>
      <c r="BO25" s="599"/>
      <c r="BP25" s="617"/>
      <c r="BQ25" s="618"/>
      <c r="BR25" s="598"/>
      <c r="BS25" s="597"/>
      <c r="BT25" s="608"/>
      <c r="BU25" s="607"/>
      <c r="BV25" s="608"/>
    </row>
    <row hidden="true" r="26">
      <c r="A26" s="564"/>
      <c r="B26" s="597">
        <f>IFERROR(VLOOKUP(C26,'字段信息'!A:C,3,),"")</f>
      </c>
      <c r="C26" s="598" t="s">
        <v>2385</v>
      </c>
      <c r="D26" s="599">
        <f>IFERROR(VLOOKUP(C26,'字段信息'!A:C,2,),"")</f>
      </c>
      <c r="E26" s="600"/>
      <c r="F26" s="600">
        <f t="shared" si="0"/>
      </c>
      <c r="G26" s="600" t="s">
        <v>2312</v>
      </c>
      <c r="H26" s="601"/>
      <c r="I26" s="601"/>
      <c r="J26" s="601"/>
      <c r="K26" s="601"/>
      <c r="L26" s="602" t="s">
        <v>2313</v>
      </c>
      <c r="M26" s="603" t="s">
        <v>2299</v>
      </c>
      <c r="N26" s="617" t="s">
        <v>2303</v>
      </c>
      <c r="O26" s="627" t="s">
        <v>2327</v>
      </c>
      <c r="P26" s="599" t="s">
        <v>2385</v>
      </c>
      <c r="Q26" s="618"/>
      <c r="R26" s="608"/>
      <c r="S26" s="607"/>
      <c r="T26" s="608"/>
      <c r="U26" s="589"/>
      <c r="V26" s="609" t="s">
        <v>2353</v>
      </c>
      <c r="W26" s="619"/>
      <c r="X26" s="616"/>
      <c r="Y26" s="611"/>
      <c r="Z26" s="612"/>
      <c r="AA26" s="613"/>
      <c r="AB26" s="612"/>
      <c r="AC26" s="613"/>
      <c r="AE26" s="609"/>
      <c r="AF26" s="617" t="s">
        <v>2303</v>
      </c>
      <c r="AG26" s="616"/>
      <c r="AH26" s="616"/>
      <c r="AI26" s="597"/>
      <c r="AJ26" s="613"/>
      <c r="AK26" s="612"/>
      <c r="AL26" s="613"/>
      <c r="AN26" s="599"/>
      <c r="AO26" s="617"/>
      <c r="AP26" s="618"/>
      <c r="AQ26" s="608"/>
      <c r="AR26" s="598"/>
      <c r="AS26" s="608"/>
      <c r="AT26" s="607"/>
      <c r="AU26" s="608"/>
      <c r="AW26" s="599"/>
      <c r="AX26" s="617"/>
      <c r="AY26" s="618"/>
      <c r="AZ26" s="608"/>
      <c r="BA26" s="598"/>
      <c r="BB26" s="608"/>
      <c r="BC26" s="607"/>
      <c r="BD26" s="608"/>
      <c r="BF26" s="621" t="s">
        <v>2299</v>
      </c>
      <c r="BG26" s="622" t="s">
        <v>2306</v>
      </c>
      <c r="BH26" s="605" t="s">
        <v>2307</v>
      </c>
      <c r="BI26" s="598" t="s">
        <v>2385</v>
      </c>
      <c r="BJ26" s="612"/>
      <c r="BK26" s="613"/>
      <c r="BL26" s="612"/>
      <c r="BM26" s="613"/>
      <c r="BO26" s="599"/>
      <c r="BP26" s="617"/>
      <c r="BQ26" s="618"/>
      <c r="BR26" s="598"/>
      <c r="BS26" s="598"/>
      <c r="BT26" s="608"/>
      <c r="BU26" s="607"/>
      <c r="BV26" s="608"/>
    </row>
    <row hidden="true" r="27">
      <c r="A27" s="564"/>
      <c r="B27" s="597">
        <f>IFERROR(VLOOKUP(C27,'字段信息'!A:C,3,),"")</f>
      </c>
      <c r="C27" s="598" t="s">
        <v>2386</v>
      </c>
      <c r="D27" s="599">
        <f>IFERROR(VLOOKUP(C27,'字段信息'!A:C,2,),"")</f>
      </c>
      <c r="E27" s="600"/>
      <c r="F27" s="600">
        <f t="shared" si="0"/>
      </c>
      <c r="G27" s="600" t="s">
        <v>2312</v>
      </c>
      <c r="H27" s="601"/>
      <c r="I27" s="601"/>
      <c r="J27" s="601"/>
      <c r="K27" s="601"/>
      <c r="L27" s="602" t="s">
        <v>2313</v>
      </c>
      <c r="M27" s="603" t="s">
        <v>2299</v>
      </c>
      <c r="N27" s="617" t="s">
        <v>2303</v>
      </c>
      <c r="O27" s="627" t="s">
        <v>2327</v>
      </c>
      <c r="P27" s="599" t="s">
        <v>2386</v>
      </c>
      <c r="Q27" s="618"/>
      <c r="R27" s="608"/>
      <c r="S27" s="607"/>
      <c r="T27" s="608"/>
      <c r="U27" s="589"/>
      <c r="V27" s="609" t="s">
        <v>2353</v>
      </c>
      <c r="W27" s="619"/>
      <c r="X27" s="616"/>
      <c r="Y27" s="611"/>
      <c r="Z27" s="612"/>
      <c r="AA27" s="613"/>
      <c r="AB27" s="612"/>
      <c r="AC27" s="613"/>
      <c r="AE27" s="609" t="s">
        <v>2299</v>
      </c>
      <c r="AF27" s="617" t="s">
        <v>2303</v>
      </c>
      <c r="AG27" s="615" t="s">
        <v>2301</v>
      </c>
      <c r="AH27" s="616" t="s">
        <v>2387</v>
      </c>
      <c r="AI27" s="597"/>
      <c r="AJ27" s="613"/>
      <c r="AK27" s="612"/>
      <c r="AL27" s="613"/>
      <c r="AN27" s="599"/>
      <c r="AO27" s="617"/>
      <c r="AP27" s="618"/>
      <c r="AQ27" s="608"/>
      <c r="AR27" s="598"/>
      <c r="AS27" s="608"/>
      <c r="AT27" s="607"/>
      <c r="AU27" s="608"/>
      <c r="AW27" s="599"/>
      <c r="AX27" s="617"/>
      <c r="AY27" s="618"/>
      <c r="AZ27" s="608"/>
      <c r="BA27" s="598"/>
      <c r="BB27" s="608"/>
      <c r="BC27" s="607"/>
      <c r="BD27" s="608"/>
      <c r="BF27" s="621" t="s">
        <v>2299</v>
      </c>
      <c r="BG27" s="622" t="s">
        <v>2306</v>
      </c>
      <c r="BH27" s="605" t="s">
        <v>2307</v>
      </c>
      <c r="BI27" s="598" t="s">
        <v>2386</v>
      </c>
      <c r="BJ27" s="644"/>
      <c r="BK27" s="613"/>
      <c r="BL27" s="612"/>
      <c r="BM27" s="613"/>
      <c r="BO27" s="599"/>
      <c r="BP27" s="617"/>
      <c r="BQ27" s="618"/>
      <c r="BR27" s="598"/>
      <c r="BS27" s="598"/>
      <c r="BT27" s="608"/>
      <c r="BU27" s="607"/>
      <c r="BV27" s="608"/>
    </row>
    <row hidden="true" r="28">
      <c r="A28" s="564"/>
      <c r="B28" s="597">
        <f>IFERROR(VLOOKUP(C28,'字段信息'!A:C,3,),"")</f>
      </c>
      <c r="C28" s="598" t="s">
        <v>2388</v>
      </c>
      <c r="D28" s="599">
        <f>IFERROR(VLOOKUP(C28,'字段信息'!A:C,2,),"")</f>
      </c>
      <c r="E28" s="600"/>
      <c r="F28" s="600">
        <f t="shared" si="0"/>
      </c>
      <c r="G28" s="600" t="s">
        <v>2312</v>
      </c>
      <c r="H28" s="601"/>
      <c r="I28" s="601"/>
      <c r="J28" s="601"/>
      <c r="K28" s="601"/>
      <c r="L28" s="602" t="s">
        <v>2313</v>
      </c>
      <c r="M28" s="603" t="s">
        <v>2299</v>
      </c>
      <c r="N28" s="617" t="s">
        <v>2303</v>
      </c>
      <c r="O28" s="627" t="s">
        <v>2327</v>
      </c>
      <c r="P28" s="599" t="s">
        <v>2388</v>
      </c>
      <c r="Q28" s="618"/>
      <c r="R28" s="608"/>
      <c r="S28" s="607"/>
      <c r="T28" s="608"/>
      <c r="U28" s="589"/>
      <c r="V28" s="609" t="s">
        <v>2353</v>
      </c>
      <c r="W28" s="619"/>
      <c r="X28" s="616"/>
      <c r="Y28" s="611"/>
      <c r="Z28" s="612"/>
      <c r="AA28" s="613"/>
      <c r="AB28" s="612"/>
      <c r="AC28" s="613"/>
      <c r="AE28" s="609"/>
      <c r="AF28" s="617" t="s">
        <v>2303</v>
      </c>
      <c r="AG28" s="616"/>
      <c r="AH28" s="616"/>
      <c r="AI28" s="598"/>
      <c r="AJ28" s="613"/>
      <c r="AK28" s="612"/>
      <c r="AL28" s="613"/>
      <c r="AN28" s="599"/>
      <c r="AO28" s="617"/>
      <c r="AP28" s="618"/>
      <c r="AQ28" s="608"/>
      <c r="AR28" s="598"/>
      <c r="AS28" s="608"/>
      <c r="AT28" s="607"/>
      <c r="AU28" s="608"/>
      <c r="AW28" s="599"/>
      <c r="AX28" s="617"/>
      <c r="AY28" s="618"/>
      <c r="AZ28" s="608"/>
      <c r="BA28" s="598"/>
      <c r="BB28" s="608"/>
      <c r="BC28" s="607"/>
      <c r="BD28" s="608"/>
      <c r="BF28" s="621" t="s">
        <v>2299</v>
      </c>
      <c r="BG28" s="622" t="s">
        <v>2306</v>
      </c>
      <c r="BH28" s="605" t="s">
        <v>2307</v>
      </c>
      <c r="BI28" s="598" t="s">
        <v>2388</v>
      </c>
      <c r="BJ28" s="644"/>
      <c r="BK28" s="613"/>
      <c r="BL28" s="612"/>
      <c r="BM28" s="613"/>
      <c r="BO28" s="599"/>
      <c r="BP28" s="617"/>
      <c r="BQ28" s="618"/>
      <c r="BR28" s="598"/>
      <c r="BS28" s="598"/>
      <c r="BT28" s="608"/>
      <c r="BU28" s="607"/>
      <c r="BV28" s="608"/>
    </row>
    <row hidden="true" r="29">
      <c r="A29" s="564"/>
      <c r="B29" s="597">
        <f>IFERROR(VLOOKUP(C29,'字段信息'!A:C,3,),"")</f>
      </c>
      <c r="C29" s="598" t="s">
        <v>2389</v>
      </c>
      <c r="D29" s="599">
        <f>IFERROR(VLOOKUP(C29,'字段信息'!A:C,2,),"")</f>
      </c>
      <c r="E29" s="600"/>
      <c r="F29" s="600">
        <f t="shared" si="0"/>
      </c>
      <c r="G29" s="600" t="s">
        <v>2312</v>
      </c>
      <c r="H29" s="601"/>
      <c r="I29" s="601"/>
      <c r="J29" s="601"/>
      <c r="K29" s="601"/>
      <c r="L29" s="602" t="s">
        <v>2313</v>
      </c>
      <c r="M29" s="603" t="s">
        <v>2299</v>
      </c>
      <c r="N29" s="617" t="s">
        <v>2303</v>
      </c>
      <c r="O29" s="627" t="s">
        <v>2327</v>
      </c>
      <c r="P29" s="599" t="s">
        <v>2389</v>
      </c>
      <c r="Q29" s="618"/>
      <c r="R29" s="608"/>
      <c r="S29" s="607"/>
      <c r="T29" s="608"/>
      <c r="U29" s="589"/>
      <c r="V29" s="609" t="s">
        <v>2353</v>
      </c>
      <c r="W29" s="619"/>
      <c r="X29" s="616"/>
      <c r="Y29" s="611"/>
      <c r="Z29" s="612"/>
      <c r="AA29" s="613"/>
      <c r="AB29" s="612"/>
      <c r="AC29" s="613"/>
      <c r="AE29" s="609" t="s">
        <v>2299</v>
      </c>
      <c r="AF29" s="617" t="s">
        <v>2303</v>
      </c>
      <c r="AG29" s="615" t="s">
        <v>2301</v>
      </c>
      <c r="AH29" s="616" t="s">
        <v>2390</v>
      </c>
      <c r="AI29" s="598"/>
      <c r="AJ29" s="613"/>
      <c r="AK29" s="612"/>
      <c r="AL29" s="613"/>
      <c r="AN29" s="599"/>
      <c r="AO29" s="617"/>
      <c r="AP29" s="618"/>
      <c r="AQ29" s="608"/>
      <c r="AR29" s="608"/>
      <c r="AS29" s="608"/>
      <c r="AT29" s="607"/>
      <c r="AU29" s="608"/>
      <c r="AW29" s="599"/>
      <c r="AX29" s="617"/>
      <c r="AY29" s="618"/>
      <c r="AZ29" s="608"/>
      <c r="BA29" s="608"/>
      <c r="BB29" s="608"/>
      <c r="BC29" s="607"/>
      <c r="BD29" s="608"/>
      <c r="BF29" s="621" t="s">
        <v>2299</v>
      </c>
      <c r="BG29" s="622" t="s">
        <v>2306</v>
      </c>
      <c r="BH29" s="605" t="s">
        <v>2307</v>
      </c>
      <c r="BI29" s="598" t="s">
        <v>2389</v>
      </c>
      <c r="BJ29" s="605"/>
      <c r="BK29" s="613"/>
      <c r="BL29" s="612"/>
      <c r="BM29" s="613"/>
      <c r="BO29" s="599"/>
      <c r="BP29" s="617"/>
      <c r="BQ29" s="618"/>
      <c r="BR29" s="598"/>
      <c r="BS29" s="608"/>
      <c r="BT29" s="608"/>
      <c r="BU29" s="607"/>
      <c r="BV29" s="608"/>
    </row>
    <row hidden="true" r="30">
      <c r="A30" s="564"/>
      <c r="B30" s="597">
        <f>IFERROR(VLOOKUP(C30,'字段信息'!A:C,3,),"")</f>
      </c>
      <c r="C30" s="598" t="s">
        <v>2391</v>
      </c>
      <c r="D30" s="599">
        <f>IFERROR(VLOOKUP(C30,'字段信息'!A:C,2,),"")</f>
      </c>
      <c r="E30" s="600"/>
      <c r="F30" s="600">
        <f t="shared" si="0"/>
      </c>
      <c r="G30" s="600" t="s">
        <v>2312</v>
      </c>
      <c r="H30" s="601"/>
      <c r="I30" s="601"/>
      <c r="J30" s="601"/>
      <c r="K30" s="601"/>
      <c r="L30" s="602" t="s">
        <v>2313</v>
      </c>
      <c r="M30" s="603" t="s">
        <v>2299</v>
      </c>
      <c r="N30" s="617" t="s">
        <v>2303</v>
      </c>
      <c r="O30" s="627" t="s">
        <v>2327</v>
      </c>
      <c r="P30" s="599" t="s">
        <v>2391</v>
      </c>
      <c r="Q30" s="618"/>
      <c r="R30" s="608"/>
      <c r="S30" s="607"/>
      <c r="T30" s="608"/>
      <c r="U30" s="589"/>
      <c r="V30" s="609" t="s">
        <v>2353</v>
      </c>
      <c r="W30" s="619"/>
      <c r="X30" s="616"/>
      <c r="Y30" s="611"/>
      <c r="Z30" s="612"/>
      <c r="AA30" s="613"/>
      <c r="AB30" s="612"/>
      <c r="AC30" s="613"/>
      <c r="AE30" s="609"/>
      <c r="AF30" s="617" t="s">
        <v>2303</v>
      </c>
      <c r="AG30" s="616"/>
      <c r="AH30" s="616"/>
      <c r="AI30" s="598"/>
      <c r="AJ30" s="613"/>
      <c r="AK30" s="612"/>
      <c r="AL30" s="613"/>
      <c r="AN30" s="599"/>
      <c r="AO30" s="617"/>
      <c r="AP30" s="618"/>
      <c r="AQ30" s="608"/>
      <c r="AR30" s="608"/>
      <c r="AS30" s="608"/>
      <c r="AT30" s="607"/>
      <c r="AU30" s="608"/>
      <c r="AW30" s="599"/>
      <c r="AX30" s="617"/>
      <c r="AY30" s="618"/>
      <c r="AZ30" s="608"/>
      <c r="BA30" s="608"/>
      <c r="BB30" s="608"/>
      <c r="BC30" s="607"/>
      <c r="BD30" s="608"/>
      <c r="BF30" s="621" t="s">
        <v>2299</v>
      </c>
      <c r="BG30" s="622" t="s">
        <v>2306</v>
      </c>
      <c r="BH30" s="605" t="s">
        <v>2307</v>
      </c>
      <c r="BI30" s="598" t="s">
        <v>2391</v>
      </c>
      <c r="BJ30" s="605"/>
      <c r="BK30" s="613"/>
      <c r="BL30" s="612"/>
      <c r="BM30" s="613"/>
      <c r="BO30" s="599"/>
      <c r="BP30" s="617"/>
      <c r="BQ30" s="618"/>
      <c r="BR30" s="598"/>
      <c r="BS30" s="608"/>
      <c r="BT30" s="608"/>
      <c r="BU30" s="607"/>
      <c r="BV30" s="608"/>
    </row>
    <row hidden="true" r="31">
      <c r="A31" s="664"/>
      <c r="B31" s="597">
        <f>IFERROR(VLOOKUP(C31,'字段信息'!A:C,3,),"")</f>
      </c>
      <c r="C31" s="598" t="s">
        <v>2392</v>
      </c>
      <c r="D31" s="599">
        <f>IFERROR(VLOOKUP(C31,'字段信息'!A:C,2,),"")</f>
      </c>
      <c r="E31" s="600"/>
      <c r="F31" s="600">
        <f t="shared" si="0"/>
      </c>
      <c r="G31" s="600" t="s">
        <v>2312</v>
      </c>
      <c r="H31" s="601"/>
      <c r="I31" s="601"/>
      <c r="J31" s="601"/>
      <c r="K31" s="601"/>
      <c r="L31" s="602" t="s">
        <v>2313</v>
      </c>
      <c r="M31" s="603" t="s">
        <v>2299</v>
      </c>
      <c r="N31" s="617" t="s">
        <v>2303</v>
      </c>
      <c r="O31" s="627" t="s">
        <v>2327</v>
      </c>
      <c r="P31" s="665" t="s">
        <v>2392</v>
      </c>
      <c r="Q31" s="607"/>
      <c r="R31" s="608"/>
      <c r="S31" s="607"/>
      <c r="T31" s="608"/>
      <c r="U31" s="589"/>
      <c r="V31" s="611"/>
      <c r="W31" s="619" t="s">
        <v>2303</v>
      </c>
      <c r="X31" s="605"/>
      <c r="Y31" s="611"/>
      <c r="Z31" s="612"/>
      <c r="AA31" s="613"/>
      <c r="AB31" s="612"/>
      <c r="AC31" s="613"/>
      <c r="AE31" s="609" t="s">
        <v>2299</v>
      </c>
      <c r="AF31" s="617" t="s">
        <v>2303</v>
      </c>
      <c r="AG31" s="615" t="s">
        <v>2301</v>
      </c>
      <c r="AH31" s="616" t="s">
        <v>2393</v>
      </c>
      <c r="AI31" s="598"/>
      <c r="AJ31" s="613"/>
      <c r="AK31" s="612"/>
      <c r="AL31" s="613"/>
      <c r="AN31" s="599"/>
      <c r="AO31" s="617"/>
      <c r="AP31" s="618"/>
      <c r="AQ31" s="608"/>
      <c r="AR31" s="608"/>
      <c r="AS31" s="608"/>
      <c r="AT31" s="607"/>
      <c r="AU31" s="608"/>
      <c r="AW31" s="599"/>
      <c r="AX31" s="617"/>
      <c r="AY31" s="618"/>
      <c r="AZ31" s="608"/>
      <c r="BA31" s="608"/>
      <c r="BB31" s="608"/>
      <c r="BC31" s="607"/>
      <c r="BD31" s="608"/>
      <c r="BF31" s="621" t="s">
        <v>2299</v>
      </c>
      <c r="BG31" s="622" t="s">
        <v>2306</v>
      </c>
      <c r="BH31" s="605" t="s">
        <v>2307</v>
      </c>
      <c r="BI31" s="598" t="s">
        <v>2392</v>
      </c>
      <c r="BJ31" s="612"/>
      <c r="BK31" s="613"/>
      <c r="BL31" s="612"/>
      <c r="BM31" s="613"/>
      <c r="BO31" s="599"/>
      <c r="BP31" s="617"/>
      <c r="BQ31" s="618"/>
      <c r="BR31" s="598"/>
      <c r="BS31" s="608"/>
      <c r="BT31" s="608"/>
      <c r="BU31" s="607"/>
      <c r="BV31" s="608"/>
    </row>
    <row hidden="true" r="32">
      <c r="A32" s="664"/>
      <c r="B32" s="597">
        <f>IFERROR(VLOOKUP(C32,'字段信息'!A:C,3,),"")</f>
      </c>
      <c r="C32" s="598" t="s">
        <v>2394</v>
      </c>
      <c r="D32" s="599">
        <f>IFERROR(VLOOKUP(C32,'字段信息'!A:C,2,),"")</f>
      </c>
      <c r="E32" s="600"/>
      <c r="F32" s="600">
        <f t="shared" si="0"/>
      </c>
      <c r="G32" s="600" t="s">
        <v>2312</v>
      </c>
      <c r="H32" s="601"/>
      <c r="I32" s="601"/>
      <c r="J32" s="601"/>
      <c r="K32" s="601"/>
      <c r="L32" s="602" t="s">
        <v>2313</v>
      </c>
      <c r="M32" s="603" t="s">
        <v>2299</v>
      </c>
      <c r="N32" s="617" t="s">
        <v>2303</v>
      </c>
      <c r="O32" s="627" t="s">
        <v>2327</v>
      </c>
      <c r="P32" s="608" t="s">
        <v>2394</v>
      </c>
      <c r="Q32" s="607"/>
      <c r="R32" s="608"/>
      <c r="S32" s="607"/>
      <c r="T32" s="608"/>
      <c r="U32" s="589"/>
      <c r="V32" s="611"/>
      <c r="W32" s="619" t="s">
        <v>2303</v>
      </c>
      <c r="X32" s="605"/>
      <c r="Y32" s="611"/>
      <c r="Z32" s="612"/>
      <c r="AA32" s="613"/>
      <c r="AB32" s="612"/>
      <c r="AC32" s="613"/>
      <c r="AE32" s="609"/>
      <c r="AF32" s="617"/>
      <c r="AG32" s="616"/>
      <c r="AH32" s="616"/>
      <c r="AI32" s="598"/>
      <c r="AJ32" s="613"/>
      <c r="AK32" s="612"/>
      <c r="AL32" s="613"/>
      <c r="AN32" s="599"/>
      <c r="AO32" s="617"/>
      <c r="AP32" s="618"/>
      <c r="AQ32" s="608"/>
      <c r="AR32" s="608"/>
      <c r="AS32" s="608"/>
      <c r="AT32" s="607"/>
      <c r="AU32" s="608"/>
      <c r="AW32" s="599"/>
      <c r="AX32" s="617"/>
      <c r="AY32" s="618"/>
      <c r="AZ32" s="608"/>
      <c r="BA32" s="608"/>
      <c r="BB32" s="608"/>
      <c r="BC32" s="607"/>
      <c r="BD32" s="608"/>
      <c r="BF32" s="621" t="s">
        <v>2299</v>
      </c>
      <c r="BG32" s="622" t="s">
        <v>2306</v>
      </c>
      <c r="BH32" s="605" t="s">
        <v>2307</v>
      </c>
      <c r="BI32" s="598" t="s">
        <v>2394</v>
      </c>
      <c r="BJ32" s="612"/>
      <c r="BK32" s="613"/>
      <c r="BL32" s="612"/>
      <c r="BM32" s="613"/>
      <c r="BO32" s="599"/>
      <c r="BP32" s="617"/>
      <c r="BQ32" s="618"/>
      <c r="BR32" s="598"/>
      <c r="BS32" s="608"/>
      <c r="BT32" s="608"/>
      <c r="BU32" s="607"/>
      <c r="BV32" s="608"/>
    </row>
    <row hidden="true" r="33">
      <c r="A33" s="564"/>
      <c r="B33" s="597">
        <f>IFERROR(VLOOKUP(C33,'字段信息'!A:C,3,),"")</f>
      </c>
      <c r="C33" s="642" t="s">
        <v>2395</v>
      </c>
      <c r="D33" s="599">
        <f>IFERROR(VLOOKUP(C33,'字段信息'!A:C,2,),"")</f>
      </c>
      <c r="E33" s="600"/>
      <c r="F33" s="600">
        <f t="shared" si="0"/>
      </c>
      <c r="G33" s="600" t="s">
        <v>2312</v>
      </c>
      <c r="H33" s="601"/>
      <c r="I33" s="601"/>
      <c r="J33" s="601"/>
      <c r="K33" s="601"/>
      <c r="L33" s="602" t="s">
        <v>2313</v>
      </c>
      <c r="M33" s="603" t="s">
        <v>2299</v>
      </c>
      <c r="N33" s="617" t="s">
        <v>2303</v>
      </c>
      <c r="O33" s="627" t="s">
        <v>2327</v>
      </c>
      <c r="P33" s="631" t="s">
        <v>2395</v>
      </c>
      <c r="Q33" s="607"/>
      <c r="R33" s="608"/>
      <c r="S33" s="607"/>
      <c r="T33" s="608"/>
      <c r="U33" s="589"/>
      <c r="V33" s="609" t="s">
        <v>2353</v>
      </c>
      <c r="W33" s="619"/>
      <c r="X33" s="616"/>
      <c r="Y33" s="611"/>
      <c r="Z33" s="612"/>
      <c r="AA33" s="613"/>
      <c r="AB33" s="612"/>
      <c r="AC33" s="613"/>
      <c r="AE33" s="609" t="s">
        <v>2299</v>
      </c>
      <c r="AF33" s="617" t="s">
        <v>2303</v>
      </c>
      <c r="AG33" s="615" t="s">
        <v>2301</v>
      </c>
      <c r="AH33" s="616" t="s">
        <v>2396</v>
      </c>
      <c r="AI33" s="598"/>
      <c r="AJ33" s="613"/>
      <c r="AK33" s="612"/>
      <c r="AL33" s="613"/>
      <c r="AN33" s="599"/>
      <c r="AO33" s="617"/>
      <c r="AP33" s="618"/>
      <c r="AQ33" s="563"/>
      <c r="AR33" s="608"/>
      <c r="AS33" s="608"/>
      <c r="AT33" s="607"/>
      <c r="AU33" s="608"/>
      <c r="AW33" s="632" t="s">
        <v>2299</v>
      </c>
      <c r="AX33" s="617" t="s">
        <v>2303</v>
      </c>
      <c r="AY33" s="618" t="s">
        <v>2304</v>
      </c>
      <c r="AZ33" s="635" t="s">
        <v>2397</v>
      </c>
      <c r="BA33" s="608"/>
      <c r="BB33" s="608"/>
      <c r="BC33" s="607"/>
      <c r="BD33" s="608"/>
      <c r="BF33" s="621" t="s">
        <v>2299</v>
      </c>
      <c r="BG33" s="622" t="s">
        <v>2306</v>
      </c>
      <c r="BH33" s="605" t="s">
        <v>2307</v>
      </c>
      <c r="BI33" s="642" t="s">
        <v>2395</v>
      </c>
      <c r="BJ33" s="662"/>
      <c r="BK33" s="613"/>
      <c r="BL33" s="612"/>
      <c r="BM33" s="613"/>
      <c r="BO33" s="609" t="s">
        <v>2398</v>
      </c>
      <c r="BP33" s="666" t="s">
        <v>2303</v>
      </c>
      <c r="BQ33" s="616" t="s">
        <v>2399</v>
      </c>
      <c r="BR33" s="667" t="s">
        <v>2400</v>
      </c>
      <c r="BS33" s="608"/>
      <c r="BT33" s="608"/>
      <c r="BU33" s="607"/>
      <c r="BV33" s="608"/>
    </row>
    <row hidden="true" r="34">
      <c r="A34" s="564"/>
      <c r="B34" s="597">
        <f>IFERROR(VLOOKUP(C34,'字段信息'!A:C,3,),"")</f>
      </c>
      <c r="C34" s="598" t="s">
        <v>2401</v>
      </c>
      <c r="D34" s="599">
        <f>IFERROR(VLOOKUP(C34,'字段信息'!A:C,2,),"")</f>
      </c>
      <c r="E34" s="600"/>
      <c r="F34" s="600">
        <f t="shared" si="0"/>
      </c>
      <c r="G34" s="600" t="s">
        <v>2312</v>
      </c>
      <c r="H34" s="601"/>
      <c r="I34" s="601"/>
      <c r="J34" s="601"/>
      <c r="K34" s="601"/>
      <c r="L34" s="602" t="s">
        <v>2313</v>
      </c>
      <c r="M34" s="603" t="s">
        <v>2299</v>
      </c>
      <c r="N34" s="617" t="s">
        <v>2303</v>
      </c>
      <c r="O34" s="668" t="s">
        <v>2327</v>
      </c>
      <c r="P34" s="654" t="s">
        <v>2401</v>
      </c>
      <c r="Q34" s="607"/>
      <c r="R34" s="608"/>
      <c r="S34" s="607"/>
      <c r="T34" s="608"/>
      <c r="U34" s="589"/>
      <c r="V34" s="609" t="s">
        <v>2353</v>
      </c>
      <c r="W34" s="619"/>
      <c r="X34" s="616"/>
      <c r="Y34" s="611"/>
      <c r="Z34" s="612"/>
      <c r="AA34" s="613"/>
      <c r="AB34" s="612"/>
      <c r="AC34" s="613"/>
      <c r="AE34" s="609" t="s">
        <v>2299</v>
      </c>
      <c r="AF34" s="617" t="s">
        <v>2303</v>
      </c>
      <c r="AG34" s="615" t="s">
        <v>2301</v>
      </c>
      <c r="AH34" s="616" t="s">
        <v>2402</v>
      </c>
      <c r="AI34" s="616"/>
      <c r="AJ34" s="613"/>
      <c r="AK34" s="612"/>
      <c r="AL34" s="613"/>
      <c r="AN34" s="599"/>
      <c r="AO34" s="617"/>
      <c r="AP34" s="618"/>
      <c r="AQ34" s="608"/>
      <c r="AR34" s="618"/>
      <c r="AS34" s="608"/>
      <c r="AT34" s="607"/>
      <c r="AU34" s="608"/>
      <c r="AW34" s="599"/>
      <c r="AX34" s="617"/>
      <c r="AY34" s="618"/>
      <c r="AZ34" s="608"/>
      <c r="BA34" s="618"/>
      <c r="BB34" s="608"/>
      <c r="BC34" s="607"/>
      <c r="BD34" s="608"/>
      <c r="BF34" s="621" t="s">
        <v>2299</v>
      </c>
      <c r="BG34" s="622" t="s">
        <v>2306</v>
      </c>
      <c r="BH34" s="605" t="s">
        <v>2307</v>
      </c>
      <c r="BI34" s="598" t="s">
        <v>2401</v>
      </c>
      <c r="BJ34" s="605"/>
      <c r="BK34" s="613"/>
      <c r="BL34" s="612"/>
      <c r="BM34" s="613"/>
      <c r="BO34" s="609" t="s">
        <v>2398</v>
      </c>
      <c r="BP34" s="666" t="s">
        <v>2303</v>
      </c>
      <c r="BQ34" s="616" t="s">
        <v>2403</v>
      </c>
      <c r="BR34" s="669" t="s">
        <v>2348</v>
      </c>
      <c r="BS34" s="618"/>
      <c r="BT34" s="608"/>
      <c r="BU34" s="607"/>
      <c r="BV34" s="608"/>
    </row>
    <row hidden="true" r="35">
      <c r="A35" s="564"/>
      <c r="B35" s="597">
        <f>IFERROR(VLOOKUP(C35,'字段信息'!A:C,3,),"")</f>
      </c>
      <c r="C35" s="598" t="s">
        <v>2404</v>
      </c>
      <c r="D35" s="599">
        <f>IFERROR(VLOOKUP(C35,'字段信息'!A:C,2,),"")</f>
      </c>
      <c r="E35" s="600"/>
      <c r="F35" s="600">
        <f t="shared" si="0"/>
      </c>
      <c r="G35" s="600" t="s">
        <v>2312</v>
      </c>
      <c r="H35" s="601"/>
      <c r="I35" s="601"/>
      <c r="J35" s="601"/>
      <c r="K35" s="601"/>
      <c r="L35" s="602" t="s">
        <v>2313</v>
      </c>
      <c r="M35" s="603" t="s">
        <v>2299</v>
      </c>
      <c r="N35" s="666" t="s">
        <v>2303</v>
      </c>
      <c r="O35" s="605" t="s">
        <v>2327</v>
      </c>
      <c r="P35" s="611" t="s">
        <v>2404</v>
      </c>
      <c r="Q35" s="658"/>
      <c r="R35" s="608"/>
      <c r="S35" s="607"/>
      <c r="T35" s="608"/>
      <c r="U35" s="589"/>
      <c r="V35" s="609" t="s">
        <v>2353</v>
      </c>
      <c r="W35" s="619"/>
      <c r="X35" s="616"/>
      <c r="Y35" s="611"/>
      <c r="Z35" s="612"/>
      <c r="AA35" s="613"/>
      <c r="AB35" s="612"/>
      <c r="AC35" s="613"/>
      <c r="AE35" s="609" t="s">
        <v>2299</v>
      </c>
      <c r="AF35" s="617" t="s">
        <v>2303</v>
      </c>
      <c r="AG35" s="615" t="s">
        <v>2301</v>
      </c>
      <c r="AH35" s="616" t="s">
        <v>2396</v>
      </c>
      <c r="AI35" s="616"/>
      <c r="AJ35" s="613"/>
      <c r="AK35" s="612"/>
      <c r="AL35" s="613"/>
      <c r="AN35" s="599"/>
      <c r="AO35" s="617"/>
      <c r="AP35" s="618"/>
      <c r="AQ35" s="608"/>
      <c r="AR35" s="618"/>
      <c r="AS35" s="608"/>
      <c r="AT35" s="607"/>
      <c r="AU35" s="608"/>
      <c r="AW35" s="631" t="s">
        <v>2405</v>
      </c>
      <c r="AX35" s="617" t="s">
        <v>2303</v>
      </c>
      <c r="AY35" s="670" t="s">
        <v>2406</v>
      </c>
      <c r="AZ35" s="608" t="s">
        <v>2404</v>
      </c>
      <c r="BA35" s="635" t="s">
        <v>2407</v>
      </c>
      <c r="BB35" s="608"/>
      <c r="BC35" s="607"/>
      <c r="BD35" s="608"/>
      <c r="BF35" s="621" t="s">
        <v>2299</v>
      </c>
      <c r="BG35" s="622" t="s">
        <v>2306</v>
      </c>
      <c r="BH35" s="605" t="s">
        <v>2307</v>
      </c>
      <c r="BI35" s="598" t="s">
        <v>2404</v>
      </c>
      <c r="BJ35" s="660"/>
      <c r="BK35" s="671"/>
      <c r="BL35" s="672"/>
      <c r="BM35" s="671"/>
      <c r="BO35" s="609" t="s">
        <v>2398</v>
      </c>
      <c r="BP35" s="666" t="s">
        <v>2303</v>
      </c>
      <c r="BQ35" s="616" t="s">
        <v>2399</v>
      </c>
      <c r="BR35" s="667" t="s">
        <v>2400</v>
      </c>
      <c r="BS35" s="618"/>
      <c r="BT35" s="608"/>
      <c r="BU35" s="607"/>
      <c r="BV35" s="608"/>
    </row>
    <row hidden="true" r="36">
      <c r="A36" s="564"/>
      <c r="B36" s="597">
        <f>IFERROR(VLOOKUP(C36,'字段信息'!A:C,3,),"")</f>
      </c>
      <c r="C36" s="598" t="s">
        <v>2408</v>
      </c>
      <c r="D36" s="599">
        <f>IFERROR(VLOOKUP(C36,'字段信息'!A:C,2,),"")</f>
      </c>
      <c r="E36" s="600"/>
      <c r="F36" s="600">
        <f t="shared" si="0"/>
      </c>
      <c r="G36" s="600" t="s">
        <v>2312</v>
      </c>
      <c r="H36" s="601"/>
      <c r="I36" s="601"/>
      <c r="J36" s="601"/>
      <c r="K36" s="601"/>
      <c r="L36" s="602" t="s">
        <v>2313</v>
      </c>
      <c r="M36" s="603" t="s">
        <v>2299</v>
      </c>
      <c r="N36" s="666" t="s">
        <v>2303</v>
      </c>
      <c r="O36" s="605" t="s">
        <v>2327</v>
      </c>
      <c r="P36" s="611" t="s">
        <v>2408</v>
      </c>
      <c r="Q36" s="658"/>
      <c r="R36" s="608"/>
      <c r="S36" s="607"/>
      <c r="T36" s="608"/>
      <c r="U36" s="589"/>
      <c r="V36" s="609" t="s">
        <v>2353</v>
      </c>
      <c r="W36" s="619"/>
      <c r="X36" s="616"/>
      <c r="Y36" s="611"/>
      <c r="Z36" s="612"/>
      <c r="AA36" s="613"/>
      <c r="AB36" s="612"/>
      <c r="AC36" s="613"/>
      <c r="AE36" s="609" t="s">
        <v>2299</v>
      </c>
      <c r="AF36" s="617" t="s">
        <v>2303</v>
      </c>
      <c r="AG36" s="615" t="s">
        <v>2301</v>
      </c>
      <c r="AH36" s="616" t="s">
        <v>2402</v>
      </c>
      <c r="AI36" s="616"/>
      <c r="AJ36" s="613"/>
      <c r="AK36" s="612"/>
      <c r="AL36" s="613"/>
      <c r="AN36" s="599"/>
      <c r="AO36" s="617"/>
      <c r="AP36" s="618"/>
      <c r="AQ36" s="608"/>
      <c r="AR36" s="618"/>
      <c r="AS36" s="608"/>
      <c r="AT36" s="607"/>
      <c r="AU36" s="608"/>
      <c r="AW36" s="631" t="s">
        <v>2405</v>
      </c>
      <c r="AX36" s="617" t="s">
        <v>2303</v>
      </c>
      <c r="AY36" s="670" t="s">
        <v>2406</v>
      </c>
      <c r="AZ36" s="608" t="s">
        <v>2408</v>
      </c>
      <c r="BA36" s="618"/>
      <c r="BB36" s="608"/>
      <c r="BC36" s="607"/>
      <c r="BD36" s="608"/>
      <c r="BF36" s="621" t="s">
        <v>2299</v>
      </c>
      <c r="BG36" s="622" t="s">
        <v>2306</v>
      </c>
      <c r="BH36" s="605" t="s">
        <v>2307</v>
      </c>
      <c r="BI36" s="598" t="s">
        <v>2408</v>
      </c>
      <c r="BJ36" s="618"/>
      <c r="BK36" s="662"/>
      <c r="BL36" s="607"/>
      <c r="BM36" s="608"/>
      <c r="BO36" s="609" t="s">
        <v>2398</v>
      </c>
      <c r="BP36" s="666" t="s">
        <v>2303</v>
      </c>
      <c r="BQ36" s="616" t="s">
        <v>2403</v>
      </c>
      <c r="BR36" s="669" t="s">
        <v>2348</v>
      </c>
      <c r="BS36" s="618"/>
      <c r="BT36" s="608"/>
      <c r="BU36" s="607"/>
      <c r="BV36" s="608"/>
    </row>
    <row hidden="true" r="37">
      <c r="A37" s="564"/>
      <c r="B37" s="597">
        <f>IFERROR(VLOOKUP(C37,'字段信息'!A:C,3,),"")</f>
      </c>
      <c r="C37" s="598" t="s">
        <v>2409</v>
      </c>
      <c r="D37" s="599">
        <f>IFERROR(VLOOKUP(C37,'字段信息'!A:C,2,),"")</f>
      </c>
      <c r="E37" s="600"/>
      <c r="F37" s="600">
        <f t="shared" si="0"/>
      </c>
      <c r="G37" s="600" t="s">
        <v>2312</v>
      </c>
      <c r="H37" s="601"/>
      <c r="I37" s="601"/>
      <c r="J37" s="601"/>
      <c r="K37" s="601"/>
      <c r="L37" s="602" t="s">
        <v>2313</v>
      </c>
      <c r="M37" s="673" t="s">
        <v>2299</v>
      </c>
      <c r="N37" s="674" t="s">
        <v>2303</v>
      </c>
      <c r="O37" s="605" t="s">
        <v>2327</v>
      </c>
      <c r="P37" s="609" t="s">
        <v>2409</v>
      </c>
      <c r="Q37" s="675"/>
      <c r="R37" s="608"/>
      <c r="S37" s="607"/>
      <c r="T37" s="608"/>
      <c r="U37" s="589"/>
      <c r="V37" s="611"/>
      <c r="W37" s="619" t="s">
        <v>2303</v>
      </c>
      <c r="X37" s="605"/>
      <c r="Y37" s="609"/>
      <c r="Z37" s="662"/>
      <c r="AA37" s="613"/>
      <c r="AB37" s="612"/>
      <c r="AC37" s="613"/>
      <c r="AE37" s="609" t="s">
        <v>2299</v>
      </c>
      <c r="AF37" s="617" t="s">
        <v>2303</v>
      </c>
      <c r="AG37" s="615" t="s">
        <v>2301</v>
      </c>
      <c r="AH37" s="616" t="s">
        <v>2410</v>
      </c>
      <c r="AI37" s="616"/>
      <c r="AJ37" s="613"/>
      <c r="AK37" s="612"/>
      <c r="AL37" s="613"/>
      <c r="AN37" s="599"/>
      <c r="AO37" s="617"/>
      <c r="AP37" s="618"/>
      <c r="AQ37" s="608"/>
      <c r="AR37" s="618"/>
      <c r="AS37" s="608"/>
      <c r="AT37" s="607"/>
      <c r="AU37" s="608"/>
      <c r="AW37" s="599"/>
      <c r="AX37" s="617"/>
      <c r="AY37" s="618"/>
      <c r="AZ37" s="608"/>
      <c r="BA37" s="618"/>
      <c r="BB37" s="608"/>
      <c r="BC37" s="607"/>
      <c r="BD37" s="608"/>
      <c r="BF37" s="621" t="s">
        <v>2299</v>
      </c>
      <c r="BG37" s="622" t="s">
        <v>2306</v>
      </c>
      <c r="BH37" s="605" t="s">
        <v>2307</v>
      </c>
      <c r="BI37" s="598" t="s">
        <v>2409</v>
      </c>
      <c r="BJ37" s="618"/>
      <c r="BK37" s="608"/>
      <c r="BL37" s="607"/>
      <c r="BM37" s="608"/>
      <c r="BO37" s="614" t="s">
        <v>2411</v>
      </c>
      <c r="BP37" s="655" t="s">
        <v>2303</v>
      </c>
      <c r="BQ37" s="676" t="s">
        <v>2412</v>
      </c>
      <c r="BR37" s="654" t="s">
        <v>2376</v>
      </c>
      <c r="BS37" s="618"/>
      <c r="BT37" s="608"/>
      <c r="BU37" s="607"/>
      <c r="BV37" s="608"/>
    </row>
    <row hidden="true" r="38">
      <c r="A38" s="564"/>
      <c r="B38" s="597">
        <f>IFERROR(VLOOKUP(C38,'字段信息'!A:C,3,),"")</f>
      </c>
      <c r="C38" s="598" t="s">
        <v>2413</v>
      </c>
      <c r="D38" s="599">
        <f>IFERROR(VLOOKUP(C38,'字段信息'!A:C,2,),"")</f>
      </c>
      <c r="E38" s="600"/>
      <c r="F38" s="600">
        <f t="shared" si="0"/>
      </c>
      <c r="G38" s="600" t="s">
        <v>2312</v>
      </c>
      <c r="H38" s="601"/>
      <c r="I38" s="601"/>
      <c r="J38" s="601"/>
      <c r="K38" s="601"/>
      <c r="L38" s="626" t="s">
        <v>2313</v>
      </c>
      <c r="M38" s="609" t="s">
        <v>2299</v>
      </c>
      <c r="N38" s="634" t="s">
        <v>2303</v>
      </c>
      <c r="O38" s="605" t="s">
        <v>2327</v>
      </c>
      <c r="P38" s="611" t="s">
        <v>2413</v>
      </c>
      <c r="Q38" s="658"/>
      <c r="R38" s="608"/>
      <c r="S38" s="607"/>
      <c r="T38" s="608"/>
      <c r="U38" s="589"/>
      <c r="V38" s="611"/>
      <c r="W38" s="619" t="s">
        <v>2303</v>
      </c>
      <c r="X38" s="605"/>
      <c r="Y38" s="611"/>
      <c r="Z38" s="612"/>
      <c r="AA38" s="613"/>
      <c r="AB38" s="612"/>
      <c r="AC38" s="613"/>
      <c r="AE38" s="609" t="s">
        <v>2299</v>
      </c>
      <c r="AF38" s="617" t="s">
        <v>2303</v>
      </c>
      <c r="AG38" s="615" t="s">
        <v>2301</v>
      </c>
      <c r="AH38" s="616" t="s">
        <v>2414</v>
      </c>
      <c r="AI38" s="616"/>
      <c r="AJ38" s="613"/>
      <c r="AK38" s="612"/>
      <c r="AL38" s="613"/>
      <c r="AN38" s="599"/>
      <c r="AO38" s="617"/>
      <c r="AP38" s="618"/>
      <c r="AQ38" s="608"/>
      <c r="AR38" s="618"/>
      <c r="AS38" s="608"/>
      <c r="AT38" s="607"/>
      <c r="AU38" s="608"/>
      <c r="AW38" s="599"/>
      <c r="AX38" s="617"/>
      <c r="AY38" s="618"/>
      <c r="AZ38" s="608"/>
      <c r="BA38" s="618"/>
      <c r="BB38" s="608"/>
      <c r="BC38" s="607"/>
      <c r="BD38" s="608"/>
      <c r="BF38" s="621" t="s">
        <v>2299</v>
      </c>
      <c r="BG38" s="622" t="s">
        <v>2306</v>
      </c>
      <c r="BH38" s="605" t="s">
        <v>2307</v>
      </c>
      <c r="BI38" s="598" t="s">
        <v>2413</v>
      </c>
      <c r="BJ38" s="618"/>
      <c r="BK38" s="608"/>
      <c r="BL38" s="607"/>
      <c r="BM38" s="608"/>
      <c r="BO38" s="609" t="s">
        <v>2411</v>
      </c>
      <c r="BP38" s="619" t="s">
        <v>2303</v>
      </c>
      <c r="BQ38" s="616" t="s">
        <v>2415</v>
      </c>
      <c r="BR38" s="609" t="s">
        <v>2348</v>
      </c>
      <c r="BS38" s="677"/>
      <c r="BT38" s="608"/>
      <c r="BU38" s="607"/>
      <c r="BV38" s="608"/>
    </row>
    <row hidden="true" r="39">
      <c r="A39" s="564"/>
      <c r="B39" s="597">
        <f>IFERROR(VLOOKUP(C39,'字段信息'!A:C,3,),"")</f>
      </c>
      <c r="C39" s="598" t="s">
        <v>2416</v>
      </c>
      <c r="D39" s="599">
        <f>IFERROR(VLOOKUP(C39,'字段信息'!A:C,2,),"")</f>
      </c>
      <c r="E39" s="600"/>
      <c r="F39" s="600">
        <f t="shared" si="0"/>
      </c>
      <c r="G39" s="600" t="s">
        <v>2312</v>
      </c>
      <c r="H39" s="601"/>
      <c r="I39" s="601"/>
      <c r="J39" s="601"/>
      <c r="K39" s="601"/>
      <c r="L39" s="626" t="s">
        <v>2313</v>
      </c>
      <c r="M39" s="609" t="s">
        <v>2299</v>
      </c>
      <c r="N39" s="634" t="s">
        <v>2303</v>
      </c>
      <c r="O39" s="605" t="s">
        <v>2327</v>
      </c>
      <c r="P39" s="611" t="s">
        <v>2416</v>
      </c>
      <c r="Q39" s="658"/>
      <c r="R39" s="608"/>
      <c r="S39" s="607"/>
      <c r="T39" s="608"/>
      <c r="U39" s="589"/>
      <c r="V39" s="611"/>
      <c r="W39" s="619" t="s">
        <v>2303</v>
      </c>
      <c r="X39" s="605"/>
      <c r="Y39" s="611"/>
      <c r="Z39" s="612"/>
      <c r="AA39" s="613"/>
      <c r="AB39" s="612"/>
      <c r="AC39" s="613"/>
      <c r="AE39" s="609" t="s">
        <v>2299</v>
      </c>
      <c r="AF39" s="617" t="s">
        <v>2303</v>
      </c>
      <c r="AG39" s="615" t="s">
        <v>2301</v>
      </c>
      <c r="AH39" s="616" t="s">
        <v>2417</v>
      </c>
      <c r="AI39" s="616"/>
      <c r="AJ39" s="613"/>
      <c r="AK39" s="612"/>
      <c r="AL39" s="613"/>
      <c r="AN39" s="599"/>
      <c r="AO39" s="617"/>
      <c r="AP39" s="618"/>
      <c r="AQ39" s="608"/>
      <c r="AR39" s="618"/>
      <c r="AS39" s="608"/>
      <c r="AT39" s="607"/>
      <c r="AU39" s="608"/>
      <c r="AW39" s="599"/>
      <c r="AX39" s="617"/>
      <c r="AY39" s="618"/>
      <c r="AZ39" s="608"/>
      <c r="BA39" s="618"/>
      <c r="BB39" s="608"/>
      <c r="BC39" s="607"/>
      <c r="BD39" s="608"/>
      <c r="BF39" s="621" t="s">
        <v>2299</v>
      </c>
      <c r="BG39" s="622" t="s">
        <v>2306</v>
      </c>
      <c r="BH39" s="605" t="s">
        <v>2307</v>
      </c>
      <c r="BI39" s="598" t="s">
        <v>2416</v>
      </c>
      <c r="BJ39" s="618"/>
      <c r="BK39" s="608"/>
      <c r="BL39" s="607"/>
      <c r="BM39" s="608"/>
      <c r="BO39" s="639"/>
      <c r="BP39" s="639"/>
      <c r="BQ39" s="639"/>
      <c r="BR39" s="639"/>
      <c r="BS39" s="677"/>
      <c r="BT39" s="608"/>
      <c r="BU39" s="607"/>
      <c r="BV39" s="608"/>
    </row>
    <row hidden="true" r="40">
      <c r="A40" s="564"/>
      <c r="B40" s="597">
        <f>IFERROR(VLOOKUP(C40,'字段信息'!A:C,3,),"")</f>
      </c>
      <c r="C40" s="598" t="s">
        <v>2418</v>
      </c>
      <c r="D40" s="599">
        <f>IFERROR(VLOOKUP(C40,'字段信息'!A:C,2,),"")</f>
      </c>
      <c r="E40" s="600"/>
      <c r="F40" s="600">
        <f t="shared" si="0"/>
      </c>
      <c r="G40" s="600" t="s">
        <v>2312</v>
      </c>
      <c r="H40" s="601"/>
      <c r="I40" s="601"/>
      <c r="J40" s="601"/>
      <c r="K40" s="601"/>
      <c r="L40" s="626" t="s">
        <v>2313</v>
      </c>
      <c r="M40" s="609" t="s">
        <v>2299</v>
      </c>
      <c r="N40" s="634" t="s">
        <v>2303</v>
      </c>
      <c r="O40" s="605" t="s">
        <v>2327</v>
      </c>
      <c r="P40" s="611" t="s">
        <v>2418</v>
      </c>
      <c r="Q40" s="658"/>
      <c r="R40" s="608"/>
      <c r="S40" s="607"/>
      <c r="T40" s="608"/>
      <c r="U40" s="589"/>
      <c r="V40" s="611"/>
      <c r="W40" s="619" t="s">
        <v>2303</v>
      </c>
      <c r="X40" s="605"/>
      <c r="Y40" s="611"/>
      <c r="Z40" s="612"/>
      <c r="AA40" s="613"/>
      <c r="AB40" s="612"/>
      <c r="AC40" s="613"/>
      <c r="AE40" s="609"/>
      <c r="AF40" s="617"/>
      <c r="AG40" s="616"/>
      <c r="AH40" s="616"/>
      <c r="AI40" s="616"/>
      <c r="AJ40" s="613"/>
      <c r="AK40" s="612"/>
      <c r="AL40" s="613"/>
      <c r="AN40" s="599"/>
      <c r="AO40" s="617"/>
      <c r="AP40" s="618"/>
      <c r="AQ40" s="608"/>
      <c r="AR40" s="618"/>
      <c r="AS40" s="608"/>
      <c r="AT40" s="607"/>
      <c r="AU40" s="608"/>
      <c r="AW40" s="599"/>
      <c r="AX40" s="617"/>
      <c r="AY40" s="618"/>
      <c r="AZ40" s="608"/>
      <c r="BA40" s="618"/>
      <c r="BB40" s="608"/>
      <c r="BC40" s="607"/>
      <c r="BD40" s="608"/>
      <c r="BF40" s="621" t="s">
        <v>2299</v>
      </c>
      <c r="BG40" s="622" t="s">
        <v>2306</v>
      </c>
      <c r="BH40" s="605" t="s">
        <v>2307</v>
      </c>
      <c r="BI40" s="598" t="s">
        <v>2418</v>
      </c>
      <c r="BJ40" s="607"/>
      <c r="BK40" s="608"/>
      <c r="BL40" s="607"/>
      <c r="BM40" s="608"/>
      <c r="BO40" s="639"/>
      <c r="BP40" s="639"/>
      <c r="BQ40" s="639"/>
      <c r="BR40" s="639"/>
      <c r="BS40" s="677"/>
      <c r="BT40" s="608"/>
      <c r="BU40" s="607"/>
      <c r="BV40" s="608"/>
    </row>
    <row customHeight="true" hidden="true" ht="16.071428571428573" r="41">
      <c r="A41" s="564"/>
      <c r="B41" s="597">
        <f>IFERROR(VLOOKUP(C41,'字段信息'!A:C,3,),"")</f>
      </c>
      <c r="C41" s="598" t="s">
        <v>2419</v>
      </c>
      <c r="D41" s="599">
        <f>IFERROR(VLOOKUP(C41,'字段信息'!A:C,2,),"")</f>
      </c>
      <c r="E41" s="600"/>
      <c r="F41" s="600">
        <f t="shared" si="0"/>
      </c>
      <c r="G41" s="600" t="s">
        <v>2312</v>
      </c>
      <c r="H41" s="601"/>
      <c r="I41" s="601"/>
      <c r="J41" s="601"/>
      <c r="K41" s="601"/>
      <c r="L41" s="626"/>
      <c r="M41" s="609" t="s">
        <v>2299</v>
      </c>
      <c r="N41" s="634" t="s">
        <v>2303</v>
      </c>
      <c r="O41" s="605" t="s">
        <v>2327</v>
      </c>
      <c r="P41" s="598" t="s">
        <v>2419</v>
      </c>
      <c r="Q41" s="678"/>
      <c r="R41" s="608"/>
      <c r="S41" s="607"/>
      <c r="T41" s="608"/>
      <c r="U41" s="589"/>
      <c r="V41" s="609"/>
      <c r="W41" s="619"/>
      <c r="X41" s="616"/>
      <c r="Y41" s="611"/>
      <c r="Z41" s="612"/>
      <c r="AA41" s="613"/>
      <c r="AB41" s="612"/>
      <c r="AC41" s="613"/>
      <c r="AE41" s="609"/>
      <c r="AF41" s="617"/>
      <c r="AG41" s="616"/>
      <c r="AH41" s="616"/>
      <c r="AI41" s="616"/>
      <c r="AJ41" s="613"/>
      <c r="AK41" s="612"/>
      <c r="AL41" s="613"/>
      <c r="AN41" s="599"/>
      <c r="AO41" s="617"/>
      <c r="AP41" s="618"/>
      <c r="AQ41" s="598"/>
      <c r="AR41" s="618"/>
      <c r="AS41" s="608"/>
      <c r="AT41" s="607"/>
      <c r="AU41" s="608"/>
      <c r="AW41" s="599"/>
      <c r="AX41" s="617"/>
      <c r="AY41" s="618"/>
      <c r="AZ41" s="598"/>
      <c r="BA41" s="618"/>
      <c r="BB41" s="608"/>
      <c r="BC41" s="607"/>
      <c r="BD41" s="608"/>
      <c r="BF41" s="621"/>
      <c r="BG41" s="622"/>
      <c r="BH41" s="605"/>
      <c r="BI41" s="598"/>
      <c r="BJ41" s="607"/>
      <c r="BK41" s="608"/>
      <c r="BL41" s="607"/>
      <c r="BM41" s="608"/>
      <c r="BO41" s="611"/>
      <c r="BP41" s="619"/>
      <c r="BQ41" s="605"/>
      <c r="BR41" s="598"/>
      <c r="BS41" s="677"/>
      <c r="BT41" s="608"/>
      <c r="BU41" s="607"/>
      <c r="BV41" s="608"/>
    </row>
    <row customHeight="true" hidden="true" ht="16.071428571428573" r="42">
      <c r="A42" s="564"/>
      <c r="B42" s="597">
        <f>IFERROR(VLOOKUP(C42,'字段信息'!A:C,3,),"")</f>
      </c>
      <c r="C42" s="598" t="s">
        <v>2420</v>
      </c>
      <c r="D42" s="599">
        <f>IFERROR(VLOOKUP(C42,'字段信息'!A:C,2,),"")</f>
      </c>
      <c r="E42" s="600"/>
      <c r="F42" s="600">
        <f t="shared" si="0"/>
      </c>
      <c r="G42" s="600" t="s">
        <v>2312</v>
      </c>
      <c r="H42" s="601"/>
      <c r="I42" s="601"/>
      <c r="J42" s="601"/>
      <c r="K42" s="601"/>
      <c r="L42" s="626"/>
      <c r="M42" s="609" t="s">
        <v>2299</v>
      </c>
      <c r="N42" s="634" t="s">
        <v>2303</v>
      </c>
      <c r="O42" s="605" t="s">
        <v>2327</v>
      </c>
      <c r="P42" s="598" t="s">
        <v>2420</v>
      </c>
      <c r="Q42" s="678"/>
      <c r="R42" s="608"/>
      <c r="S42" s="607"/>
      <c r="T42" s="608"/>
      <c r="U42" s="589"/>
      <c r="V42" s="609"/>
      <c r="W42" s="619"/>
      <c r="X42" s="616"/>
      <c r="Y42" s="611"/>
      <c r="Z42" s="612"/>
      <c r="AA42" s="613"/>
      <c r="AB42" s="612"/>
      <c r="AC42" s="613"/>
      <c r="AE42" s="609"/>
      <c r="AF42" s="617"/>
      <c r="AG42" s="616"/>
      <c r="AH42" s="616"/>
      <c r="AI42" s="616"/>
      <c r="AJ42" s="613"/>
      <c r="AK42" s="612"/>
      <c r="AL42" s="613"/>
      <c r="AN42" s="599"/>
      <c r="AO42" s="617"/>
      <c r="AP42" s="618"/>
      <c r="AQ42" s="598"/>
      <c r="AR42" s="618"/>
      <c r="AS42" s="608"/>
      <c r="AT42" s="607"/>
      <c r="AU42" s="608"/>
      <c r="AW42" s="599"/>
      <c r="AX42" s="617"/>
      <c r="AY42" s="618"/>
      <c r="AZ42" s="598"/>
      <c r="BA42" s="618"/>
      <c r="BB42" s="608"/>
      <c r="BC42" s="607"/>
      <c r="BD42" s="608"/>
      <c r="BF42" s="621"/>
      <c r="BG42" s="622"/>
      <c r="BH42" s="605"/>
      <c r="BI42" s="598"/>
      <c r="BJ42" s="607"/>
      <c r="BK42" s="608"/>
      <c r="BL42" s="607"/>
      <c r="BM42" s="608"/>
      <c r="BO42" s="611"/>
      <c r="BP42" s="619"/>
      <c r="BQ42" s="605"/>
      <c r="BR42" s="598"/>
      <c r="BS42" s="677"/>
      <c r="BT42" s="608"/>
      <c r="BU42" s="607"/>
      <c r="BV42" s="608"/>
    </row>
    <row customHeight="true" hidden="true" ht="16.071428571428573" r="43">
      <c r="A43" s="564"/>
      <c r="B43" s="597">
        <f>IFERROR(VLOOKUP(C43,'字段信息'!A:C,3,),"")</f>
      </c>
      <c r="C43" s="598" t="s">
        <v>2421</v>
      </c>
      <c r="D43" s="599">
        <f>IFERROR(VLOOKUP(C43,'字段信息'!A:C,2,),"")</f>
      </c>
      <c r="E43" s="600"/>
      <c r="F43" s="600">
        <f t="shared" si="0"/>
      </c>
      <c r="G43" s="600" t="s">
        <v>2312</v>
      </c>
      <c r="H43" s="601"/>
      <c r="I43" s="601"/>
      <c r="J43" s="601"/>
      <c r="K43" s="601"/>
      <c r="L43" s="626"/>
      <c r="M43" s="609" t="s">
        <v>2299</v>
      </c>
      <c r="N43" s="634" t="s">
        <v>2303</v>
      </c>
      <c r="O43" s="605" t="s">
        <v>2327</v>
      </c>
      <c r="P43" s="598" t="s">
        <v>2421</v>
      </c>
      <c r="Q43" s="678"/>
      <c r="R43" s="608"/>
      <c r="S43" s="607"/>
      <c r="T43" s="608"/>
      <c r="U43" s="589"/>
      <c r="V43" s="609"/>
      <c r="W43" s="619"/>
      <c r="X43" s="616"/>
      <c r="Y43" s="611"/>
      <c r="Z43" s="612"/>
      <c r="AA43" s="613"/>
      <c r="AB43" s="612"/>
      <c r="AC43" s="613"/>
      <c r="AE43" s="609"/>
      <c r="AF43" s="617"/>
      <c r="AG43" s="616"/>
      <c r="AH43" s="616"/>
      <c r="AI43" s="616"/>
      <c r="AJ43" s="613"/>
      <c r="AK43" s="612"/>
      <c r="AL43" s="613"/>
      <c r="AN43" s="599"/>
      <c r="AO43" s="617"/>
      <c r="AP43" s="618"/>
      <c r="AQ43" s="598"/>
      <c r="AR43" s="618"/>
      <c r="AS43" s="608"/>
      <c r="AT43" s="607"/>
      <c r="AU43" s="608"/>
      <c r="AW43" s="599"/>
      <c r="AX43" s="617"/>
      <c r="AY43" s="618"/>
      <c r="AZ43" s="598"/>
      <c r="BA43" s="618"/>
      <c r="BB43" s="608"/>
      <c r="BC43" s="607"/>
      <c r="BD43" s="608"/>
      <c r="BF43" s="621"/>
      <c r="BG43" s="622"/>
      <c r="BH43" s="605"/>
      <c r="BI43" s="598"/>
      <c r="BJ43" s="607"/>
      <c r="BK43" s="608"/>
      <c r="BL43" s="607"/>
      <c r="BM43" s="608"/>
      <c r="BO43" s="611"/>
      <c r="BP43" s="619"/>
      <c r="BQ43" s="605"/>
      <c r="BR43" s="598"/>
      <c r="BS43" s="677"/>
      <c r="BT43" s="608"/>
      <c r="BU43" s="607"/>
      <c r="BV43" s="608"/>
    </row>
    <row customHeight="true" hidden="true" ht="16.071428571428573" r="44">
      <c r="A44" s="564"/>
      <c r="B44" s="597">
        <f>IFERROR(VLOOKUP(C44,'字段信息'!A:C,3,),"")</f>
      </c>
      <c r="C44" s="598" t="s">
        <v>2422</v>
      </c>
      <c r="D44" s="599">
        <f>IFERROR(VLOOKUP(C44,'字段信息'!A:C,2,),"")</f>
      </c>
      <c r="E44" s="600"/>
      <c r="F44" s="600">
        <f t="shared" si="0"/>
      </c>
      <c r="G44" s="600" t="s">
        <v>2312</v>
      </c>
      <c r="H44" s="601"/>
      <c r="I44" s="601"/>
      <c r="J44" s="601"/>
      <c r="K44" s="601"/>
      <c r="L44" s="626"/>
      <c r="M44" s="609" t="s">
        <v>2299</v>
      </c>
      <c r="N44" s="634" t="s">
        <v>2303</v>
      </c>
      <c r="O44" s="605" t="s">
        <v>2327</v>
      </c>
      <c r="P44" s="598" t="s">
        <v>2422</v>
      </c>
      <c r="Q44" s="678"/>
      <c r="R44" s="608"/>
      <c r="S44" s="607"/>
      <c r="T44" s="608"/>
      <c r="U44" s="589"/>
      <c r="V44" s="609"/>
      <c r="W44" s="619"/>
      <c r="X44" s="616"/>
      <c r="Y44" s="611"/>
      <c r="Z44" s="612"/>
      <c r="AA44" s="613"/>
      <c r="AB44" s="612"/>
      <c r="AC44" s="613"/>
      <c r="AE44" s="609"/>
      <c r="AF44" s="617"/>
      <c r="AG44" s="616"/>
      <c r="AH44" s="616"/>
      <c r="AI44" s="616"/>
      <c r="AJ44" s="613"/>
      <c r="AK44" s="612"/>
      <c r="AL44" s="613"/>
      <c r="AN44" s="599"/>
      <c r="AO44" s="617"/>
      <c r="AP44" s="618"/>
      <c r="AQ44" s="598"/>
      <c r="AR44" s="618"/>
      <c r="AS44" s="608"/>
      <c r="AT44" s="607"/>
      <c r="AU44" s="608"/>
      <c r="AW44" s="599"/>
      <c r="AX44" s="617"/>
      <c r="AY44" s="618"/>
      <c r="AZ44" s="598"/>
      <c r="BA44" s="618"/>
      <c r="BB44" s="608"/>
      <c r="BC44" s="607"/>
      <c r="BD44" s="608"/>
      <c r="BF44" s="621"/>
      <c r="BG44" s="622"/>
      <c r="BH44" s="605"/>
      <c r="BI44" s="598"/>
      <c r="BJ44" s="607"/>
      <c r="BK44" s="608"/>
      <c r="BL44" s="607"/>
      <c r="BM44" s="608"/>
      <c r="BO44" s="611"/>
      <c r="BP44" s="619"/>
      <c r="BQ44" s="605"/>
      <c r="BR44" s="598"/>
      <c r="BS44" s="677"/>
      <c r="BT44" s="608"/>
      <c r="BU44" s="607"/>
      <c r="BV44" s="608"/>
    </row>
    <row hidden="true" r="45">
      <c r="A45" s="564"/>
      <c r="B45" s="597">
        <f>IFERROR(VLOOKUP(C45,'字段信息'!A:C,3,),"")</f>
      </c>
      <c r="C45" s="598" t="s">
        <v>2423</v>
      </c>
      <c r="D45" s="599">
        <f>IFERROR(VLOOKUP(C45,'字段信息'!A:C,2,),"")</f>
      </c>
      <c r="E45" s="600"/>
      <c r="F45" s="600">
        <f t="shared" si="0"/>
      </c>
      <c r="G45" s="600" t="s">
        <v>2312</v>
      </c>
      <c r="H45" s="601"/>
      <c r="I45" s="601"/>
      <c r="J45" s="601"/>
      <c r="K45" s="601"/>
      <c r="L45" s="626" t="s">
        <v>2313</v>
      </c>
      <c r="M45" s="609" t="s">
        <v>2299</v>
      </c>
      <c r="N45" s="634" t="s">
        <v>2303</v>
      </c>
      <c r="O45" s="605" t="s">
        <v>2327</v>
      </c>
      <c r="P45" s="679" t="s">
        <v>2423</v>
      </c>
      <c r="Q45" s="678"/>
      <c r="R45" s="608"/>
      <c r="S45" s="607"/>
      <c r="T45" s="608"/>
      <c r="U45" s="589"/>
      <c r="V45" s="609" t="s">
        <v>2353</v>
      </c>
      <c r="W45" s="619"/>
      <c r="X45" s="616"/>
      <c r="Y45" s="611"/>
      <c r="Z45" s="612"/>
      <c r="AA45" s="613"/>
      <c r="AB45" s="612"/>
      <c r="AC45" s="613"/>
      <c r="AE45" s="609"/>
      <c r="AF45" s="617"/>
      <c r="AG45" s="616"/>
      <c r="AH45" s="616"/>
      <c r="AI45" s="616"/>
      <c r="AJ45" s="613"/>
      <c r="AK45" s="612"/>
      <c r="AL45" s="613"/>
      <c r="AN45" s="599"/>
      <c r="AO45" s="617"/>
      <c r="AP45" s="618"/>
      <c r="AQ45" s="598"/>
      <c r="AR45" s="618"/>
      <c r="AS45" s="608"/>
      <c r="AT45" s="607"/>
      <c r="AU45" s="608"/>
      <c r="AW45" s="599"/>
      <c r="AX45" s="617"/>
      <c r="AY45" s="618"/>
      <c r="AZ45" s="598"/>
      <c r="BA45" s="618"/>
      <c r="BB45" s="608"/>
      <c r="BC45" s="607"/>
      <c r="BD45" s="608"/>
      <c r="BF45" s="621"/>
      <c r="BG45" s="622"/>
      <c r="BH45" s="605"/>
      <c r="BI45" s="598"/>
      <c r="BJ45" s="607"/>
      <c r="BK45" s="608"/>
      <c r="BL45" s="607"/>
      <c r="BM45" s="608"/>
      <c r="BO45" s="611"/>
      <c r="BP45" s="619"/>
      <c r="BQ45" s="605"/>
      <c r="BR45" s="598"/>
      <c r="BS45" s="677"/>
      <c r="BT45" s="608"/>
      <c r="BU45" s="607"/>
      <c r="BV45" s="608"/>
    </row>
    <row hidden="true" r="46">
      <c r="A46" s="564"/>
      <c r="B46" s="597">
        <f>IFERROR(VLOOKUP(C46,'字段信息'!A:C,3,),"")</f>
      </c>
      <c r="C46" s="598" t="s">
        <v>2424</v>
      </c>
      <c r="D46" s="599">
        <f>IFERROR(VLOOKUP(C46,'字段信息'!A:C,2,),"")</f>
      </c>
      <c r="E46" s="600"/>
      <c r="F46" s="600">
        <f t="shared" si="0"/>
      </c>
      <c r="G46" s="600" t="s">
        <v>2312</v>
      </c>
      <c r="H46" s="601"/>
      <c r="I46" s="601"/>
      <c r="J46" s="601"/>
      <c r="K46" s="601"/>
      <c r="L46" s="626" t="s">
        <v>2313</v>
      </c>
      <c r="M46" s="609" t="s">
        <v>2299</v>
      </c>
      <c r="N46" s="634" t="s">
        <v>2303</v>
      </c>
      <c r="O46" s="605" t="s">
        <v>2327</v>
      </c>
      <c r="P46" s="609" t="s">
        <v>2424</v>
      </c>
      <c r="Q46" s="680"/>
      <c r="R46" s="645"/>
      <c r="S46" s="607"/>
      <c r="T46" s="608"/>
      <c r="U46" s="589"/>
      <c r="V46" s="609" t="s">
        <v>2425</v>
      </c>
      <c r="W46" s="619" t="s">
        <v>2303</v>
      </c>
      <c r="X46" s="616" t="s">
        <v>2329</v>
      </c>
      <c r="Y46" s="609" t="s">
        <v>2426</v>
      </c>
      <c r="Z46" s="662"/>
      <c r="AA46" s="613"/>
      <c r="AB46" s="612"/>
      <c r="AC46" s="613"/>
      <c r="AE46" s="609"/>
      <c r="AF46" s="619"/>
      <c r="AG46" s="616"/>
      <c r="AH46" s="621"/>
      <c r="AI46" s="616"/>
      <c r="AJ46" s="613"/>
      <c r="AK46" s="612"/>
      <c r="AL46" s="613"/>
      <c r="AN46" s="603" t="s">
        <v>2425</v>
      </c>
      <c r="AO46" s="619" t="s">
        <v>2303</v>
      </c>
      <c r="AP46" s="681" t="s">
        <v>2426</v>
      </c>
      <c r="AQ46" s="682"/>
      <c r="AR46" s="618"/>
      <c r="AS46" s="608"/>
      <c r="AT46" s="607"/>
      <c r="AU46" s="608"/>
      <c r="AW46" s="609" t="s">
        <v>2425</v>
      </c>
      <c r="AX46" s="619" t="s">
        <v>2303</v>
      </c>
      <c r="AY46" s="618" t="s">
        <v>2304</v>
      </c>
      <c r="AZ46" s="681" t="s">
        <v>2426</v>
      </c>
      <c r="BA46" s="618"/>
      <c r="BB46" s="608"/>
      <c r="BC46" s="607"/>
      <c r="BD46" s="608"/>
      <c r="BF46" s="621" t="s">
        <v>2299</v>
      </c>
      <c r="BG46" s="622" t="s">
        <v>2306</v>
      </c>
      <c r="BH46" s="605" t="s">
        <v>2307</v>
      </c>
      <c r="BI46" s="598" t="s">
        <v>2424</v>
      </c>
      <c r="BJ46" s="607"/>
      <c r="BK46" s="608"/>
      <c r="BL46" s="607"/>
      <c r="BM46" s="608"/>
      <c r="BO46" s="637" t="s">
        <v>2427</v>
      </c>
      <c r="BP46" s="641" t="s">
        <v>2303</v>
      </c>
      <c r="BQ46" s="653" t="s">
        <v>2428</v>
      </c>
      <c r="BR46" s="683" t="s">
        <v>2376</v>
      </c>
      <c r="BS46" s="618"/>
      <c r="BT46" s="608"/>
      <c r="BU46" s="607"/>
      <c r="BV46" s="608"/>
    </row>
    <row hidden="true" r="47">
      <c r="A47" s="564"/>
      <c r="B47" s="597">
        <f>IFERROR(VLOOKUP(C47,'字段信息'!A:C,3,),"")</f>
      </c>
      <c r="C47" s="598" t="s">
        <v>2429</v>
      </c>
      <c r="D47" s="599">
        <f>IFERROR(VLOOKUP(C47,'字段信息'!A:C,2,),"")</f>
      </c>
      <c r="E47" s="600"/>
      <c r="F47" s="600">
        <f t="shared" si="0"/>
      </c>
      <c r="G47" s="600" t="s">
        <v>2312</v>
      </c>
      <c r="H47" s="601"/>
      <c r="I47" s="601"/>
      <c r="J47" s="601"/>
      <c r="K47" s="601"/>
      <c r="L47" s="626" t="s">
        <v>2313</v>
      </c>
      <c r="M47" s="614" t="s">
        <v>2299</v>
      </c>
      <c r="N47" s="619" t="s">
        <v>2303</v>
      </c>
      <c r="O47" s="684" t="s">
        <v>2327</v>
      </c>
      <c r="P47" s="685" t="s">
        <v>2429</v>
      </c>
      <c r="Q47" s="686"/>
      <c r="R47" s="608"/>
      <c r="S47" s="607"/>
      <c r="T47" s="608"/>
      <c r="U47" s="589"/>
      <c r="V47" s="614" t="s">
        <v>2425</v>
      </c>
      <c r="W47" s="619" t="s">
        <v>2303</v>
      </c>
      <c r="X47" s="616" t="s">
        <v>2329</v>
      </c>
      <c r="Y47" s="609" t="s">
        <v>2426</v>
      </c>
      <c r="Z47" s="612"/>
      <c r="AA47" s="613"/>
      <c r="AB47" s="612"/>
      <c r="AC47" s="613"/>
      <c r="AE47" s="609"/>
      <c r="AF47" s="619"/>
      <c r="AG47" s="616"/>
      <c r="AH47" s="621"/>
      <c r="AI47" s="616"/>
      <c r="AJ47" s="613"/>
      <c r="AK47" s="612"/>
      <c r="AL47" s="613"/>
      <c r="AN47" s="603" t="s">
        <v>2425</v>
      </c>
      <c r="AO47" s="619" t="s">
        <v>2303</v>
      </c>
      <c r="AP47" s="681" t="s">
        <v>2426</v>
      </c>
      <c r="AQ47" s="687"/>
      <c r="AR47" s="618"/>
      <c r="AS47" s="608"/>
      <c r="AT47" s="607"/>
      <c r="AU47" s="608"/>
      <c r="AW47" s="609" t="s">
        <v>2425</v>
      </c>
      <c r="AX47" s="619" t="s">
        <v>2303</v>
      </c>
      <c r="AY47" s="618" t="s">
        <v>2304</v>
      </c>
      <c r="AZ47" s="681" t="s">
        <v>2426</v>
      </c>
      <c r="BA47" s="618"/>
      <c r="BB47" s="608"/>
      <c r="BC47" s="607"/>
      <c r="BD47" s="608"/>
      <c r="BF47" s="621" t="s">
        <v>2299</v>
      </c>
      <c r="BG47" s="622" t="s">
        <v>2306</v>
      </c>
      <c r="BH47" s="605" t="s">
        <v>2307</v>
      </c>
      <c r="BI47" s="598" t="s">
        <v>2429</v>
      </c>
      <c r="BJ47" s="607"/>
      <c r="BK47" s="608"/>
      <c r="BL47" s="607"/>
      <c r="BM47" s="608"/>
      <c r="BO47" s="609" t="s">
        <v>2427</v>
      </c>
      <c r="BP47" s="666" t="s">
        <v>2303</v>
      </c>
      <c r="BQ47" s="616" t="s">
        <v>2428</v>
      </c>
      <c r="BR47" s="669" t="s">
        <v>2376</v>
      </c>
      <c r="BS47" s="618"/>
      <c r="BT47" s="608"/>
      <c r="BU47" s="607"/>
      <c r="BV47" s="608"/>
    </row>
    <row hidden="true" r="48">
      <c r="A48" s="564"/>
      <c r="B48" s="597">
        <f>IFERROR(VLOOKUP(C48,'字段信息'!A:C,3,),"")</f>
      </c>
      <c r="C48" s="598" t="s">
        <v>2430</v>
      </c>
      <c r="D48" s="599">
        <f>IFERROR(VLOOKUP(C48,'字段信息'!A:C,2,),"")</f>
      </c>
      <c r="E48" s="600"/>
      <c r="F48" s="600">
        <f t="shared" si="0"/>
      </c>
      <c r="G48" s="600" t="s">
        <v>2312</v>
      </c>
      <c r="H48" s="601"/>
      <c r="I48" s="601"/>
      <c r="J48" s="601"/>
      <c r="K48" s="601"/>
      <c r="L48" s="626" t="s">
        <v>2313</v>
      </c>
      <c r="M48" s="614" t="s">
        <v>2431</v>
      </c>
      <c r="N48" s="619" t="s">
        <v>2303</v>
      </c>
      <c r="O48" s="684" t="s">
        <v>2327</v>
      </c>
      <c r="P48" s="685" t="s">
        <v>2432</v>
      </c>
      <c r="Q48" s="686"/>
      <c r="R48" s="608"/>
      <c r="S48" s="607"/>
      <c r="T48" s="608"/>
      <c r="U48" s="589"/>
      <c r="V48" s="609" t="s">
        <v>2433</v>
      </c>
      <c r="W48" s="688" t="s">
        <v>2303</v>
      </c>
      <c r="X48" s="616" t="s">
        <v>2329</v>
      </c>
      <c r="Y48" s="609" t="s">
        <v>2434</v>
      </c>
      <c r="Z48" s="612"/>
      <c r="AA48" s="613"/>
      <c r="AB48" s="612"/>
      <c r="AC48" s="613"/>
      <c r="AD48" s="589"/>
      <c r="AE48" s="609" t="s">
        <v>2435</v>
      </c>
      <c r="AF48" s="619" t="s">
        <v>2303</v>
      </c>
      <c r="AG48" s="615" t="s">
        <v>2301</v>
      </c>
      <c r="AH48" s="621" t="s">
        <v>2436</v>
      </c>
      <c r="AI48" s="616"/>
      <c r="AJ48" s="613"/>
      <c r="AK48" s="612"/>
      <c r="AL48" s="613"/>
      <c r="AM48" s="589"/>
      <c r="AN48" s="650" t="s">
        <v>2299</v>
      </c>
      <c r="AO48" s="619" t="s">
        <v>2303</v>
      </c>
      <c r="AP48" s="605" t="s">
        <v>2332</v>
      </c>
      <c r="AQ48" s="687" t="s">
        <v>2437</v>
      </c>
      <c r="AR48" s="618"/>
      <c r="AS48" s="608"/>
      <c r="AT48" s="607"/>
      <c r="AU48" s="608"/>
      <c r="AV48" s="589"/>
      <c r="AW48" s="609" t="s">
        <v>2438</v>
      </c>
      <c r="AX48" s="619" t="s">
        <v>2303</v>
      </c>
      <c r="AY48" s="618" t="s">
        <v>2304</v>
      </c>
      <c r="AZ48" s="681" t="s">
        <v>2439</v>
      </c>
      <c r="BA48" s="618"/>
      <c r="BB48" s="608"/>
      <c r="BC48" s="607"/>
      <c r="BD48" s="608"/>
      <c r="BE48" s="589"/>
      <c r="BF48" s="662" t="s">
        <v>2440</v>
      </c>
      <c r="BG48" s="622"/>
      <c r="BH48" s="605"/>
      <c r="BI48" s="598" t="s">
        <v>2430</v>
      </c>
      <c r="BJ48" s="607"/>
      <c r="BK48" s="608"/>
      <c r="BL48" s="607"/>
      <c r="BM48" s="608"/>
      <c r="BN48" s="589"/>
      <c r="BO48" s="609" t="s">
        <v>2299</v>
      </c>
      <c r="BP48" s="666" t="s">
        <v>2303</v>
      </c>
      <c r="BQ48" s="616" t="s">
        <v>2441</v>
      </c>
      <c r="BR48" s="669" t="s">
        <v>2442</v>
      </c>
      <c r="BS48" s="618"/>
      <c r="BT48" s="608"/>
      <c r="BU48" s="607"/>
      <c r="BV48" s="608"/>
      <c r="BW48" s="589"/>
    </row>
    <row hidden="true" r="49">
      <c r="A49" s="564"/>
      <c r="B49" s="597">
        <f>IFERROR(VLOOKUP(C49,'字段信息'!A:C,3,),"")</f>
      </c>
      <c r="C49" s="598" t="s">
        <v>2443</v>
      </c>
      <c r="D49" s="599">
        <f>IFERROR(VLOOKUP(C49,'字段信息'!A:C,2,),"")</f>
      </c>
      <c r="E49" s="600"/>
      <c r="F49" s="600">
        <f t="shared" si="0"/>
      </c>
      <c r="G49" s="600" t="s">
        <v>2312</v>
      </c>
      <c r="H49" s="601"/>
      <c r="I49" s="601"/>
      <c r="J49" s="601"/>
      <c r="K49" s="601"/>
      <c r="L49" s="626"/>
      <c r="M49" s="614" t="s">
        <v>2444</v>
      </c>
      <c r="N49" s="619" t="s">
        <v>2303</v>
      </c>
      <c r="O49" s="684" t="s">
        <v>2327</v>
      </c>
      <c r="P49" s="685" t="s">
        <v>2432</v>
      </c>
      <c r="Q49" s="686"/>
      <c r="R49" s="608"/>
      <c r="S49" s="607"/>
      <c r="T49" s="608"/>
      <c r="U49" s="589"/>
      <c r="V49" s="609" t="s">
        <v>2445</v>
      </c>
      <c r="W49" s="688"/>
      <c r="X49" s="616"/>
      <c r="Y49" s="609"/>
      <c r="Z49" s="612"/>
      <c r="AA49" s="613"/>
      <c r="AB49" s="612"/>
      <c r="AC49" s="613"/>
      <c r="AD49" s="589"/>
      <c r="AE49" s="609" t="s">
        <v>2435</v>
      </c>
      <c r="AF49" s="619" t="s">
        <v>2303</v>
      </c>
      <c r="AG49" s="615" t="s">
        <v>2301</v>
      </c>
      <c r="AH49" s="621" t="s">
        <v>2436</v>
      </c>
      <c r="AI49" s="616"/>
      <c r="AJ49" s="613"/>
      <c r="AK49" s="612"/>
      <c r="AL49" s="613"/>
      <c r="AM49" s="589"/>
      <c r="AN49" s="631" t="s">
        <v>2299</v>
      </c>
      <c r="AO49" s="628" t="s">
        <v>2303</v>
      </c>
      <c r="AP49" s="660" t="s">
        <v>2332</v>
      </c>
      <c r="AQ49" s="635" t="s">
        <v>2437</v>
      </c>
      <c r="AR49" s="618"/>
      <c r="AS49" s="608"/>
      <c r="AT49" s="607"/>
      <c r="AU49" s="608"/>
      <c r="AV49" s="589"/>
      <c r="AW49" s="609" t="s">
        <v>2446</v>
      </c>
      <c r="AX49" s="619" t="s">
        <v>2303</v>
      </c>
      <c r="AY49" s="618" t="s">
        <v>2304</v>
      </c>
      <c r="AZ49" s="681" t="s">
        <v>2439</v>
      </c>
      <c r="BA49" s="618"/>
      <c r="BB49" s="608"/>
      <c r="BC49" s="607"/>
      <c r="BD49" s="608"/>
      <c r="BE49" s="589"/>
      <c r="BF49" s="662" t="s">
        <v>2447</v>
      </c>
      <c r="BG49" s="622"/>
      <c r="BH49" s="605"/>
      <c r="BI49" s="598"/>
      <c r="BJ49" s="607"/>
      <c r="BK49" s="608"/>
      <c r="BL49" s="607"/>
      <c r="BM49" s="608"/>
      <c r="BN49" s="589"/>
      <c r="BO49" s="609" t="s">
        <v>2299</v>
      </c>
      <c r="BP49" s="666" t="s">
        <v>2303</v>
      </c>
      <c r="BQ49" s="616" t="s">
        <v>2441</v>
      </c>
      <c r="BR49" s="669" t="s">
        <v>2442</v>
      </c>
      <c r="BS49" s="618"/>
      <c r="BT49" s="608"/>
      <c r="BU49" s="607"/>
      <c r="BV49" s="608"/>
      <c r="BW49" s="589"/>
    </row>
    <row customHeight="true" hidden="true" ht="23.80952380952381" r="50">
      <c r="A50" s="564"/>
      <c r="B50" s="597">
        <f>IFERROR(VLOOKUP(C50,'字段信息'!A:C,3,),"")</f>
      </c>
      <c r="C50" s="598" t="s">
        <v>2448</v>
      </c>
      <c r="D50" s="599">
        <f>IFERROR(VLOOKUP(C50,'字段信息'!A:C,2,),"")</f>
      </c>
      <c r="E50" s="600"/>
      <c r="F50" s="600">
        <f t="shared" si="0"/>
      </c>
      <c r="G50" s="600" t="s">
        <v>2312</v>
      </c>
      <c r="H50" s="601"/>
      <c r="I50" s="601"/>
      <c r="J50" s="601"/>
      <c r="K50" s="601"/>
      <c r="L50" s="626"/>
      <c r="M50" s="689" t="s">
        <v>2449</v>
      </c>
      <c r="N50" s="690"/>
      <c r="O50" s="627"/>
      <c r="P50" s="631"/>
      <c r="Q50" s="607"/>
      <c r="R50" s="608"/>
      <c r="S50" s="607"/>
      <c r="T50" s="608"/>
      <c r="U50" s="589"/>
      <c r="V50" s="637"/>
      <c r="W50" s="619"/>
      <c r="X50" s="616"/>
      <c r="Y50" s="609"/>
      <c r="Z50" s="612"/>
      <c r="AA50" s="613"/>
      <c r="AB50" s="612"/>
      <c r="AC50" s="613"/>
      <c r="AD50" s="589"/>
      <c r="AE50" s="609"/>
      <c r="AF50" s="619"/>
      <c r="AG50" s="616"/>
      <c r="AH50" s="616"/>
      <c r="AI50" s="597"/>
      <c r="AJ50" s="613"/>
      <c r="AK50" s="612"/>
      <c r="AL50" s="613"/>
      <c r="AN50" s="599"/>
      <c r="AO50" s="617"/>
      <c r="AP50" s="618"/>
      <c r="AQ50" s="618"/>
      <c r="AR50" s="600"/>
      <c r="AS50" s="608"/>
      <c r="AT50" s="607"/>
      <c r="AU50" s="608"/>
      <c r="AW50" s="599"/>
      <c r="AX50" s="617"/>
      <c r="AY50" s="618"/>
      <c r="AZ50" s="618"/>
      <c r="BA50" s="600"/>
      <c r="BB50" s="608"/>
      <c r="BC50" s="607"/>
      <c r="BD50" s="608"/>
      <c r="BF50" s="631"/>
      <c r="BG50" s="622"/>
      <c r="BH50" s="605"/>
      <c r="BI50" s="598"/>
      <c r="BJ50" s="691"/>
      <c r="BK50" s="608"/>
      <c r="BL50" s="607"/>
      <c r="BM50" s="608"/>
      <c r="BO50" s="599"/>
      <c r="BP50" s="617"/>
      <c r="BQ50" s="618"/>
      <c r="BR50" s="598"/>
      <c r="BS50" s="600"/>
      <c r="BT50" s="608"/>
      <c r="BU50" s="607"/>
      <c r="BV50" s="608"/>
    </row>
    <row customHeight="true" hidden="true" ht="23.80952380952381" r="51">
      <c r="A51" s="564"/>
      <c r="B51" s="597">
        <f>IFERROR(VLOOKUP(C51,'字段信息'!A:C,3,),"")</f>
      </c>
      <c r="C51" s="598" t="s">
        <v>2450</v>
      </c>
      <c r="D51" s="599">
        <f>IFERROR(VLOOKUP(C51,'字段信息'!A:C,2,),"")</f>
      </c>
      <c r="E51" s="600"/>
      <c r="F51" s="600">
        <f t="shared" si="0"/>
      </c>
      <c r="G51" s="600" t="s">
        <v>2312</v>
      </c>
      <c r="H51" s="601"/>
      <c r="I51" s="601"/>
      <c r="J51" s="601"/>
      <c r="K51" s="601"/>
      <c r="L51" s="626"/>
      <c r="M51" s="689" t="s">
        <v>2449</v>
      </c>
      <c r="N51" s="690"/>
      <c r="O51" s="627"/>
      <c r="P51" s="631"/>
      <c r="Q51" s="607"/>
      <c r="R51" s="608"/>
      <c r="S51" s="607"/>
      <c r="T51" s="608"/>
      <c r="U51" s="589"/>
      <c r="V51" s="609"/>
      <c r="W51" s="619"/>
      <c r="X51" s="616"/>
      <c r="Y51" s="609"/>
      <c r="Z51" s="612"/>
      <c r="AA51" s="613"/>
      <c r="AB51" s="612"/>
      <c r="AC51" s="613"/>
      <c r="AD51" s="589"/>
      <c r="AE51" s="609"/>
      <c r="AF51" s="619"/>
      <c r="AG51" s="616"/>
      <c r="AH51" s="616"/>
      <c r="AI51" s="612"/>
      <c r="AJ51" s="613"/>
      <c r="AK51" s="612"/>
      <c r="AL51" s="613"/>
      <c r="AN51" s="599"/>
      <c r="AO51" s="617"/>
      <c r="AP51" s="618"/>
      <c r="AQ51" s="618"/>
      <c r="AR51" s="607"/>
      <c r="AS51" s="608"/>
      <c r="AT51" s="607"/>
      <c r="AU51" s="608"/>
      <c r="AW51" s="599"/>
      <c r="AX51" s="617"/>
      <c r="AY51" s="618"/>
      <c r="AZ51" s="618"/>
      <c r="BA51" s="607"/>
      <c r="BB51" s="608"/>
      <c r="BC51" s="607"/>
      <c r="BD51" s="608"/>
      <c r="BF51" s="631"/>
      <c r="BG51" s="622"/>
      <c r="BH51" s="605"/>
      <c r="BI51" s="598"/>
      <c r="BJ51" s="607"/>
      <c r="BK51" s="608"/>
      <c r="BL51" s="607"/>
      <c r="BM51" s="608"/>
      <c r="BO51" s="599"/>
      <c r="BP51" s="617"/>
      <c r="BQ51" s="618"/>
      <c r="BR51" s="618"/>
      <c r="BS51" s="607"/>
      <c r="BT51" s="608"/>
      <c r="BU51" s="607"/>
      <c r="BV51" s="608"/>
    </row>
    <row customHeight="true" hidden="true" ht="23.80952380952381" r="52">
      <c r="A52" s="564"/>
      <c r="B52" s="597">
        <f>IFERROR(VLOOKUP(C52,'字段信息'!A:C,3,),"")</f>
      </c>
      <c r="C52" s="598" t="s">
        <v>2451</v>
      </c>
      <c r="D52" s="599">
        <f>IFERROR(VLOOKUP(C52,'字段信息'!A:C,2,),"")</f>
      </c>
      <c r="E52" s="600"/>
      <c r="F52" s="600">
        <f t="shared" si="0"/>
      </c>
      <c r="G52" s="600" t="s">
        <v>2312</v>
      </c>
      <c r="H52" s="601"/>
      <c r="I52" s="601"/>
      <c r="J52" s="601"/>
      <c r="K52" s="601"/>
      <c r="L52" s="626"/>
      <c r="M52" s="689" t="s">
        <v>2449</v>
      </c>
      <c r="N52" s="690"/>
      <c r="O52" s="627"/>
      <c r="P52" s="631"/>
      <c r="Q52" s="607"/>
      <c r="R52" s="608"/>
      <c r="S52" s="607"/>
      <c r="T52" s="608"/>
      <c r="U52" s="589"/>
      <c r="V52" s="609"/>
      <c r="W52" s="619"/>
      <c r="X52" s="616"/>
      <c r="Y52" s="609"/>
      <c r="Z52" s="612"/>
      <c r="AA52" s="613"/>
      <c r="AB52" s="612"/>
      <c r="AC52" s="613"/>
      <c r="AD52" s="589"/>
      <c r="AE52" s="609"/>
      <c r="AF52" s="619"/>
      <c r="AG52" s="616"/>
      <c r="AH52" s="616"/>
      <c r="AI52" s="612"/>
      <c r="AJ52" s="613"/>
      <c r="AK52" s="612"/>
      <c r="AL52" s="613"/>
      <c r="AN52" s="599"/>
      <c r="AO52" s="617"/>
      <c r="AP52" s="618"/>
      <c r="AQ52" s="618"/>
      <c r="AR52" s="607"/>
      <c r="AS52" s="608"/>
      <c r="AT52" s="607"/>
      <c r="AU52" s="608"/>
      <c r="AW52" s="599"/>
      <c r="AX52" s="617"/>
      <c r="AY52" s="618"/>
      <c r="AZ52" s="618"/>
      <c r="BA52" s="607"/>
      <c r="BB52" s="608"/>
      <c r="BC52" s="607"/>
      <c r="BD52" s="608"/>
      <c r="BF52" s="631"/>
      <c r="BG52" s="622"/>
      <c r="BH52" s="605"/>
      <c r="BI52" s="598"/>
      <c r="BJ52" s="607"/>
      <c r="BK52" s="608"/>
      <c r="BL52" s="607"/>
      <c r="BM52" s="608"/>
      <c r="BO52" s="599"/>
      <c r="BP52" s="617"/>
      <c r="BQ52" s="618"/>
      <c r="BR52" s="618"/>
      <c r="BS52" s="607"/>
      <c r="BT52" s="608"/>
      <c r="BU52" s="607"/>
      <c r="BV52" s="608"/>
    </row>
    <row customHeight="true" hidden="true" ht="23.80952380952381" r="53">
      <c r="A53" s="564"/>
      <c r="B53" s="597">
        <f>IFERROR(VLOOKUP(C53,'字段信息'!A:C,3,),"")</f>
      </c>
      <c r="C53" s="598" t="s">
        <v>2452</v>
      </c>
      <c r="D53" s="599">
        <f>IFERROR(VLOOKUP(C53,'字段信息'!A:C,2,),"")</f>
      </c>
      <c r="E53" s="600"/>
      <c r="F53" s="600">
        <f t="shared" si="0"/>
      </c>
      <c r="G53" s="600" t="s">
        <v>2312</v>
      </c>
      <c r="H53" s="601"/>
      <c r="I53" s="601"/>
      <c r="J53" s="601"/>
      <c r="K53" s="601"/>
      <c r="L53" s="626"/>
      <c r="M53" s="689" t="s">
        <v>2449</v>
      </c>
      <c r="N53" s="690"/>
      <c r="O53" s="627"/>
      <c r="P53" s="631"/>
      <c r="Q53" s="607"/>
      <c r="R53" s="608"/>
      <c r="S53" s="607"/>
      <c r="T53" s="608"/>
      <c r="U53" s="589"/>
      <c r="V53" s="609"/>
      <c r="W53" s="619"/>
      <c r="X53" s="616"/>
      <c r="Y53" s="609"/>
      <c r="Z53" s="612"/>
      <c r="AA53" s="613"/>
      <c r="AB53" s="612"/>
      <c r="AC53" s="613"/>
      <c r="AD53" s="589"/>
      <c r="AE53" s="609"/>
      <c r="AF53" s="619"/>
      <c r="AG53" s="616"/>
      <c r="AH53" s="616"/>
      <c r="AI53" s="612"/>
      <c r="AJ53" s="613"/>
      <c r="AK53" s="612"/>
      <c r="AL53" s="613"/>
      <c r="AN53" s="599"/>
      <c r="AO53" s="617"/>
      <c r="AP53" s="618"/>
      <c r="AQ53" s="618"/>
      <c r="AR53" s="607"/>
      <c r="AS53" s="608"/>
      <c r="AT53" s="607"/>
      <c r="AU53" s="608"/>
      <c r="AW53" s="599"/>
      <c r="AX53" s="617"/>
      <c r="AY53" s="618"/>
      <c r="AZ53" s="618"/>
      <c r="BA53" s="607"/>
      <c r="BB53" s="608"/>
      <c r="BC53" s="607"/>
      <c r="BD53" s="608"/>
      <c r="BF53" s="631"/>
      <c r="BG53" s="622"/>
      <c r="BH53" s="605"/>
      <c r="BI53" s="598"/>
      <c r="BJ53" s="607"/>
      <c r="BK53" s="608"/>
      <c r="BL53" s="607"/>
      <c r="BM53" s="608"/>
      <c r="BO53" s="599"/>
      <c r="BP53" s="617"/>
      <c r="BQ53" s="618"/>
      <c r="BR53" s="618"/>
      <c r="BS53" s="607"/>
      <c r="BT53" s="608"/>
      <c r="BU53" s="607"/>
      <c r="BV53" s="608"/>
    </row>
    <row customHeight="true" hidden="true" ht="23.80952380952381" r="54">
      <c r="A54" s="564"/>
      <c r="B54" s="597">
        <f>IFERROR(VLOOKUP(C54,'字段信息'!A:C,3,),"")</f>
      </c>
      <c r="C54" s="598" t="s">
        <v>2453</v>
      </c>
      <c r="D54" s="599">
        <f>IFERROR(VLOOKUP(C54,'字段信息'!A:C,2,),"")</f>
      </c>
      <c r="E54" s="600"/>
      <c r="F54" s="600">
        <f t="shared" si="0"/>
      </c>
      <c r="G54" s="600" t="s">
        <v>2312</v>
      </c>
      <c r="H54" s="601"/>
      <c r="I54" s="601"/>
      <c r="J54" s="601"/>
      <c r="K54" s="601"/>
      <c r="L54" s="626"/>
      <c r="M54" s="689" t="s">
        <v>2449</v>
      </c>
      <c r="N54" s="690"/>
      <c r="O54" s="627"/>
      <c r="P54" s="631"/>
      <c r="Q54" s="607"/>
      <c r="R54" s="608"/>
      <c r="S54" s="607"/>
      <c r="T54" s="608"/>
      <c r="U54" s="589"/>
      <c r="V54" s="609"/>
      <c r="W54" s="619"/>
      <c r="X54" s="616"/>
      <c r="Y54" s="609"/>
      <c r="Z54" s="612"/>
      <c r="AA54" s="613"/>
      <c r="AB54" s="612"/>
      <c r="AC54" s="613"/>
      <c r="AD54" s="589"/>
      <c r="AE54" s="609"/>
      <c r="AF54" s="619"/>
      <c r="AG54" s="616"/>
      <c r="AH54" s="616"/>
      <c r="AI54" s="612"/>
      <c r="AJ54" s="613"/>
      <c r="AK54" s="612"/>
      <c r="AL54" s="613"/>
      <c r="AN54" s="599"/>
      <c r="AO54" s="617"/>
      <c r="AP54" s="618"/>
      <c r="AQ54" s="618"/>
      <c r="AR54" s="607"/>
      <c r="AS54" s="608"/>
      <c r="AT54" s="607"/>
      <c r="AU54" s="608"/>
      <c r="AW54" s="599"/>
      <c r="AX54" s="617"/>
      <c r="AY54" s="618"/>
      <c r="AZ54" s="618"/>
      <c r="BA54" s="607"/>
      <c r="BB54" s="608"/>
      <c r="BC54" s="607"/>
      <c r="BD54" s="608"/>
      <c r="BF54" s="631"/>
      <c r="BG54" s="622"/>
      <c r="BH54" s="605"/>
      <c r="BI54" s="598"/>
      <c r="BJ54" s="678"/>
      <c r="BK54" s="608"/>
      <c r="BL54" s="607"/>
      <c r="BM54" s="608"/>
      <c r="BO54" s="599"/>
      <c r="BP54" s="617"/>
      <c r="BQ54" s="618"/>
      <c r="BR54" s="618"/>
      <c r="BS54" s="607"/>
      <c r="BT54" s="608"/>
      <c r="BU54" s="607"/>
      <c r="BV54" s="608"/>
    </row>
    <row customHeight="true" hidden="true" ht="23.80952380952381" r="55">
      <c r="A55" s="564"/>
      <c r="B55" s="597">
        <f>IFERROR(VLOOKUP(C55,'字段信息'!A:C,3,),"")</f>
      </c>
      <c r="C55" s="598" t="s">
        <v>2454</v>
      </c>
      <c r="D55" s="599">
        <f>IFERROR(VLOOKUP(C55,'字段信息'!A:C,2,),"")</f>
      </c>
      <c r="E55" s="600"/>
      <c r="F55" s="600">
        <f t="shared" si="0"/>
      </c>
      <c r="G55" s="600" t="s">
        <v>2312</v>
      </c>
      <c r="H55" s="601"/>
      <c r="I55" s="601"/>
      <c r="J55" s="601"/>
      <c r="K55" s="601"/>
      <c r="L55" s="626"/>
      <c r="M55" s="689" t="s">
        <v>2449</v>
      </c>
      <c r="N55" s="690"/>
      <c r="O55" s="627"/>
      <c r="P55" s="631"/>
      <c r="Q55" s="607"/>
      <c r="R55" s="608"/>
      <c r="S55" s="607"/>
      <c r="T55" s="608"/>
      <c r="U55" s="589"/>
      <c r="V55" s="609"/>
      <c r="W55" s="619"/>
      <c r="X55" s="616"/>
      <c r="Y55" s="609"/>
      <c r="Z55" s="612"/>
      <c r="AA55" s="613"/>
      <c r="AB55" s="612"/>
      <c r="AC55" s="613"/>
      <c r="AD55" s="589"/>
      <c r="AE55" s="609"/>
      <c r="AF55" s="619"/>
      <c r="AG55" s="616"/>
      <c r="AH55" s="616"/>
      <c r="AI55" s="612"/>
      <c r="AJ55" s="613"/>
      <c r="AK55" s="612"/>
      <c r="AL55" s="613"/>
      <c r="AN55" s="599"/>
      <c r="AO55" s="617"/>
      <c r="AP55" s="618"/>
      <c r="AQ55" s="618"/>
      <c r="AR55" s="607"/>
      <c r="AS55" s="608"/>
      <c r="AT55" s="607"/>
      <c r="AU55" s="608"/>
      <c r="AW55" s="599"/>
      <c r="AX55" s="617"/>
      <c r="AY55" s="618"/>
      <c r="AZ55" s="618"/>
      <c r="BA55" s="607"/>
      <c r="BB55" s="608"/>
      <c r="BC55" s="607"/>
      <c r="BD55" s="608"/>
      <c r="BF55" s="631"/>
      <c r="BG55" s="622"/>
      <c r="BH55" s="605"/>
      <c r="BI55" s="598"/>
      <c r="BJ55" s="662"/>
      <c r="BK55" s="645"/>
      <c r="BL55" s="607"/>
      <c r="BM55" s="608"/>
      <c r="BO55" s="599"/>
      <c r="BP55" s="617"/>
      <c r="BQ55" s="618"/>
      <c r="BR55" s="618"/>
      <c r="BS55" s="607"/>
      <c r="BT55" s="608"/>
      <c r="BU55" s="607"/>
      <c r="BV55" s="608"/>
    </row>
    <row customHeight="true" hidden="true" ht="23.80952380952381" r="56">
      <c r="A56" s="564"/>
      <c r="B56" s="597">
        <f>IFERROR(VLOOKUP(C56,'字段信息'!A:C,3,),"")</f>
      </c>
      <c r="C56" s="598" t="s">
        <v>2455</v>
      </c>
      <c r="D56" s="599">
        <f>IFERROR(VLOOKUP(C56,'字段信息'!A:C,2,),"")</f>
      </c>
      <c r="E56" s="600"/>
      <c r="F56" s="600">
        <f t="shared" si="0"/>
      </c>
      <c r="G56" s="600" t="s">
        <v>2312</v>
      </c>
      <c r="H56" s="601"/>
      <c r="I56" s="601"/>
      <c r="J56" s="601"/>
      <c r="K56" s="601"/>
      <c r="L56" s="626"/>
      <c r="M56" s="689" t="s">
        <v>2449</v>
      </c>
      <c r="N56" s="690"/>
      <c r="O56" s="627"/>
      <c r="P56" s="631"/>
      <c r="Q56" s="607"/>
      <c r="R56" s="608"/>
      <c r="S56" s="607"/>
      <c r="T56" s="608"/>
      <c r="U56" s="589"/>
      <c r="V56" s="609"/>
      <c r="W56" s="619"/>
      <c r="X56" s="616"/>
      <c r="Y56" s="609"/>
      <c r="Z56" s="612"/>
      <c r="AA56" s="613"/>
      <c r="AB56" s="612"/>
      <c r="AC56" s="613"/>
      <c r="AD56" s="589"/>
      <c r="AE56" s="609"/>
      <c r="AF56" s="619"/>
      <c r="AG56" s="616"/>
      <c r="AH56" s="616"/>
      <c r="AI56" s="612"/>
      <c r="AJ56" s="613"/>
      <c r="AK56" s="612"/>
      <c r="AL56" s="613"/>
      <c r="AN56" s="599"/>
      <c r="AO56" s="617"/>
      <c r="AP56" s="618"/>
      <c r="AQ56" s="618"/>
      <c r="AR56" s="607"/>
      <c r="AS56" s="608"/>
      <c r="AT56" s="607"/>
      <c r="AU56" s="608"/>
      <c r="AW56" s="599"/>
      <c r="AX56" s="617"/>
      <c r="AY56" s="618"/>
      <c r="AZ56" s="618"/>
      <c r="BA56" s="607"/>
      <c r="BB56" s="608"/>
      <c r="BC56" s="607"/>
      <c r="BD56" s="608"/>
      <c r="BF56" s="662"/>
      <c r="BG56" s="622"/>
      <c r="BH56" s="605"/>
      <c r="BI56" s="598"/>
      <c r="BJ56" s="686"/>
      <c r="BK56" s="608"/>
      <c r="BL56" s="607"/>
      <c r="BM56" s="608"/>
      <c r="BO56" s="599"/>
      <c r="BP56" s="617"/>
      <c r="BQ56" s="618"/>
      <c r="BR56" s="618"/>
      <c r="BS56" s="607"/>
      <c r="BT56" s="608"/>
      <c r="BU56" s="607"/>
      <c r="BV56" s="608"/>
    </row>
    <row customHeight="true" hidden="true" ht="23.80952380952381" r="57">
      <c r="A57" s="564"/>
      <c r="B57" s="597">
        <f>IFERROR(VLOOKUP(C57,'字段信息'!A:C,3,),"")</f>
      </c>
      <c r="C57" s="598" t="s">
        <v>2456</v>
      </c>
      <c r="D57" s="599">
        <f>IFERROR(VLOOKUP(C57,'字段信息'!A:C,2,),"")</f>
      </c>
      <c r="E57" s="600"/>
      <c r="F57" s="600">
        <f t="shared" si="0"/>
      </c>
      <c r="G57" s="600" t="s">
        <v>2312</v>
      </c>
      <c r="H57" s="601"/>
      <c r="I57" s="601"/>
      <c r="J57" s="601"/>
      <c r="K57" s="601"/>
      <c r="L57" s="626"/>
      <c r="M57" s="689" t="s">
        <v>2449</v>
      </c>
      <c r="N57" s="690"/>
      <c r="O57" s="627"/>
      <c r="P57" s="631"/>
      <c r="Q57" s="607"/>
      <c r="R57" s="608"/>
      <c r="S57" s="607"/>
      <c r="T57" s="608"/>
      <c r="U57" s="589"/>
      <c r="V57" s="609"/>
      <c r="W57" s="619"/>
      <c r="X57" s="616"/>
      <c r="Y57" s="609"/>
      <c r="Z57" s="612"/>
      <c r="AA57" s="613"/>
      <c r="AB57" s="612"/>
      <c r="AC57" s="613"/>
      <c r="AD57" s="589"/>
      <c r="AE57" s="609"/>
      <c r="AF57" s="619"/>
      <c r="AG57" s="616"/>
      <c r="AH57" s="616"/>
      <c r="AI57" s="612"/>
      <c r="AJ57" s="613"/>
      <c r="AK57" s="612"/>
      <c r="AL57" s="613"/>
      <c r="AN57" s="599"/>
      <c r="AO57" s="617"/>
      <c r="AP57" s="618"/>
      <c r="AQ57" s="618"/>
      <c r="AR57" s="607"/>
      <c r="AS57" s="608"/>
      <c r="AT57" s="607"/>
      <c r="AU57" s="608"/>
      <c r="AW57" s="599"/>
      <c r="AX57" s="617"/>
      <c r="AY57" s="618"/>
      <c r="AZ57" s="618"/>
      <c r="BA57" s="607"/>
      <c r="BB57" s="608"/>
      <c r="BC57" s="607"/>
      <c r="BD57" s="608"/>
      <c r="BF57" s="631"/>
      <c r="BG57" s="622"/>
      <c r="BH57" s="605"/>
      <c r="BI57" s="598"/>
      <c r="BJ57" s="607"/>
      <c r="BK57" s="608"/>
      <c r="BL57" s="607"/>
      <c r="BM57" s="608"/>
      <c r="BO57" s="599"/>
      <c r="BP57" s="617"/>
      <c r="BQ57" s="618"/>
      <c r="BR57" s="618"/>
      <c r="BS57" s="607"/>
      <c r="BT57" s="608"/>
      <c r="BU57" s="607"/>
      <c r="BV57" s="608"/>
    </row>
    <row customHeight="true" hidden="true" ht="23.80952380952381" r="58">
      <c r="A58" s="564"/>
      <c r="B58" s="597">
        <f>IFERROR(VLOOKUP(C58,'字段信息'!A:C,3,),"")</f>
      </c>
      <c r="C58" s="598" t="s">
        <v>2457</v>
      </c>
      <c r="D58" s="599">
        <f>IFERROR(VLOOKUP(C58,'字段信息'!A:C,2,),"")</f>
      </c>
      <c r="E58" s="600"/>
      <c r="F58" s="600">
        <f t="shared" si="0"/>
      </c>
      <c r="G58" s="600" t="s">
        <v>2312</v>
      </c>
      <c r="H58" s="601"/>
      <c r="I58" s="601"/>
      <c r="J58" s="601"/>
      <c r="K58" s="601"/>
      <c r="L58" s="626"/>
      <c r="M58" s="689" t="s">
        <v>2449</v>
      </c>
      <c r="N58" s="690"/>
      <c r="O58" s="627"/>
      <c r="P58" s="631"/>
      <c r="Q58" s="607"/>
      <c r="R58" s="608"/>
      <c r="S58" s="607"/>
      <c r="T58" s="608"/>
      <c r="U58" s="589"/>
      <c r="V58" s="609"/>
      <c r="W58" s="619"/>
      <c r="X58" s="616"/>
      <c r="Y58" s="609"/>
      <c r="Z58" s="612"/>
      <c r="AA58" s="613"/>
      <c r="AB58" s="612"/>
      <c r="AC58" s="613"/>
      <c r="AD58" s="589"/>
      <c r="AE58" s="609"/>
      <c r="AF58" s="619"/>
      <c r="AG58" s="616"/>
      <c r="AH58" s="616"/>
      <c r="AI58" s="612"/>
      <c r="AJ58" s="613"/>
      <c r="AK58" s="612"/>
      <c r="AL58" s="613"/>
      <c r="AN58" s="599"/>
      <c r="AO58" s="617"/>
      <c r="AP58" s="618"/>
      <c r="AQ58" s="618"/>
      <c r="AR58" s="607"/>
      <c r="AS58" s="608"/>
      <c r="AT58" s="607"/>
      <c r="AU58" s="608"/>
      <c r="AW58" s="599"/>
      <c r="AX58" s="617"/>
      <c r="AY58" s="618"/>
      <c r="AZ58" s="618"/>
      <c r="BA58" s="607"/>
      <c r="BB58" s="608"/>
      <c r="BC58" s="607"/>
      <c r="BD58" s="608"/>
      <c r="BF58" s="631"/>
      <c r="BG58" s="622"/>
      <c r="BH58" s="605"/>
      <c r="BI58" s="598"/>
      <c r="BJ58" s="607"/>
      <c r="BK58" s="608"/>
      <c r="BL58" s="607"/>
      <c r="BM58" s="608"/>
      <c r="BO58" s="599"/>
      <c r="BP58" s="617"/>
      <c r="BQ58" s="618"/>
      <c r="BR58" s="618"/>
      <c r="BS58" s="607"/>
      <c r="BT58" s="608"/>
      <c r="BU58" s="607"/>
      <c r="BV58" s="608"/>
    </row>
    <row customHeight="true" hidden="true" ht="23.80952380952381" r="59">
      <c r="A59" s="564"/>
      <c r="B59" s="597">
        <f>IFERROR(VLOOKUP(C59,'字段信息'!A:C,3,),"")</f>
      </c>
      <c r="C59" s="598" t="s">
        <v>2458</v>
      </c>
      <c r="D59" s="599">
        <f>IFERROR(VLOOKUP(C59,'字段信息'!A:C,2,),"")</f>
      </c>
      <c r="E59" s="600"/>
      <c r="F59" s="600">
        <f t="shared" si="0"/>
      </c>
      <c r="G59" s="600" t="s">
        <v>2312</v>
      </c>
      <c r="H59" s="601"/>
      <c r="I59" s="601"/>
      <c r="J59" s="601"/>
      <c r="K59" s="601"/>
      <c r="L59" s="626"/>
      <c r="M59" s="689" t="s">
        <v>2449</v>
      </c>
      <c r="N59" s="690"/>
      <c r="O59" s="627"/>
      <c r="P59" s="631"/>
      <c r="Q59" s="607"/>
      <c r="R59" s="608"/>
      <c r="S59" s="607"/>
      <c r="T59" s="608"/>
      <c r="U59" s="589"/>
      <c r="V59" s="609"/>
      <c r="W59" s="619"/>
      <c r="X59" s="616"/>
      <c r="Y59" s="609"/>
      <c r="Z59" s="612"/>
      <c r="AA59" s="613"/>
      <c r="AB59" s="612"/>
      <c r="AC59" s="613"/>
      <c r="AD59" s="589"/>
      <c r="AE59" s="609"/>
      <c r="AF59" s="619"/>
      <c r="AG59" s="616"/>
      <c r="AH59" s="609"/>
      <c r="AI59" s="612"/>
      <c r="AJ59" s="613"/>
      <c r="AK59" s="612"/>
      <c r="AL59" s="613"/>
      <c r="AN59" s="599"/>
      <c r="AO59" s="617"/>
      <c r="AP59" s="618"/>
      <c r="AQ59" s="599"/>
      <c r="AR59" s="607"/>
      <c r="AS59" s="608"/>
      <c r="AT59" s="607"/>
      <c r="AU59" s="608"/>
      <c r="AW59" s="599"/>
      <c r="AX59" s="617"/>
      <c r="AY59" s="618"/>
      <c r="AZ59" s="599"/>
      <c r="BA59" s="607"/>
      <c r="BB59" s="608"/>
      <c r="BC59" s="607"/>
      <c r="BD59" s="608"/>
      <c r="BF59" s="631"/>
      <c r="BG59" s="622"/>
      <c r="BH59" s="605"/>
      <c r="BI59" s="598"/>
      <c r="BJ59" s="607"/>
      <c r="BK59" s="608"/>
      <c r="BL59" s="607"/>
      <c r="BM59" s="608"/>
      <c r="BO59" s="599"/>
      <c r="BP59" s="617"/>
      <c r="BQ59" s="618"/>
      <c r="BR59" s="599"/>
      <c r="BS59" s="607"/>
      <c r="BT59" s="608"/>
      <c r="BU59" s="607"/>
      <c r="BV59" s="608"/>
    </row>
    <row customHeight="true" hidden="true" ht="23.80952380952381" r="60">
      <c r="A60" s="564"/>
      <c r="B60" s="597">
        <f>IFERROR(VLOOKUP(C60,'字段信息'!A:C,3,),"")</f>
      </c>
      <c r="C60" s="598" t="s">
        <v>2459</v>
      </c>
      <c r="D60" s="599">
        <f>IFERROR(VLOOKUP(C60,'字段信息'!A:C,2,),"")</f>
      </c>
      <c r="E60" s="600"/>
      <c r="F60" s="600">
        <f t="shared" si="0"/>
      </c>
      <c r="G60" s="600" t="s">
        <v>2312</v>
      </c>
      <c r="H60" s="601"/>
      <c r="I60" s="601"/>
      <c r="J60" s="601"/>
      <c r="K60" s="601"/>
      <c r="L60" s="626"/>
      <c r="M60" s="689" t="s">
        <v>2449</v>
      </c>
      <c r="N60" s="690"/>
      <c r="O60" s="627"/>
      <c r="P60" s="631"/>
      <c r="Q60" s="607"/>
      <c r="R60" s="608"/>
      <c r="S60" s="607"/>
      <c r="T60" s="608"/>
      <c r="U60" s="589"/>
      <c r="V60" s="609"/>
      <c r="W60" s="619"/>
      <c r="X60" s="616"/>
      <c r="Y60" s="609"/>
      <c r="Z60" s="612"/>
      <c r="AA60" s="613"/>
      <c r="AB60" s="612"/>
      <c r="AC60" s="613"/>
      <c r="AD60" s="589"/>
      <c r="AE60" s="609"/>
      <c r="AF60" s="619"/>
      <c r="AG60" s="616"/>
      <c r="AH60" s="609"/>
      <c r="AI60" s="612"/>
      <c r="AJ60" s="613"/>
      <c r="AK60" s="612"/>
      <c r="AL60" s="613"/>
      <c r="AN60" s="599"/>
      <c r="AO60" s="617"/>
      <c r="AP60" s="618"/>
      <c r="AQ60" s="599"/>
      <c r="AR60" s="607"/>
      <c r="AS60" s="608"/>
      <c r="AT60" s="607"/>
      <c r="AU60" s="608"/>
      <c r="AW60" s="599"/>
      <c r="AX60" s="617"/>
      <c r="AY60" s="618"/>
      <c r="AZ60" s="599"/>
      <c r="BA60" s="607"/>
      <c r="BB60" s="608"/>
      <c r="BC60" s="607"/>
      <c r="BD60" s="608"/>
      <c r="BF60" s="631"/>
      <c r="BG60" s="622"/>
      <c r="BH60" s="605"/>
      <c r="BI60" s="598"/>
      <c r="BJ60" s="607"/>
      <c r="BK60" s="608"/>
      <c r="BL60" s="607"/>
      <c r="BM60" s="608"/>
      <c r="BO60" s="599"/>
      <c r="BP60" s="617"/>
      <c r="BQ60" s="618"/>
      <c r="BR60" s="599"/>
      <c r="BS60" s="607"/>
      <c r="BT60" s="608"/>
      <c r="BU60" s="607"/>
      <c r="BV60" s="608"/>
    </row>
    <row customHeight="true" hidden="true" ht="23.80952380952381" r="61">
      <c r="A61" s="564"/>
      <c r="B61" s="597">
        <f>IFERROR(VLOOKUP(C61,'字段信息'!A:C,3,),"")</f>
      </c>
      <c r="C61" s="598" t="s">
        <v>2460</v>
      </c>
      <c r="D61" s="599">
        <f>IFERROR(VLOOKUP(C61,'字段信息'!A:C,2,),"")</f>
      </c>
      <c r="E61" s="600"/>
      <c r="F61" s="600">
        <f t="shared" si="0"/>
      </c>
      <c r="G61" s="600" t="s">
        <v>2312</v>
      </c>
      <c r="H61" s="601"/>
      <c r="I61" s="601"/>
      <c r="J61" s="601"/>
      <c r="K61" s="601"/>
      <c r="L61" s="626"/>
      <c r="M61" s="689" t="s">
        <v>2449</v>
      </c>
      <c r="N61" s="690"/>
      <c r="O61" s="627"/>
      <c r="P61" s="631"/>
      <c r="Q61" s="607"/>
      <c r="R61" s="608"/>
      <c r="S61" s="607"/>
      <c r="T61" s="608"/>
      <c r="U61" s="589"/>
      <c r="V61" s="609"/>
      <c r="W61" s="619"/>
      <c r="X61" s="616"/>
      <c r="Y61" s="609"/>
      <c r="Z61" s="612"/>
      <c r="AA61" s="613"/>
      <c r="AB61" s="612"/>
      <c r="AC61" s="613"/>
      <c r="AD61" s="589"/>
      <c r="AE61" s="609"/>
      <c r="AF61" s="619"/>
      <c r="AG61" s="616"/>
      <c r="AH61" s="609"/>
      <c r="AI61" s="612"/>
      <c r="AJ61" s="613"/>
      <c r="AK61" s="612"/>
      <c r="AL61" s="613"/>
      <c r="AN61" s="599"/>
      <c r="AO61" s="617"/>
      <c r="AP61" s="618"/>
      <c r="AQ61" s="599"/>
      <c r="AR61" s="607"/>
      <c r="AS61" s="608"/>
      <c r="AT61" s="607"/>
      <c r="AU61" s="608"/>
      <c r="AW61" s="599"/>
      <c r="AX61" s="617"/>
      <c r="AY61" s="618"/>
      <c r="AZ61" s="599"/>
      <c r="BA61" s="607"/>
      <c r="BB61" s="608"/>
      <c r="BC61" s="607"/>
      <c r="BD61" s="608"/>
      <c r="BF61" s="631"/>
      <c r="BG61" s="622"/>
      <c r="BH61" s="605"/>
      <c r="BI61" s="598"/>
      <c r="BJ61" s="607"/>
      <c r="BK61" s="608"/>
      <c r="BL61" s="607"/>
      <c r="BM61" s="608"/>
      <c r="BO61" s="599"/>
      <c r="BP61" s="617"/>
      <c r="BQ61" s="618"/>
      <c r="BR61" s="599"/>
      <c r="BS61" s="607"/>
      <c r="BT61" s="608"/>
      <c r="BU61" s="607"/>
      <c r="BV61" s="608"/>
    </row>
    <row customHeight="true" hidden="true" ht="23.80952380952381" r="62">
      <c r="A62" s="564"/>
      <c r="B62" s="597">
        <f>IFERROR(VLOOKUP(C62,'字段信息'!A:C,3,),"")</f>
      </c>
      <c r="C62" s="598" t="s">
        <v>2461</v>
      </c>
      <c r="D62" s="599">
        <f>IFERROR(VLOOKUP(C62,'字段信息'!A:C,2,),"")</f>
      </c>
      <c r="E62" s="600"/>
      <c r="F62" s="600">
        <f t="shared" si="0"/>
      </c>
      <c r="G62" s="600" t="s">
        <v>2312</v>
      </c>
      <c r="H62" s="601"/>
      <c r="I62" s="601"/>
      <c r="J62" s="601"/>
      <c r="K62" s="601"/>
      <c r="L62" s="626"/>
      <c r="M62" s="689" t="s">
        <v>2449</v>
      </c>
      <c r="N62" s="690"/>
      <c r="O62" s="627"/>
      <c r="P62" s="631"/>
      <c r="Q62" s="607"/>
      <c r="R62" s="608"/>
      <c r="S62" s="607"/>
      <c r="T62" s="608"/>
      <c r="U62" s="589"/>
      <c r="V62" s="609"/>
      <c r="W62" s="619"/>
      <c r="X62" s="616"/>
      <c r="Y62" s="609"/>
      <c r="Z62" s="612"/>
      <c r="AA62" s="613"/>
      <c r="AB62" s="612"/>
      <c r="AC62" s="613"/>
      <c r="AD62" s="589"/>
      <c r="AE62" s="609"/>
      <c r="AF62" s="619"/>
      <c r="AG62" s="616"/>
      <c r="AH62" s="609"/>
      <c r="AI62" s="612"/>
      <c r="AJ62" s="613"/>
      <c r="AK62" s="612"/>
      <c r="AL62" s="613"/>
      <c r="AN62" s="599"/>
      <c r="AO62" s="617"/>
      <c r="AP62" s="618"/>
      <c r="AQ62" s="599"/>
      <c r="AR62" s="607"/>
      <c r="AS62" s="608"/>
      <c r="AT62" s="607"/>
      <c r="AU62" s="608"/>
      <c r="AW62" s="599"/>
      <c r="AX62" s="617"/>
      <c r="AY62" s="618"/>
      <c r="AZ62" s="599"/>
      <c r="BA62" s="607"/>
      <c r="BB62" s="608"/>
      <c r="BC62" s="607"/>
      <c r="BD62" s="608"/>
      <c r="BF62" s="631"/>
      <c r="BG62" s="622"/>
      <c r="BH62" s="605"/>
      <c r="BI62" s="598"/>
      <c r="BJ62" s="607"/>
      <c r="BK62" s="608"/>
      <c r="BL62" s="691"/>
      <c r="BM62" s="608"/>
      <c r="BO62" s="599"/>
      <c r="BP62" s="617"/>
      <c r="BQ62" s="618"/>
      <c r="BR62" s="599"/>
      <c r="BS62" s="607"/>
      <c r="BT62" s="608"/>
      <c r="BU62" s="607"/>
      <c r="BV62" s="608"/>
    </row>
    <row customHeight="true" hidden="true" ht="23.80952380952381" r="63">
      <c r="A63" s="564"/>
      <c r="B63" s="597">
        <f>IFERROR(VLOOKUP(C63,'字段信息'!A:C,3,),"")</f>
      </c>
      <c r="C63" s="598" t="s">
        <v>2462</v>
      </c>
      <c r="D63" s="599">
        <f>IFERROR(VLOOKUP(C63,'字段信息'!A:C,2,),"")</f>
      </c>
      <c r="E63" s="600"/>
      <c r="F63" s="600">
        <f t="shared" si="0"/>
      </c>
      <c r="G63" s="600" t="s">
        <v>2312</v>
      </c>
      <c r="H63" s="601"/>
      <c r="I63" s="601"/>
      <c r="J63" s="601"/>
      <c r="K63" s="601"/>
      <c r="L63" s="626"/>
      <c r="M63" s="689" t="s">
        <v>2449</v>
      </c>
      <c r="N63" s="690"/>
      <c r="O63" s="627"/>
      <c r="P63" s="631"/>
      <c r="Q63" s="607"/>
      <c r="R63" s="608"/>
      <c r="S63" s="607"/>
      <c r="T63" s="608"/>
      <c r="U63" s="589"/>
      <c r="V63" s="609"/>
      <c r="W63" s="619"/>
      <c r="X63" s="616"/>
      <c r="Y63" s="609"/>
      <c r="Z63" s="612"/>
      <c r="AA63" s="613"/>
      <c r="AB63" s="612"/>
      <c r="AC63" s="613"/>
      <c r="AD63" s="589"/>
      <c r="AE63" s="609"/>
      <c r="AF63" s="619"/>
      <c r="AG63" s="616"/>
      <c r="AH63" s="609"/>
      <c r="AI63" s="612"/>
      <c r="AJ63" s="613"/>
      <c r="AK63" s="612"/>
      <c r="AL63" s="613"/>
      <c r="AN63" s="599"/>
      <c r="AO63" s="617"/>
      <c r="AP63" s="618"/>
      <c r="AQ63" s="599"/>
      <c r="AR63" s="607"/>
      <c r="AS63" s="608"/>
      <c r="AT63" s="607"/>
      <c r="AU63" s="608"/>
      <c r="AW63" s="599"/>
      <c r="AX63" s="617"/>
      <c r="AY63" s="618"/>
      <c r="AZ63" s="599"/>
      <c r="BA63" s="607"/>
      <c r="BB63" s="608"/>
      <c r="BC63" s="607"/>
      <c r="BD63" s="608"/>
      <c r="BF63" s="631"/>
      <c r="BG63" s="622"/>
      <c r="BH63" s="605"/>
      <c r="BI63" s="598"/>
      <c r="BJ63" s="607"/>
      <c r="BK63" s="608"/>
      <c r="BL63" s="607"/>
      <c r="BM63" s="608"/>
      <c r="BO63" s="599"/>
      <c r="BP63" s="617"/>
      <c r="BQ63" s="618"/>
      <c r="BR63" s="599"/>
      <c r="BS63" s="607"/>
      <c r="BT63" s="608"/>
      <c r="BU63" s="607"/>
      <c r="BV63" s="608"/>
    </row>
    <row hidden="true" r="64">
      <c r="A64" s="564"/>
      <c r="B64" s="597">
        <f>IFERROR(VLOOKUP(C64,'字段信息'!A:C,3,),"")</f>
      </c>
      <c r="C64" s="598" t="s">
        <v>2463</v>
      </c>
      <c r="D64" s="599">
        <f>IFERROR(VLOOKUP(C64,'字段信息'!A:C,2,),"")</f>
      </c>
      <c r="E64" s="600"/>
      <c r="F64" s="600">
        <f t="shared" si="0"/>
      </c>
      <c r="G64" s="600" t="s">
        <v>2312</v>
      </c>
      <c r="H64" s="601"/>
      <c r="I64" s="601"/>
      <c r="J64" s="601"/>
      <c r="K64" s="601"/>
      <c r="L64" s="626" t="s">
        <v>2313</v>
      </c>
      <c r="M64" s="614" t="s">
        <v>2431</v>
      </c>
      <c r="N64" s="619" t="s">
        <v>2303</v>
      </c>
      <c r="O64" s="684" t="s">
        <v>2327</v>
      </c>
      <c r="P64" s="685" t="s">
        <v>2464</v>
      </c>
      <c r="Q64" s="686"/>
      <c r="R64" s="608"/>
      <c r="S64" s="607"/>
      <c r="T64" s="608"/>
      <c r="U64" s="589"/>
      <c r="V64" s="609" t="s">
        <v>2433</v>
      </c>
      <c r="W64" s="619" t="s">
        <v>2303</v>
      </c>
      <c r="X64" s="616" t="s">
        <v>2329</v>
      </c>
      <c r="Y64" s="609" t="s">
        <v>2434</v>
      </c>
      <c r="Z64" s="612"/>
      <c r="AA64" s="613"/>
      <c r="AB64" s="612"/>
      <c r="AC64" s="613"/>
      <c r="AD64" s="589"/>
      <c r="AE64" s="609" t="s">
        <v>2435</v>
      </c>
      <c r="AF64" s="619" t="s">
        <v>2303</v>
      </c>
      <c r="AG64" s="615" t="s">
        <v>2301</v>
      </c>
      <c r="AH64" s="621" t="s">
        <v>2436</v>
      </c>
      <c r="AI64" s="616"/>
      <c r="AJ64" s="613"/>
      <c r="AK64" s="612"/>
      <c r="AL64" s="613"/>
      <c r="AM64" s="589"/>
      <c r="AN64" s="599" t="s">
        <v>2299</v>
      </c>
      <c r="AO64" s="617" t="s">
        <v>2303</v>
      </c>
      <c r="AP64" s="605" t="s">
        <v>2332</v>
      </c>
      <c r="AQ64" s="687" t="s">
        <v>2437</v>
      </c>
      <c r="AR64" s="618"/>
      <c r="AS64" s="608"/>
      <c r="AT64" s="607"/>
      <c r="AU64" s="608"/>
      <c r="AV64" s="589"/>
      <c r="AW64" s="609" t="s">
        <v>2438</v>
      </c>
      <c r="AX64" s="619" t="s">
        <v>2303</v>
      </c>
      <c r="AY64" s="618" t="s">
        <v>2304</v>
      </c>
      <c r="AZ64" s="681" t="s">
        <v>2439</v>
      </c>
      <c r="BA64" s="618"/>
      <c r="BB64" s="608"/>
      <c r="BC64" s="607"/>
      <c r="BD64" s="608"/>
      <c r="BE64" s="589"/>
      <c r="BF64" s="662" t="s">
        <v>2465</v>
      </c>
      <c r="BG64" s="622"/>
      <c r="BH64" s="605"/>
      <c r="BI64" s="598" t="s">
        <v>2463</v>
      </c>
      <c r="BJ64" s="607"/>
      <c r="BK64" s="608"/>
      <c r="BL64" s="607"/>
      <c r="BM64" s="608"/>
      <c r="BN64" s="589"/>
      <c r="BO64" s="609" t="s">
        <v>2299</v>
      </c>
      <c r="BP64" s="666" t="s">
        <v>2303</v>
      </c>
      <c r="BQ64" s="616" t="s">
        <v>2441</v>
      </c>
      <c r="BR64" s="669" t="s">
        <v>2466</v>
      </c>
      <c r="BS64" s="618"/>
      <c r="BT64" s="608"/>
      <c r="BU64" s="607"/>
      <c r="BV64" s="608"/>
      <c r="BW64" s="589"/>
    </row>
    <row hidden="true" r="65">
      <c r="A65" s="564"/>
      <c r="B65" s="597">
        <f>IFERROR(VLOOKUP(C65,'字段信息'!A:C,3,),"")</f>
      </c>
      <c r="C65" s="598" t="s">
        <v>2467</v>
      </c>
      <c r="D65" s="599">
        <f>IFERROR(VLOOKUP(C65,'字段信息'!A:C,2,),"")</f>
      </c>
      <c r="E65" s="600"/>
      <c r="F65" s="600">
        <f t="shared" si="0"/>
      </c>
      <c r="G65" s="600" t="s">
        <v>2312</v>
      </c>
      <c r="H65" s="601"/>
      <c r="I65" s="601"/>
      <c r="J65" s="601"/>
      <c r="K65" s="601"/>
      <c r="L65" s="626"/>
      <c r="M65" s="614" t="s">
        <v>2444</v>
      </c>
      <c r="N65" s="619" t="s">
        <v>2303</v>
      </c>
      <c r="O65" s="684" t="s">
        <v>2327</v>
      </c>
      <c r="P65" s="685" t="s">
        <v>2464</v>
      </c>
      <c r="Q65" s="686"/>
      <c r="R65" s="608"/>
      <c r="S65" s="607"/>
      <c r="T65" s="608"/>
      <c r="U65" s="589"/>
      <c r="V65" s="609" t="s">
        <v>2445</v>
      </c>
      <c r="W65" s="619"/>
      <c r="X65" s="616"/>
      <c r="Y65" s="609"/>
      <c r="Z65" s="612"/>
      <c r="AA65" s="613"/>
      <c r="AB65" s="612"/>
      <c r="AC65" s="613"/>
      <c r="AD65" s="589"/>
      <c r="AE65" s="609" t="s">
        <v>2435</v>
      </c>
      <c r="AF65" s="619" t="s">
        <v>2303</v>
      </c>
      <c r="AG65" s="615" t="s">
        <v>2301</v>
      </c>
      <c r="AH65" s="621" t="s">
        <v>2436</v>
      </c>
      <c r="AI65" s="616"/>
      <c r="AJ65" s="613"/>
      <c r="AK65" s="612"/>
      <c r="AL65" s="613"/>
      <c r="AM65" s="589"/>
      <c r="AN65" s="599" t="s">
        <v>2299</v>
      </c>
      <c r="AO65" s="617" t="s">
        <v>2303</v>
      </c>
      <c r="AP65" s="660" t="s">
        <v>2332</v>
      </c>
      <c r="AQ65" s="635" t="s">
        <v>2437</v>
      </c>
      <c r="AR65" s="618"/>
      <c r="AS65" s="608"/>
      <c r="AT65" s="607"/>
      <c r="AU65" s="608"/>
      <c r="AV65" s="589"/>
      <c r="AW65" s="609" t="s">
        <v>2446</v>
      </c>
      <c r="AX65" s="619" t="s">
        <v>2303</v>
      </c>
      <c r="AY65" s="618" t="s">
        <v>2304</v>
      </c>
      <c r="AZ65" s="681" t="s">
        <v>2439</v>
      </c>
      <c r="BA65" s="618"/>
      <c r="BB65" s="608"/>
      <c r="BC65" s="607"/>
      <c r="BD65" s="608"/>
      <c r="BE65" s="589"/>
      <c r="BF65" s="662" t="s">
        <v>2447</v>
      </c>
      <c r="BG65" s="622"/>
      <c r="BH65" s="605"/>
      <c r="BI65" s="598"/>
      <c r="BJ65" s="607"/>
      <c r="BK65" s="608"/>
      <c r="BL65" s="607"/>
      <c r="BM65" s="608"/>
      <c r="BN65" s="589"/>
      <c r="BO65" s="609" t="s">
        <v>2299</v>
      </c>
      <c r="BP65" s="666" t="s">
        <v>2303</v>
      </c>
      <c r="BQ65" s="616" t="s">
        <v>2441</v>
      </c>
      <c r="BR65" s="669" t="s">
        <v>2466</v>
      </c>
      <c r="BS65" s="618"/>
      <c r="BT65" s="608"/>
      <c r="BU65" s="607"/>
      <c r="BV65" s="608"/>
      <c r="BW65" s="589"/>
    </row>
    <row customHeight="true" hidden="true" ht="23.80952380952381" r="66">
      <c r="A66" s="564"/>
      <c r="B66" s="597">
        <f>IFERROR(VLOOKUP(C66,'字段信息'!A:C,3,),"")</f>
      </c>
      <c r="C66" s="598" t="s">
        <v>2468</v>
      </c>
      <c r="D66" s="599">
        <f>IFERROR(VLOOKUP(C66,'字段信息'!A:C,2,),"")</f>
      </c>
      <c r="E66" s="600"/>
      <c r="F66" s="600">
        <f t="shared" si="0"/>
      </c>
      <c r="G66" s="600" t="s">
        <v>2312</v>
      </c>
      <c r="H66" s="601"/>
      <c r="I66" s="601"/>
      <c r="J66" s="601"/>
      <c r="K66" s="601"/>
      <c r="L66" s="626"/>
      <c r="M66" s="689" t="s">
        <v>2449</v>
      </c>
      <c r="N66" s="690"/>
      <c r="O66" s="627"/>
      <c r="P66" s="631"/>
      <c r="Q66" s="607"/>
      <c r="R66" s="608"/>
      <c r="S66" s="607"/>
      <c r="T66" s="608"/>
      <c r="U66" s="589"/>
      <c r="V66" s="609"/>
      <c r="W66" s="619"/>
      <c r="X66" s="616"/>
      <c r="Y66" s="609"/>
      <c r="Z66" s="612"/>
      <c r="AA66" s="613"/>
      <c r="AB66" s="612"/>
      <c r="AC66" s="613"/>
      <c r="AD66" s="589"/>
      <c r="AE66" s="609"/>
      <c r="AF66" s="619"/>
      <c r="AG66" s="616"/>
      <c r="AH66" s="609"/>
      <c r="AI66" s="612"/>
      <c r="AJ66" s="613"/>
      <c r="AK66" s="612"/>
      <c r="AL66" s="613"/>
      <c r="AN66" s="599"/>
      <c r="AO66" s="617"/>
      <c r="AP66" s="618"/>
      <c r="AQ66" s="599"/>
      <c r="AR66" s="607"/>
      <c r="AS66" s="608"/>
      <c r="AT66" s="607"/>
      <c r="AU66" s="608"/>
      <c r="AW66" s="599"/>
      <c r="AX66" s="617"/>
      <c r="AY66" s="618"/>
      <c r="AZ66" s="599"/>
      <c r="BA66" s="607"/>
      <c r="BB66" s="608"/>
      <c r="BC66" s="607"/>
      <c r="BD66" s="608"/>
      <c r="BF66" s="631"/>
      <c r="BG66" s="622"/>
      <c r="BH66" s="605"/>
      <c r="BI66" s="598"/>
      <c r="BJ66" s="607"/>
      <c r="BK66" s="608"/>
      <c r="BL66" s="607"/>
      <c r="BM66" s="608"/>
      <c r="BO66" s="599"/>
      <c r="BP66" s="617"/>
      <c r="BQ66" s="618"/>
      <c r="BR66" s="599"/>
      <c r="BS66" s="607"/>
      <c r="BT66" s="608"/>
      <c r="BU66" s="607"/>
      <c r="BV66" s="608"/>
    </row>
    <row customHeight="true" hidden="true" ht="23.80952380952381" r="67">
      <c r="A67" s="564"/>
      <c r="B67" s="597">
        <f>IFERROR(VLOOKUP(C67,'字段信息'!A:C,3,),"")</f>
      </c>
      <c r="C67" s="598" t="s">
        <v>2469</v>
      </c>
      <c r="D67" s="599">
        <f>IFERROR(VLOOKUP(C67,'字段信息'!A:C,2,),"")</f>
      </c>
      <c r="E67" s="600"/>
      <c r="F67" s="600">
        <f t="shared" si="0"/>
      </c>
      <c r="G67" s="600" t="s">
        <v>2312</v>
      </c>
      <c r="H67" s="601"/>
      <c r="I67" s="601"/>
      <c r="J67" s="601"/>
      <c r="K67" s="601"/>
      <c r="L67" s="626"/>
      <c r="M67" s="689" t="s">
        <v>2449</v>
      </c>
      <c r="N67" s="690"/>
      <c r="O67" s="627"/>
      <c r="P67" s="631"/>
      <c r="Q67" s="607"/>
      <c r="R67" s="608"/>
      <c r="S67" s="607"/>
      <c r="T67" s="608"/>
      <c r="U67" s="589"/>
      <c r="V67" s="609"/>
      <c r="W67" s="619"/>
      <c r="X67" s="616"/>
      <c r="Y67" s="609"/>
      <c r="Z67" s="612"/>
      <c r="AA67" s="613"/>
      <c r="AB67" s="612"/>
      <c r="AC67" s="613"/>
      <c r="AD67" s="589"/>
      <c r="AE67" s="609"/>
      <c r="AF67" s="619"/>
      <c r="AG67" s="616"/>
      <c r="AH67" s="609"/>
      <c r="AI67" s="612"/>
      <c r="AJ67" s="613"/>
      <c r="AK67" s="612"/>
      <c r="AL67" s="613"/>
      <c r="AN67" s="599"/>
      <c r="AO67" s="617"/>
      <c r="AP67" s="618"/>
      <c r="AQ67" s="599"/>
      <c r="AR67" s="607"/>
      <c r="AS67" s="608"/>
      <c r="AT67" s="607"/>
      <c r="AU67" s="608"/>
      <c r="AW67" s="599"/>
      <c r="AX67" s="617"/>
      <c r="AY67" s="618"/>
      <c r="AZ67" s="599"/>
      <c r="BA67" s="607"/>
      <c r="BB67" s="608"/>
      <c r="BC67" s="607"/>
      <c r="BD67" s="608"/>
      <c r="BF67" s="631"/>
      <c r="BG67" s="622"/>
      <c r="BH67" s="605"/>
      <c r="BI67" s="598"/>
      <c r="BJ67" s="607"/>
      <c r="BK67" s="608"/>
      <c r="BL67" s="607"/>
      <c r="BM67" s="608"/>
      <c r="BO67" s="599"/>
      <c r="BP67" s="617"/>
      <c r="BQ67" s="618"/>
      <c r="BR67" s="599"/>
      <c r="BS67" s="607"/>
      <c r="BT67" s="608"/>
      <c r="BU67" s="607"/>
      <c r="BV67" s="608"/>
    </row>
    <row customHeight="true" hidden="true" ht="23.80952380952381" r="68">
      <c r="A68" s="564"/>
      <c r="B68" s="597">
        <f>IFERROR(VLOOKUP(C68,'字段信息'!A:C,3,),"")</f>
      </c>
      <c r="C68" s="598" t="s">
        <v>2470</v>
      </c>
      <c r="D68" s="599">
        <f>IFERROR(VLOOKUP(C68,'字段信息'!A:C,2,),"")</f>
      </c>
      <c r="E68" s="600"/>
      <c r="F68" s="600">
        <f t="shared" si="0"/>
      </c>
      <c r="G68" s="600" t="s">
        <v>2312</v>
      </c>
      <c r="H68" s="601"/>
      <c r="I68" s="601"/>
      <c r="J68" s="601"/>
      <c r="K68" s="601"/>
      <c r="L68" s="626"/>
      <c r="M68" s="689" t="s">
        <v>2449</v>
      </c>
      <c r="N68" s="690"/>
      <c r="O68" s="627"/>
      <c r="P68" s="631"/>
      <c r="Q68" s="607"/>
      <c r="R68" s="608"/>
      <c r="S68" s="607"/>
      <c r="T68" s="608"/>
      <c r="U68" s="589"/>
      <c r="V68" s="609"/>
      <c r="W68" s="619"/>
      <c r="X68" s="616"/>
      <c r="Y68" s="609"/>
      <c r="Z68" s="612"/>
      <c r="AA68" s="613"/>
      <c r="AB68" s="612"/>
      <c r="AC68" s="613"/>
      <c r="AD68" s="589"/>
      <c r="AE68" s="609"/>
      <c r="AF68" s="619"/>
      <c r="AG68" s="616"/>
      <c r="AH68" s="609"/>
      <c r="AI68" s="612"/>
      <c r="AJ68" s="613"/>
      <c r="AK68" s="612"/>
      <c r="AL68" s="613"/>
      <c r="AN68" s="599"/>
      <c r="AO68" s="617"/>
      <c r="AP68" s="618"/>
      <c r="AQ68" s="599"/>
      <c r="AR68" s="607"/>
      <c r="AS68" s="608"/>
      <c r="AT68" s="607"/>
      <c r="AU68" s="608"/>
      <c r="AW68" s="599"/>
      <c r="AX68" s="617"/>
      <c r="AY68" s="618"/>
      <c r="AZ68" s="599"/>
      <c r="BA68" s="607"/>
      <c r="BB68" s="608"/>
      <c r="BC68" s="607"/>
      <c r="BD68" s="608"/>
      <c r="BF68" s="631"/>
      <c r="BG68" s="622"/>
      <c r="BH68" s="605"/>
      <c r="BI68" s="598"/>
      <c r="BJ68" s="607"/>
      <c r="BK68" s="608"/>
      <c r="BL68" s="607"/>
      <c r="BM68" s="608"/>
      <c r="BO68" s="599"/>
      <c r="BP68" s="617"/>
      <c r="BQ68" s="618"/>
      <c r="BR68" s="599"/>
      <c r="BS68" s="607"/>
      <c r="BT68" s="608"/>
      <c r="BU68" s="607"/>
      <c r="BV68" s="608"/>
    </row>
    <row customHeight="true" hidden="true" ht="23.80952380952381" r="69">
      <c r="A69" s="564"/>
      <c r="B69" s="597">
        <f>IFERROR(VLOOKUP(C69,'字段信息'!A:C,3,),"")</f>
      </c>
      <c r="C69" s="598" t="s">
        <v>2471</v>
      </c>
      <c r="D69" s="599">
        <f>IFERROR(VLOOKUP(C69,'字段信息'!A:C,2,),"")</f>
      </c>
      <c r="E69" s="600"/>
      <c r="F69" s="600">
        <f t="shared" si="0"/>
      </c>
      <c r="G69" s="600" t="s">
        <v>2312</v>
      </c>
      <c r="H69" s="601"/>
      <c r="I69" s="601"/>
      <c r="J69" s="601"/>
      <c r="K69" s="601"/>
      <c r="L69" s="626"/>
      <c r="M69" s="689" t="s">
        <v>2449</v>
      </c>
      <c r="N69" s="690"/>
      <c r="O69" s="627"/>
      <c r="P69" s="631"/>
      <c r="Q69" s="607"/>
      <c r="R69" s="608"/>
      <c r="S69" s="607"/>
      <c r="T69" s="608"/>
      <c r="U69" s="589"/>
      <c r="V69" s="609"/>
      <c r="W69" s="619"/>
      <c r="X69" s="616"/>
      <c r="Y69" s="609"/>
      <c r="Z69" s="612"/>
      <c r="AA69" s="613"/>
      <c r="AB69" s="612"/>
      <c r="AC69" s="613"/>
      <c r="AD69" s="589"/>
      <c r="AE69" s="609"/>
      <c r="AF69" s="619"/>
      <c r="AG69" s="616"/>
      <c r="AH69" s="609"/>
      <c r="AI69" s="612"/>
      <c r="AJ69" s="613"/>
      <c r="AK69" s="612"/>
      <c r="AL69" s="613"/>
      <c r="AN69" s="599"/>
      <c r="AO69" s="617"/>
      <c r="AP69" s="618"/>
      <c r="AQ69" s="599"/>
      <c r="AR69" s="607"/>
      <c r="AS69" s="608"/>
      <c r="AT69" s="607"/>
      <c r="AU69" s="608"/>
      <c r="AW69" s="599"/>
      <c r="AX69" s="617"/>
      <c r="AY69" s="618"/>
      <c r="AZ69" s="599"/>
      <c r="BA69" s="607"/>
      <c r="BB69" s="608"/>
      <c r="BC69" s="607"/>
      <c r="BD69" s="608"/>
      <c r="BF69" s="631"/>
      <c r="BG69" s="622"/>
      <c r="BH69" s="605"/>
      <c r="BI69" s="598"/>
      <c r="BJ69" s="607"/>
      <c r="BK69" s="608"/>
      <c r="BL69" s="607"/>
      <c r="BM69" s="608"/>
      <c r="BO69" s="599"/>
      <c r="BP69" s="617"/>
      <c r="BQ69" s="618"/>
      <c r="BR69" s="599"/>
      <c r="BS69" s="607"/>
      <c r="BT69" s="608"/>
      <c r="BU69" s="607"/>
      <c r="BV69" s="608"/>
    </row>
    <row customHeight="true" hidden="true" ht="23.80952380952381" r="70">
      <c r="A70" s="564"/>
      <c r="B70" s="597">
        <f>IFERROR(VLOOKUP(C70,'字段信息'!A:C,3,),"")</f>
      </c>
      <c r="C70" s="598" t="s">
        <v>2472</v>
      </c>
      <c r="D70" s="599">
        <f>IFERROR(VLOOKUP(C70,'字段信息'!A:C,2,),"")</f>
      </c>
      <c r="E70" s="600"/>
      <c r="F70" s="600">
        <f t="shared" si="0"/>
      </c>
      <c r="G70" s="600" t="s">
        <v>2312</v>
      </c>
      <c r="H70" s="601"/>
      <c r="I70" s="601"/>
      <c r="J70" s="601"/>
      <c r="K70" s="601"/>
      <c r="L70" s="626"/>
      <c r="M70" s="689" t="s">
        <v>2449</v>
      </c>
      <c r="N70" s="690"/>
      <c r="O70" s="627"/>
      <c r="P70" s="631"/>
      <c r="Q70" s="607"/>
      <c r="R70" s="608"/>
      <c r="S70" s="607"/>
      <c r="T70" s="608"/>
      <c r="U70" s="589"/>
      <c r="V70" s="609"/>
      <c r="W70" s="619"/>
      <c r="X70" s="616"/>
      <c r="Y70" s="609"/>
      <c r="Z70" s="612"/>
      <c r="AA70" s="613"/>
      <c r="AB70" s="612"/>
      <c r="AC70" s="613"/>
      <c r="AD70" s="589"/>
      <c r="AE70" s="609"/>
      <c r="AF70" s="619"/>
      <c r="AG70" s="616"/>
      <c r="AH70" s="609"/>
      <c r="AI70" s="612"/>
      <c r="AJ70" s="613"/>
      <c r="AK70" s="612"/>
      <c r="AL70" s="613"/>
      <c r="AN70" s="599"/>
      <c r="AO70" s="617"/>
      <c r="AP70" s="618"/>
      <c r="AQ70" s="599"/>
      <c r="AR70" s="607"/>
      <c r="AS70" s="608"/>
      <c r="AT70" s="607"/>
      <c r="AU70" s="608"/>
      <c r="AW70" s="599"/>
      <c r="AX70" s="617"/>
      <c r="AY70" s="618"/>
      <c r="AZ70" s="599"/>
      <c r="BA70" s="607"/>
      <c r="BB70" s="608"/>
      <c r="BC70" s="607"/>
      <c r="BD70" s="608"/>
      <c r="BF70" s="631"/>
      <c r="BG70" s="622"/>
      <c r="BH70" s="605"/>
      <c r="BI70" s="598"/>
      <c r="BJ70" s="607"/>
      <c r="BK70" s="608"/>
      <c r="BL70" s="607"/>
      <c r="BM70" s="608"/>
      <c r="BO70" s="599"/>
      <c r="BP70" s="617"/>
      <c r="BQ70" s="618"/>
      <c r="BR70" s="599"/>
      <c r="BS70" s="607"/>
      <c r="BT70" s="608"/>
      <c r="BU70" s="607"/>
      <c r="BV70" s="608"/>
    </row>
    <row customHeight="true" hidden="true" ht="23.80952380952381" r="71">
      <c r="A71" s="564"/>
      <c r="B71" s="597">
        <f>IFERROR(VLOOKUP(C71,'字段信息'!A:C,3,),"")</f>
      </c>
      <c r="C71" s="598" t="s">
        <v>2473</v>
      </c>
      <c r="D71" s="599">
        <f>IFERROR(VLOOKUP(C71,'字段信息'!A:C,2,),"")</f>
      </c>
      <c r="E71" s="600"/>
      <c r="F71" s="600">
        <f t="shared" si="0"/>
      </c>
      <c r="G71" s="600" t="s">
        <v>2312</v>
      </c>
      <c r="H71" s="601"/>
      <c r="I71" s="601"/>
      <c r="J71" s="601"/>
      <c r="K71" s="601"/>
      <c r="L71" s="626"/>
      <c r="M71" s="689" t="s">
        <v>2449</v>
      </c>
      <c r="N71" s="690"/>
      <c r="O71" s="627"/>
      <c r="P71" s="631"/>
      <c r="Q71" s="607"/>
      <c r="R71" s="608"/>
      <c r="S71" s="607"/>
      <c r="T71" s="608"/>
      <c r="U71" s="589"/>
      <c r="V71" s="609"/>
      <c r="W71" s="619"/>
      <c r="X71" s="616"/>
      <c r="Y71" s="609"/>
      <c r="Z71" s="612"/>
      <c r="AA71" s="613"/>
      <c r="AB71" s="612"/>
      <c r="AC71" s="613"/>
      <c r="AD71" s="589"/>
      <c r="AE71" s="609"/>
      <c r="AF71" s="619"/>
      <c r="AG71" s="616"/>
      <c r="AH71" s="609"/>
      <c r="AI71" s="612"/>
      <c r="AJ71" s="613"/>
      <c r="AK71" s="612"/>
      <c r="AL71" s="613"/>
      <c r="AN71" s="599"/>
      <c r="AO71" s="617"/>
      <c r="AP71" s="618"/>
      <c r="AQ71" s="599"/>
      <c r="AR71" s="607"/>
      <c r="AS71" s="608"/>
      <c r="AT71" s="607"/>
      <c r="AU71" s="608"/>
      <c r="AW71" s="599"/>
      <c r="AX71" s="617"/>
      <c r="AY71" s="618"/>
      <c r="AZ71" s="599"/>
      <c r="BA71" s="607"/>
      <c r="BB71" s="608"/>
      <c r="BC71" s="607"/>
      <c r="BD71" s="608"/>
      <c r="BF71" s="631"/>
      <c r="BG71" s="622"/>
      <c r="BH71" s="605"/>
      <c r="BI71" s="598"/>
      <c r="BJ71" s="607"/>
      <c r="BK71" s="608"/>
      <c r="BL71" s="607"/>
      <c r="BM71" s="608"/>
      <c r="BO71" s="599"/>
      <c r="BP71" s="617"/>
      <c r="BQ71" s="618"/>
      <c r="BR71" s="599"/>
      <c r="BS71" s="607"/>
      <c r="BT71" s="608"/>
      <c r="BU71" s="607"/>
      <c r="BV71" s="608"/>
    </row>
    <row customHeight="true" hidden="true" ht="23.80952380952381" r="72">
      <c r="A72" s="564"/>
      <c r="B72" s="597">
        <f>IFERROR(VLOOKUP(C72,'字段信息'!A:C,3,),"")</f>
      </c>
      <c r="C72" s="598" t="s">
        <v>2474</v>
      </c>
      <c r="D72" s="599">
        <f>IFERROR(VLOOKUP(C72,'字段信息'!A:C,2,),"")</f>
      </c>
      <c r="E72" s="600"/>
      <c r="F72" s="600">
        <f t="shared" si="0"/>
      </c>
      <c r="G72" s="600" t="s">
        <v>2312</v>
      </c>
      <c r="H72" s="601"/>
      <c r="I72" s="601"/>
      <c r="J72" s="601"/>
      <c r="K72" s="601"/>
      <c r="L72" s="626"/>
      <c r="M72" s="689" t="s">
        <v>2449</v>
      </c>
      <c r="N72" s="690"/>
      <c r="O72" s="627"/>
      <c r="P72" s="631"/>
      <c r="Q72" s="607"/>
      <c r="R72" s="608"/>
      <c r="S72" s="607"/>
      <c r="T72" s="608"/>
      <c r="U72" s="589"/>
      <c r="V72" s="609"/>
      <c r="W72" s="619"/>
      <c r="X72" s="616"/>
      <c r="Y72" s="609"/>
      <c r="Z72" s="612"/>
      <c r="AA72" s="613"/>
      <c r="AB72" s="612"/>
      <c r="AC72" s="613"/>
      <c r="AD72" s="589"/>
      <c r="AE72" s="609"/>
      <c r="AF72" s="619"/>
      <c r="AG72" s="616"/>
      <c r="AH72" s="609"/>
      <c r="AI72" s="612"/>
      <c r="AJ72" s="613"/>
      <c r="AK72" s="612"/>
      <c r="AL72" s="613"/>
      <c r="AN72" s="599"/>
      <c r="AO72" s="617"/>
      <c r="AP72" s="618"/>
      <c r="AQ72" s="599"/>
      <c r="AR72" s="607"/>
      <c r="AS72" s="608"/>
      <c r="AT72" s="607"/>
      <c r="AU72" s="608"/>
      <c r="AW72" s="599"/>
      <c r="AX72" s="617"/>
      <c r="AY72" s="618"/>
      <c r="AZ72" s="599"/>
      <c r="BA72" s="607"/>
      <c r="BB72" s="608"/>
      <c r="BC72" s="607"/>
      <c r="BD72" s="608"/>
      <c r="BF72" s="631"/>
      <c r="BG72" s="622"/>
      <c r="BH72" s="605"/>
      <c r="BI72" s="598"/>
      <c r="BJ72" s="607"/>
      <c r="BK72" s="608"/>
      <c r="BL72" s="607"/>
      <c r="BM72" s="608"/>
      <c r="BO72" s="599"/>
      <c r="BP72" s="617"/>
      <c r="BQ72" s="618"/>
      <c r="BR72" s="599"/>
      <c r="BS72" s="607"/>
      <c r="BT72" s="608"/>
      <c r="BU72" s="607"/>
      <c r="BV72" s="608"/>
    </row>
    <row customHeight="true" hidden="true" ht="23.80952380952381" r="73">
      <c r="A73" s="564"/>
      <c r="B73" s="597">
        <f>IFERROR(VLOOKUP(C73,'字段信息'!A:C,3,),"")</f>
      </c>
      <c r="C73" s="598" t="s">
        <v>2475</v>
      </c>
      <c r="D73" s="599">
        <f>IFERROR(VLOOKUP(C73,'字段信息'!A:C,2,),"")</f>
      </c>
      <c r="E73" s="600"/>
      <c r="F73" s="600">
        <f t="shared" si="0"/>
      </c>
      <c r="G73" s="600" t="s">
        <v>2312</v>
      </c>
      <c r="H73" s="601"/>
      <c r="I73" s="601"/>
      <c r="J73" s="601"/>
      <c r="K73" s="601"/>
      <c r="L73" s="626"/>
      <c r="M73" s="689" t="s">
        <v>2449</v>
      </c>
      <c r="N73" s="690"/>
      <c r="O73" s="627"/>
      <c r="P73" s="631"/>
      <c r="Q73" s="607"/>
      <c r="R73" s="608"/>
      <c r="S73" s="607"/>
      <c r="T73" s="608"/>
      <c r="U73" s="589"/>
      <c r="V73" s="609"/>
      <c r="W73" s="619"/>
      <c r="X73" s="616"/>
      <c r="Y73" s="609"/>
      <c r="Z73" s="612"/>
      <c r="AA73" s="613"/>
      <c r="AB73" s="612"/>
      <c r="AC73" s="613"/>
      <c r="AD73" s="589"/>
      <c r="AE73" s="609"/>
      <c r="AF73" s="619"/>
      <c r="AG73" s="616"/>
      <c r="AH73" s="609"/>
      <c r="AI73" s="612"/>
      <c r="AJ73" s="613"/>
      <c r="AK73" s="612"/>
      <c r="AL73" s="613"/>
      <c r="AN73" s="599"/>
      <c r="AO73" s="617"/>
      <c r="AP73" s="618"/>
      <c r="AQ73" s="599"/>
      <c r="AR73" s="607"/>
      <c r="AS73" s="608"/>
      <c r="AT73" s="607"/>
      <c r="AU73" s="608"/>
      <c r="AW73" s="599"/>
      <c r="AX73" s="617"/>
      <c r="AY73" s="618"/>
      <c r="AZ73" s="599"/>
      <c r="BA73" s="607"/>
      <c r="BB73" s="608"/>
      <c r="BC73" s="607"/>
      <c r="BD73" s="608"/>
      <c r="BF73" s="631"/>
      <c r="BG73" s="622"/>
      <c r="BH73" s="605"/>
      <c r="BI73" s="598"/>
      <c r="BJ73" s="607"/>
      <c r="BK73" s="608"/>
      <c r="BL73" s="607"/>
      <c r="BM73" s="608"/>
      <c r="BO73" s="599"/>
      <c r="BP73" s="617"/>
      <c r="BQ73" s="618"/>
      <c r="BR73" s="599"/>
      <c r="BS73" s="607"/>
      <c r="BT73" s="608"/>
      <c r="BU73" s="607"/>
      <c r="BV73" s="608"/>
    </row>
    <row customHeight="true" hidden="true" ht="23.80952380952381" r="74">
      <c r="A74" s="564"/>
      <c r="B74" s="597">
        <f>IFERROR(VLOOKUP(C74,'字段信息'!A:C,3,),"")</f>
      </c>
      <c r="C74" s="598" t="s">
        <v>2476</v>
      </c>
      <c r="D74" s="599">
        <f>IFERROR(VLOOKUP(C74,'字段信息'!A:C,2,),"")</f>
      </c>
      <c r="E74" s="600"/>
      <c r="F74" s="600">
        <f t="shared" si="0"/>
      </c>
      <c r="G74" s="600" t="s">
        <v>2312</v>
      </c>
      <c r="H74" s="601"/>
      <c r="I74" s="601"/>
      <c r="J74" s="601"/>
      <c r="K74" s="601"/>
      <c r="L74" s="626"/>
      <c r="M74" s="689" t="s">
        <v>2449</v>
      </c>
      <c r="N74" s="690"/>
      <c r="O74" s="627"/>
      <c r="P74" s="631"/>
      <c r="Q74" s="607"/>
      <c r="R74" s="608"/>
      <c r="S74" s="607"/>
      <c r="T74" s="608"/>
      <c r="U74" s="589"/>
      <c r="V74" s="609"/>
      <c r="W74" s="619"/>
      <c r="X74" s="616"/>
      <c r="Y74" s="609"/>
      <c r="Z74" s="612"/>
      <c r="AA74" s="613"/>
      <c r="AB74" s="612"/>
      <c r="AC74" s="613"/>
      <c r="AD74" s="589"/>
      <c r="AE74" s="609"/>
      <c r="AF74" s="619"/>
      <c r="AG74" s="616"/>
      <c r="AH74" s="609"/>
      <c r="AI74" s="612"/>
      <c r="AJ74" s="613"/>
      <c r="AK74" s="612"/>
      <c r="AL74" s="613"/>
      <c r="AN74" s="599"/>
      <c r="AO74" s="617"/>
      <c r="AP74" s="618"/>
      <c r="AQ74" s="599"/>
      <c r="AR74" s="607"/>
      <c r="AS74" s="608"/>
      <c r="AT74" s="607"/>
      <c r="AU74" s="608"/>
      <c r="AW74" s="599"/>
      <c r="AX74" s="617"/>
      <c r="AY74" s="618"/>
      <c r="AZ74" s="599"/>
      <c r="BA74" s="607"/>
      <c r="BB74" s="608"/>
      <c r="BC74" s="607"/>
      <c r="BD74" s="608"/>
      <c r="BF74" s="631"/>
      <c r="BG74" s="622"/>
      <c r="BH74" s="605"/>
      <c r="BI74" s="598"/>
      <c r="BJ74" s="607"/>
      <c r="BK74" s="608"/>
      <c r="BL74" s="607"/>
      <c r="BM74" s="608"/>
      <c r="BO74" s="599"/>
      <c r="BP74" s="617"/>
      <c r="BQ74" s="618"/>
      <c r="BR74" s="599"/>
      <c r="BS74" s="607"/>
      <c r="BT74" s="608"/>
      <c r="BU74" s="607"/>
      <c r="BV74" s="608"/>
    </row>
    <row customHeight="true" hidden="true" ht="23.80952380952381" r="75">
      <c r="A75" s="564"/>
      <c r="B75" s="597">
        <f>IFERROR(VLOOKUP(C75,'字段信息'!A:C,3,),"")</f>
      </c>
      <c r="C75" s="598" t="s">
        <v>2477</v>
      </c>
      <c r="D75" s="599">
        <f>IFERROR(VLOOKUP(C75,'字段信息'!A:C,2,),"")</f>
      </c>
      <c r="E75" s="600"/>
      <c r="F75" s="600">
        <f t="shared" si="0"/>
      </c>
      <c r="G75" s="600" t="s">
        <v>2312</v>
      </c>
      <c r="H75" s="601"/>
      <c r="I75" s="601"/>
      <c r="J75" s="601"/>
      <c r="K75" s="601"/>
      <c r="L75" s="626"/>
      <c r="M75" s="689" t="s">
        <v>2449</v>
      </c>
      <c r="N75" s="690"/>
      <c r="O75" s="627"/>
      <c r="P75" s="631"/>
      <c r="Q75" s="607"/>
      <c r="R75" s="608"/>
      <c r="S75" s="607"/>
      <c r="T75" s="608"/>
      <c r="U75" s="589"/>
      <c r="V75" s="609"/>
      <c r="W75" s="619"/>
      <c r="X75" s="616"/>
      <c r="Y75" s="609"/>
      <c r="Z75" s="612"/>
      <c r="AA75" s="613"/>
      <c r="AB75" s="612"/>
      <c r="AC75" s="613"/>
      <c r="AD75" s="589"/>
      <c r="AE75" s="609"/>
      <c r="AF75" s="619"/>
      <c r="AG75" s="616"/>
      <c r="AH75" s="609"/>
      <c r="AI75" s="612"/>
      <c r="AJ75" s="613"/>
      <c r="AK75" s="612"/>
      <c r="AL75" s="613"/>
      <c r="AN75" s="599"/>
      <c r="AO75" s="617"/>
      <c r="AP75" s="618"/>
      <c r="AQ75" s="599"/>
      <c r="AR75" s="607"/>
      <c r="AS75" s="608"/>
      <c r="AT75" s="607"/>
      <c r="AU75" s="608"/>
      <c r="AW75" s="599"/>
      <c r="AX75" s="617"/>
      <c r="AY75" s="618"/>
      <c r="AZ75" s="599"/>
      <c r="BA75" s="607"/>
      <c r="BB75" s="608"/>
      <c r="BC75" s="607"/>
      <c r="BD75" s="608"/>
      <c r="BF75" s="631"/>
      <c r="BG75" s="622"/>
      <c r="BH75" s="605"/>
      <c r="BI75" s="598"/>
      <c r="BJ75" s="607"/>
      <c r="BK75" s="608"/>
      <c r="BL75" s="607"/>
      <c r="BM75" s="608"/>
      <c r="BO75" s="599"/>
      <c r="BP75" s="617"/>
      <c r="BQ75" s="618"/>
      <c r="BR75" s="599"/>
      <c r="BS75" s="607"/>
      <c r="BT75" s="608"/>
      <c r="BU75" s="607"/>
      <c r="BV75" s="608"/>
    </row>
    <row customHeight="true" hidden="true" ht="23.80952380952381" r="76">
      <c r="A76" s="564"/>
      <c r="B76" s="597">
        <f>IFERROR(VLOOKUP(C76,'字段信息'!A:C,3,),"")</f>
      </c>
      <c r="C76" s="598" t="s">
        <v>2478</v>
      </c>
      <c r="D76" s="599">
        <f>IFERROR(VLOOKUP(C76,'字段信息'!A:C,2,),"")</f>
      </c>
      <c r="E76" s="600"/>
      <c r="F76" s="600">
        <f t="shared" si="0"/>
      </c>
      <c r="G76" s="600" t="s">
        <v>2312</v>
      </c>
      <c r="H76" s="601"/>
      <c r="I76" s="601"/>
      <c r="J76" s="601"/>
      <c r="K76" s="601"/>
      <c r="L76" s="626"/>
      <c r="M76" s="689" t="s">
        <v>2449</v>
      </c>
      <c r="N76" s="690"/>
      <c r="O76" s="627"/>
      <c r="P76" s="631"/>
      <c r="Q76" s="607"/>
      <c r="R76" s="608"/>
      <c r="S76" s="607"/>
      <c r="T76" s="608"/>
      <c r="U76" s="589"/>
      <c r="V76" s="609"/>
      <c r="W76" s="619"/>
      <c r="X76" s="616"/>
      <c r="Y76" s="609"/>
      <c r="Z76" s="612"/>
      <c r="AA76" s="613"/>
      <c r="AB76" s="612"/>
      <c r="AC76" s="613"/>
      <c r="AD76" s="589"/>
      <c r="AE76" s="609"/>
      <c r="AF76" s="619"/>
      <c r="AG76" s="616"/>
      <c r="AH76" s="609"/>
      <c r="AI76" s="612"/>
      <c r="AJ76" s="613"/>
      <c r="AK76" s="612"/>
      <c r="AL76" s="613"/>
      <c r="AN76" s="599"/>
      <c r="AO76" s="617"/>
      <c r="AP76" s="618"/>
      <c r="AQ76" s="599"/>
      <c r="AR76" s="607"/>
      <c r="AS76" s="608"/>
      <c r="AT76" s="607"/>
      <c r="AU76" s="608"/>
      <c r="AW76" s="599"/>
      <c r="AX76" s="617"/>
      <c r="AY76" s="618"/>
      <c r="AZ76" s="599"/>
      <c r="BA76" s="607"/>
      <c r="BB76" s="608"/>
      <c r="BC76" s="607"/>
      <c r="BD76" s="608"/>
      <c r="BF76" s="631"/>
      <c r="BG76" s="622"/>
      <c r="BH76" s="605"/>
      <c r="BI76" s="598"/>
      <c r="BJ76" s="607"/>
      <c r="BK76" s="608"/>
      <c r="BL76" s="607"/>
      <c r="BM76" s="608"/>
      <c r="BO76" s="599"/>
      <c r="BP76" s="617"/>
      <c r="BQ76" s="618"/>
      <c r="BR76" s="599"/>
      <c r="BS76" s="607"/>
      <c r="BT76" s="608"/>
      <c r="BU76" s="607"/>
      <c r="BV76" s="608"/>
    </row>
    <row customHeight="true" hidden="true" ht="23.80952380952381" r="77">
      <c r="A77" s="564"/>
      <c r="B77" s="597">
        <f>IFERROR(VLOOKUP(C77,'字段信息'!A:C,3,),"")</f>
      </c>
      <c r="C77" s="598" t="s">
        <v>2479</v>
      </c>
      <c r="D77" s="599">
        <f>IFERROR(VLOOKUP(C77,'字段信息'!A:C,2,),"")</f>
      </c>
      <c r="E77" s="600"/>
      <c r="F77" s="600">
        <f t="shared" si="0"/>
      </c>
      <c r="G77" s="600" t="s">
        <v>2312</v>
      </c>
      <c r="H77" s="601"/>
      <c r="I77" s="601"/>
      <c r="J77" s="601"/>
      <c r="K77" s="601"/>
      <c r="L77" s="626"/>
      <c r="M77" s="689" t="s">
        <v>2449</v>
      </c>
      <c r="N77" s="690"/>
      <c r="O77" s="627"/>
      <c r="P77" s="631"/>
      <c r="Q77" s="607"/>
      <c r="R77" s="608"/>
      <c r="S77" s="607"/>
      <c r="T77" s="608"/>
      <c r="U77" s="589"/>
      <c r="V77" s="609"/>
      <c r="W77" s="619"/>
      <c r="X77" s="616"/>
      <c r="Y77" s="609"/>
      <c r="Z77" s="612"/>
      <c r="AA77" s="613"/>
      <c r="AB77" s="612"/>
      <c r="AC77" s="613"/>
      <c r="AD77" s="589"/>
      <c r="AE77" s="609"/>
      <c r="AF77" s="619"/>
      <c r="AG77" s="616"/>
      <c r="AH77" s="609"/>
      <c r="AI77" s="612"/>
      <c r="AJ77" s="613"/>
      <c r="AK77" s="612"/>
      <c r="AL77" s="613"/>
      <c r="AN77" s="599"/>
      <c r="AO77" s="617"/>
      <c r="AP77" s="618"/>
      <c r="AQ77" s="599"/>
      <c r="AR77" s="607"/>
      <c r="AS77" s="608"/>
      <c r="AT77" s="607"/>
      <c r="AU77" s="608"/>
      <c r="AW77" s="599"/>
      <c r="AX77" s="617"/>
      <c r="AY77" s="618"/>
      <c r="AZ77" s="599"/>
      <c r="BA77" s="607"/>
      <c r="BB77" s="608"/>
      <c r="BC77" s="607"/>
      <c r="BD77" s="608"/>
      <c r="BF77" s="631"/>
      <c r="BG77" s="622"/>
      <c r="BH77" s="605"/>
      <c r="BI77" s="598"/>
      <c r="BJ77" s="607"/>
      <c r="BK77" s="608"/>
      <c r="BL77" s="607"/>
      <c r="BM77" s="608"/>
      <c r="BO77" s="599"/>
      <c r="BP77" s="617"/>
      <c r="BQ77" s="618"/>
      <c r="BR77" s="599"/>
      <c r="BS77" s="607"/>
      <c r="BT77" s="608"/>
      <c r="BU77" s="607"/>
      <c r="BV77" s="608"/>
    </row>
    <row customHeight="true" hidden="true" ht="23.80952380952381" r="78">
      <c r="A78" s="564"/>
      <c r="B78" s="597">
        <f>IFERROR(VLOOKUP(C78,'字段信息'!A:C,3,),"")</f>
      </c>
      <c r="C78" s="598" t="s">
        <v>2480</v>
      </c>
      <c r="D78" s="599">
        <f>IFERROR(VLOOKUP(C78,'字段信息'!A:C,2,),"")</f>
      </c>
      <c r="E78" s="600"/>
      <c r="F78" s="600">
        <f t="shared" si="0"/>
      </c>
      <c r="G78" s="600" t="s">
        <v>2312</v>
      </c>
      <c r="H78" s="601"/>
      <c r="I78" s="601"/>
      <c r="J78" s="601"/>
      <c r="K78" s="601"/>
      <c r="L78" s="626"/>
      <c r="M78" s="689" t="s">
        <v>2449</v>
      </c>
      <c r="N78" s="690"/>
      <c r="O78" s="627"/>
      <c r="P78" s="631"/>
      <c r="Q78" s="607"/>
      <c r="R78" s="608"/>
      <c r="S78" s="607"/>
      <c r="T78" s="608"/>
      <c r="U78" s="589"/>
      <c r="V78" s="609"/>
      <c r="W78" s="619"/>
      <c r="X78" s="616"/>
      <c r="Y78" s="609"/>
      <c r="Z78" s="612"/>
      <c r="AA78" s="613"/>
      <c r="AB78" s="612"/>
      <c r="AC78" s="613"/>
      <c r="AD78" s="589"/>
      <c r="AE78" s="609"/>
      <c r="AF78" s="619"/>
      <c r="AG78" s="616"/>
      <c r="AH78" s="609"/>
      <c r="AI78" s="612"/>
      <c r="AJ78" s="613"/>
      <c r="AK78" s="612"/>
      <c r="AL78" s="613"/>
      <c r="AN78" s="599"/>
      <c r="AO78" s="617"/>
      <c r="AP78" s="618"/>
      <c r="AQ78" s="599"/>
      <c r="AR78" s="607"/>
      <c r="AS78" s="608"/>
      <c r="AT78" s="607"/>
      <c r="AU78" s="608"/>
      <c r="AW78" s="599"/>
      <c r="AX78" s="617"/>
      <c r="AY78" s="618"/>
      <c r="AZ78" s="599"/>
      <c r="BA78" s="607"/>
      <c r="BB78" s="608"/>
      <c r="BC78" s="607"/>
      <c r="BD78" s="608"/>
      <c r="BF78" s="631"/>
      <c r="BG78" s="622"/>
      <c r="BH78" s="605"/>
      <c r="BI78" s="598"/>
      <c r="BJ78" s="607"/>
      <c r="BK78" s="608"/>
      <c r="BL78" s="607"/>
      <c r="BM78" s="608"/>
      <c r="BO78" s="599"/>
      <c r="BP78" s="617"/>
      <c r="BQ78" s="618"/>
      <c r="BR78" s="599"/>
      <c r="BS78" s="607"/>
      <c r="BT78" s="608"/>
      <c r="BU78" s="607"/>
      <c r="BV78" s="608"/>
    </row>
    <row customHeight="true" hidden="true" ht="23.80952380952381" r="79">
      <c r="A79" s="564"/>
      <c r="B79" s="597">
        <f>IFERROR(VLOOKUP(C79,'字段信息'!A:C,3,),"")</f>
      </c>
      <c r="C79" s="598" t="s">
        <v>2481</v>
      </c>
      <c r="D79" s="599">
        <f>IFERROR(VLOOKUP(C79,'字段信息'!A:C,2,),"")</f>
      </c>
      <c r="E79" s="600"/>
      <c r="F79" s="600">
        <f t="shared" si="0"/>
      </c>
      <c r="G79" s="600" t="s">
        <v>2312</v>
      </c>
      <c r="H79" s="601"/>
      <c r="I79" s="601"/>
      <c r="J79" s="601"/>
      <c r="K79" s="601"/>
      <c r="L79" s="626"/>
      <c r="M79" s="689" t="s">
        <v>2449</v>
      </c>
      <c r="N79" s="690"/>
      <c r="O79" s="627"/>
      <c r="P79" s="631"/>
      <c r="Q79" s="607"/>
      <c r="R79" s="608"/>
      <c r="S79" s="607"/>
      <c r="T79" s="608"/>
      <c r="U79" s="589"/>
      <c r="V79" s="609"/>
      <c r="W79" s="619"/>
      <c r="X79" s="616"/>
      <c r="Y79" s="609"/>
      <c r="Z79" s="612"/>
      <c r="AA79" s="613"/>
      <c r="AB79" s="612"/>
      <c r="AC79" s="613"/>
      <c r="AD79" s="589"/>
      <c r="AE79" s="609"/>
      <c r="AF79" s="619"/>
      <c r="AG79" s="616"/>
      <c r="AH79" s="609"/>
      <c r="AI79" s="612"/>
      <c r="AJ79" s="613"/>
      <c r="AK79" s="612"/>
      <c r="AL79" s="613"/>
      <c r="AN79" s="599"/>
      <c r="AO79" s="617"/>
      <c r="AP79" s="618"/>
      <c r="AQ79" s="599"/>
      <c r="AR79" s="607"/>
      <c r="AS79" s="608"/>
      <c r="AT79" s="607"/>
      <c r="AU79" s="608"/>
      <c r="AW79" s="599"/>
      <c r="AX79" s="617"/>
      <c r="AY79" s="618"/>
      <c r="AZ79" s="599"/>
      <c r="BA79" s="607"/>
      <c r="BB79" s="608"/>
      <c r="BC79" s="607"/>
      <c r="BD79" s="608"/>
      <c r="BF79" s="631"/>
      <c r="BG79" s="622"/>
      <c r="BH79" s="605"/>
      <c r="BI79" s="598"/>
      <c r="BJ79" s="607"/>
      <c r="BK79" s="608"/>
      <c r="BL79" s="607"/>
      <c r="BM79" s="608"/>
      <c r="BO79" s="599"/>
      <c r="BP79" s="617"/>
      <c r="BQ79" s="618"/>
      <c r="BR79" s="599"/>
      <c r="BS79" s="607"/>
      <c r="BT79" s="608"/>
      <c r="BU79" s="607"/>
      <c r="BV79" s="608"/>
    </row>
    <row customHeight="true" hidden="true" ht="23.80952380952381" r="80">
      <c r="A80" s="692"/>
      <c r="B80" s="693">
        <f>IFERROR(VLOOKUP(C80,'字段信息'!A:C,3,),"")</f>
      </c>
      <c r="C80" s="694" t="s">
        <v>2482</v>
      </c>
      <c r="D80" s="695">
        <f>IFERROR(VLOOKUP(C80,'字段信息'!A:C,2,),"")</f>
      </c>
      <c r="E80" s="693"/>
      <c r="F80" s="693">
        <f t="shared" si="0"/>
      </c>
      <c r="G80" s="693" t="s">
        <v>2312</v>
      </c>
      <c r="H80" s="696"/>
      <c r="I80" s="696"/>
      <c r="J80" s="696"/>
      <c r="K80" s="696"/>
      <c r="L80" s="697"/>
      <c r="M80" s="698" t="s">
        <v>2299</v>
      </c>
      <c r="N80" s="699" t="s">
        <v>2303</v>
      </c>
      <c r="O80" s="700" t="s">
        <v>2327</v>
      </c>
      <c r="P80" s="695" t="s">
        <v>2482</v>
      </c>
      <c r="Q80" s="701"/>
      <c r="R80" s="702"/>
      <c r="S80" s="701"/>
      <c r="T80" s="702"/>
      <c r="U80" s="703"/>
      <c r="V80" s="704"/>
      <c r="W80" s="705"/>
      <c r="X80" s="706"/>
      <c r="Y80" s="707"/>
      <c r="Z80" s="708"/>
      <c r="AA80" s="709"/>
      <c r="AB80" s="708"/>
      <c r="AC80" s="709"/>
      <c r="AD80" s="703"/>
      <c r="AE80" s="707"/>
      <c r="AF80" s="705"/>
      <c r="AG80" s="706"/>
      <c r="AH80" s="707"/>
      <c r="AI80" s="708"/>
      <c r="AJ80" s="709"/>
      <c r="AK80" s="708"/>
      <c r="AL80" s="709"/>
      <c r="AM80" s="703"/>
      <c r="AN80" s="695"/>
      <c r="AO80" s="710"/>
      <c r="AP80" s="711"/>
      <c r="AQ80" s="695"/>
      <c r="AR80" s="701"/>
      <c r="AS80" s="702"/>
      <c r="AT80" s="701"/>
      <c r="AU80" s="702"/>
      <c r="AV80" s="703"/>
      <c r="AW80" s="695"/>
      <c r="AX80" s="710"/>
      <c r="AY80" s="711"/>
      <c r="AZ80" s="695"/>
      <c r="BA80" s="701"/>
      <c r="BB80" s="702"/>
      <c r="BC80" s="701"/>
      <c r="BD80" s="702"/>
      <c r="BE80" s="703"/>
      <c r="BF80" s="631"/>
      <c r="BG80" s="622"/>
      <c r="BH80" s="605"/>
      <c r="BI80" s="598"/>
      <c r="BJ80" s="607"/>
      <c r="BK80" s="608"/>
      <c r="BL80" s="607"/>
      <c r="BM80" s="608"/>
      <c r="BN80" s="703"/>
      <c r="BO80" s="695"/>
      <c r="BP80" s="710"/>
      <c r="BQ80" s="711"/>
      <c r="BR80" s="695"/>
      <c r="BS80" s="701"/>
      <c r="BT80" s="702"/>
      <c r="BU80" s="701"/>
      <c r="BV80" s="702"/>
      <c r="BW80" s="703"/>
    </row>
    <row customHeight="true" hidden="true" ht="23.80952380952381" r="81">
      <c r="A81" s="564"/>
      <c r="B81" s="597">
        <f>IFERROR(VLOOKUP(C81,'字段信息'!A:C,3,),"")</f>
      </c>
      <c r="C81" s="598" t="s">
        <v>2483</v>
      </c>
      <c r="D81" s="599">
        <f>IFERROR(VLOOKUP(C81,'字段信息'!A:C,2,),"")</f>
      </c>
      <c r="E81" s="600"/>
      <c r="F81" s="600">
        <f t="shared" si="0"/>
      </c>
      <c r="G81" s="600" t="s">
        <v>2312</v>
      </c>
      <c r="H81" s="601"/>
      <c r="I81" s="601"/>
      <c r="J81" s="601"/>
      <c r="K81" s="601"/>
      <c r="L81" s="626" t="s">
        <v>2313</v>
      </c>
      <c r="M81" s="712" t="s">
        <v>2299</v>
      </c>
      <c r="N81" s="690" t="s">
        <v>2303</v>
      </c>
      <c r="O81" s="627" t="s">
        <v>2327</v>
      </c>
      <c r="P81" s="631" t="s">
        <v>2483</v>
      </c>
      <c r="Q81" s="607"/>
      <c r="R81" s="608"/>
      <c r="S81" s="607"/>
      <c r="T81" s="608"/>
      <c r="U81" s="589"/>
      <c r="V81" s="609" t="s">
        <v>2484</v>
      </c>
      <c r="W81" s="688" t="s">
        <v>2303</v>
      </c>
      <c r="X81" s="616"/>
      <c r="Y81" s="609"/>
      <c r="Z81" s="612"/>
      <c r="AA81" s="613"/>
      <c r="AB81" s="612"/>
      <c r="AC81" s="613"/>
      <c r="AD81" s="589"/>
      <c r="AE81" s="609" t="s">
        <v>2485</v>
      </c>
      <c r="AF81" s="688"/>
      <c r="AG81" s="616"/>
      <c r="AH81" s="609"/>
      <c r="AI81" s="612"/>
      <c r="AJ81" s="613"/>
      <c r="AK81" s="612"/>
      <c r="AL81" s="613"/>
      <c r="AN81" s="635" t="s">
        <v>2486</v>
      </c>
      <c r="AO81" s="617"/>
      <c r="AP81" s="618"/>
      <c r="AQ81" s="635"/>
      <c r="AR81" s="607"/>
      <c r="AS81" s="608"/>
      <c r="AT81" s="607"/>
      <c r="AU81" s="608"/>
      <c r="AW81" s="635" t="s">
        <v>2487</v>
      </c>
      <c r="AX81" s="617"/>
      <c r="AY81" s="618"/>
      <c r="AZ81" s="635"/>
      <c r="BA81" s="607"/>
      <c r="BB81" s="608"/>
      <c r="BC81" s="607"/>
      <c r="BD81" s="608"/>
      <c r="BF81" s="621" t="s">
        <v>2299</v>
      </c>
      <c r="BG81" s="622" t="s">
        <v>2306</v>
      </c>
      <c r="BH81" s="605" t="s">
        <v>2307</v>
      </c>
      <c r="BI81" s="598" t="s">
        <v>2483</v>
      </c>
      <c r="BJ81" s="607"/>
      <c r="BK81" s="608"/>
      <c r="BL81" s="607"/>
      <c r="BM81" s="608"/>
      <c r="BO81" s="599"/>
      <c r="BP81" s="617"/>
      <c r="BQ81" s="618"/>
      <c r="BR81" s="599"/>
      <c r="BS81" s="607"/>
      <c r="BT81" s="608"/>
      <c r="BU81" s="607"/>
      <c r="BV81" s="608"/>
    </row>
    <row hidden="true" r="82">
      <c r="A82" s="564"/>
      <c r="B82" s="597">
        <f>IFERROR(VLOOKUP(C82,'字段信息'!A:C,3,),"")</f>
      </c>
      <c r="C82" s="598" t="s">
        <v>2488</v>
      </c>
      <c r="D82" s="599">
        <f>IFERROR(VLOOKUP(C82,'字段信息'!A:C,2,),"")</f>
      </c>
      <c r="E82" s="600"/>
      <c r="F82" s="600">
        <f t="shared" si="0"/>
      </c>
      <c r="G82" s="600" t="s">
        <v>2312</v>
      </c>
      <c r="H82" s="601"/>
      <c r="I82" s="601"/>
      <c r="J82" s="601"/>
      <c r="K82" s="601"/>
      <c r="L82" s="626" t="s">
        <v>2313</v>
      </c>
      <c r="M82" s="713" t="s">
        <v>2489</v>
      </c>
      <c r="N82" s="690"/>
      <c r="O82" s="627"/>
      <c r="P82" s="631"/>
      <c r="Q82" s="607"/>
      <c r="R82" s="608"/>
      <c r="S82" s="607"/>
      <c r="T82" s="608"/>
      <c r="U82" s="589"/>
      <c r="V82" s="613" t="s">
        <v>2490</v>
      </c>
      <c r="W82" s="688" t="s">
        <v>2303</v>
      </c>
      <c r="X82" s="616"/>
      <c r="Y82" s="609"/>
      <c r="Z82" s="612"/>
      <c r="AA82" s="613"/>
      <c r="AB82" s="612"/>
      <c r="AC82" s="613"/>
      <c r="AD82" s="589"/>
      <c r="AE82" s="616" t="s">
        <v>2491</v>
      </c>
      <c r="AF82" s="688"/>
      <c r="AG82" s="616"/>
      <c r="AH82" s="609" t="s">
        <v>2492</v>
      </c>
      <c r="AI82" s="612"/>
      <c r="AJ82" s="613"/>
      <c r="AK82" s="612"/>
      <c r="AL82" s="613"/>
      <c r="AN82" s="631" t="s">
        <v>2493</v>
      </c>
      <c r="AO82" s="617"/>
      <c r="AP82" s="618"/>
      <c r="AQ82" s="631"/>
      <c r="AR82" s="607"/>
      <c r="AS82" s="608"/>
      <c r="AT82" s="607"/>
      <c r="AU82" s="608"/>
      <c r="AW82" s="631" t="s">
        <v>2493</v>
      </c>
      <c r="AX82" s="617"/>
      <c r="AY82" s="618"/>
      <c r="AZ82" s="631"/>
      <c r="BA82" s="607"/>
      <c r="BB82" s="608"/>
      <c r="BC82" s="607"/>
      <c r="BD82" s="608"/>
      <c r="BF82" s="621" t="s">
        <v>2494</v>
      </c>
      <c r="BG82" s="622"/>
      <c r="BH82" s="605"/>
      <c r="BI82" s="598"/>
      <c r="BJ82" s="607"/>
      <c r="BK82" s="608"/>
      <c r="BL82" s="607"/>
      <c r="BM82" s="608"/>
      <c r="BO82" s="631" t="s">
        <v>2495</v>
      </c>
      <c r="BP82" s="617"/>
      <c r="BQ82" s="618"/>
      <c r="BR82" s="598"/>
      <c r="BS82" s="607"/>
      <c r="BT82" s="608"/>
      <c r="BU82" s="607"/>
      <c r="BV82" s="608"/>
    </row>
    <row customHeight="true" hidden="true" ht="23.80952380952381" r="83">
      <c r="A83" s="564"/>
      <c r="B83" s="597">
        <f>IFERROR(VLOOKUP(C83,'字段信息'!A:C,3,),"")</f>
      </c>
      <c r="C83" s="598" t="s">
        <v>2496</v>
      </c>
      <c r="D83" s="599">
        <f>IFERROR(VLOOKUP(C83,'字段信息'!A:C,2,),"")</f>
      </c>
      <c r="E83" s="600"/>
      <c r="F83" s="600">
        <f t="shared" si="0"/>
      </c>
      <c r="G83" s="600" t="s">
        <v>2312</v>
      </c>
      <c r="H83" s="601"/>
      <c r="I83" s="601"/>
      <c r="J83" s="601"/>
      <c r="K83" s="601"/>
      <c r="L83" s="626" t="s">
        <v>2313</v>
      </c>
      <c r="M83" s="712" t="s">
        <v>2497</v>
      </c>
      <c r="N83" s="690" t="s">
        <v>2303</v>
      </c>
      <c r="O83" s="627"/>
      <c r="P83" s="631"/>
      <c r="Q83" s="607"/>
      <c r="R83" s="608"/>
      <c r="S83" s="607"/>
      <c r="T83" s="608"/>
      <c r="U83" s="589"/>
      <c r="V83" s="637" t="s">
        <v>2497</v>
      </c>
      <c r="W83" s="619" t="s">
        <v>2303</v>
      </c>
      <c r="X83" s="616"/>
      <c r="Y83" s="609"/>
      <c r="Z83" s="612"/>
      <c r="AA83" s="613"/>
      <c r="AB83" s="612"/>
      <c r="AC83" s="613"/>
      <c r="AD83" s="589"/>
      <c r="AE83" s="609" t="s">
        <v>2497</v>
      </c>
      <c r="AF83" s="688" t="s">
        <v>2303</v>
      </c>
      <c r="AG83" s="615" t="s">
        <v>2301</v>
      </c>
      <c r="AH83" s="609" t="s">
        <v>2496</v>
      </c>
      <c r="AI83" s="612"/>
      <c r="AJ83" s="613"/>
      <c r="AK83" s="612"/>
      <c r="AL83" s="613"/>
      <c r="AN83" s="635" t="s">
        <v>2498</v>
      </c>
      <c r="AO83" s="617" t="s">
        <v>2303</v>
      </c>
      <c r="AP83" s="618"/>
      <c r="AQ83" s="601"/>
      <c r="AR83" s="607"/>
      <c r="AS83" s="608"/>
      <c r="AT83" s="607"/>
      <c r="AU83" s="608"/>
      <c r="AW83" s="635" t="s">
        <v>2498</v>
      </c>
      <c r="AX83" s="617" t="s">
        <v>2303</v>
      </c>
      <c r="AY83" s="618"/>
      <c r="AZ83" s="601"/>
      <c r="BA83" s="607"/>
      <c r="BB83" s="608"/>
      <c r="BC83" s="607"/>
      <c r="BD83" s="608"/>
      <c r="BF83" s="631"/>
      <c r="BG83" s="622"/>
      <c r="BH83" s="605"/>
      <c r="BI83" s="598"/>
      <c r="BJ83" s="607"/>
      <c r="BK83" s="608"/>
      <c r="BL83" s="607"/>
      <c r="BM83" s="608"/>
      <c r="BO83" s="631" t="s">
        <v>2499</v>
      </c>
      <c r="BP83" s="617"/>
      <c r="BQ83" s="618"/>
      <c r="BR83" s="599"/>
      <c r="BS83" s="607"/>
      <c r="BT83" s="608"/>
      <c r="BU83" s="607"/>
      <c r="BV83" s="608"/>
    </row>
    <row customHeight="true" hidden="true" ht="23.80952380952381" r="84">
      <c r="A84" s="564"/>
      <c r="B84" s="597">
        <f>IFERROR(VLOOKUP(C84,'字段信息'!A:C,3,),"")</f>
      </c>
      <c r="C84" s="639" t="s">
        <v>2500</v>
      </c>
      <c r="D84" s="599">
        <f>IFERROR(VLOOKUP(C84,'字段信息'!A:C,2,),"")</f>
      </c>
      <c r="E84" s="600"/>
      <c r="F84" s="600">
        <f t="shared" si="0"/>
      </c>
      <c r="G84" s="600" t="s">
        <v>2312</v>
      </c>
      <c r="H84" s="601"/>
      <c r="I84" s="601"/>
      <c r="J84" s="601"/>
      <c r="K84" s="601"/>
      <c r="L84" s="626"/>
      <c r="M84" s="712"/>
      <c r="N84" s="690"/>
      <c r="O84" s="627"/>
      <c r="P84" s="631"/>
      <c r="Q84" s="607"/>
      <c r="R84" s="608"/>
      <c r="S84" s="607"/>
      <c r="T84" s="608"/>
      <c r="U84" s="589"/>
      <c r="V84" s="609"/>
      <c r="W84" s="619"/>
      <c r="X84" s="616"/>
      <c r="Y84" s="609"/>
      <c r="Z84" s="612"/>
      <c r="AA84" s="613"/>
      <c r="AB84" s="612"/>
      <c r="AC84" s="613"/>
      <c r="AD84" s="589"/>
      <c r="AE84" s="637"/>
      <c r="AF84" s="619"/>
      <c r="AG84" s="616"/>
      <c r="AH84" s="609"/>
      <c r="AI84" s="612"/>
      <c r="AJ84" s="613"/>
      <c r="AK84" s="612"/>
      <c r="AL84" s="613"/>
      <c r="AN84" s="631" t="s">
        <v>2299</v>
      </c>
      <c r="AO84" s="655" t="s">
        <v>2303</v>
      </c>
      <c r="AP84" s="714" t="s">
        <v>2332</v>
      </c>
      <c r="AQ84" s="635" t="s">
        <v>2501</v>
      </c>
      <c r="AR84" s="607"/>
      <c r="AS84" s="608"/>
      <c r="AT84" s="607"/>
      <c r="AU84" s="608"/>
      <c r="AW84" s="631" t="s">
        <v>2299</v>
      </c>
      <c r="AX84" s="617" t="s">
        <v>2303</v>
      </c>
      <c r="AY84" s="618"/>
      <c r="AZ84" s="635"/>
      <c r="BA84" s="607"/>
      <c r="BB84" s="607"/>
      <c r="BC84" s="607"/>
      <c r="BD84" s="608"/>
      <c r="BF84" s="631"/>
      <c r="BG84" s="622"/>
      <c r="BH84" s="605"/>
      <c r="BI84" s="598"/>
      <c r="BJ84" s="607"/>
      <c r="BK84" s="608"/>
      <c r="BL84" s="607"/>
      <c r="BM84" s="608"/>
      <c r="BO84" s="599"/>
      <c r="BP84" s="617"/>
      <c r="BQ84" s="618"/>
      <c r="BR84" s="639"/>
      <c r="BS84" s="607"/>
      <c r="BT84" s="608"/>
      <c r="BU84" s="607"/>
      <c r="BV84" s="608"/>
    </row>
    <row customHeight="true" hidden="true" ht="23.80952380952381" r="85">
      <c r="A85" s="564"/>
      <c r="B85" s="597">
        <f>IFERROR(VLOOKUP(C85,'字段信息'!A:C,3,),"")</f>
      </c>
      <c r="C85" s="563" t="s">
        <v>2502</v>
      </c>
      <c r="D85" s="599">
        <f>IFERROR(VLOOKUP(C85,'字段信息'!A:C,2,),"")</f>
      </c>
      <c r="E85" s="600"/>
      <c r="F85" s="600">
        <f t="shared" si="0"/>
      </c>
      <c r="G85" s="600" t="s">
        <v>2312</v>
      </c>
      <c r="H85" s="601"/>
      <c r="I85" s="601"/>
      <c r="J85" s="601"/>
      <c r="K85" s="601"/>
      <c r="L85" s="626"/>
      <c r="M85" s="712"/>
      <c r="N85" s="690"/>
      <c r="O85" s="627"/>
      <c r="P85" s="631"/>
      <c r="Q85" s="607"/>
      <c r="R85" s="608"/>
      <c r="S85" s="607"/>
      <c r="T85" s="608"/>
      <c r="U85" s="589"/>
      <c r="V85" s="609"/>
      <c r="W85" s="619"/>
      <c r="X85" s="616"/>
      <c r="Y85" s="609"/>
      <c r="Z85" s="612"/>
      <c r="AA85" s="613"/>
      <c r="AB85" s="612"/>
      <c r="AC85" s="613"/>
      <c r="AD85" s="589"/>
      <c r="AE85" s="609"/>
      <c r="AF85" s="619"/>
      <c r="AG85" s="616"/>
      <c r="AH85" s="609"/>
      <c r="AI85" s="612"/>
      <c r="AJ85" s="613"/>
      <c r="AK85" s="612"/>
      <c r="AL85" s="613"/>
      <c r="AN85" s="599"/>
      <c r="AO85" s="617"/>
      <c r="AP85" s="618"/>
      <c r="AQ85" s="563"/>
      <c r="AR85" s="607"/>
      <c r="AS85" s="608"/>
      <c r="AT85" s="607"/>
      <c r="AU85" s="608"/>
      <c r="AW85" s="631" t="s">
        <v>2299</v>
      </c>
      <c r="AX85" s="617" t="s">
        <v>2303</v>
      </c>
      <c r="AY85" s="618" t="s">
        <v>2304</v>
      </c>
      <c r="AZ85" s="635" t="s">
        <v>2503</v>
      </c>
      <c r="BA85" s="607"/>
      <c r="BB85" s="691" t="s">
        <v>2504</v>
      </c>
      <c r="BC85" s="607"/>
      <c r="BD85" s="608"/>
      <c r="BF85" s="631"/>
      <c r="BG85" s="622"/>
      <c r="BH85" s="605"/>
      <c r="BI85" s="598"/>
      <c r="BJ85" s="607"/>
      <c r="BK85" s="608"/>
      <c r="BL85" s="607"/>
      <c r="BM85" s="608"/>
      <c r="BO85" s="599"/>
      <c r="BP85" s="617"/>
      <c r="BQ85" s="618"/>
      <c r="BR85" s="563"/>
      <c r="BS85" s="607"/>
      <c r="BT85" s="608"/>
      <c r="BU85" s="607"/>
      <c r="BV85" s="608"/>
    </row>
    <row customHeight="true" hidden="true" ht="23.80952380952381" r="86">
      <c r="A86" s="564"/>
      <c r="B86" s="597">
        <f>IFERROR(VLOOKUP(C86,'字段信息'!A:C,3,),"")</f>
      </c>
      <c r="C86" s="598" t="s">
        <v>2505</v>
      </c>
      <c r="D86" s="599">
        <f>IFERROR(VLOOKUP(C86,'字段信息'!A:C,2,),"")</f>
      </c>
      <c r="E86" s="600"/>
      <c r="F86" s="600">
        <f t="shared" si="0"/>
      </c>
      <c r="G86" s="600" t="s">
        <v>2312</v>
      </c>
      <c r="H86" s="601"/>
      <c r="I86" s="601"/>
      <c r="J86" s="601"/>
      <c r="K86" s="601"/>
      <c r="L86" s="626"/>
      <c r="M86" s="712"/>
      <c r="N86" s="690"/>
      <c r="O86" s="627"/>
      <c r="P86" s="631"/>
      <c r="Q86" s="607"/>
      <c r="R86" s="608"/>
      <c r="S86" s="607"/>
      <c r="T86" s="608"/>
      <c r="U86" s="589"/>
      <c r="V86" s="609"/>
      <c r="W86" s="619"/>
      <c r="X86" s="616"/>
      <c r="Y86" s="609"/>
      <c r="Z86" s="612"/>
      <c r="AA86" s="613"/>
      <c r="AB86" s="612"/>
      <c r="AC86" s="613"/>
      <c r="AD86" s="589"/>
      <c r="AE86" s="609"/>
      <c r="AF86" s="619"/>
      <c r="AG86" s="616"/>
      <c r="AH86" s="609"/>
      <c r="AI86" s="612"/>
      <c r="AJ86" s="613"/>
      <c r="AK86" s="612"/>
      <c r="AL86" s="613"/>
      <c r="AN86" s="599"/>
      <c r="AO86" s="617"/>
      <c r="AP86" s="618"/>
      <c r="AQ86" s="598"/>
      <c r="AR86" s="607"/>
      <c r="AS86" s="608"/>
      <c r="AT86" s="607"/>
      <c r="AU86" s="608"/>
      <c r="AW86" s="599"/>
      <c r="AX86" s="617"/>
      <c r="AY86" s="618"/>
      <c r="AZ86" s="598"/>
      <c r="BA86" s="607"/>
      <c r="BB86" s="608"/>
      <c r="BC86" s="607"/>
      <c r="BD86" s="608"/>
      <c r="BF86" s="631"/>
      <c r="BG86" s="622"/>
      <c r="BH86" s="605"/>
      <c r="BI86" s="598"/>
      <c r="BJ86" s="607"/>
      <c r="BK86" s="608"/>
      <c r="BL86" s="607"/>
      <c r="BM86" s="608"/>
      <c r="BO86" s="599"/>
      <c r="BP86" s="617"/>
      <c r="BQ86" s="618"/>
      <c r="BR86" s="598"/>
      <c r="BS86" s="607"/>
      <c r="BT86" s="608"/>
      <c r="BU86" s="607"/>
      <c r="BV86" s="608"/>
    </row>
    <row hidden="true" r="87">
      <c r="A87" s="564"/>
      <c r="B87" s="715">
        <f>IFERROR(VLOOKUP(C87,'字段信息'!A:C,3,),"")</f>
      </c>
      <c r="C87" s="598" t="s">
        <v>2506</v>
      </c>
      <c r="D87" s="599">
        <f>IFERROR(VLOOKUP(C86,'字段信息'!A:C,2,),"")</f>
      </c>
      <c r="E87" s="600"/>
      <c r="F87" s="716">
        <f t="shared" si="0"/>
      </c>
      <c r="G87" s="600" t="s">
        <v>2312</v>
      </c>
      <c r="H87" s="601"/>
      <c r="I87" s="601"/>
      <c r="J87" s="601"/>
      <c r="K87" s="601"/>
      <c r="L87" s="602"/>
      <c r="M87" s="621" t="s">
        <v>2507</v>
      </c>
      <c r="N87" s="690" t="s">
        <v>2303</v>
      </c>
      <c r="O87" s="627" t="s">
        <v>2508</v>
      </c>
      <c r="P87" s="631" t="s">
        <v>2506</v>
      </c>
      <c r="Q87" s="607"/>
      <c r="R87" s="608"/>
      <c r="S87" s="607"/>
      <c r="T87" s="608"/>
      <c r="U87" s="589"/>
      <c r="V87" s="609"/>
      <c r="W87" s="619"/>
      <c r="X87" s="616"/>
      <c r="Y87" s="609"/>
      <c r="Z87" s="612"/>
      <c r="AA87" s="613"/>
      <c r="AB87" s="612"/>
      <c r="AC87" s="613"/>
      <c r="AD87" s="589"/>
      <c r="AE87" s="609"/>
      <c r="AF87" s="619"/>
      <c r="AG87" s="616"/>
      <c r="AH87" s="609"/>
      <c r="AI87" s="612"/>
      <c r="AJ87" s="613"/>
      <c r="AK87" s="612"/>
      <c r="AL87" s="613"/>
      <c r="AN87" s="599"/>
      <c r="AO87" s="617"/>
      <c r="AP87" s="618"/>
      <c r="AQ87" s="599"/>
      <c r="AR87" s="607"/>
      <c r="AS87" s="608"/>
      <c r="AT87" s="607"/>
      <c r="AU87" s="608"/>
      <c r="AW87" s="599"/>
      <c r="AX87" s="617"/>
      <c r="AY87" s="618"/>
      <c r="AZ87" s="599"/>
      <c r="BA87" s="607"/>
      <c r="BB87" s="608"/>
      <c r="BC87" s="607"/>
      <c r="BD87" s="608"/>
      <c r="BF87" s="631"/>
      <c r="BG87" s="622"/>
      <c r="BH87" s="605"/>
      <c r="BI87" s="598"/>
      <c r="BJ87" s="607"/>
      <c r="BK87" s="608"/>
      <c r="BL87" s="607"/>
      <c r="BM87" s="608"/>
      <c r="BO87" s="599"/>
      <c r="BP87" s="617"/>
      <c r="BQ87" s="618"/>
      <c r="BR87" s="599"/>
      <c r="BS87" s="607"/>
      <c r="BT87" s="608"/>
      <c r="BU87" s="607"/>
      <c r="BV87" s="608"/>
    </row>
    <row hidden="true" r="88">
      <c r="A88" s="564"/>
      <c r="B88" s="715">
        <f>IFERROR(VLOOKUP(C88,'字段信息'!A:C,3,),"")</f>
      </c>
      <c r="C88" s="598" t="s">
        <v>2509</v>
      </c>
      <c r="D88" s="631" t="s">
        <v>2510</v>
      </c>
      <c r="E88" s="600"/>
      <c r="F88" s="716">
        <f t="shared" si="0"/>
      </c>
      <c r="G88" s="600" t="s">
        <v>2312</v>
      </c>
      <c r="H88" s="601"/>
      <c r="I88" s="601"/>
      <c r="J88" s="601"/>
      <c r="K88" s="601"/>
      <c r="L88" s="602"/>
      <c r="M88" s="631" t="s">
        <v>2299</v>
      </c>
      <c r="N88" s="690" t="s">
        <v>2303</v>
      </c>
      <c r="O88" s="627" t="s">
        <v>2327</v>
      </c>
      <c r="P88" s="621" t="s">
        <v>2509</v>
      </c>
      <c r="Q88" s="607"/>
      <c r="R88" s="608"/>
      <c r="S88" s="607"/>
      <c r="T88" s="608"/>
      <c r="U88" s="589"/>
      <c r="V88" s="631" t="s">
        <v>2511</v>
      </c>
      <c r="W88" s="690" t="s">
        <v>2303</v>
      </c>
      <c r="X88" s="616" t="s">
        <v>2512</v>
      </c>
      <c r="Y88" s="621" t="s">
        <v>2509</v>
      </c>
      <c r="Z88" s="612"/>
      <c r="AA88" s="613"/>
      <c r="AB88" s="612"/>
      <c r="AC88" s="613"/>
      <c r="AD88" s="589"/>
      <c r="AE88" s="609"/>
      <c r="AF88" s="619"/>
      <c r="AG88" s="616"/>
      <c r="AH88" s="609"/>
      <c r="AI88" s="612"/>
      <c r="AJ88" s="613"/>
      <c r="AK88" s="612"/>
      <c r="AL88" s="613"/>
      <c r="AN88" s="599"/>
      <c r="AO88" s="617"/>
      <c r="AP88" s="618"/>
      <c r="AQ88" s="599"/>
      <c r="AR88" s="607"/>
      <c r="AS88" s="608"/>
      <c r="AT88" s="607"/>
      <c r="AU88" s="608"/>
      <c r="AW88" s="599"/>
      <c r="AX88" s="617"/>
      <c r="AY88" s="618"/>
      <c r="AZ88" s="599"/>
      <c r="BA88" s="607"/>
      <c r="BB88" s="608"/>
      <c r="BC88" s="607"/>
      <c r="BD88" s="608"/>
      <c r="BF88" s="631"/>
      <c r="BG88" s="622"/>
      <c r="BH88" s="605"/>
      <c r="BI88" s="598"/>
      <c r="BJ88" s="607"/>
      <c r="BK88" s="608"/>
      <c r="BL88" s="607"/>
      <c r="BM88" s="608"/>
      <c r="BO88" s="599"/>
      <c r="BP88" s="617"/>
      <c r="BQ88" s="618"/>
      <c r="BR88" s="599"/>
      <c r="BS88" s="607"/>
      <c r="BT88" s="608"/>
      <c r="BU88" s="607"/>
      <c r="BV88" s="608"/>
    </row>
    <row hidden="true" r="89">
      <c r="A89" s="564"/>
      <c r="B89" s="715">
        <f>IFERROR(VLOOKUP(C89,'字段信息'!A:C,3,),"")</f>
      </c>
      <c r="C89" s="598" t="s">
        <v>2513</v>
      </c>
      <c r="D89" s="631" t="s">
        <v>2510</v>
      </c>
      <c r="E89" s="600"/>
      <c r="F89" s="716">
        <f t="shared" si="0"/>
      </c>
      <c r="G89" s="600" t="s">
        <v>2312</v>
      </c>
      <c r="H89" s="601"/>
      <c r="I89" s="601"/>
      <c r="J89" s="601"/>
      <c r="K89" s="601"/>
      <c r="L89" s="602"/>
      <c r="M89" s="631" t="s">
        <v>2299</v>
      </c>
      <c r="N89" s="690" t="s">
        <v>2303</v>
      </c>
      <c r="O89" s="627" t="s">
        <v>2327</v>
      </c>
      <c r="P89" s="621" t="s">
        <v>2513</v>
      </c>
      <c r="Q89" s="607"/>
      <c r="R89" s="608"/>
      <c r="S89" s="607"/>
      <c r="T89" s="608"/>
      <c r="U89" s="589"/>
      <c r="V89" s="631" t="s">
        <v>2514</v>
      </c>
      <c r="W89" s="690" t="s">
        <v>2303</v>
      </c>
      <c r="X89" s="616" t="s">
        <v>2512</v>
      </c>
      <c r="Y89" s="621" t="s">
        <v>2513</v>
      </c>
      <c r="Z89" s="612"/>
      <c r="AA89" s="613"/>
      <c r="AB89" s="612"/>
      <c r="AC89" s="613"/>
      <c r="AD89" s="589"/>
      <c r="AE89" s="609"/>
      <c r="AF89" s="619"/>
      <c r="AG89" s="616"/>
      <c r="AH89" s="609"/>
      <c r="AI89" s="612"/>
      <c r="AJ89" s="613"/>
      <c r="AK89" s="612"/>
      <c r="AL89" s="613"/>
      <c r="AN89" s="599"/>
      <c r="AO89" s="617"/>
      <c r="AP89" s="618"/>
      <c r="AQ89" s="599"/>
      <c r="AR89" s="607"/>
      <c r="AS89" s="608"/>
      <c r="AT89" s="607"/>
      <c r="AU89" s="608"/>
      <c r="AW89" s="599"/>
      <c r="AX89" s="617"/>
      <c r="AY89" s="618"/>
      <c r="AZ89" s="599"/>
      <c r="BA89" s="607"/>
      <c r="BB89" s="608"/>
      <c r="BC89" s="607"/>
      <c r="BD89" s="608"/>
      <c r="BF89" s="631"/>
      <c r="BG89" s="622"/>
      <c r="BH89" s="605"/>
      <c r="BI89" s="598"/>
      <c r="BJ89" s="607"/>
      <c r="BK89" s="608"/>
      <c r="BL89" s="607"/>
      <c r="BM89" s="608"/>
      <c r="BO89" s="599"/>
      <c r="BP89" s="617"/>
      <c r="BQ89" s="618"/>
      <c r="BR89" s="599"/>
      <c r="BS89" s="607"/>
      <c r="BT89" s="608"/>
      <c r="BU89" s="607"/>
      <c r="BV89" s="608"/>
    </row>
    <row hidden="true" r="90">
      <c r="A90" s="564"/>
      <c r="B90" s="715">
        <f>IFERROR(VLOOKUP(C90,'字段信息'!A:C,3,),"")</f>
      </c>
      <c r="C90" s="598" t="s">
        <v>2515</v>
      </c>
      <c r="D90" s="631" t="s">
        <v>2510</v>
      </c>
      <c r="E90" s="600"/>
      <c r="F90" s="716">
        <f t="shared" si="0"/>
      </c>
      <c r="G90" s="717" t="s">
        <v>2312</v>
      </c>
      <c r="H90" s="718"/>
      <c r="I90" s="718"/>
      <c r="J90" s="718"/>
      <c r="K90" s="718"/>
      <c r="L90" s="719"/>
      <c r="M90" s="631" t="s">
        <v>2299</v>
      </c>
      <c r="N90" s="690" t="s">
        <v>2303</v>
      </c>
      <c r="O90" s="627" t="s">
        <v>2327</v>
      </c>
      <c r="P90" s="621" t="s">
        <v>2515</v>
      </c>
      <c r="Q90" s="607"/>
      <c r="R90" s="608"/>
      <c r="S90" s="607"/>
      <c r="T90" s="608"/>
      <c r="U90" s="589"/>
      <c r="V90" s="631" t="s">
        <v>2514</v>
      </c>
      <c r="W90" s="690" t="s">
        <v>2303</v>
      </c>
      <c r="X90" s="616" t="s">
        <v>2512</v>
      </c>
      <c r="Y90" s="621" t="s">
        <v>2515</v>
      </c>
      <c r="Z90" s="612"/>
      <c r="AA90" s="613"/>
      <c r="AB90" s="612"/>
      <c r="AC90" s="613"/>
      <c r="AD90" s="589"/>
      <c r="AE90" s="609"/>
      <c r="AF90" s="619"/>
      <c r="AG90" s="616"/>
      <c r="AH90" s="609"/>
      <c r="AI90" s="612"/>
      <c r="AJ90" s="613"/>
      <c r="AK90" s="612"/>
      <c r="AL90" s="613"/>
      <c r="AN90" s="599"/>
      <c r="AO90" s="617"/>
      <c r="AP90" s="618"/>
      <c r="AQ90" s="599"/>
      <c r="AR90" s="607"/>
      <c r="AS90" s="608"/>
      <c r="AT90" s="607"/>
      <c r="AU90" s="608"/>
      <c r="AW90" s="599"/>
      <c r="AX90" s="617"/>
      <c r="AY90" s="618"/>
      <c r="AZ90" s="599"/>
      <c r="BA90" s="607"/>
      <c r="BB90" s="608"/>
      <c r="BC90" s="607"/>
      <c r="BD90" s="608"/>
      <c r="BF90" s="631"/>
      <c r="BG90" s="622"/>
      <c r="BH90" s="605"/>
      <c r="BI90" s="598"/>
      <c r="BJ90" s="607"/>
      <c r="BK90" s="608"/>
      <c r="BL90" s="607"/>
      <c r="BM90" s="608"/>
      <c r="BO90" s="599"/>
      <c r="BP90" s="617"/>
      <c r="BQ90" s="618"/>
      <c r="BR90" s="599"/>
      <c r="BS90" s="607"/>
      <c r="BT90" s="608"/>
      <c r="BU90" s="607"/>
      <c r="BV90" s="608"/>
    </row>
    <row hidden="true" r="91">
      <c r="A91" s="564"/>
      <c r="B91" s="715">
        <f>IFERROR(VLOOKUP(C91,'字段信息'!A:C,3,),"")</f>
      </c>
      <c r="C91" s="598" t="s">
        <v>2516</v>
      </c>
      <c r="D91" s="599">
        <f>IFERROR(VLOOKUP(C91,'字段信息'!A:C,2,),"")</f>
      </c>
      <c r="E91" s="600"/>
      <c r="F91" s="720">
        <f t="shared" si="0"/>
      </c>
      <c r="G91" s="721" t="s">
        <v>2312</v>
      </c>
      <c r="H91" s="722"/>
      <c r="I91" s="722"/>
      <c r="J91" s="722"/>
      <c r="K91" s="722"/>
      <c r="L91" s="723"/>
      <c r="M91" s="609" t="s">
        <v>2517</v>
      </c>
      <c r="N91" s="724" t="s">
        <v>2303</v>
      </c>
      <c r="O91" s="605" t="s">
        <v>2518</v>
      </c>
      <c r="P91" s="621"/>
      <c r="Q91" s="607"/>
      <c r="R91" s="608"/>
      <c r="S91" s="607"/>
      <c r="T91" s="608"/>
      <c r="U91" s="589"/>
      <c r="V91" s="609"/>
      <c r="W91" s="619"/>
      <c r="X91" s="616"/>
      <c r="Y91" s="609"/>
      <c r="Z91" s="612"/>
      <c r="AA91" s="613"/>
      <c r="AB91" s="612"/>
      <c r="AC91" s="613"/>
      <c r="AD91" s="589"/>
      <c r="AE91" s="609"/>
      <c r="AF91" s="619"/>
      <c r="AG91" s="616"/>
      <c r="AH91" s="609"/>
      <c r="AI91" s="612"/>
      <c r="AJ91" s="613"/>
      <c r="AK91" s="612"/>
      <c r="AL91" s="613"/>
      <c r="AN91" s="599"/>
      <c r="AO91" s="617"/>
      <c r="AP91" s="618"/>
      <c r="AQ91" s="599"/>
      <c r="AR91" s="607"/>
      <c r="AS91" s="608"/>
      <c r="AT91" s="607"/>
      <c r="AU91" s="608"/>
      <c r="AW91" s="599"/>
      <c r="AX91" s="617"/>
      <c r="AY91" s="618"/>
      <c r="AZ91" s="599"/>
      <c r="BA91" s="607"/>
      <c r="BB91" s="608"/>
      <c r="BC91" s="607"/>
      <c r="BD91" s="608"/>
      <c r="BF91" s="631"/>
      <c r="BG91" s="622"/>
      <c r="BH91" s="605"/>
      <c r="BI91" s="598"/>
      <c r="BJ91" s="607"/>
      <c r="BK91" s="608"/>
      <c r="BL91" s="607"/>
      <c r="BM91" s="608"/>
      <c r="BO91" s="599"/>
      <c r="BP91" s="617"/>
      <c r="BQ91" s="618"/>
      <c r="BR91" s="599"/>
      <c r="BS91" s="607"/>
      <c r="BT91" s="608"/>
      <c r="BU91" s="607"/>
      <c r="BV91" s="608"/>
    </row>
    <row hidden="true" r="92">
      <c r="A92" s="564"/>
      <c r="B92" s="597">
        <f>IFERROR(VLOOKUP(C92,'字段信息'!A:C,3,),"")</f>
      </c>
      <c r="C92" s="598" t="s">
        <v>2519</v>
      </c>
      <c r="D92" s="599">
        <f>IFERROR(VLOOKUP(C92,'字段信息'!A:C,2,),"")</f>
      </c>
      <c r="E92" s="600"/>
      <c r="F92" s="725">
        <f t="shared" si="0"/>
      </c>
      <c r="G92" s="721" t="s">
        <v>2312</v>
      </c>
      <c r="H92" s="726"/>
      <c r="I92" s="726"/>
      <c r="J92" s="726"/>
      <c r="K92" s="726"/>
      <c r="L92" s="727"/>
      <c r="M92" s="728" t="s">
        <v>2520</v>
      </c>
      <c r="N92" s="690" t="s">
        <v>2303</v>
      </c>
      <c r="O92" s="627" t="s">
        <v>2521</v>
      </c>
      <c r="P92" s="631"/>
      <c r="Q92" s="607"/>
      <c r="R92" s="608"/>
      <c r="S92" s="607"/>
      <c r="T92" s="608"/>
      <c r="U92" s="589"/>
      <c r="V92" s="609"/>
      <c r="W92" s="619"/>
      <c r="X92" s="616"/>
      <c r="Y92" s="609"/>
      <c r="Z92" s="612"/>
      <c r="AA92" s="613"/>
      <c r="AB92" s="612"/>
      <c r="AC92" s="613"/>
      <c r="AD92" s="589"/>
      <c r="AE92" s="609"/>
      <c r="AF92" s="619"/>
      <c r="AG92" s="616"/>
      <c r="AH92" s="609"/>
      <c r="AI92" s="612"/>
      <c r="AJ92" s="613"/>
      <c r="AK92" s="612"/>
      <c r="AL92" s="613"/>
      <c r="AN92" s="599"/>
      <c r="AO92" s="617"/>
      <c r="AP92" s="618"/>
      <c r="AQ92" s="599"/>
      <c r="AR92" s="607"/>
      <c r="AS92" s="608"/>
      <c r="AT92" s="607"/>
      <c r="AU92" s="608"/>
      <c r="AW92" s="599"/>
      <c r="AX92" s="617"/>
      <c r="AY92" s="618"/>
      <c r="AZ92" s="599"/>
      <c r="BA92" s="607"/>
      <c r="BB92" s="608"/>
      <c r="BC92" s="607"/>
      <c r="BD92" s="608"/>
      <c r="BF92" s="631"/>
      <c r="BG92" s="622"/>
      <c r="BH92" s="605"/>
      <c r="BI92" s="598"/>
      <c r="BJ92" s="607"/>
      <c r="BK92" s="608"/>
      <c r="BL92" s="607"/>
      <c r="BM92" s="608"/>
      <c r="BO92" s="599"/>
      <c r="BP92" s="617"/>
      <c r="BQ92" s="618"/>
      <c r="BR92" s="599"/>
      <c r="BS92" s="607"/>
      <c r="BT92" s="608"/>
      <c r="BU92" s="607"/>
      <c r="BV92" s="608"/>
    </row>
    <row customHeight="true" ht="23.80952380952381" r="93">
      <c r="A93" s="564"/>
      <c r="B93" s="729">
        <f>IFERROR(VLOOKUP(C93,'字段信息'!A:C,3,),"")</f>
      </c>
      <c r="C93" s="730" t="s">
        <v>2522</v>
      </c>
      <c r="D93" s="654" t="s">
        <v>2523</v>
      </c>
      <c r="E93" s="600"/>
      <c r="F93" s="716">
        <f t="shared" si="0"/>
      </c>
      <c r="G93" s="600" t="s">
        <v>2312</v>
      </c>
      <c r="H93" s="601"/>
      <c r="I93" s="601"/>
      <c r="J93" s="601"/>
      <c r="K93" s="601"/>
      <c r="L93" s="602"/>
      <c r="M93" s="631" t="s">
        <v>2299</v>
      </c>
      <c r="N93" s="724" t="s">
        <v>2303</v>
      </c>
      <c r="O93" s="731" t="s">
        <v>2524</v>
      </c>
      <c r="P93" s="639" t="s">
        <v>2522</v>
      </c>
      <c r="Q93" s="607"/>
      <c r="R93" s="608"/>
      <c r="S93" s="607"/>
      <c r="T93" s="608"/>
      <c r="U93" s="589"/>
      <c r="V93" s="609"/>
      <c r="W93" s="619"/>
      <c r="X93" s="616"/>
      <c r="Y93" s="609"/>
      <c r="Z93" s="612"/>
      <c r="AA93" s="613"/>
      <c r="AB93" s="612"/>
      <c r="AC93" s="613"/>
      <c r="AD93" s="589"/>
      <c r="AE93" s="609"/>
      <c r="AF93" s="619"/>
      <c r="AG93" s="616"/>
      <c r="AH93" s="609"/>
      <c r="AI93" s="612"/>
      <c r="AJ93" s="613"/>
      <c r="AK93" s="612"/>
      <c r="AL93" s="613"/>
      <c r="AN93" s="599"/>
      <c r="AO93" s="617"/>
      <c r="AP93" s="618"/>
      <c r="AQ93" s="599"/>
      <c r="AR93" s="607"/>
      <c r="AS93" s="608"/>
      <c r="AT93" s="607"/>
      <c r="AU93" s="608"/>
      <c r="AW93" s="599"/>
      <c r="AX93" s="617"/>
      <c r="AY93" s="618"/>
      <c r="AZ93" s="599"/>
      <c r="BA93" s="607"/>
      <c r="BB93" s="608"/>
      <c r="BC93" s="607"/>
      <c r="BD93" s="608"/>
      <c r="BF93" s="631"/>
      <c r="BG93" s="622"/>
      <c r="BH93" s="605"/>
      <c r="BI93" s="598"/>
      <c r="BJ93" s="607"/>
      <c r="BK93" s="608"/>
      <c r="BL93" s="607"/>
      <c r="BM93" s="608"/>
      <c r="BO93" s="599"/>
      <c r="BP93" s="617"/>
      <c r="BQ93" s="618"/>
      <c r="BR93" s="599"/>
      <c r="BS93" s="607"/>
      <c r="BT93" s="608"/>
      <c r="BU93" s="607"/>
      <c r="BV93" s="608"/>
    </row>
    <row customHeight="true" ht="23.80952380952381" r="94">
      <c r="A94" s="564"/>
      <c r="B94" s="732">
        <f>IFERROR(VLOOKUP(C94,'字段信息'!A:C,3,),"")</f>
      </c>
      <c r="C94" s="598" t="s">
        <v>2525</v>
      </c>
      <c r="D94" s="609" t="s">
        <v>2510</v>
      </c>
      <c r="E94" s="733"/>
      <c r="F94" s="716">
        <f t="shared" si="0"/>
      </c>
      <c r="G94" s="600" t="s">
        <v>2312</v>
      </c>
      <c r="H94" s="601"/>
      <c r="I94" s="601"/>
      <c r="J94" s="601"/>
      <c r="K94" s="601"/>
      <c r="L94" s="602"/>
      <c r="M94" s="631" t="s">
        <v>2299</v>
      </c>
      <c r="N94" s="724" t="s">
        <v>2303</v>
      </c>
      <c r="O94" s="731" t="s">
        <v>2524</v>
      </c>
      <c r="P94" s="598" t="s">
        <v>2525</v>
      </c>
      <c r="Q94" s="607"/>
      <c r="R94" s="608"/>
      <c r="S94" s="607"/>
      <c r="T94" s="608"/>
      <c r="U94" s="589"/>
      <c r="V94" s="609"/>
      <c r="W94" s="619"/>
      <c r="X94" s="616"/>
      <c r="Y94" s="609"/>
      <c r="Z94" s="612"/>
      <c r="AA94" s="613"/>
      <c r="AB94" s="612"/>
      <c r="AC94" s="613"/>
      <c r="AD94" s="589"/>
      <c r="AE94" s="609"/>
      <c r="AF94" s="619"/>
      <c r="AG94" s="616"/>
      <c r="AH94" s="609"/>
      <c r="AI94" s="612"/>
      <c r="AJ94" s="613"/>
      <c r="AK94" s="612"/>
      <c r="AL94" s="613"/>
      <c r="AN94" s="599"/>
      <c r="AO94" s="617"/>
      <c r="AP94" s="618"/>
      <c r="AQ94" s="599"/>
      <c r="AR94" s="607"/>
      <c r="AS94" s="608"/>
      <c r="AT94" s="607"/>
      <c r="AU94" s="608"/>
      <c r="AW94" s="599"/>
      <c r="AX94" s="617"/>
      <c r="AY94" s="618"/>
      <c r="AZ94" s="599"/>
      <c r="BA94" s="607"/>
      <c r="BB94" s="608"/>
      <c r="BC94" s="607"/>
      <c r="BD94" s="608"/>
      <c r="BF94" s="631"/>
      <c r="BG94" s="622"/>
      <c r="BH94" s="605"/>
      <c r="BI94" s="598"/>
      <c r="BJ94" s="607"/>
      <c r="BK94" s="608"/>
      <c r="BL94" s="607"/>
      <c r="BM94" s="608"/>
      <c r="BO94" s="599"/>
      <c r="BP94" s="617"/>
      <c r="BQ94" s="618"/>
      <c r="BR94" s="599"/>
      <c r="BS94" s="607"/>
      <c r="BT94" s="608"/>
      <c r="BU94" s="607"/>
      <c r="BV94" s="608"/>
    </row>
    <row hidden="true" r="95">
      <c r="A95" s="564"/>
      <c r="B95" s="732" t="s">
        <v>2526</v>
      </c>
      <c r="C95" s="644" t="s">
        <v>2527</v>
      </c>
      <c r="D95" s="599">
        <f>IFERROR(VLOOKUP(C95,'字段信息'!A:C,2,),"")</f>
      </c>
      <c r="E95" s="600"/>
      <c r="F95" s="725">
        <f t="shared" si="0"/>
      </c>
      <c r="G95" s="721" t="s">
        <v>2312</v>
      </c>
      <c r="H95" s="601"/>
      <c r="I95" s="601"/>
      <c r="J95" s="601"/>
      <c r="K95" s="601"/>
      <c r="L95" s="602"/>
      <c r="M95" s="631" t="s">
        <v>2528</v>
      </c>
      <c r="N95" s="724"/>
      <c r="O95" s="724"/>
      <c r="P95" s="598"/>
      <c r="Q95" s="607"/>
      <c r="R95" s="608"/>
      <c r="S95" s="607"/>
      <c r="T95" s="608"/>
      <c r="U95" s="589"/>
      <c r="V95" s="609"/>
      <c r="W95" s="619"/>
      <c r="X95" s="616"/>
      <c r="Y95" s="609"/>
      <c r="Z95" s="612"/>
      <c r="AA95" s="613"/>
      <c r="AB95" s="612"/>
      <c r="AC95" s="613"/>
      <c r="AD95" s="589"/>
      <c r="AE95" s="609"/>
      <c r="AF95" s="619"/>
      <c r="AG95" s="616"/>
      <c r="AH95" s="609"/>
      <c r="AI95" s="612"/>
      <c r="AJ95" s="613"/>
      <c r="AK95" s="612"/>
      <c r="AL95" s="613"/>
      <c r="AN95" s="599"/>
      <c r="AO95" s="617"/>
      <c r="AP95" s="618"/>
      <c r="AQ95" s="599"/>
      <c r="AR95" s="607"/>
      <c r="AS95" s="608"/>
      <c r="AT95" s="607"/>
      <c r="AU95" s="608"/>
      <c r="AW95" s="599"/>
      <c r="AX95" s="617"/>
      <c r="AY95" s="618"/>
      <c r="AZ95" s="599"/>
      <c r="BA95" s="607"/>
      <c r="BB95" s="608"/>
      <c r="BC95" s="607"/>
      <c r="BD95" s="608"/>
      <c r="BF95" s="631"/>
      <c r="BG95" s="622"/>
      <c r="BH95" s="605"/>
      <c r="BI95" s="598"/>
      <c r="BJ95" s="607"/>
      <c r="BK95" s="608"/>
      <c r="BL95" s="607"/>
      <c r="BM95" s="608"/>
      <c r="BO95" s="599"/>
      <c r="BP95" s="617"/>
      <c r="BQ95" s="618"/>
      <c r="BR95" s="599"/>
      <c r="BS95" s="607"/>
      <c r="BT95" s="608"/>
      <c r="BU95" s="607"/>
      <c r="BV95" s="608"/>
    </row>
    <row hidden="true" r="96">
      <c r="A96" s="564"/>
      <c r="B96" s="732" t="s">
        <v>2529</v>
      </c>
      <c r="C96" s="644" t="s">
        <v>2530</v>
      </c>
      <c r="D96" s="599">
        <f>IFERROR(VLOOKUP(C96,'字段信息'!A:C,2,),"")</f>
      </c>
      <c r="E96" s="600"/>
      <c r="F96" s="725">
        <f t="shared" si="0"/>
      </c>
      <c r="G96" s="721" t="s">
        <v>2312</v>
      </c>
      <c r="H96" s="601"/>
      <c r="I96" s="601"/>
      <c r="J96" s="601"/>
      <c r="K96" s="601"/>
      <c r="L96" s="602"/>
      <c r="M96" s="631" t="s">
        <v>2531</v>
      </c>
      <c r="N96" s="724"/>
      <c r="O96" s="724"/>
      <c r="P96" s="598"/>
      <c r="Q96" s="607"/>
      <c r="R96" s="608"/>
      <c r="S96" s="607"/>
      <c r="T96" s="608"/>
      <c r="U96" s="589"/>
      <c r="V96" s="609"/>
      <c r="W96" s="619"/>
      <c r="X96" s="616"/>
      <c r="Y96" s="609"/>
      <c r="Z96" s="612"/>
      <c r="AA96" s="613"/>
      <c r="AB96" s="612"/>
      <c r="AC96" s="613"/>
      <c r="AD96" s="589"/>
      <c r="AE96" s="609"/>
      <c r="AF96" s="619"/>
      <c r="AG96" s="616"/>
      <c r="AH96" s="609"/>
      <c r="AI96" s="612"/>
      <c r="AJ96" s="613"/>
      <c r="AK96" s="612"/>
      <c r="AL96" s="613"/>
      <c r="AN96" s="599"/>
      <c r="AO96" s="617"/>
      <c r="AP96" s="618"/>
      <c r="AQ96" s="599"/>
      <c r="AR96" s="607"/>
      <c r="AS96" s="608"/>
      <c r="AT96" s="607"/>
      <c r="AU96" s="608"/>
      <c r="AW96" s="599"/>
      <c r="AX96" s="617"/>
      <c r="AY96" s="618"/>
      <c r="AZ96" s="599"/>
      <c r="BA96" s="607"/>
      <c r="BB96" s="608"/>
      <c r="BC96" s="607"/>
      <c r="BD96" s="608"/>
      <c r="BF96" s="631"/>
      <c r="BG96" s="622"/>
      <c r="BH96" s="605"/>
      <c r="BI96" s="598"/>
      <c r="BJ96" s="607"/>
      <c r="BK96" s="608"/>
      <c r="BL96" s="607"/>
      <c r="BM96" s="608"/>
      <c r="BO96" s="599"/>
      <c r="BP96" s="617"/>
      <c r="BQ96" s="618"/>
      <c r="BR96" s="599"/>
      <c r="BS96" s="607"/>
      <c r="BT96" s="608"/>
      <c r="BU96" s="607"/>
      <c r="BV96" s="608"/>
    </row>
  </sheetData>
  <autoFilter ref="A8:AL96">
    <filterColumn colId="1">
      <filters>
        <filter val="付款条件代码"/>
        <filter val="付款条件描述"/>
      </filters>
    </filterColumn>
  </autoFilter>
  <mergeCells>
    <mergeCell ref="AN7:AU7"/>
    <mergeCell ref="M7:T7"/>
    <mergeCell ref="C6:G6"/>
    <mergeCell ref="B1:D1"/>
    <mergeCell ref="C2:F2"/>
    <mergeCell ref="B7:G7"/>
    <mergeCell ref="V7:AC7"/>
    <mergeCell ref="AE7:AL7"/>
    <mergeCell ref="AW7:BD7"/>
    <mergeCell ref="BO7:BV7"/>
    <mergeCell ref="BF7:BM7"/>
  </mergeCells>
  <conditionalFormatting sqref="C1:C1048576">
    <cfRule dxfId="1" priority="1" stopIfTrue="true" type="duplicateValues"/>
  </conditionalFormatting>
  <hyperlinks>
    <hyperlink ref="A1" location="'1. 0 DWD层目录'!A1" display="返回"/>
    <hyperlink ref="A2" location="'规则库'!A1" display="规则库"/>
  </hyperlinks>
  <picture r:id="rId1"/>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sheetData/>
  <picture r:id="rId1"/>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cols>
    <col collapsed="false" customWidth="true" hidden="false" max="4" min="4" style="0" width="18.215962646526158"/>
    <col collapsed="false" customWidth="true" hidden="false" max="5" min="5" style="0" width="46.04694856201912"/>
    <col collapsed="false" customWidth="true" hidden="false" max="6" min="6" style="0" width="29.35211267605634"/>
    <col collapsed="false" customWidth="true" hidden="false" max="7" min="7" style="0" width="2.1971830985915495"/>
    <col collapsed="false" customWidth="true" hidden="false" max="1" min="1" style="0" width="16.751173914131787"/>
    <col collapsed="false" customWidth="true" hidden="false" max="2" min="2" style="0" width="24.638497857793762"/>
    <col collapsed="false" customWidth="true" hidden="false" max="3" min="3" style="0" width="34.21596264652616"/>
  </cols>
  <sheetData>
    <row r="1">
      <c r="A1" s="734" t="s">
        <v>2532</v>
      </c>
      <c r="B1" s="735"/>
      <c r="C1" s="735"/>
      <c r="D1" s="735"/>
      <c r="E1" s="735"/>
      <c r="G1" s="736"/>
    </row>
    <row r="2">
      <c r="A2" s="735" t="s">
        <v>2533</v>
      </c>
      <c r="B2" s="735"/>
      <c r="C2" s="735"/>
      <c r="D2" s="735"/>
      <c r="E2" s="735"/>
      <c r="G2" s="736"/>
    </row>
    <row r="3">
      <c r="A3" s="735"/>
      <c r="B3" s="735"/>
      <c r="C3" s="735"/>
      <c r="D3" s="735"/>
      <c r="E3" s="735"/>
      <c r="G3" s="736"/>
    </row>
    <row customHeight="true" ht="16.071428571428573" r="4">
      <c r="A4" s="737" t="s">
        <v>2534</v>
      </c>
      <c r="B4" s="737" t="s">
        <v>2535</v>
      </c>
      <c r="C4" s="737" t="s">
        <v>2536</v>
      </c>
      <c r="D4" s="737" t="s">
        <v>2537</v>
      </c>
      <c r="E4" s="737"/>
      <c r="F4" s="737"/>
      <c r="G4" s="736"/>
    </row>
    <row r="5">
      <c r="A5" s="737"/>
      <c r="B5" s="737"/>
      <c r="C5" s="737"/>
      <c r="D5" s="737"/>
      <c r="E5" s="737"/>
      <c r="F5" s="737"/>
      <c r="G5" s="736"/>
    </row>
    <row r="6">
      <c r="A6" s="738" t="s">
        <v>2538</v>
      </c>
      <c r="B6" s="738" t="s">
        <v>2539</v>
      </c>
      <c r="C6" s="739" t="s">
        <v>2540</v>
      </c>
      <c r="D6" s="740" t="s">
        <v>2541</v>
      </c>
      <c r="E6" s="740"/>
      <c r="F6" s="740"/>
      <c r="G6" s="736"/>
    </row>
    <row r="7">
      <c r="A7" s="740"/>
      <c r="B7" s="740"/>
      <c r="C7" s="739"/>
      <c r="D7" s="740"/>
      <c r="E7" s="740"/>
      <c r="F7" s="740"/>
      <c r="G7" s="736"/>
    </row>
    <row r="8">
      <c r="A8" s="735"/>
      <c r="B8" s="735"/>
      <c r="C8" s="735"/>
      <c r="D8" s="735"/>
      <c r="E8" s="735"/>
    </row>
    <row r="9">
      <c r="A9" s="741" t="s">
        <v>2542</v>
      </c>
      <c r="B9" s="741" t="s">
        <v>2543</v>
      </c>
      <c r="C9" s="742" t="s">
        <v>2544</v>
      </c>
      <c r="D9" s="742" t="s">
        <v>2545</v>
      </c>
      <c r="E9" s="742" t="s">
        <v>2546</v>
      </c>
      <c r="F9" s="743" t="s">
        <v>2547</v>
      </c>
    </row>
    <row r="10">
      <c r="A10" s="744">
        <v>1</v>
      </c>
      <c r="B10" s="745" t="s">
        <v>2548</v>
      </c>
      <c r="C10" s="746" t="s">
        <v>2549</v>
      </c>
      <c r="D10" s="747" t="s">
        <v>2550</v>
      </c>
      <c r="E10" s="748" t="s">
        <v>2551</v>
      </c>
      <c r="F10" s="748" t="s">
        <v>2552</v>
      </c>
    </row>
    <row r="11">
      <c r="A11" s="749">
        <v>2</v>
      </c>
      <c r="B11" s="750" t="s">
        <v>2553</v>
      </c>
      <c r="C11" s="746" t="s">
        <v>2554</v>
      </c>
      <c r="D11" s="747" t="s">
        <v>2555</v>
      </c>
      <c r="E11" s="748" t="s">
        <v>2556</v>
      </c>
      <c r="F11" s="748"/>
    </row>
    <row r="12">
      <c r="A12" s="751">
        <v>3</v>
      </c>
      <c r="B12" s="752" t="s">
        <v>2557</v>
      </c>
      <c r="C12" s="746" t="s">
        <v>2554</v>
      </c>
      <c r="D12" s="747" t="s">
        <v>2558</v>
      </c>
      <c r="E12" s="748" t="s">
        <v>2559</v>
      </c>
      <c r="F12" s="748" t="s">
        <v>2558</v>
      </c>
    </row>
    <row r="13">
      <c r="A13" s="735"/>
      <c r="B13" s="735"/>
      <c r="C13" s="735"/>
      <c r="D13" s="735"/>
      <c r="E13" s="735"/>
    </row>
    <row customHeight="true" ht="16.071428571428573" r="14">
      <c r="A14" s="737" t="s">
        <v>2534</v>
      </c>
      <c r="B14" s="737" t="s">
        <v>2535</v>
      </c>
      <c r="C14" s="737" t="s">
        <v>2536</v>
      </c>
      <c r="D14" s="737" t="s">
        <v>2537</v>
      </c>
      <c r="E14" s="737"/>
      <c r="F14" s="737"/>
    </row>
    <row r="15">
      <c r="A15" s="737"/>
      <c r="B15" s="737"/>
      <c r="C15" s="737"/>
      <c r="D15" s="737"/>
      <c r="E15" s="737"/>
      <c r="F15" s="737"/>
    </row>
    <row r="16">
      <c r="A16" s="738" t="s">
        <v>2560</v>
      </c>
      <c r="B16" s="738" t="s">
        <v>2561</v>
      </c>
      <c r="C16" s="739" t="s">
        <v>2540</v>
      </c>
      <c r="D16" s="740" t="s">
        <v>2541</v>
      </c>
      <c r="E16" s="740"/>
      <c r="F16" s="740"/>
    </row>
    <row r="17">
      <c r="A17" s="738"/>
      <c r="B17" s="740"/>
      <c r="C17" s="739"/>
      <c r="D17" s="740"/>
      <c r="E17" s="740"/>
      <c r="F17" s="740"/>
    </row>
    <row r="18">
      <c r="A18" s="735"/>
      <c r="B18" s="735"/>
      <c r="C18" s="735"/>
      <c r="D18" s="735"/>
      <c r="E18" s="735"/>
    </row>
    <row r="19">
      <c r="A19" s="741" t="s">
        <v>2542</v>
      </c>
      <c r="B19" s="741" t="s">
        <v>2543</v>
      </c>
      <c r="C19" s="742" t="s">
        <v>2544</v>
      </c>
      <c r="D19" s="742" t="s">
        <v>2545</v>
      </c>
      <c r="E19" s="742" t="s">
        <v>2546</v>
      </c>
      <c r="F19" s="743" t="s">
        <v>2547</v>
      </c>
      <c r="G19" s="753"/>
      <c r="H19" s="753"/>
      <c r="I19" s="753"/>
      <c r="J19" s="753"/>
      <c r="K19" s="753"/>
      <c r="L19" s="753"/>
      <c r="M19" s="753"/>
      <c r="N19" s="753"/>
      <c r="O19" s="753"/>
      <c r="P19" s="753"/>
      <c r="Q19" s="753"/>
      <c r="R19" s="753"/>
      <c r="S19" s="753"/>
      <c r="T19" s="753"/>
    </row>
    <row r="20">
      <c r="A20" s="740">
        <v>1</v>
      </c>
      <c r="B20" s="745" t="s">
        <v>2562</v>
      </c>
      <c r="C20" s="746" t="s">
        <v>2563</v>
      </c>
      <c r="D20" s="738" t="s">
        <v>2564</v>
      </c>
      <c r="E20" s="748" t="s">
        <v>2565</v>
      </c>
      <c r="F20" s="748"/>
    </row>
    <row r="21">
      <c r="A21" s="735"/>
      <c r="B21" s="735"/>
      <c r="C21" s="735"/>
      <c r="D21" s="735"/>
      <c r="E21" s="735"/>
    </row>
    <row r="22">
      <c r="A22" s="737" t="s">
        <v>2534</v>
      </c>
      <c r="B22" s="737" t="s">
        <v>2535</v>
      </c>
      <c r="C22" s="737" t="s">
        <v>2536</v>
      </c>
      <c r="D22" s="737" t="s">
        <v>2537</v>
      </c>
      <c r="E22" s="737"/>
      <c r="F22" s="737"/>
    </row>
    <row r="23">
      <c r="A23" s="737"/>
      <c r="B23" s="737"/>
      <c r="C23" s="737"/>
      <c r="D23" s="737"/>
      <c r="E23" s="737"/>
      <c r="F23" s="737"/>
    </row>
    <row r="24">
      <c r="A24" s="738" t="s">
        <v>2566</v>
      </c>
      <c r="B24" s="738" t="s">
        <v>2567</v>
      </c>
      <c r="C24" s="739" t="s">
        <v>2540</v>
      </c>
      <c r="D24" s="740" t="s">
        <v>2541</v>
      </c>
      <c r="E24" s="740"/>
      <c r="F24" s="740"/>
    </row>
    <row r="25">
      <c r="A25" s="738"/>
      <c r="B25" s="740"/>
      <c r="C25" s="739"/>
      <c r="D25" s="740"/>
      <c r="E25" s="740"/>
      <c r="F25" s="740"/>
    </row>
    <row r="26">
      <c r="A26" s="735"/>
      <c r="B26" s="735"/>
      <c r="C26" s="735"/>
      <c r="D26" s="735"/>
      <c r="E26" s="735"/>
    </row>
    <row r="27">
      <c r="A27" s="741" t="s">
        <v>2542</v>
      </c>
      <c r="B27" s="741" t="s">
        <v>2543</v>
      </c>
      <c r="C27" s="742" t="s">
        <v>2544</v>
      </c>
      <c r="D27" s="742" t="s">
        <v>2545</v>
      </c>
      <c r="E27" s="742" t="s">
        <v>2546</v>
      </c>
      <c r="F27" s="743" t="s">
        <v>2547</v>
      </c>
      <c r="G27" s="753"/>
      <c r="H27" s="753"/>
      <c r="I27" s="753"/>
      <c r="J27" s="753"/>
      <c r="K27" s="753"/>
      <c r="L27" s="753"/>
      <c r="M27" s="753"/>
      <c r="N27" s="753"/>
      <c r="O27" s="753"/>
      <c r="P27" s="753"/>
      <c r="Q27" s="753"/>
      <c r="R27" s="753"/>
      <c r="S27" s="753"/>
      <c r="T27" s="753"/>
    </row>
    <row r="28">
      <c r="A28" s="740">
        <v>1</v>
      </c>
      <c r="B28" s="745" t="s">
        <v>2568</v>
      </c>
      <c r="C28" s="746" t="s">
        <v>2569</v>
      </c>
      <c r="D28" s="738" t="s">
        <v>2570</v>
      </c>
      <c r="E28" s="748" t="s">
        <v>2571</v>
      </c>
      <c r="F28" s="748" t="s">
        <v>2572</v>
      </c>
    </row>
    <row r="29">
      <c r="A29" s="740">
        <v>2</v>
      </c>
      <c r="B29" s="750" t="s">
        <v>2573</v>
      </c>
      <c r="C29" s="746" t="s">
        <v>2574</v>
      </c>
      <c r="D29" s="738" t="s">
        <v>2575</v>
      </c>
      <c r="E29" s="748" t="s">
        <v>2576</v>
      </c>
      <c r="F29" s="748" t="s">
        <v>2572</v>
      </c>
    </row>
    <row r="30">
      <c r="A30" s="740">
        <v>3</v>
      </c>
      <c r="B30" s="752" t="s">
        <v>2577</v>
      </c>
      <c r="C30" s="746" t="s">
        <v>2574</v>
      </c>
      <c r="D30" s="738" t="s">
        <v>2578</v>
      </c>
      <c r="E30" s="748" t="s">
        <v>2579</v>
      </c>
      <c r="F30" s="748" t="s">
        <v>2580</v>
      </c>
    </row>
    <row r="31">
      <c r="A31" s="735"/>
      <c r="B31" s="735"/>
      <c r="C31" s="735"/>
      <c r="D31" s="735"/>
      <c r="E31" s="735"/>
    </row>
    <row r="32">
      <c r="A32" s="735"/>
      <c r="B32" s="735"/>
      <c r="C32" s="735"/>
      <c r="D32" s="735"/>
      <c r="E32" s="735"/>
    </row>
    <row r="33">
      <c r="A33" s="737" t="s">
        <v>2534</v>
      </c>
      <c r="B33" s="737" t="s">
        <v>2535</v>
      </c>
      <c r="C33" s="737" t="s">
        <v>2536</v>
      </c>
      <c r="D33" s="737" t="s">
        <v>2537</v>
      </c>
      <c r="E33" s="737"/>
      <c r="F33" s="737"/>
      <c r="G33" s="753"/>
      <c r="H33" s="753"/>
      <c r="I33" s="753"/>
      <c r="J33" s="753"/>
      <c r="K33" s="753"/>
      <c r="L33" s="753"/>
      <c r="M33" s="753"/>
      <c r="N33" s="753"/>
      <c r="O33" s="753"/>
      <c r="P33" s="753"/>
      <c r="Q33" s="753"/>
      <c r="R33" s="753"/>
      <c r="S33" s="753"/>
      <c r="T33" s="753"/>
    </row>
    <row r="34">
      <c r="A34" s="737"/>
      <c r="B34" s="737"/>
      <c r="C34" s="737"/>
      <c r="D34" s="737"/>
      <c r="E34" s="737"/>
      <c r="F34" s="737"/>
      <c r="G34" s="753"/>
      <c r="H34" s="753"/>
      <c r="I34" s="753"/>
      <c r="J34" s="753"/>
      <c r="K34" s="753"/>
      <c r="L34" s="753"/>
      <c r="M34" s="753"/>
      <c r="N34" s="753"/>
      <c r="O34" s="753"/>
      <c r="P34" s="753"/>
      <c r="Q34" s="753"/>
      <c r="R34" s="753"/>
      <c r="S34" s="753"/>
      <c r="T34" s="753"/>
    </row>
    <row r="35">
      <c r="A35" s="738" t="s">
        <v>2581</v>
      </c>
      <c r="B35" s="738" t="s">
        <v>2582</v>
      </c>
      <c r="C35" s="739" t="s">
        <v>2540</v>
      </c>
      <c r="D35" s="740" t="s">
        <v>2541</v>
      </c>
      <c r="E35" s="740"/>
      <c r="F35" s="740"/>
    </row>
    <row r="36">
      <c r="A36" s="738"/>
      <c r="B36" s="738"/>
      <c r="C36" s="739"/>
      <c r="D36" s="740"/>
      <c r="E36" s="740"/>
      <c r="F36" s="740"/>
    </row>
    <row r="37">
      <c r="A37" s="735"/>
      <c r="B37" s="735"/>
      <c r="C37" s="735"/>
      <c r="D37" s="735"/>
      <c r="E37" s="735"/>
    </row>
    <row r="38">
      <c r="A38" s="741" t="s">
        <v>2542</v>
      </c>
      <c r="B38" s="741" t="s">
        <v>2543</v>
      </c>
      <c r="C38" s="742" t="s">
        <v>2544</v>
      </c>
      <c r="D38" s="742" t="s">
        <v>2545</v>
      </c>
      <c r="E38" s="742" t="s">
        <v>2546</v>
      </c>
      <c r="F38" s="743" t="s">
        <v>2547</v>
      </c>
    </row>
    <row r="39">
      <c r="A39" s="740">
        <v>1</v>
      </c>
      <c r="B39" s="745" t="s">
        <v>2583</v>
      </c>
      <c r="C39" s="746" t="s">
        <v>2569</v>
      </c>
      <c r="D39" s="738" t="s">
        <v>2584</v>
      </c>
      <c r="E39" s="748" t="s">
        <v>2585</v>
      </c>
      <c r="F39" s="748" t="s">
        <v>2586</v>
      </c>
    </row>
    <row r="40">
      <c r="A40" s="735"/>
      <c r="B40" s="735"/>
      <c r="C40" s="735"/>
      <c r="D40" s="735"/>
      <c r="E40" s="735"/>
    </row>
    <row r="41"/>
    <row r="42">
      <c r="A42" s="737" t="s">
        <v>2534</v>
      </c>
      <c r="B42" s="737" t="s">
        <v>2535</v>
      </c>
      <c r="C42" s="737" t="s">
        <v>2536</v>
      </c>
      <c r="D42" s="737" t="s">
        <v>2537</v>
      </c>
      <c r="E42" s="737"/>
      <c r="F42" s="737"/>
      <c r="G42" s="753"/>
      <c r="H42" s="753"/>
      <c r="I42" s="753"/>
      <c r="J42" s="753"/>
      <c r="K42" s="753"/>
      <c r="L42" s="753"/>
      <c r="M42" s="753"/>
      <c r="N42" s="753"/>
      <c r="O42" s="753"/>
      <c r="P42" s="753"/>
      <c r="Q42" s="753"/>
      <c r="R42" s="753"/>
      <c r="S42" s="753"/>
      <c r="T42" s="753"/>
    </row>
    <row r="43">
      <c r="A43" s="737"/>
      <c r="B43" s="737"/>
      <c r="C43" s="737"/>
      <c r="D43" s="737"/>
      <c r="E43" s="737"/>
      <c r="F43" s="737"/>
      <c r="G43" s="753"/>
      <c r="H43" s="753"/>
      <c r="I43" s="753"/>
      <c r="J43" s="753"/>
      <c r="K43" s="753"/>
      <c r="L43" s="753"/>
      <c r="M43" s="753"/>
      <c r="N43" s="753"/>
      <c r="O43" s="753"/>
      <c r="P43" s="753"/>
      <c r="Q43" s="753"/>
      <c r="R43" s="753"/>
      <c r="S43" s="753"/>
      <c r="T43" s="753"/>
    </row>
    <row r="44">
      <c r="A44" s="738" t="s">
        <v>2587</v>
      </c>
      <c r="B44" s="738" t="s">
        <v>2588</v>
      </c>
      <c r="C44" s="739" t="s">
        <v>2540</v>
      </c>
      <c r="D44" s="740" t="s">
        <v>2541</v>
      </c>
      <c r="E44" s="740"/>
      <c r="F44" s="740"/>
    </row>
    <row r="45">
      <c r="A45" s="738"/>
      <c r="B45" s="738"/>
      <c r="C45" s="739"/>
      <c r="D45" s="740"/>
      <c r="E45" s="740"/>
      <c r="F45" s="740"/>
    </row>
    <row r="46">
      <c r="A46" s="735"/>
      <c r="B46" s="735"/>
      <c r="C46" s="735"/>
      <c r="D46" s="735"/>
      <c r="E46" s="735"/>
    </row>
    <row r="47">
      <c r="A47" s="741" t="s">
        <v>2542</v>
      </c>
      <c r="B47" s="741" t="s">
        <v>2543</v>
      </c>
      <c r="C47" s="742" t="s">
        <v>2544</v>
      </c>
      <c r="D47" s="742" t="s">
        <v>2545</v>
      </c>
      <c r="E47" s="742" t="s">
        <v>2546</v>
      </c>
      <c r="F47" s="743" t="s">
        <v>2547</v>
      </c>
    </row>
    <row r="48">
      <c r="A48" s="740">
        <v>1</v>
      </c>
      <c r="B48" s="745" t="s">
        <v>2589</v>
      </c>
      <c r="C48" s="746" t="s">
        <v>2554</v>
      </c>
      <c r="D48" s="738" t="s">
        <v>2590</v>
      </c>
      <c r="E48" s="748" t="s">
        <v>2591</v>
      </c>
      <c r="F48" s="748" t="s">
        <v>2592</v>
      </c>
    </row>
  </sheetData>
  <mergeCells>
    <mergeCell ref="A24:A25"/>
    <mergeCell ref="A16:A17"/>
    <mergeCell ref="C14:C15"/>
    <mergeCell ref="B14:B15"/>
    <mergeCell ref="A14:A15"/>
    <mergeCell ref="C35:C36"/>
    <mergeCell ref="C24:C25"/>
    <mergeCell ref="B24:B25"/>
    <mergeCell ref="C22:C23"/>
    <mergeCell ref="B22:B23"/>
    <mergeCell ref="A22:A23"/>
    <mergeCell ref="C16:C17"/>
    <mergeCell ref="B16:B17"/>
    <mergeCell ref="A4:A5"/>
    <mergeCell ref="B4:B5"/>
    <mergeCell ref="C4:C5"/>
    <mergeCell ref="A6:A7"/>
    <mergeCell ref="B6:B7"/>
    <mergeCell ref="C6:C7"/>
    <mergeCell ref="C33:C34"/>
    <mergeCell ref="B33:B34"/>
    <mergeCell ref="A33:A34"/>
    <mergeCell ref="A35:A36"/>
    <mergeCell ref="B35:B36"/>
    <mergeCell ref="C42:C43"/>
    <mergeCell ref="B42:B43"/>
    <mergeCell ref="A42:A43"/>
    <mergeCell ref="C44:C45"/>
    <mergeCell ref="A44:A45"/>
    <mergeCell ref="B44:B45"/>
    <mergeCell ref="D4:F5"/>
    <mergeCell ref="D6:F7"/>
    <mergeCell ref="D14:F15"/>
    <mergeCell ref="D16:F17"/>
    <mergeCell ref="D22:F23"/>
    <mergeCell ref="D24:F25"/>
    <mergeCell ref="D33:F34"/>
    <mergeCell ref="D35:F36"/>
    <mergeCell ref="D42:F43"/>
    <mergeCell ref="D44:F45"/>
  </mergeCells>
  <hyperlinks>
    <hyperlink ref="B39" location="'ARPM04-周转计算-占用明细表'!A1" display="ARP004_STEP_1"/>
    <hyperlink ref="B11" location="'ARPM01账龄计算底稿-STEP2数据范围限制'!A1" display="ARP001_STEP_2"/>
    <hyperlink ref="B20" location="'ARPM02-账龄结果表'!A1" display="ARP002_STEP_1"/>
    <hyperlink ref="B29" location="'ARPM02-坏账计算表-STEP2坏账计算'!A1" display="ARP003_STEP_2"/>
    <hyperlink ref="B30" location="'ARPM02-坏账计算表-STEP3坏账分摊'!A1" display="ARP003_STEP_3"/>
    <hyperlink ref="B48" location="'ARPM05-周转计算-收入明细表'!A1" display="ARP005_STEP_1"/>
    <hyperlink ref="B10" location="'ARPM01账龄计算底稿-STEP1数据聚合'!A1" display="ARP001_STEP_1"/>
    <hyperlink ref="B12" location="'ARPM01账龄计算底稿-STEP3重分类处理'!A1" display="ARP001_STEP_3"/>
    <hyperlink ref="B28" location="'ARPM02-坏账计算表-STEP1坏账计提基数'!A1" display="ARP003_STEP_1"/>
  </hyperlinks>
  <picture r:id="rId1"/>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49" min="49" style="0" width="34.76056338028169"/>
    <col collapsed="false" customWidth="true" hidden="true" max="49" min="49" style="0" width="34.76056338028169"/>
    <col collapsed="false" customWidth="true" hidden="false" max="66" min="66" style="0" width="4.112676056338028"/>
    <col collapsed="false" customWidth="true" hidden="true" max="66" min="66" style="0" width="4.112676056338028"/>
    <col collapsed="false" customWidth="true" hidden="false" max="1" min="1" style="0" width="5.23943661971831"/>
    <col collapsed="false" customWidth="true" hidden="false" max="17" min="17" style="0" width="26.422535076947355"/>
    <col collapsed="false" customWidth="true" hidden="false" max="33" min="33" style="0" width="23.07984469716081"/>
    <col collapsed="false" customWidth="true" hidden="true" max="33" min="33" style="0" width="23.07984469716081"/>
    <col collapsed="false" customWidth="true" hidden="false" max="50" min="50" style="0" width="7.154929577464789"/>
    <col collapsed="false" customWidth="true" hidden="true" max="50" min="50" style="0" width="7.154929577464789"/>
    <col collapsed="false" customWidth="true" hidden="false" max="67" min="67" style="0" width="31.62438883729407"/>
    <col collapsed="false" customWidth="true" hidden="true" max="67" min="67" style="0" width="31.62438883729407"/>
    <col collapsed="false" customWidth="true" hidden="false" max="2" min="2" style="0" width="21.014084507042252"/>
    <col collapsed="false" customWidth="true" hidden="false" max="18" min="18" style="0" width="8.732394366197184"/>
    <col collapsed="false" customWidth="true" hidden="false" max="34" min="34" style="0" width="13.389703852090387"/>
    <col collapsed="false" customWidth="true" hidden="true" max="34" min="34" style="0" width="13.389703852090387"/>
    <col collapsed="false" customWidth="true" hidden="false" max="51" min="51" style="0" width="21.690140845070424"/>
    <col collapsed="false" customWidth="true" hidden="true" max="51" min="51" style="0" width="21.690140845070424"/>
    <col collapsed="false" customWidth="true" hidden="false" max="68" min="68" style="0" width="7.154929577464789"/>
    <col collapsed="false" customWidth="true" hidden="true" max="68" min="68" style="0" width="7.154929577464789"/>
    <col collapsed="false" customWidth="true" hidden="false" max="3" min="3" style="0" width="19.774647887323944"/>
    <col collapsed="false" customWidth="true" hidden="false" max="19" min="19" style="0" width="29.014081887796095"/>
    <col collapsed="false" customWidth="true" hidden="false" max="35" min="35" style="0" width="26.309859154929576"/>
    <col collapsed="false" customWidth="true" hidden="true" max="35" min="35" style="0" width="26.309859154929576"/>
    <col collapsed="false" customWidth="true" hidden="false" max="52" min="52" style="0" width="16.845070422535212"/>
    <col collapsed="false" customWidth="true" hidden="true" max="52" min="52" style="0" width="16.845070422535212"/>
    <col collapsed="false" customWidth="true" hidden="false" max="4" min="4" style="0" width="12.56338028169014"/>
    <col collapsed="false" customWidth="true" hidden="false" max="20" min="20" style="0" width="5.577464788732394"/>
    <col collapsed="false" customWidth="true" hidden="false" max="36" min="36" style="0" width="12.338028169014084"/>
    <col collapsed="false" customWidth="true" hidden="true" max="36" min="36" style="0" width="12.338028169014084"/>
    <col collapsed="false" customWidth="true" hidden="false" max="61" min="61" style="0" width="21.35211267605634"/>
    <col collapsed="false" customWidth="true" hidden="true" max="61" min="61" style="0" width="21.35211267605634"/>
    <col collapsed="false" customWidth="true" hidden="false" max="13" min="13" style="0" width="39.5680792738386"/>
    <col collapsed="false" customWidth="true" hidden="false" max="29" min="29" style="0" width="5.577464788732394"/>
    <col collapsed="false" customWidth="true" hidden="false" max="45" min="45" style="0" width="26.798131945732987"/>
    <col collapsed="false" customWidth="true" hidden="true" max="45" min="45" style="0" width="26.798131945732987"/>
    <col collapsed="false" customWidth="true" hidden="false" max="62" min="62" style="0" width="26.309859154929576"/>
    <col collapsed="false" customWidth="true" hidden="true" max="62" min="62" style="0" width="26.309859154929576"/>
    <col collapsed="false" customWidth="true" hidden="false" max="14" min="14" style="0" width="7.154929577464789"/>
    <col collapsed="false" customWidth="true" hidden="false" max="30" min="30" style="0" width="4.112676056338028"/>
    <col collapsed="false" customWidth="true" hidden="false" max="46" min="46" style="0" width="28.901408450704224"/>
    <col collapsed="false" customWidth="true" hidden="true" max="46" min="46" style="0" width="28.901408450704224"/>
    <col collapsed="false" customWidth="true" hidden="false" max="63" min="63" style="0" width="26.760563380281692"/>
    <col collapsed="false" customWidth="true" hidden="true" max="63" min="63" style="0" width="26.760563380281692"/>
    <col collapsed="false" customWidth="true" hidden="false" max="15" min="15" style="0" width="23.868590568332493"/>
    <col collapsed="false" customWidth="true" hidden="false" max="31" min="31" style="0" width="26.535211267605632"/>
    <col collapsed="false" customWidth="true" hidden="true" max="31" min="31" style="0" width="26.535211267605632"/>
    <col collapsed="false" customWidth="true" hidden="false" max="47" min="47" style="0" width="5.577464788732394"/>
    <col collapsed="false" customWidth="true" hidden="true" max="47" min="47" style="0" width="5.577464788732394"/>
    <col collapsed="false" customWidth="true" hidden="false" max="64" min="64" style="0" width="28.901408450704224"/>
    <col collapsed="false" customWidth="true" hidden="true" max="64" min="64" style="0" width="28.901408450704224"/>
    <col collapsed="false" customWidth="true" hidden="false" max="73" min="73" style="0" width="28.901408450704224"/>
    <col collapsed="false" customWidth="true" hidden="true" max="73" min="73" style="0" width="28.901408450704224"/>
    <col collapsed="false" customWidth="true" hidden="false" max="16" min="16" style="0" width="28.075121527359723"/>
    <col collapsed="false" customWidth="true" hidden="false" max="32" min="32" style="0" width="7.154929577464789"/>
    <col collapsed="false" customWidth="true" hidden="true" max="32" min="32" style="0" width="7.154929577464789"/>
    <col collapsed="false" customWidth="true" hidden="false" max="48" min="48" style="0" width="4.112676056338028"/>
    <col collapsed="false" customWidth="true" hidden="true" max="48" min="48" style="0" width="4.112676056338028"/>
    <col collapsed="false" customWidth="true" hidden="false" max="57" min="57" style="0" width="4.112676056338028"/>
    <col collapsed="false" customWidth="true" hidden="true" max="57" min="57" style="0" width="4.112676056338028"/>
    <col collapsed="false" customWidth="true" hidden="false" max="74" min="74" style="0" width="5.577464788732394"/>
    <col collapsed="false" customWidth="true" hidden="true" max="74" min="74" style="0" width="5.577464788732394"/>
    <col collapsed="false" customWidth="true" hidden="false" max="9" min="9" style="0" width="8.732394366197184"/>
    <col collapsed="false" customWidth="true" hidden="true" max="9" min="9" style="0" width="8.732394366197184"/>
    <col collapsed="false" customWidth="true" hidden="false" max="25" min="25" style="0" width="15.755907930298324"/>
    <col collapsed="false" customWidth="true" hidden="false" max="41" min="41" style="0" width="7.154929577464789"/>
    <col collapsed="false" customWidth="true" hidden="true" max="41" min="41" style="0" width="7.154929577464789"/>
    <col collapsed="false" customWidth="true" hidden="false" max="58" min="58" style="0" width="26.535211267605632"/>
    <col collapsed="false" customWidth="true" hidden="true" max="58" min="58" style="0" width="26.535211267605632"/>
    <col collapsed="false" customWidth="true" hidden="false" max="10" min="10" style="0" width="13.80281690140845"/>
    <col collapsed="false" customWidth="true" hidden="true" max="10" min="10" style="0" width="13.80281690140845"/>
    <col collapsed="false" customWidth="true" hidden="false" max="26" min="26" style="0" width="26.309859154929576"/>
    <col collapsed="false" customWidth="true" hidden="false" max="42" min="42" style="0" width="21.7277251259962"/>
    <col collapsed="false" customWidth="true" hidden="true" max="42" min="42" style="0" width="21.7277251259962"/>
    <col collapsed="false" customWidth="true" hidden="false" max="59" min="59" style="0" width="7.154929577464789"/>
    <col collapsed="false" customWidth="true" hidden="true" max="59" min="59" style="0" width="7.154929577464789"/>
    <col collapsed="false" customWidth="true" hidden="false" max="60" min="60" style="0" width="34.08450704225352"/>
    <col collapsed="false" customWidth="true" hidden="true" max="60" min="60" style="0" width="34.08450704225352"/>
    <col collapsed="false" customWidth="true" hidden="false" max="11" min="11" style="0" width="8.732394366197184"/>
    <col collapsed="false" customWidth="true" hidden="true" max="11" min="11" style="0" width="8.732394366197184"/>
    <col collapsed="false" customWidth="true" hidden="false" max="27" min="27" style="0" width="12.375598032894551"/>
    <col collapsed="false" customWidth="true" hidden="false" max="43" min="43" style="0" width="16.882654210953262"/>
    <col collapsed="false" customWidth="true" hidden="true" max="43" min="43" style="0" width="16.882654210953262"/>
    <col collapsed="false" customWidth="true" hidden="false" max="69" min="69" style="0" width="34.08450704225352"/>
    <col collapsed="false" customWidth="true" hidden="true" max="69" min="69" style="0" width="34.08450704225352"/>
    <col collapsed="false" customWidth="true" hidden="false" max="12" min="12" style="0" width="9.746478873239436"/>
    <col collapsed="false" customWidth="true" hidden="true" max="12" min="12" style="0" width="9.746478873239436"/>
    <col collapsed="false" customWidth="true" hidden="false" max="28" min="28" style="0" width="28.901408450704224"/>
    <col collapsed="false" customWidth="true" hidden="false" max="44" min="44" style="0" width="26.309859154929576"/>
    <col collapsed="false" customWidth="true" hidden="true" max="44" min="44" style="0" width="26.309859154929576"/>
    <col collapsed="false" customWidth="true" hidden="false" max="53" min="53" style="0" width="26.309859154929576"/>
    <col collapsed="false" customWidth="true" hidden="true" max="53" min="53" style="0" width="26.309859154929576"/>
    <col collapsed="false" customWidth="true" hidden="false" max="70" min="70" style="0" width="21.35211267605634"/>
    <col collapsed="false" customWidth="true" hidden="true" max="70" min="70" style="0" width="21.35211267605634"/>
    <col collapsed="false" customWidth="true" hidden="false" max="5" min="5" style="0" width="10.647887323943662"/>
    <col collapsed="false" customWidth="true" hidden="false" max="21" min="21" style="0" width="4.206582325351429"/>
    <col collapsed="false" customWidth="true" hidden="false" max="37" min="37" style="0" width="28.901408450704224"/>
    <col collapsed="false" customWidth="true" hidden="true" max="37" min="37" style="0" width="28.901408450704224"/>
    <col collapsed="false" customWidth="true" hidden="false" max="54" min="54" style="0" width="26.760563380281692"/>
    <col collapsed="false" customWidth="true" hidden="true" max="54" min="54" style="0" width="26.760563380281692"/>
    <col collapsed="false" customWidth="true" hidden="false" max="71" min="71" style="0" width="26.309859154929576"/>
    <col collapsed="false" customWidth="true" hidden="true" max="71" min="71" style="0" width="26.309859154929576"/>
    <col collapsed="false" customWidth="true" hidden="false" max="6" min="6" style="0" width="17.070422535211268"/>
    <col collapsed="false" customWidth="true" hidden="false" max="22" min="22" style="0" width="26.535211267605632"/>
    <col collapsed="false" customWidth="true" hidden="false" max="38" min="38" style="0" width="5.577464788732394"/>
    <col collapsed="false" customWidth="true" hidden="true" max="38" min="38" style="0" width="5.577464788732394"/>
    <col collapsed="false" customWidth="true" hidden="false" max="55" min="55" style="0" width="28.901408450704224"/>
    <col collapsed="false" customWidth="true" hidden="true" max="55" min="55" style="0" width="28.901408450704224"/>
    <col collapsed="false" customWidth="true" hidden="false" max="72" min="72" style="0" width="26.760563380281692"/>
    <col collapsed="false" customWidth="true" hidden="true" max="72" min="72" style="0" width="26.760563380281692"/>
    <col collapsed="false" customWidth="true" hidden="false" max="7" min="7" style="0" width="8.732394366197184"/>
    <col collapsed="false" customWidth="true" hidden="false" max="23" min="23" style="0" width="7.154929577464789"/>
    <col collapsed="false" customWidth="true" hidden="false" max="39" min="39" style="0" width="4.112676056338028"/>
    <col collapsed="false" customWidth="true" hidden="true" max="39" min="39" style="0" width="4.112676056338028"/>
    <col collapsed="false" customWidth="true" hidden="false" max="56" min="56" style="0" width="5.577464788732394"/>
    <col collapsed="false" customWidth="true" hidden="true" max="56" min="56" style="0" width="5.577464788732394"/>
    <col collapsed="false" customWidth="true" hidden="false" max="65" min="65" style="0" width="5.577464788732394"/>
    <col collapsed="false" customWidth="true" hidden="true" max="65" min="65" style="0" width="5.577464788732394"/>
    <col collapsed="false" customWidth="true" hidden="false" max="8" min="8" style="0" width="7.154929577464789"/>
    <col collapsed="false" customWidth="true" hidden="true" max="8" min="8" style="0" width="7.154929577464789"/>
    <col collapsed="false" customWidth="true" hidden="false" max="24" min="24" style="0" width="23.530555817622268"/>
    <col collapsed="false" customWidth="true" hidden="false" max="40" min="40" style="0" width="34.83567022195204"/>
    <col collapsed="false" customWidth="true" hidden="true" max="40" min="40" style="0" width="34.83567022195204"/>
  </cols>
  <sheetData>
    <row r="1">
      <c r="A1" s="754" t="s">
        <v>2593</v>
      </c>
      <c r="B1" s="755" t="s">
        <v>2594</v>
      </c>
      <c r="C1" s="756"/>
      <c r="D1" s="756"/>
      <c r="E1" s="757"/>
      <c r="F1" s="757"/>
      <c r="G1" s="757"/>
      <c r="H1" s="758"/>
      <c r="I1" s="758"/>
      <c r="J1" s="758"/>
      <c r="K1" s="758"/>
      <c r="L1" s="758"/>
      <c r="M1" s="759"/>
      <c r="N1" s="760"/>
      <c r="O1" s="761"/>
      <c r="P1" s="761"/>
      <c r="Q1" s="761"/>
      <c r="R1" s="757"/>
      <c r="S1" s="761"/>
      <c r="T1" s="757"/>
      <c r="V1" s="759"/>
      <c r="W1" s="760"/>
      <c r="X1" s="761"/>
      <c r="Y1" s="761"/>
      <c r="Z1" s="761"/>
      <c r="AA1" s="757"/>
      <c r="AB1" s="761"/>
      <c r="AC1" s="757"/>
      <c r="AD1" s="762"/>
      <c r="AE1" s="763"/>
      <c r="AF1" s="764"/>
      <c r="AG1" s="765"/>
      <c r="AH1" s="765"/>
      <c r="AI1" s="765"/>
      <c r="AJ1" s="766"/>
      <c r="AK1" s="765"/>
      <c r="AL1" s="766"/>
      <c r="AM1" s="767"/>
      <c r="AN1" s="763"/>
      <c r="AO1" s="764"/>
      <c r="AP1" s="765"/>
      <c r="AQ1" s="765"/>
      <c r="AR1" s="765"/>
      <c r="AS1" s="766"/>
      <c r="AT1" s="765"/>
      <c r="AU1" s="766"/>
      <c r="AV1" s="767"/>
      <c r="AW1" s="763"/>
      <c r="AX1" s="764"/>
      <c r="AY1" s="765"/>
      <c r="AZ1" s="765"/>
      <c r="BA1" s="765"/>
      <c r="BB1" s="766"/>
      <c r="BC1" s="765"/>
      <c r="BD1" s="766"/>
      <c r="BE1" s="767"/>
      <c r="BF1" s="763"/>
      <c r="BG1" s="764"/>
      <c r="BH1" s="765"/>
      <c r="BI1" s="765"/>
      <c r="BJ1" s="765"/>
      <c r="BK1" s="766"/>
      <c r="BL1" s="765"/>
      <c r="BM1" s="766"/>
      <c r="BN1" s="767"/>
      <c r="BO1" s="763"/>
      <c r="BP1" s="764"/>
      <c r="BQ1" s="765"/>
      <c r="BR1" s="765"/>
      <c r="BS1" s="765"/>
      <c r="BT1" s="766"/>
      <c r="BU1" s="765"/>
      <c r="BV1" s="766"/>
    </row>
    <row r="2">
      <c r="A2" s="754" t="s">
        <v>2595</v>
      </c>
      <c r="B2" s="768" t="s">
        <v>2596</v>
      </c>
      <c r="C2" s="769" t="s">
        <v>2597</v>
      </c>
      <c r="D2" s="770"/>
      <c r="E2" s="770"/>
      <c r="F2" s="770"/>
      <c r="G2" s="770"/>
      <c r="H2" s="758"/>
      <c r="I2" s="758"/>
      <c r="J2" s="758"/>
      <c r="K2" s="758"/>
      <c r="L2" s="758"/>
      <c r="M2" s="771" t="s">
        <v>2598</v>
      </c>
      <c r="N2" s="760"/>
      <c r="O2" s="761"/>
      <c r="P2" s="761"/>
      <c r="Q2" s="761"/>
      <c r="R2" s="757"/>
      <c r="S2" s="761"/>
      <c r="T2" s="757"/>
      <c r="V2" s="759"/>
      <c r="W2" s="760"/>
      <c r="X2" s="761"/>
      <c r="Y2" s="761"/>
      <c r="Z2" s="761"/>
      <c r="AA2" s="757"/>
      <c r="AB2" s="761"/>
      <c r="AC2" s="757"/>
      <c r="AD2" s="762"/>
      <c r="AE2" s="763"/>
      <c r="AF2" s="764"/>
      <c r="AG2" s="765"/>
      <c r="AH2" s="765"/>
      <c r="AI2" s="765"/>
      <c r="AJ2" s="766"/>
      <c r="AK2" s="765"/>
      <c r="AL2" s="766"/>
      <c r="AM2" s="767"/>
      <c r="AN2" s="763"/>
      <c r="AO2" s="764"/>
      <c r="AP2" s="765"/>
      <c r="AQ2" s="765"/>
      <c r="AR2" s="765"/>
      <c r="AS2" s="766"/>
      <c r="AT2" s="765"/>
      <c r="AU2" s="766"/>
      <c r="AV2" s="767"/>
      <c r="AW2" s="763"/>
      <c r="AX2" s="764"/>
      <c r="AY2" s="765"/>
      <c r="AZ2" s="765"/>
      <c r="BA2" s="765"/>
      <c r="BB2" s="766"/>
      <c r="BC2" s="765"/>
      <c r="BD2" s="766"/>
      <c r="BE2" s="767"/>
      <c r="BF2" s="763"/>
      <c r="BG2" s="764"/>
      <c r="BH2" s="765"/>
      <c r="BI2" s="765"/>
      <c r="BJ2" s="765"/>
      <c r="BK2" s="766"/>
      <c r="BL2" s="765"/>
      <c r="BM2" s="766"/>
      <c r="BN2" s="767"/>
      <c r="BO2" s="763"/>
      <c r="BP2" s="764"/>
      <c r="BQ2" s="765"/>
      <c r="BR2" s="765"/>
      <c r="BS2" s="765"/>
      <c r="BT2" s="766"/>
      <c r="BU2" s="765"/>
      <c r="BV2" s="766"/>
    </row>
    <row r="3">
      <c r="A3" s="772"/>
      <c r="B3" s="773" t="s">
        <v>2599</v>
      </c>
      <c r="C3" s="774" t="s">
        <v>2600</v>
      </c>
      <c r="D3" s="775" t="s">
        <v>2601</v>
      </c>
      <c r="E3" s="776" t="s">
        <v>2602</v>
      </c>
      <c r="F3" s="773" t="s">
        <v>2603</v>
      </c>
      <c r="G3" s="774" t="s">
        <v>2604</v>
      </c>
      <c r="H3" s="758"/>
      <c r="I3" s="758"/>
      <c r="J3" s="758"/>
      <c r="K3" s="758"/>
      <c r="L3" s="758"/>
      <c r="M3" s="777" t="s">
        <v>2605</v>
      </c>
      <c r="N3" s="760"/>
      <c r="O3" s="761"/>
      <c r="P3" s="761"/>
      <c r="Q3" s="761"/>
      <c r="R3" s="757"/>
      <c r="S3" s="761"/>
      <c r="T3" s="757"/>
      <c r="V3" s="759"/>
      <c r="W3" s="760"/>
      <c r="X3" s="761"/>
      <c r="Y3" s="761"/>
      <c r="Z3" s="761"/>
      <c r="AA3" s="757"/>
      <c r="AB3" s="761"/>
      <c r="AC3" s="757"/>
      <c r="AD3" s="762"/>
      <c r="AE3" s="763"/>
      <c r="AF3" s="764"/>
      <c r="AG3" s="765"/>
      <c r="AH3" s="765"/>
      <c r="AI3" s="765"/>
      <c r="AJ3" s="766"/>
      <c r="AK3" s="765"/>
      <c r="AL3" s="766"/>
      <c r="AM3" s="767"/>
      <c r="AN3" s="763"/>
      <c r="AO3" s="764"/>
      <c r="AP3" s="765"/>
      <c r="AQ3" s="765"/>
      <c r="AR3" s="765"/>
      <c r="AS3" s="766"/>
      <c r="AT3" s="765"/>
      <c r="AU3" s="766"/>
      <c r="AV3" s="767"/>
      <c r="AW3" s="763"/>
      <c r="AX3" s="764"/>
      <c r="AY3" s="765"/>
      <c r="AZ3" s="765"/>
      <c r="BA3" s="765"/>
      <c r="BB3" s="766"/>
      <c r="BC3" s="765"/>
      <c r="BD3" s="766"/>
      <c r="BE3" s="767"/>
      <c r="BF3" s="763"/>
      <c r="BG3" s="764"/>
      <c r="BH3" s="765"/>
      <c r="BI3" s="765"/>
      <c r="BJ3" s="765"/>
      <c r="BK3" s="766"/>
      <c r="BL3" s="765"/>
      <c r="BM3" s="766"/>
      <c r="BN3" s="767"/>
      <c r="BO3" s="763"/>
      <c r="BP3" s="764"/>
      <c r="BQ3" s="765"/>
      <c r="BR3" s="765"/>
      <c r="BS3" s="765"/>
      <c r="BT3" s="766"/>
      <c r="BU3" s="765"/>
      <c r="BV3" s="766"/>
    </row>
    <row r="4">
      <c r="A4" s="772"/>
      <c r="B4" s="773" t="s">
        <v>2606</v>
      </c>
      <c r="C4" s="778" t="s">
        <v>2607</v>
      </c>
      <c r="D4" s="779" t="s">
        <v>2608</v>
      </c>
      <c r="E4" s="780" t="s">
        <v>2609</v>
      </c>
      <c r="F4" s="779" t="s">
        <v>2610</v>
      </c>
      <c r="G4" s="774" t="s">
        <v>2611</v>
      </c>
      <c r="H4" s="758"/>
      <c r="I4" s="758"/>
      <c r="J4" s="758"/>
      <c r="K4" s="758"/>
      <c r="L4" s="758"/>
      <c r="M4" s="777" t="s">
        <v>2612</v>
      </c>
      <c r="N4" s="760"/>
      <c r="O4" s="761"/>
      <c r="P4" s="761"/>
      <c r="Q4" s="761"/>
      <c r="R4" s="757"/>
      <c r="S4" s="761"/>
      <c r="T4" s="757"/>
      <c r="V4" s="759"/>
      <c r="W4" s="760"/>
      <c r="X4" s="761"/>
      <c r="Y4" s="761"/>
      <c r="Z4" s="761"/>
      <c r="AA4" s="757"/>
      <c r="AB4" s="761"/>
      <c r="AC4" s="757"/>
      <c r="AD4" s="762"/>
      <c r="AE4" s="763"/>
      <c r="AF4" s="764"/>
      <c r="AG4" s="765"/>
      <c r="AH4" s="765"/>
      <c r="AI4" s="765"/>
      <c r="AJ4" s="766"/>
      <c r="AK4" s="765"/>
      <c r="AL4" s="766"/>
      <c r="AM4" s="767"/>
      <c r="AN4" s="763"/>
      <c r="AO4" s="764"/>
      <c r="AP4" s="765"/>
      <c r="AQ4" s="765"/>
      <c r="AR4" s="765"/>
      <c r="AS4" s="766"/>
      <c r="AT4" s="765"/>
      <c r="AU4" s="766"/>
      <c r="AV4" s="767"/>
      <c r="AW4" s="763"/>
      <c r="AX4" s="764"/>
      <c r="AY4" s="765"/>
      <c r="AZ4" s="765"/>
      <c r="BA4" s="765"/>
      <c r="BB4" s="766"/>
      <c r="BC4" s="765"/>
      <c r="BD4" s="766"/>
      <c r="BE4" s="767"/>
      <c r="BF4" s="763"/>
      <c r="BG4" s="764"/>
      <c r="BH4" s="765"/>
      <c r="BI4" s="765"/>
      <c r="BJ4" s="765"/>
      <c r="BK4" s="766"/>
      <c r="BL4" s="765"/>
      <c r="BM4" s="766"/>
      <c r="BN4" s="767"/>
      <c r="BO4" s="763"/>
      <c r="BP4" s="764"/>
      <c r="BQ4" s="765"/>
      <c r="BR4" s="765"/>
      <c r="BS4" s="765"/>
      <c r="BT4" s="766"/>
      <c r="BU4" s="765"/>
      <c r="BV4" s="766"/>
    </row>
    <row r="5">
      <c r="A5" s="772"/>
      <c r="B5" s="773" t="s">
        <v>2613</v>
      </c>
      <c r="C5" s="774" t="s">
        <v>2614</v>
      </c>
      <c r="D5" s="775" t="s">
        <v>2615</v>
      </c>
      <c r="E5" s="781"/>
      <c r="F5" s="775" t="s">
        <v>2616</v>
      </c>
      <c r="G5" s="782"/>
      <c r="H5" s="758"/>
      <c r="I5" s="758"/>
      <c r="J5" s="758"/>
      <c r="K5" s="758"/>
      <c r="L5" s="758"/>
      <c r="M5" s="777" t="s">
        <v>2617</v>
      </c>
      <c r="N5" s="760"/>
      <c r="O5" s="761"/>
      <c r="P5" s="761"/>
      <c r="Q5" s="761"/>
      <c r="R5" s="757"/>
      <c r="S5" s="761"/>
      <c r="T5" s="757"/>
      <c r="V5" s="759"/>
      <c r="W5" s="760"/>
      <c r="X5" s="761"/>
      <c r="Y5" s="761"/>
      <c r="Z5" s="761"/>
      <c r="AA5" s="757"/>
      <c r="AB5" s="761"/>
      <c r="AC5" s="757"/>
      <c r="AD5" s="762"/>
      <c r="AE5" s="763"/>
      <c r="AF5" s="764"/>
      <c r="AG5" s="765"/>
      <c r="AH5" s="765"/>
      <c r="AI5" s="765"/>
      <c r="AJ5" s="766"/>
      <c r="AK5" s="765"/>
      <c r="AL5" s="766"/>
      <c r="AM5" s="767"/>
      <c r="AN5" s="763"/>
      <c r="AO5" s="764"/>
      <c r="AP5" s="765"/>
      <c r="AQ5" s="765"/>
      <c r="AR5" s="765"/>
      <c r="AS5" s="766"/>
      <c r="AT5" s="765"/>
      <c r="AU5" s="766"/>
      <c r="AV5" s="767"/>
      <c r="AW5" s="763"/>
      <c r="AX5" s="764"/>
      <c r="AY5" s="765"/>
      <c r="AZ5" s="765"/>
      <c r="BA5" s="765"/>
      <c r="BB5" s="766"/>
      <c r="BC5" s="765"/>
      <c r="BD5" s="766"/>
      <c r="BE5" s="767"/>
      <c r="BF5" s="763"/>
      <c r="BG5" s="764"/>
      <c r="BH5" s="765"/>
      <c r="BI5" s="765"/>
      <c r="BJ5" s="765"/>
      <c r="BK5" s="766"/>
      <c r="BL5" s="765"/>
      <c r="BM5" s="766"/>
      <c r="BN5" s="767"/>
      <c r="BO5" s="763"/>
      <c r="BP5" s="764"/>
      <c r="BQ5" s="765"/>
      <c r="BR5" s="765"/>
      <c r="BS5" s="765"/>
      <c r="BT5" s="766"/>
      <c r="BU5" s="765"/>
      <c r="BV5" s="766"/>
    </row>
    <row r="6">
      <c r="A6" s="772"/>
      <c r="B6" s="783" t="s">
        <v>2618</v>
      </c>
      <c r="C6" s="784" t="s">
        <v>2619</v>
      </c>
      <c r="D6" s="785"/>
      <c r="E6" s="785"/>
      <c r="F6" s="785"/>
      <c r="G6" s="785"/>
      <c r="H6" s="758"/>
      <c r="I6" s="758"/>
      <c r="J6" s="758"/>
      <c r="K6" s="758"/>
      <c r="L6" s="758"/>
      <c r="M6" s="777" t="s">
        <v>2620</v>
      </c>
      <c r="N6" s="760"/>
      <c r="O6" s="761"/>
      <c r="P6" s="761"/>
      <c r="Q6" s="761"/>
      <c r="R6" s="757"/>
      <c r="S6" s="761"/>
      <c r="T6" s="757"/>
      <c r="V6" s="786" t="s">
        <v>2621</v>
      </c>
      <c r="W6" s="760"/>
      <c r="X6" s="761"/>
      <c r="Y6" s="761"/>
      <c r="Z6" s="761"/>
      <c r="AA6" s="757"/>
      <c r="AB6" s="761"/>
      <c r="AC6" s="757"/>
      <c r="AD6" s="762"/>
      <c r="AE6" s="763"/>
      <c r="AF6" s="764"/>
      <c r="AG6" s="765"/>
      <c r="AH6" s="765"/>
      <c r="AI6" s="765"/>
      <c r="AJ6" s="766"/>
      <c r="AK6" s="765"/>
      <c r="AL6" s="766"/>
      <c r="AM6" s="767"/>
      <c r="AN6" s="763"/>
      <c r="AO6" s="764"/>
      <c r="AP6" s="765"/>
      <c r="AQ6" s="765"/>
      <c r="AR6" s="765"/>
      <c r="AS6" s="766"/>
      <c r="AT6" s="765"/>
      <c r="AU6" s="766"/>
      <c r="AV6" s="767"/>
      <c r="AW6" s="763"/>
      <c r="AX6" s="764"/>
      <c r="AY6" s="765"/>
      <c r="AZ6" s="765"/>
      <c r="BA6" s="765"/>
      <c r="BB6" s="766"/>
      <c r="BC6" s="765"/>
      <c r="BD6" s="766"/>
      <c r="BE6" s="767"/>
      <c r="BF6" s="763"/>
      <c r="BG6" s="764"/>
      <c r="BH6" s="765"/>
      <c r="BI6" s="765"/>
      <c r="BJ6" s="765"/>
      <c r="BK6" s="766"/>
      <c r="BL6" s="765"/>
      <c r="BM6" s="766"/>
      <c r="BN6" s="767"/>
      <c r="BO6" s="763"/>
      <c r="BP6" s="764"/>
      <c r="BQ6" s="765"/>
      <c r="BR6" s="765"/>
      <c r="BS6" s="765"/>
      <c r="BT6" s="766"/>
      <c r="BU6" s="765"/>
      <c r="BV6" s="766"/>
    </row>
    <row r="7">
      <c r="A7" s="787"/>
      <c r="B7" s="788" t="s">
        <v>2622</v>
      </c>
      <c r="C7" s="788"/>
      <c r="D7" s="788"/>
      <c r="E7" s="788"/>
      <c r="F7" s="788"/>
      <c r="G7" s="788"/>
      <c r="H7" s="788"/>
      <c r="I7" s="788"/>
      <c r="J7" s="788"/>
      <c r="K7" s="788"/>
      <c r="L7" s="788"/>
      <c r="M7" s="789" t="s">
        <v>2623</v>
      </c>
      <c r="N7" s="788"/>
      <c r="O7" s="790"/>
      <c r="P7" s="790"/>
      <c r="Q7" s="790"/>
      <c r="R7" s="788"/>
      <c r="S7" s="790"/>
      <c r="T7" s="788"/>
      <c r="U7" s="762"/>
      <c r="V7" s="791" t="s">
        <v>2624</v>
      </c>
      <c r="W7" s="791"/>
      <c r="X7" s="791"/>
      <c r="Y7" s="791"/>
      <c r="Z7" s="791"/>
      <c r="AA7" s="791"/>
      <c r="AB7" s="791"/>
      <c r="AC7" s="791"/>
      <c r="AD7" s="762"/>
      <c r="AE7" s="792" t="s">
        <v>2625</v>
      </c>
      <c r="AF7" s="792"/>
      <c r="AG7" s="792"/>
      <c r="AH7" s="792"/>
      <c r="AI7" s="792"/>
      <c r="AJ7" s="792"/>
      <c r="AK7" s="792"/>
      <c r="AL7" s="792"/>
      <c r="AM7" s="767"/>
      <c r="AN7" s="793" t="s">
        <v>2626</v>
      </c>
      <c r="AO7" s="793"/>
      <c r="AP7" s="793"/>
      <c r="AQ7" s="793"/>
      <c r="AR7" s="793"/>
      <c r="AS7" s="793"/>
      <c r="AT7" s="793"/>
      <c r="AU7" s="793"/>
      <c r="AV7" s="767"/>
      <c r="AW7" s="793" t="s">
        <v>2627</v>
      </c>
      <c r="AX7" s="793"/>
      <c r="AY7" s="793"/>
      <c r="AZ7" s="793"/>
      <c r="BA7" s="793"/>
      <c r="BB7" s="793"/>
      <c r="BC7" s="793"/>
      <c r="BD7" s="793"/>
      <c r="BE7" s="767"/>
      <c r="BF7" s="793" t="s">
        <v>2628</v>
      </c>
      <c r="BG7" s="793"/>
      <c r="BH7" s="793"/>
      <c r="BI7" s="793"/>
      <c r="BJ7" s="793"/>
      <c r="BK7" s="793"/>
      <c r="BL7" s="793"/>
      <c r="BM7" s="793"/>
      <c r="BN7" s="767"/>
      <c r="BO7" s="792" t="s">
        <v>2629</v>
      </c>
      <c r="BP7" s="792"/>
      <c r="BQ7" s="792"/>
      <c r="BR7" s="792"/>
      <c r="BS7" s="792"/>
      <c r="BT7" s="792"/>
      <c r="BU7" s="792"/>
      <c r="BV7" s="792"/>
    </row>
    <row r="8">
      <c r="A8" s="787"/>
      <c r="B8" s="794" t="s">
        <v>2630</v>
      </c>
      <c r="C8" s="794" t="s">
        <v>2631</v>
      </c>
      <c r="D8" s="794" t="s">
        <v>2632</v>
      </c>
      <c r="E8" s="794" t="s">
        <v>2633</v>
      </c>
      <c r="F8" s="794" t="s">
        <v>2634</v>
      </c>
      <c r="G8" s="794" t="s">
        <v>2635</v>
      </c>
      <c r="H8" s="794" t="s">
        <v>2636</v>
      </c>
      <c r="I8" s="794" t="s">
        <v>2637</v>
      </c>
      <c r="J8" s="794" t="s">
        <v>2638</v>
      </c>
      <c r="K8" s="794" t="s">
        <v>2639</v>
      </c>
      <c r="L8" s="794" t="s">
        <v>2640</v>
      </c>
      <c r="M8" s="795" t="s">
        <v>2641</v>
      </c>
      <c r="N8" s="796" t="s">
        <v>2642</v>
      </c>
      <c r="O8" s="795" t="s">
        <v>2643</v>
      </c>
      <c r="P8" s="797" t="s">
        <v>2644</v>
      </c>
      <c r="Q8" s="797" t="s">
        <v>2645</v>
      </c>
      <c r="R8" s="794" t="s">
        <v>2646</v>
      </c>
      <c r="S8" s="797" t="s">
        <v>2647</v>
      </c>
      <c r="T8" s="794" t="s">
        <v>2648</v>
      </c>
      <c r="U8" s="762"/>
      <c r="V8" s="798" t="s">
        <v>2641</v>
      </c>
      <c r="W8" s="799" t="s">
        <v>2642</v>
      </c>
      <c r="X8" s="798" t="s">
        <v>2643</v>
      </c>
      <c r="Y8" s="798" t="s">
        <v>2644</v>
      </c>
      <c r="Z8" s="798" t="s">
        <v>2645</v>
      </c>
      <c r="AA8" s="799" t="s">
        <v>2646</v>
      </c>
      <c r="AB8" s="798" t="s">
        <v>2647</v>
      </c>
      <c r="AC8" s="799" t="s">
        <v>2648</v>
      </c>
      <c r="AD8" s="762"/>
      <c r="AE8" s="800" t="s">
        <v>2641</v>
      </c>
      <c r="AF8" s="801" t="s">
        <v>2642</v>
      </c>
      <c r="AG8" s="800" t="s">
        <v>2643</v>
      </c>
      <c r="AH8" s="800" t="s">
        <v>2644</v>
      </c>
      <c r="AI8" s="800" t="s">
        <v>2645</v>
      </c>
      <c r="AJ8" s="801" t="s">
        <v>2646</v>
      </c>
      <c r="AK8" s="800" t="s">
        <v>2647</v>
      </c>
      <c r="AL8" s="801" t="s">
        <v>2648</v>
      </c>
      <c r="AM8" s="767"/>
      <c r="AN8" s="800" t="s">
        <v>2641</v>
      </c>
      <c r="AO8" s="801" t="s">
        <v>2642</v>
      </c>
      <c r="AP8" s="800" t="s">
        <v>2643</v>
      </c>
      <c r="AQ8" s="800" t="s">
        <v>2644</v>
      </c>
      <c r="AR8" s="800" t="s">
        <v>2645</v>
      </c>
      <c r="AS8" s="801" t="s">
        <v>2646</v>
      </c>
      <c r="AT8" s="800" t="s">
        <v>2647</v>
      </c>
      <c r="AU8" s="801" t="s">
        <v>2648</v>
      </c>
      <c r="AV8" s="767"/>
      <c r="AW8" s="800" t="s">
        <v>2641</v>
      </c>
      <c r="AX8" s="801" t="s">
        <v>2642</v>
      </c>
      <c r="AY8" s="800" t="s">
        <v>2643</v>
      </c>
      <c r="AZ8" s="800" t="s">
        <v>2644</v>
      </c>
      <c r="BA8" s="800" t="s">
        <v>2645</v>
      </c>
      <c r="BB8" s="801" t="s">
        <v>2646</v>
      </c>
      <c r="BC8" s="800" t="s">
        <v>2647</v>
      </c>
      <c r="BD8" s="801" t="s">
        <v>2648</v>
      </c>
      <c r="BE8" s="767"/>
      <c r="BF8" s="800" t="s">
        <v>2641</v>
      </c>
      <c r="BG8" s="801" t="s">
        <v>2642</v>
      </c>
      <c r="BH8" s="800" t="s">
        <v>2643</v>
      </c>
      <c r="BI8" s="800" t="s">
        <v>2644</v>
      </c>
      <c r="BJ8" s="800" t="s">
        <v>2645</v>
      </c>
      <c r="BK8" s="801" t="s">
        <v>2646</v>
      </c>
      <c r="BL8" s="800" t="s">
        <v>2647</v>
      </c>
      <c r="BM8" s="801" t="s">
        <v>2648</v>
      </c>
      <c r="BN8" s="767"/>
      <c r="BO8" s="800" t="s">
        <v>2641</v>
      </c>
      <c r="BP8" s="801" t="s">
        <v>2642</v>
      </c>
      <c r="BQ8" s="800" t="s">
        <v>2643</v>
      </c>
      <c r="BR8" s="800" t="s">
        <v>2644</v>
      </c>
      <c r="BS8" s="800" t="s">
        <v>2645</v>
      </c>
      <c r="BT8" s="801" t="s">
        <v>2646</v>
      </c>
      <c r="BU8" s="800" t="s">
        <v>2647</v>
      </c>
      <c r="BV8" s="801" t="s">
        <v>2648</v>
      </c>
    </row>
    <row r="9">
      <c r="A9" s="758"/>
      <c r="B9" s="802">
        <f>IFERROR(VLOOKUP(C9,'字段信息'!A:C,3,),"")</f>
      </c>
      <c r="C9" s="803" t="s">
        <v>2649</v>
      </c>
      <c r="D9" s="804">
        <f>IFERROR(VLOOKUP(C9,'字段信息'!A:C,2,),"")</f>
      </c>
      <c r="E9" s="805"/>
      <c r="F9" s="805">
        <f t="shared" ref="F9:F81" si="0">B9</f>
      </c>
      <c r="G9" s="805"/>
      <c r="H9" s="806"/>
      <c r="I9" s="806"/>
      <c r="J9" s="806"/>
      <c r="K9" s="806"/>
      <c r="L9" s="807"/>
      <c r="M9" s="808" t="s">
        <v>2650</v>
      </c>
      <c r="N9" s="809" t="s">
        <v>2651</v>
      </c>
      <c r="O9" s="810" t="s">
        <v>2652</v>
      </c>
      <c r="P9" s="811" t="s">
        <v>2653</v>
      </c>
      <c r="Q9" s="812"/>
      <c r="R9" s="813"/>
      <c r="S9" s="812"/>
      <c r="T9" s="813"/>
      <c r="U9" s="762"/>
      <c r="V9" s="808" t="s">
        <v>2654</v>
      </c>
      <c r="W9" s="814" t="s">
        <v>2655</v>
      </c>
      <c r="X9" s="810" t="s">
        <v>2656</v>
      </c>
      <c r="Y9" s="803" t="s">
        <v>2649</v>
      </c>
      <c r="Z9" s="815"/>
      <c r="AA9" s="816"/>
      <c r="AB9" s="815"/>
      <c r="AC9" s="816"/>
      <c r="AD9" s="762"/>
      <c r="AE9" s="817" t="s">
        <v>2654</v>
      </c>
      <c r="AF9" s="818"/>
      <c r="AG9" s="819" t="s">
        <v>2657</v>
      </c>
      <c r="AH9" s="820" t="s">
        <v>2653</v>
      </c>
      <c r="AI9" s="821"/>
      <c r="AJ9" s="822"/>
      <c r="AK9" s="821"/>
      <c r="AL9" s="822"/>
      <c r="AM9" s="767"/>
      <c r="AN9" s="817" t="s">
        <v>2654</v>
      </c>
      <c r="AO9" s="823" t="s">
        <v>2651</v>
      </c>
      <c r="AP9" s="819" t="s">
        <v>2652</v>
      </c>
      <c r="AQ9" s="820" t="s">
        <v>2653</v>
      </c>
      <c r="AR9" s="821"/>
      <c r="AS9" s="822"/>
      <c r="AT9" s="821"/>
      <c r="AU9" s="822"/>
      <c r="AV9" s="767"/>
      <c r="AW9" s="817" t="s">
        <v>2654</v>
      </c>
      <c r="AX9" s="823" t="s">
        <v>2651</v>
      </c>
      <c r="AY9" s="819" t="s">
        <v>2652</v>
      </c>
      <c r="AZ9" s="820" t="s">
        <v>2653</v>
      </c>
      <c r="BA9" s="821"/>
      <c r="BB9" s="822"/>
      <c r="BC9" s="821"/>
      <c r="BD9" s="822"/>
      <c r="BE9" s="767"/>
      <c r="BF9" s="817" t="s">
        <v>2654</v>
      </c>
      <c r="BG9" s="823" t="s">
        <v>2651</v>
      </c>
      <c r="BH9" s="819" t="s">
        <v>2652</v>
      </c>
      <c r="BI9" s="820" t="s">
        <v>2653</v>
      </c>
      <c r="BJ9" s="821"/>
      <c r="BK9" s="822"/>
      <c r="BL9" s="821"/>
      <c r="BM9" s="822"/>
      <c r="BN9" s="767"/>
      <c r="BO9" s="817" t="s">
        <v>2654</v>
      </c>
      <c r="BP9" s="818" t="s">
        <v>2651</v>
      </c>
      <c r="BQ9" s="819" t="s">
        <v>2658</v>
      </c>
      <c r="BR9" s="820" t="s">
        <v>2653</v>
      </c>
      <c r="BS9" s="821"/>
      <c r="BT9" s="822"/>
      <c r="BU9" s="821"/>
      <c r="BV9" s="822"/>
    </row>
    <row r="10">
      <c r="A10" s="758"/>
      <c r="B10" s="802">
        <f>IFERROR(VLOOKUP(C10,'字段信息'!A:C,3,),"")</f>
      </c>
      <c r="C10" s="803" t="s">
        <v>2659</v>
      </c>
      <c r="D10" s="804">
        <f>IFERROR(VLOOKUP(C10,'字段信息'!A:C,2,),"")</f>
      </c>
      <c r="E10" s="805"/>
      <c r="F10" s="805">
        <f t="shared" si="0"/>
      </c>
      <c r="G10" s="805" t="s">
        <v>2660</v>
      </c>
      <c r="H10" s="806"/>
      <c r="I10" s="806"/>
      <c r="J10" s="806"/>
      <c r="K10" s="806"/>
      <c r="L10" s="807" t="s">
        <v>2661</v>
      </c>
      <c r="M10" s="808" t="s">
        <v>2654</v>
      </c>
      <c r="N10" s="809" t="s">
        <v>2651</v>
      </c>
      <c r="O10" s="810" t="s">
        <v>2652</v>
      </c>
      <c r="P10" s="808" t="s">
        <v>2662</v>
      </c>
      <c r="Q10" s="812"/>
      <c r="R10" s="813"/>
      <c r="S10" s="812"/>
      <c r="T10" s="813"/>
      <c r="U10" s="762"/>
      <c r="V10" s="808" t="s">
        <v>2654</v>
      </c>
      <c r="W10" s="814" t="s">
        <v>2655</v>
      </c>
      <c r="X10" s="810" t="s">
        <v>2656</v>
      </c>
      <c r="Y10" s="803" t="s">
        <v>2659</v>
      </c>
      <c r="Z10" s="815"/>
      <c r="AA10" s="816"/>
      <c r="AB10" s="815"/>
      <c r="AC10" s="816"/>
      <c r="AD10" s="762"/>
      <c r="AE10" s="817" t="s">
        <v>2654</v>
      </c>
      <c r="AF10" s="818"/>
      <c r="AG10" s="819" t="s">
        <v>2657</v>
      </c>
      <c r="AH10" s="824" t="s">
        <v>2662</v>
      </c>
      <c r="AI10" s="821"/>
      <c r="AJ10" s="822"/>
      <c r="AK10" s="821"/>
      <c r="AL10" s="822"/>
      <c r="AM10" s="767"/>
      <c r="AN10" s="817" t="s">
        <v>2654</v>
      </c>
      <c r="AO10" s="823" t="s">
        <v>2651</v>
      </c>
      <c r="AP10" s="819" t="s">
        <v>2652</v>
      </c>
      <c r="AQ10" s="824" t="s">
        <v>2662</v>
      </c>
      <c r="AR10" s="821"/>
      <c r="AS10" s="822"/>
      <c r="AT10" s="821"/>
      <c r="AU10" s="822"/>
      <c r="AV10" s="767"/>
      <c r="AW10" s="817" t="s">
        <v>2654</v>
      </c>
      <c r="AX10" s="823" t="s">
        <v>2651</v>
      </c>
      <c r="AY10" s="819" t="s">
        <v>2652</v>
      </c>
      <c r="AZ10" s="824" t="s">
        <v>2662</v>
      </c>
      <c r="BA10" s="821"/>
      <c r="BB10" s="822"/>
      <c r="BC10" s="821"/>
      <c r="BD10" s="822"/>
      <c r="BE10" s="767"/>
      <c r="BF10" s="817" t="s">
        <v>2654</v>
      </c>
      <c r="BG10" s="823" t="s">
        <v>2651</v>
      </c>
      <c r="BH10" s="819" t="s">
        <v>2652</v>
      </c>
      <c r="BI10" s="824" t="s">
        <v>2662</v>
      </c>
      <c r="BJ10" s="821"/>
      <c r="BK10" s="822"/>
      <c r="BL10" s="821"/>
      <c r="BM10" s="822"/>
      <c r="BN10" s="767"/>
      <c r="BO10" s="817" t="s">
        <v>2654</v>
      </c>
      <c r="BP10" s="818" t="s">
        <v>2651</v>
      </c>
      <c r="BQ10" s="819" t="s">
        <v>2658</v>
      </c>
      <c r="BR10" s="824" t="s">
        <v>2662</v>
      </c>
      <c r="BS10" s="821"/>
      <c r="BT10" s="822"/>
      <c r="BU10" s="821"/>
      <c r="BV10" s="822"/>
    </row>
    <row r="11">
      <c r="A11" s="758"/>
      <c r="B11" s="802">
        <f>IFERROR(VLOOKUP(C11,'字段信息'!A:C,3,),"")</f>
      </c>
      <c r="C11" s="803" t="s">
        <v>2663</v>
      </c>
      <c r="D11" s="804">
        <f>IFERROR(VLOOKUP(C11,'字段信息'!A:C,2,),"")</f>
      </c>
      <c r="E11" s="805"/>
      <c r="F11" s="805">
        <f t="shared" si="0"/>
      </c>
      <c r="G11" s="805" t="s">
        <v>2660</v>
      </c>
      <c r="H11" s="806"/>
      <c r="I11" s="806"/>
      <c r="J11" s="806"/>
      <c r="K11" s="806"/>
      <c r="L11" s="807" t="s">
        <v>2661</v>
      </c>
      <c r="M11" s="808" t="s">
        <v>2654</v>
      </c>
      <c r="N11" s="809" t="s">
        <v>2651</v>
      </c>
      <c r="O11" s="810" t="s">
        <v>2652</v>
      </c>
      <c r="P11" s="808" t="s">
        <v>2664</v>
      </c>
      <c r="Q11" s="812"/>
      <c r="R11" s="813"/>
      <c r="S11" s="812"/>
      <c r="T11" s="813"/>
      <c r="U11" s="762"/>
      <c r="V11" s="808" t="s">
        <v>2654</v>
      </c>
      <c r="W11" s="814" t="s">
        <v>2655</v>
      </c>
      <c r="X11" s="810" t="s">
        <v>2656</v>
      </c>
      <c r="Y11" s="803" t="s">
        <v>2663</v>
      </c>
      <c r="Z11" s="815"/>
      <c r="AA11" s="816"/>
      <c r="AB11" s="815"/>
      <c r="AC11" s="816"/>
      <c r="AD11" s="762"/>
      <c r="AE11" s="817" t="s">
        <v>2654</v>
      </c>
      <c r="AF11" s="818"/>
      <c r="AG11" s="819" t="s">
        <v>2657</v>
      </c>
      <c r="AH11" s="824" t="s">
        <v>2664</v>
      </c>
      <c r="AI11" s="821"/>
      <c r="AJ11" s="822"/>
      <c r="AK11" s="821"/>
      <c r="AL11" s="822"/>
      <c r="AM11" s="767"/>
      <c r="AN11" s="817" t="s">
        <v>2654</v>
      </c>
      <c r="AO11" s="823" t="s">
        <v>2651</v>
      </c>
      <c r="AP11" s="819" t="s">
        <v>2652</v>
      </c>
      <c r="AQ11" s="824" t="s">
        <v>2664</v>
      </c>
      <c r="AR11" s="825"/>
      <c r="AS11" s="826"/>
      <c r="AT11" s="821"/>
      <c r="AU11" s="822"/>
      <c r="AV11" s="767"/>
      <c r="AW11" s="817" t="s">
        <v>2654</v>
      </c>
      <c r="AX11" s="823" t="s">
        <v>2651</v>
      </c>
      <c r="AY11" s="819" t="s">
        <v>2652</v>
      </c>
      <c r="AZ11" s="824" t="s">
        <v>2664</v>
      </c>
      <c r="BA11" s="821"/>
      <c r="BB11" s="822"/>
      <c r="BC11" s="821"/>
      <c r="BD11" s="822"/>
      <c r="BE11" s="767"/>
      <c r="BF11" s="817" t="s">
        <v>2654</v>
      </c>
      <c r="BG11" s="823" t="s">
        <v>2651</v>
      </c>
      <c r="BH11" s="819" t="s">
        <v>2652</v>
      </c>
      <c r="BI11" s="824" t="s">
        <v>2664</v>
      </c>
      <c r="BJ11" s="821"/>
      <c r="BK11" s="822"/>
      <c r="BL11" s="821"/>
      <c r="BM11" s="822"/>
      <c r="BN11" s="767"/>
      <c r="BO11" s="817" t="s">
        <v>2654</v>
      </c>
      <c r="BP11" s="818" t="s">
        <v>2651</v>
      </c>
      <c r="BQ11" s="819" t="s">
        <v>2658</v>
      </c>
      <c r="BR11" s="824" t="s">
        <v>2664</v>
      </c>
      <c r="BS11" s="821"/>
      <c r="BT11" s="822"/>
      <c r="BU11" s="821"/>
      <c r="BV11" s="822"/>
    </row>
    <row r="12">
      <c r="A12" s="758"/>
      <c r="B12" s="802">
        <f>IFERROR(VLOOKUP(C12,'字段信息'!A:C,3,),"")</f>
      </c>
      <c r="C12" s="803" t="s">
        <v>2665</v>
      </c>
      <c r="D12" s="804">
        <f>IFERROR(VLOOKUP(C12,'字段信息'!A:C,2,),"")</f>
      </c>
      <c r="E12" s="805"/>
      <c r="F12" s="805">
        <f t="shared" si="0"/>
      </c>
      <c r="G12" s="805" t="s">
        <v>2660</v>
      </c>
      <c r="H12" s="806"/>
      <c r="I12" s="806"/>
      <c r="J12" s="806"/>
      <c r="K12" s="806"/>
      <c r="L12" s="807" t="s">
        <v>2661</v>
      </c>
      <c r="M12" s="808" t="s">
        <v>2666</v>
      </c>
      <c r="N12" s="827"/>
      <c r="O12" s="828"/>
      <c r="P12" s="829"/>
      <c r="Q12" s="812"/>
      <c r="R12" s="813"/>
      <c r="S12" s="812"/>
      <c r="T12" s="813"/>
      <c r="U12" s="762"/>
      <c r="V12" s="808" t="s">
        <v>2666</v>
      </c>
      <c r="W12" s="814" t="s">
        <v>2655</v>
      </c>
      <c r="X12" s="828"/>
      <c r="Y12" s="829"/>
      <c r="Z12" s="815"/>
      <c r="AA12" s="816"/>
      <c r="AB12" s="815"/>
      <c r="AC12" s="816"/>
      <c r="AD12" s="762"/>
      <c r="AE12" s="817" t="s">
        <v>2666</v>
      </c>
      <c r="AF12" s="830"/>
      <c r="AG12" s="831"/>
      <c r="AH12" s="832"/>
      <c r="AI12" s="821"/>
      <c r="AJ12" s="822"/>
      <c r="AK12" s="821"/>
      <c r="AL12" s="822"/>
      <c r="AM12" s="767"/>
      <c r="AN12" s="817" t="s">
        <v>2666</v>
      </c>
      <c r="AO12" s="830"/>
      <c r="AP12" s="831"/>
      <c r="AQ12" s="833"/>
      <c r="AR12" s="821"/>
      <c r="AS12" s="822"/>
      <c r="AT12" s="834"/>
      <c r="AU12" s="822"/>
      <c r="AV12" s="767"/>
      <c r="AW12" s="817" t="s">
        <v>2666</v>
      </c>
      <c r="AX12" s="830"/>
      <c r="AY12" s="831"/>
      <c r="AZ12" s="832"/>
      <c r="BA12" s="821"/>
      <c r="BB12" s="822"/>
      <c r="BC12" s="821"/>
      <c r="BD12" s="822"/>
      <c r="BE12" s="767"/>
      <c r="BF12" s="817" t="s">
        <v>2666</v>
      </c>
      <c r="BG12" s="830"/>
      <c r="BH12" s="831"/>
      <c r="BI12" s="832"/>
      <c r="BJ12" s="821"/>
      <c r="BK12" s="822"/>
      <c r="BL12" s="821"/>
      <c r="BM12" s="822"/>
      <c r="BN12" s="767"/>
      <c r="BO12" s="817" t="s">
        <v>2666</v>
      </c>
      <c r="BP12" s="830"/>
      <c r="BQ12" s="831"/>
      <c r="BR12" s="832"/>
      <c r="BS12" s="821"/>
      <c r="BT12" s="822"/>
      <c r="BU12" s="821"/>
      <c r="BV12" s="822"/>
    </row>
    <row r="13">
      <c r="A13" s="758"/>
      <c r="B13" s="802">
        <f>IFERROR(VLOOKUP(C13,'字段信息'!A:C,3,),"")</f>
      </c>
      <c r="C13" s="803" t="s">
        <v>2667</v>
      </c>
      <c r="D13" s="804">
        <f>IFERROR(VLOOKUP(C13,'字段信息'!A:C,2,),"")</f>
      </c>
      <c r="E13" s="805"/>
      <c r="F13" s="805">
        <f t="shared" si="0"/>
      </c>
      <c r="G13" s="805" t="s">
        <v>2660</v>
      </c>
      <c r="H13" s="806"/>
      <c r="I13" s="806"/>
      <c r="J13" s="806"/>
      <c r="K13" s="806"/>
      <c r="L13" s="835" t="s">
        <v>2661</v>
      </c>
      <c r="M13" s="808" t="s">
        <v>2654</v>
      </c>
      <c r="N13" s="809" t="s">
        <v>2651</v>
      </c>
      <c r="O13" s="810" t="s">
        <v>2652</v>
      </c>
      <c r="P13" s="803" t="s">
        <v>2668</v>
      </c>
      <c r="Q13" s="812"/>
      <c r="R13" s="813"/>
      <c r="S13" s="812"/>
      <c r="T13" s="813"/>
      <c r="U13" s="762"/>
      <c r="V13" s="808" t="s">
        <v>2669</v>
      </c>
      <c r="W13" s="814" t="s">
        <v>2655</v>
      </c>
      <c r="X13" s="810" t="s">
        <v>2656</v>
      </c>
      <c r="Y13" s="803" t="s">
        <v>2670</v>
      </c>
      <c r="Z13" s="815"/>
      <c r="AA13" s="836" t="s">
        <v>2671</v>
      </c>
      <c r="AB13" s="815"/>
      <c r="AC13" s="816"/>
      <c r="AD13" s="762"/>
      <c r="AE13" s="817" t="s">
        <v>2672</v>
      </c>
      <c r="AF13" s="830"/>
      <c r="AG13" s="819" t="s">
        <v>2657</v>
      </c>
      <c r="AH13" s="837"/>
      <c r="AI13" s="821"/>
      <c r="AJ13" s="838"/>
      <c r="AK13" s="821"/>
      <c r="AL13" s="822"/>
      <c r="AM13" s="767"/>
      <c r="AN13" s="817" t="s">
        <v>2673</v>
      </c>
      <c r="AO13" s="830"/>
      <c r="AP13" s="819"/>
      <c r="AQ13" s="839"/>
      <c r="AR13" s="821"/>
      <c r="AS13" s="840"/>
      <c r="AT13" s="841"/>
      <c r="AU13" s="842"/>
      <c r="AV13" s="767"/>
      <c r="AW13" s="817" t="s">
        <v>2674</v>
      </c>
      <c r="AX13" s="830"/>
      <c r="AY13" s="819"/>
      <c r="AZ13" s="837"/>
      <c r="BA13" s="821"/>
      <c r="BB13" s="767"/>
      <c r="BC13" s="821"/>
      <c r="BD13" s="822"/>
      <c r="BE13" s="767"/>
      <c r="BF13" s="817" t="s">
        <v>2675</v>
      </c>
      <c r="BG13" s="830"/>
      <c r="BH13" s="819"/>
      <c r="BI13" s="837"/>
      <c r="BJ13" s="821"/>
      <c r="BK13" s="767"/>
      <c r="BL13" s="821"/>
      <c r="BM13" s="822"/>
      <c r="BN13" s="767"/>
      <c r="BO13" s="817" t="s">
        <v>2676</v>
      </c>
      <c r="BP13" s="830"/>
      <c r="BQ13" s="819"/>
      <c r="BR13" s="843"/>
      <c r="BS13" s="821"/>
      <c r="BT13" s="840"/>
      <c r="BU13" s="821"/>
      <c r="BV13" s="822"/>
    </row>
    <row r="14">
      <c r="A14" s="758"/>
      <c r="B14" s="802">
        <f>IFERROR(VLOOKUP(C14,'字段信息'!A:C,3,),"")</f>
      </c>
      <c r="C14" s="803" t="s">
        <v>2677</v>
      </c>
      <c r="D14" s="804">
        <f>IFERROR(VLOOKUP(C14,'字段信息'!A:C,2,),"")</f>
      </c>
      <c r="E14" s="805"/>
      <c r="F14" s="805">
        <f t="shared" si="0"/>
      </c>
      <c r="G14" s="805" t="s">
        <v>2660</v>
      </c>
      <c r="H14" s="806"/>
      <c r="I14" s="806"/>
      <c r="J14" s="806"/>
      <c r="K14" s="806"/>
      <c r="L14" s="835" t="s">
        <v>2661</v>
      </c>
      <c r="M14" s="808" t="s">
        <v>2654</v>
      </c>
      <c r="N14" s="809" t="s">
        <v>2651</v>
      </c>
      <c r="O14" s="810" t="s">
        <v>2652</v>
      </c>
      <c r="P14" s="808" t="s">
        <v>2678</v>
      </c>
      <c r="Q14" s="812"/>
      <c r="R14" s="813"/>
      <c r="S14" s="812"/>
      <c r="T14" s="813"/>
      <c r="U14" s="762"/>
      <c r="V14" s="808" t="s">
        <v>2654</v>
      </c>
      <c r="W14" s="814" t="s">
        <v>2655</v>
      </c>
      <c r="X14" s="810" t="s">
        <v>2656</v>
      </c>
      <c r="Y14" s="803" t="s">
        <v>2678</v>
      </c>
      <c r="Z14" s="815"/>
      <c r="AA14" s="816"/>
      <c r="AB14" s="815"/>
      <c r="AC14" s="816"/>
      <c r="AD14" s="762"/>
      <c r="AE14" s="817" t="s">
        <v>2654</v>
      </c>
      <c r="AF14" s="818"/>
      <c r="AG14" s="819" t="s">
        <v>2657</v>
      </c>
      <c r="AH14" s="824" t="s">
        <v>2678</v>
      </c>
      <c r="AI14" s="821"/>
      <c r="AJ14" s="822"/>
      <c r="AK14" s="821"/>
      <c r="AL14" s="822"/>
      <c r="AM14" s="767"/>
      <c r="AN14" s="817" t="s">
        <v>2654</v>
      </c>
      <c r="AO14" s="823" t="s">
        <v>2651</v>
      </c>
      <c r="AP14" s="819" t="s">
        <v>2652</v>
      </c>
      <c r="AQ14" s="824" t="s">
        <v>2678</v>
      </c>
      <c r="AR14" s="844"/>
      <c r="AS14" s="845"/>
      <c r="AT14" s="844"/>
      <c r="AU14" s="822"/>
      <c r="AV14" s="767"/>
      <c r="AW14" s="817" t="s">
        <v>2654</v>
      </c>
      <c r="AX14" s="823" t="s">
        <v>2651</v>
      </c>
      <c r="AY14" s="819" t="s">
        <v>2652</v>
      </c>
      <c r="AZ14" s="824" t="s">
        <v>2678</v>
      </c>
      <c r="BA14" s="821"/>
      <c r="BB14" s="822"/>
      <c r="BC14" s="821"/>
      <c r="BD14" s="822"/>
      <c r="BE14" s="767"/>
      <c r="BF14" s="817" t="s">
        <v>2654</v>
      </c>
      <c r="BG14" s="823" t="s">
        <v>2651</v>
      </c>
      <c r="BH14" s="819" t="s">
        <v>2652</v>
      </c>
      <c r="BI14" s="824" t="s">
        <v>2678</v>
      </c>
      <c r="BJ14" s="821"/>
      <c r="BK14" s="822"/>
      <c r="BL14" s="821"/>
      <c r="BM14" s="822"/>
      <c r="BN14" s="767"/>
      <c r="BO14" s="817" t="s">
        <v>2679</v>
      </c>
      <c r="BP14" s="818" t="s">
        <v>2651</v>
      </c>
      <c r="BQ14" s="819" t="s">
        <v>2658</v>
      </c>
      <c r="BR14" s="824" t="s">
        <v>2678</v>
      </c>
      <c r="BS14" s="821"/>
      <c r="BT14" s="822"/>
      <c r="BU14" s="821"/>
      <c r="BV14" s="822"/>
    </row>
    <row r="15">
      <c r="A15" s="758"/>
      <c r="B15" s="802">
        <f>IFERROR(VLOOKUP(C15,'字段信息'!A:C,3,),"")</f>
      </c>
      <c r="C15" s="803" t="s">
        <v>2680</v>
      </c>
      <c r="D15" s="804">
        <f>IFERROR(VLOOKUP(C15,'字段信息'!A:C,2,),"")</f>
      </c>
      <c r="E15" s="805"/>
      <c r="F15" s="805">
        <f t="shared" si="0"/>
      </c>
      <c r="G15" s="805" t="s">
        <v>2660</v>
      </c>
      <c r="H15" s="806"/>
      <c r="I15" s="806"/>
      <c r="J15" s="806"/>
      <c r="K15" s="806"/>
      <c r="L15" s="835" t="s">
        <v>2661</v>
      </c>
      <c r="M15" s="808" t="s">
        <v>2654</v>
      </c>
      <c r="N15" s="809" t="s">
        <v>2651</v>
      </c>
      <c r="O15" s="810" t="s">
        <v>2652</v>
      </c>
      <c r="P15" s="808" t="s">
        <v>2681</v>
      </c>
      <c r="Q15" s="812"/>
      <c r="R15" s="813"/>
      <c r="S15" s="812"/>
      <c r="T15" s="813"/>
      <c r="U15" s="762"/>
      <c r="V15" s="808" t="s">
        <v>2654</v>
      </c>
      <c r="W15" s="814" t="s">
        <v>2655</v>
      </c>
      <c r="X15" s="810" t="s">
        <v>2656</v>
      </c>
      <c r="Y15" s="803" t="s">
        <v>2681</v>
      </c>
      <c r="Z15" s="815"/>
      <c r="AA15" s="816"/>
      <c r="AB15" s="815"/>
      <c r="AC15" s="816"/>
      <c r="AD15" s="762"/>
      <c r="AE15" s="817" t="s">
        <v>2654</v>
      </c>
      <c r="AF15" s="818"/>
      <c r="AG15" s="819" t="s">
        <v>2657</v>
      </c>
      <c r="AH15" s="824" t="s">
        <v>2681</v>
      </c>
      <c r="AI15" s="821"/>
      <c r="AJ15" s="822"/>
      <c r="AK15" s="821"/>
      <c r="AL15" s="822"/>
      <c r="AM15" s="767"/>
      <c r="AN15" s="817" t="s">
        <v>2654</v>
      </c>
      <c r="AO15" s="823" t="s">
        <v>2651</v>
      </c>
      <c r="AP15" s="819" t="s">
        <v>2652</v>
      </c>
      <c r="AQ15" s="824" t="s">
        <v>2681</v>
      </c>
      <c r="AR15" s="821"/>
      <c r="AS15" s="822"/>
      <c r="AT15" s="821"/>
      <c r="AU15" s="822"/>
      <c r="AV15" s="767"/>
      <c r="AW15" s="817" t="s">
        <v>2654</v>
      </c>
      <c r="AX15" s="823" t="s">
        <v>2651</v>
      </c>
      <c r="AY15" s="819" t="s">
        <v>2652</v>
      </c>
      <c r="AZ15" s="824" t="s">
        <v>2681</v>
      </c>
      <c r="BA15" s="821"/>
      <c r="BB15" s="822"/>
      <c r="BC15" s="821"/>
      <c r="BD15" s="822"/>
      <c r="BE15" s="767"/>
      <c r="BF15" s="817" t="s">
        <v>2654</v>
      </c>
      <c r="BG15" s="823" t="s">
        <v>2651</v>
      </c>
      <c r="BH15" s="819" t="s">
        <v>2652</v>
      </c>
      <c r="BI15" s="824" t="s">
        <v>2681</v>
      </c>
      <c r="BJ15" s="821"/>
      <c r="BK15" s="822"/>
      <c r="BL15" s="821"/>
      <c r="BM15" s="822"/>
      <c r="BN15" s="767"/>
      <c r="BO15" s="817" t="s">
        <v>2654</v>
      </c>
      <c r="BP15" s="818" t="s">
        <v>2651</v>
      </c>
      <c r="BQ15" s="819" t="s">
        <v>2658</v>
      </c>
      <c r="BR15" s="824" t="s">
        <v>2681</v>
      </c>
      <c r="BS15" s="821"/>
      <c r="BT15" s="822"/>
      <c r="BU15" s="821"/>
      <c r="BV15" s="822"/>
    </row>
    <row r="16">
      <c r="A16" s="758"/>
      <c r="B16" s="802">
        <f>IFERROR(VLOOKUP(C16,'字段信息'!A:C,3,),"")</f>
      </c>
      <c r="C16" s="803" t="s">
        <v>2682</v>
      </c>
      <c r="D16" s="804">
        <f>IFERROR(VLOOKUP(C16,'字段信息'!A:C,2,),"")</f>
      </c>
      <c r="E16" s="805"/>
      <c r="F16" s="805">
        <f t="shared" si="0"/>
      </c>
      <c r="G16" s="805" t="s">
        <v>2660</v>
      </c>
      <c r="H16" s="806"/>
      <c r="I16" s="806"/>
      <c r="J16" s="806"/>
      <c r="K16" s="806"/>
      <c r="L16" s="835" t="s">
        <v>2661</v>
      </c>
      <c r="M16" s="808" t="s">
        <v>2654</v>
      </c>
      <c r="N16" s="809" t="s">
        <v>2651</v>
      </c>
      <c r="O16" s="810" t="s">
        <v>2652</v>
      </c>
      <c r="P16" s="808" t="s">
        <v>2683</v>
      </c>
      <c r="Q16" s="812"/>
      <c r="R16" s="813"/>
      <c r="S16" s="812"/>
      <c r="T16" s="813"/>
      <c r="U16" s="762"/>
      <c r="V16" s="808"/>
      <c r="W16" s="814"/>
      <c r="X16" s="810"/>
      <c r="Y16" s="803"/>
      <c r="Z16" s="815"/>
      <c r="AA16" s="816"/>
      <c r="AB16" s="815"/>
      <c r="AC16" s="816"/>
      <c r="AD16" s="762"/>
      <c r="AE16" s="817"/>
      <c r="AF16" s="818"/>
      <c r="AG16" s="819"/>
      <c r="AH16" s="824"/>
      <c r="AI16" s="821"/>
      <c r="AJ16" s="822"/>
      <c r="AK16" s="821"/>
      <c r="AL16" s="822"/>
      <c r="AM16" s="767"/>
      <c r="AN16" s="817" t="s">
        <v>2654</v>
      </c>
      <c r="AO16" s="823" t="s">
        <v>2651</v>
      </c>
      <c r="AP16" s="819" t="s">
        <v>2652</v>
      </c>
      <c r="AQ16" s="824" t="s">
        <v>2683</v>
      </c>
      <c r="AR16" s="821"/>
      <c r="AS16" s="822"/>
      <c r="AT16" s="821"/>
      <c r="AU16" s="822"/>
      <c r="AV16" s="767"/>
      <c r="AW16" s="817" t="s">
        <v>2654</v>
      </c>
      <c r="AX16" s="823" t="s">
        <v>2651</v>
      </c>
      <c r="AY16" s="819" t="s">
        <v>2652</v>
      </c>
      <c r="AZ16" s="824" t="s">
        <v>2683</v>
      </c>
      <c r="BA16" s="821"/>
      <c r="BB16" s="822"/>
      <c r="BC16" s="821"/>
      <c r="BD16" s="822"/>
      <c r="BE16" s="767"/>
      <c r="BF16" s="817" t="s">
        <v>2654</v>
      </c>
      <c r="BG16" s="823" t="s">
        <v>2651</v>
      </c>
      <c r="BH16" s="819" t="s">
        <v>2652</v>
      </c>
      <c r="BI16" s="824" t="s">
        <v>2683</v>
      </c>
      <c r="BJ16" s="821"/>
      <c r="BK16" s="822"/>
      <c r="BL16" s="821"/>
      <c r="BM16" s="822"/>
      <c r="BN16" s="767"/>
      <c r="BO16" s="817"/>
      <c r="BP16" s="818"/>
      <c r="BQ16" s="819"/>
      <c r="BR16" s="824"/>
      <c r="BS16" s="821"/>
      <c r="BT16" s="822"/>
      <c r="BU16" s="821"/>
      <c r="BV16" s="822"/>
    </row>
    <row customHeight="true" ht="47.61904761904762" r="17">
      <c r="A17" s="758"/>
      <c r="B17" s="802">
        <f>IFERROR(VLOOKUP(C17,'字段信息'!A:C,3,),"")</f>
      </c>
      <c r="C17" s="803" t="s">
        <v>2684</v>
      </c>
      <c r="D17" s="804">
        <f>IFERROR(VLOOKUP(C17,'字段信息'!A:C,2,),"")</f>
      </c>
      <c r="E17" s="805"/>
      <c r="F17" s="805">
        <f t="shared" si="0"/>
      </c>
      <c r="G17" s="805" t="s">
        <v>2660</v>
      </c>
      <c r="H17" s="806"/>
      <c r="I17" s="806"/>
      <c r="J17" s="806"/>
      <c r="K17" s="806"/>
      <c r="L17" s="835"/>
      <c r="M17" s="808" t="s">
        <v>2654</v>
      </c>
      <c r="N17" s="809" t="s">
        <v>2651</v>
      </c>
      <c r="O17" s="810" t="s">
        <v>2652</v>
      </c>
      <c r="P17" s="808" t="s">
        <v>2685</v>
      </c>
      <c r="Q17" s="812"/>
      <c r="R17" s="813"/>
      <c r="S17" s="812"/>
      <c r="T17" s="813"/>
      <c r="U17" s="762"/>
      <c r="V17" s="808"/>
      <c r="W17" s="814"/>
      <c r="X17" s="810"/>
      <c r="Y17" s="803"/>
      <c r="Z17" s="815"/>
      <c r="AA17" s="816"/>
      <c r="AB17" s="815"/>
      <c r="AC17" s="816"/>
      <c r="AD17" s="762"/>
      <c r="AE17" s="817"/>
      <c r="AF17" s="818"/>
      <c r="AG17" s="819"/>
      <c r="AH17" s="824"/>
      <c r="AI17" s="821"/>
      <c r="AJ17" s="822"/>
      <c r="AK17" s="821"/>
      <c r="AL17" s="822"/>
      <c r="AM17" s="767"/>
      <c r="AN17" s="817" t="s">
        <v>2654</v>
      </c>
      <c r="AO17" s="823" t="s">
        <v>2651</v>
      </c>
      <c r="AP17" s="819" t="s">
        <v>2652</v>
      </c>
      <c r="AQ17" s="824" t="s">
        <v>2685</v>
      </c>
      <c r="AR17" s="821"/>
      <c r="AS17" s="822"/>
      <c r="AT17" s="821"/>
      <c r="AU17" s="822"/>
      <c r="AV17" s="767"/>
      <c r="AW17" s="817" t="s">
        <v>2654</v>
      </c>
      <c r="AX17" s="823" t="s">
        <v>2651</v>
      </c>
      <c r="AY17" s="819" t="s">
        <v>2652</v>
      </c>
      <c r="AZ17" s="824" t="s">
        <v>2685</v>
      </c>
      <c r="BA17" s="821"/>
      <c r="BB17" s="822"/>
      <c r="BC17" s="821"/>
      <c r="BD17" s="822"/>
      <c r="BE17" s="767"/>
      <c r="BF17" s="817" t="s">
        <v>2654</v>
      </c>
      <c r="BG17" s="823" t="s">
        <v>2651</v>
      </c>
      <c r="BH17" s="819" t="s">
        <v>2652</v>
      </c>
      <c r="BI17" s="824" t="s">
        <v>2685</v>
      </c>
      <c r="BJ17" s="821"/>
      <c r="BK17" s="822"/>
      <c r="BL17" s="821"/>
      <c r="BM17" s="822"/>
      <c r="BN17" s="767"/>
      <c r="BO17" s="817"/>
      <c r="BP17" s="818"/>
      <c r="BQ17" s="819"/>
      <c r="BR17" s="824"/>
      <c r="BS17" s="821"/>
      <c r="BT17" s="822"/>
      <c r="BU17" s="821"/>
      <c r="BV17" s="822"/>
    </row>
    <row customHeight="true" ht="47.61904761904762" r="18">
      <c r="A18" s="758"/>
      <c r="B18" s="802">
        <f>IFERROR(VLOOKUP(C18,'字段信息'!A:C,3,),"")</f>
      </c>
      <c r="C18" s="803" t="s">
        <v>2686</v>
      </c>
      <c r="D18" s="804">
        <f>IFERROR(VLOOKUP(C18,'字段信息'!A:C,2,),"")</f>
      </c>
      <c r="E18" s="805"/>
      <c r="F18" s="805">
        <f t="shared" si="0"/>
      </c>
      <c r="G18" s="805" t="s">
        <v>2660</v>
      </c>
      <c r="H18" s="806"/>
      <c r="I18" s="806"/>
      <c r="J18" s="806"/>
      <c r="K18" s="806"/>
      <c r="L18" s="835"/>
      <c r="M18" s="808" t="s">
        <v>2654</v>
      </c>
      <c r="N18" s="809" t="s">
        <v>2651</v>
      </c>
      <c r="O18" s="810" t="s">
        <v>2652</v>
      </c>
      <c r="P18" s="808" t="s">
        <v>2687</v>
      </c>
      <c r="Q18" s="812"/>
      <c r="R18" s="813"/>
      <c r="S18" s="812"/>
      <c r="T18" s="813"/>
      <c r="U18" s="762"/>
      <c r="V18" s="808"/>
      <c r="W18" s="814"/>
      <c r="X18" s="810"/>
      <c r="Y18" s="803"/>
      <c r="Z18" s="815"/>
      <c r="AA18" s="816"/>
      <c r="AB18" s="815"/>
      <c r="AC18" s="816"/>
      <c r="AD18" s="762"/>
      <c r="AE18" s="817"/>
      <c r="AF18" s="818"/>
      <c r="AG18" s="819"/>
      <c r="AH18" s="824"/>
      <c r="AI18" s="821"/>
      <c r="AJ18" s="822"/>
      <c r="AK18" s="821"/>
      <c r="AL18" s="822"/>
      <c r="AM18" s="767"/>
      <c r="AN18" s="817" t="s">
        <v>2654</v>
      </c>
      <c r="AO18" s="823" t="s">
        <v>2651</v>
      </c>
      <c r="AP18" s="819" t="s">
        <v>2652</v>
      </c>
      <c r="AQ18" s="824" t="s">
        <v>2687</v>
      </c>
      <c r="AR18" s="821"/>
      <c r="AS18" s="822"/>
      <c r="AT18" s="821"/>
      <c r="AU18" s="822"/>
      <c r="AV18" s="767"/>
      <c r="AW18" s="817" t="s">
        <v>2654</v>
      </c>
      <c r="AX18" s="823" t="s">
        <v>2651</v>
      </c>
      <c r="AY18" s="819" t="s">
        <v>2652</v>
      </c>
      <c r="AZ18" s="824" t="s">
        <v>2687</v>
      </c>
      <c r="BA18" s="821"/>
      <c r="BB18" s="822"/>
      <c r="BC18" s="821"/>
      <c r="BD18" s="822"/>
      <c r="BE18" s="767"/>
      <c r="BF18" s="817" t="s">
        <v>2654</v>
      </c>
      <c r="BG18" s="823" t="s">
        <v>2651</v>
      </c>
      <c r="BH18" s="819" t="s">
        <v>2652</v>
      </c>
      <c r="BI18" s="824" t="s">
        <v>2687</v>
      </c>
      <c r="BJ18" s="821"/>
      <c r="BK18" s="822"/>
      <c r="BL18" s="821"/>
      <c r="BM18" s="822"/>
      <c r="BN18" s="767"/>
      <c r="BO18" s="817"/>
      <c r="BP18" s="818"/>
      <c r="BQ18" s="819"/>
      <c r="BR18" s="824"/>
      <c r="BS18" s="821"/>
      <c r="BT18" s="822"/>
      <c r="BU18" s="821"/>
      <c r="BV18" s="822"/>
    </row>
    <row r="19">
      <c r="A19" s="758"/>
      <c r="B19" s="802">
        <f>IFERROR(VLOOKUP(C19,'字段信息'!A:C,3,),"")</f>
      </c>
      <c r="C19" s="803" t="s">
        <v>2688</v>
      </c>
      <c r="D19" s="804">
        <f>IFERROR(VLOOKUP(C19,'字段信息'!A:C,2,),"")</f>
      </c>
      <c r="E19" s="805"/>
      <c r="F19" s="805">
        <f t="shared" si="0"/>
      </c>
      <c r="G19" s="805" t="s">
        <v>2660</v>
      </c>
      <c r="H19" s="806"/>
      <c r="I19" s="806"/>
      <c r="J19" s="806"/>
      <c r="K19" s="806"/>
      <c r="L19" s="835" t="s">
        <v>2661</v>
      </c>
      <c r="M19" s="808" t="s">
        <v>2654</v>
      </c>
      <c r="N19" s="809" t="s">
        <v>2651</v>
      </c>
      <c r="O19" s="810" t="s">
        <v>2652</v>
      </c>
      <c r="P19" s="808" t="s">
        <v>2689</v>
      </c>
      <c r="Q19" s="812"/>
      <c r="R19" s="813"/>
      <c r="S19" s="812"/>
      <c r="T19" s="813"/>
      <c r="U19" s="762"/>
      <c r="V19" s="808"/>
      <c r="W19" s="814"/>
      <c r="X19" s="810"/>
      <c r="Y19" s="803"/>
      <c r="Z19" s="815"/>
      <c r="AA19" s="816"/>
      <c r="AB19" s="815"/>
      <c r="AC19" s="816"/>
      <c r="AD19" s="762"/>
      <c r="AE19" s="817"/>
      <c r="AF19" s="818"/>
      <c r="AG19" s="819"/>
      <c r="AH19" s="824"/>
      <c r="AI19" s="821"/>
      <c r="AJ19" s="822"/>
      <c r="AK19" s="821"/>
      <c r="AL19" s="822"/>
      <c r="AM19" s="767"/>
      <c r="AN19" s="817" t="s">
        <v>2654</v>
      </c>
      <c r="AO19" s="823" t="s">
        <v>2651</v>
      </c>
      <c r="AP19" s="819" t="s">
        <v>2652</v>
      </c>
      <c r="AQ19" s="824" t="s">
        <v>2689</v>
      </c>
      <c r="AR19" s="821"/>
      <c r="AS19" s="822"/>
      <c r="AT19" s="821"/>
      <c r="AU19" s="822"/>
      <c r="AV19" s="767"/>
      <c r="AW19" s="817" t="s">
        <v>2654</v>
      </c>
      <c r="AX19" s="823" t="s">
        <v>2651</v>
      </c>
      <c r="AY19" s="819" t="s">
        <v>2652</v>
      </c>
      <c r="AZ19" s="824" t="s">
        <v>2689</v>
      </c>
      <c r="BA19" s="821"/>
      <c r="BB19" s="822"/>
      <c r="BC19" s="821"/>
      <c r="BD19" s="822"/>
      <c r="BE19" s="767"/>
      <c r="BF19" s="817" t="s">
        <v>2654</v>
      </c>
      <c r="BG19" s="823" t="s">
        <v>2651</v>
      </c>
      <c r="BH19" s="819" t="s">
        <v>2652</v>
      </c>
      <c r="BI19" s="824" t="s">
        <v>2689</v>
      </c>
      <c r="BJ19" s="821"/>
      <c r="BK19" s="822"/>
      <c r="BL19" s="821"/>
      <c r="BM19" s="822"/>
      <c r="BN19" s="767"/>
      <c r="BO19" s="817"/>
      <c r="BP19" s="818"/>
      <c r="BQ19" s="819"/>
      <c r="BR19" s="824"/>
      <c r="BS19" s="821"/>
      <c r="BT19" s="822"/>
      <c r="BU19" s="821"/>
      <c r="BV19" s="822"/>
    </row>
    <row customHeight="true" ht="16.071428571428573" r="20">
      <c r="A20" s="758"/>
      <c r="B20" s="802">
        <f>IFERROR(VLOOKUP(C20,'字段信息'!A:C,3,),"")</f>
      </c>
      <c r="C20" s="803" t="s">
        <v>2690</v>
      </c>
      <c r="D20" s="804">
        <f>IFERROR(VLOOKUP(C20,'字段信息'!A:C,2,),"")</f>
      </c>
      <c r="E20" s="805"/>
      <c r="F20" s="805">
        <f t="shared" si="0"/>
      </c>
      <c r="G20" s="805" t="s">
        <v>2660</v>
      </c>
      <c r="H20" s="806"/>
      <c r="I20" s="806"/>
      <c r="J20" s="806"/>
      <c r="K20" s="806"/>
      <c r="L20" s="835"/>
      <c r="M20" s="808" t="s">
        <v>2654</v>
      </c>
      <c r="N20" s="809" t="s">
        <v>2651</v>
      </c>
      <c r="O20" s="810" t="s">
        <v>2652</v>
      </c>
      <c r="P20" s="808" t="s">
        <v>2691</v>
      </c>
      <c r="Q20" s="812"/>
      <c r="R20" s="813"/>
      <c r="S20" s="812"/>
      <c r="T20" s="813"/>
      <c r="U20" s="762"/>
      <c r="V20" s="808" t="s">
        <v>2654</v>
      </c>
      <c r="W20" s="814" t="s">
        <v>2655</v>
      </c>
      <c r="X20" s="810" t="s">
        <v>2656</v>
      </c>
      <c r="Y20" s="803" t="s">
        <v>2690</v>
      </c>
      <c r="Z20" s="815"/>
      <c r="AA20" s="816"/>
      <c r="AB20" s="815"/>
      <c r="AC20" s="816"/>
      <c r="AD20" s="762"/>
      <c r="AE20" s="817" t="s">
        <v>2654</v>
      </c>
      <c r="AF20" s="818"/>
      <c r="AG20" s="819" t="s">
        <v>2657</v>
      </c>
      <c r="AH20" s="824" t="s">
        <v>2691</v>
      </c>
      <c r="AI20" s="821"/>
      <c r="AJ20" s="822"/>
      <c r="AK20" s="821"/>
      <c r="AL20" s="822"/>
      <c r="AM20" s="767"/>
      <c r="AN20" s="817" t="s">
        <v>2654</v>
      </c>
      <c r="AO20" s="823" t="s">
        <v>2651</v>
      </c>
      <c r="AP20" s="819" t="s">
        <v>2652</v>
      </c>
      <c r="AQ20" s="824" t="s">
        <v>2691</v>
      </c>
      <c r="AR20" s="821"/>
      <c r="AS20" s="822"/>
      <c r="AT20" s="821"/>
      <c r="AU20" s="822"/>
      <c r="AV20" s="767"/>
      <c r="AW20" s="817" t="s">
        <v>2654</v>
      </c>
      <c r="AX20" s="823" t="s">
        <v>2651</v>
      </c>
      <c r="AY20" s="819" t="s">
        <v>2652</v>
      </c>
      <c r="AZ20" s="824" t="s">
        <v>2691</v>
      </c>
      <c r="BA20" s="821"/>
      <c r="BB20" s="822"/>
      <c r="BC20" s="821"/>
      <c r="BD20" s="822"/>
      <c r="BE20" s="767"/>
      <c r="BF20" s="817" t="s">
        <v>2654</v>
      </c>
      <c r="BG20" s="823" t="s">
        <v>2651</v>
      </c>
      <c r="BH20" s="819" t="s">
        <v>2652</v>
      </c>
      <c r="BI20" s="824" t="s">
        <v>2691</v>
      </c>
      <c r="BJ20" s="821"/>
      <c r="BK20" s="822"/>
      <c r="BL20" s="821"/>
      <c r="BM20" s="822"/>
      <c r="BN20" s="767"/>
      <c r="BO20" s="846" t="s">
        <v>2654</v>
      </c>
      <c r="BP20" s="847" t="s">
        <v>2651</v>
      </c>
      <c r="BQ20" s="819" t="s">
        <v>2658</v>
      </c>
      <c r="BR20" s="824" t="s">
        <v>2691</v>
      </c>
      <c r="BS20" s="844"/>
      <c r="BT20" s="845"/>
      <c r="BU20" s="844"/>
      <c r="BV20" s="845"/>
    </row>
    <row customHeight="true" ht="16.071428571428573" r="21">
      <c r="A21" s="758"/>
      <c r="B21" s="802">
        <f>IFERROR(VLOOKUP(C21,'字段信息'!A:C,3,),"")</f>
      </c>
      <c r="C21" s="803" t="s">
        <v>2692</v>
      </c>
      <c r="D21" s="804">
        <f>IFERROR(VLOOKUP(C21,'字段信息'!A:C,2,),"")</f>
      </c>
      <c r="E21" s="805"/>
      <c r="F21" s="805">
        <f t="shared" si="0"/>
      </c>
      <c r="G21" s="805" t="s">
        <v>2660</v>
      </c>
      <c r="H21" s="806"/>
      <c r="I21" s="806"/>
      <c r="J21" s="806"/>
      <c r="K21" s="806"/>
      <c r="L21" s="835"/>
      <c r="M21" s="808" t="s">
        <v>2654</v>
      </c>
      <c r="N21" s="809" t="s">
        <v>2651</v>
      </c>
      <c r="O21" s="810" t="s">
        <v>2652</v>
      </c>
      <c r="P21" s="808" t="s">
        <v>2693</v>
      </c>
      <c r="Q21" s="812"/>
      <c r="R21" s="813"/>
      <c r="S21" s="812"/>
      <c r="T21" s="813"/>
      <c r="U21" s="762"/>
      <c r="V21" s="808"/>
      <c r="W21" s="814"/>
      <c r="X21" s="810"/>
      <c r="Y21" s="803"/>
      <c r="Z21" s="815"/>
      <c r="AA21" s="816"/>
      <c r="AB21" s="815"/>
      <c r="AC21" s="816"/>
      <c r="AD21" s="762"/>
      <c r="AE21" s="817"/>
      <c r="AF21" s="818"/>
      <c r="AG21" s="819"/>
      <c r="AH21" s="837"/>
      <c r="AI21" s="821"/>
      <c r="AJ21" s="822"/>
      <c r="AK21" s="821"/>
      <c r="AL21" s="822"/>
      <c r="AM21" s="767"/>
      <c r="AN21" s="817"/>
      <c r="AO21" s="823"/>
      <c r="AP21" s="819"/>
      <c r="AQ21" s="824"/>
      <c r="AR21" s="821"/>
      <c r="AS21" s="822"/>
      <c r="AT21" s="821"/>
      <c r="AU21" s="822"/>
      <c r="AV21" s="767"/>
      <c r="AW21" s="817"/>
      <c r="AX21" s="823"/>
      <c r="AY21" s="819"/>
      <c r="AZ21" s="824"/>
      <c r="BA21" s="821"/>
      <c r="BB21" s="822"/>
      <c r="BC21" s="821"/>
      <c r="BD21" s="822"/>
      <c r="BE21" s="767"/>
      <c r="BF21" s="817"/>
      <c r="BG21" s="823"/>
      <c r="BH21" s="819"/>
      <c r="BI21" s="824"/>
      <c r="BJ21" s="821"/>
      <c r="BK21" s="822"/>
      <c r="BL21" s="821"/>
      <c r="BM21" s="822"/>
      <c r="BN21" s="767"/>
      <c r="BO21" s="846"/>
      <c r="BP21" s="847"/>
      <c r="BQ21" s="819"/>
      <c r="BR21" s="848"/>
      <c r="BS21" s="844"/>
      <c r="BT21" s="845"/>
      <c r="BU21" s="844"/>
      <c r="BV21" s="845"/>
    </row>
    <row customHeight="true" ht="16.071428571428573" r="22">
      <c r="A22" s="758"/>
      <c r="B22" s="802">
        <f>IFERROR(VLOOKUP(C22,'字段信息'!A:C,3,),"")</f>
      </c>
      <c r="C22" s="803" t="s">
        <v>2694</v>
      </c>
      <c r="D22" s="804">
        <f>IFERROR(VLOOKUP(C22,'字段信息'!A:C,2,),"")</f>
      </c>
      <c r="E22" s="805"/>
      <c r="F22" s="805">
        <f t="shared" si="0"/>
      </c>
      <c r="G22" s="805" t="s">
        <v>2660</v>
      </c>
      <c r="H22" s="806"/>
      <c r="I22" s="806"/>
      <c r="J22" s="806"/>
      <c r="K22" s="806"/>
      <c r="L22" s="835"/>
      <c r="M22" s="808" t="s">
        <v>2654</v>
      </c>
      <c r="N22" s="809" t="s">
        <v>2651</v>
      </c>
      <c r="O22" s="810" t="s">
        <v>2652</v>
      </c>
      <c r="P22" s="808" t="s">
        <v>2695</v>
      </c>
      <c r="Q22" s="812"/>
      <c r="R22" s="813"/>
      <c r="S22" s="812"/>
      <c r="T22" s="813"/>
      <c r="U22" s="762"/>
      <c r="V22" s="808"/>
      <c r="W22" s="814"/>
      <c r="X22" s="810"/>
      <c r="Y22" s="803"/>
      <c r="Z22" s="815"/>
      <c r="AA22" s="816"/>
      <c r="AB22" s="815"/>
      <c r="AC22" s="816"/>
      <c r="AD22" s="762"/>
      <c r="AE22" s="817"/>
      <c r="AF22" s="818"/>
      <c r="AG22" s="819"/>
      <c r="AH22" s="837"/>
      <c r="AI22" s="821"/>
      <c r="AJ22" s="822"/>
      <c r="AK22" s="821"/>
      <c r="AL22" s="822"/>
      <c r="AM22" s="767"/>
      <c r="AN22" s="817"/>
      <c r="AO22" s="823"/>
      <c r="AP22" s="819"/>
      <c r="AQ22" s="824"/>
      <c r="AR22" s="821"/>
      <c r="AS22" s="822"/>
      <c r="AT22" s="821"/>
      <c r="AU22" s="822"/>
      <c r="AV22" s="767"/>
      <c r="AW22" s="817"/>
      <c r="AX22" s="823"/>
      <c r="AY22" s="819"/>
      <c r="AZ22" s="824"/>
      <c r="BA22" s="821"/>
      <c r="BB22" s="822"/>
      <c r="BC22" s="821"/>
      <c r="BD22" s="822"/>
      <c r="BE22" s="767"/>
      <c r="BF22" s="817"/>
      <c r="BG22" s="823"/>
      <c r="BH22" s="819"/>
      <c r="BI22" s="824"/>
      <c r="BJ22" s="821"/>
      <c r="BK22" s="822"/>
      <c r="BL22" s="821"/>
      <c r="BM22" s="822"/>
      <c r="BN22" s="767"/>
      <c r="BO22" s="846"/>
      <c r="BP22" s="847"/>
      <c r="BQ22" s="819"/>
      <c r="BR22" s="848"/>
      <c r="BS22" s="844"/>
      <c r="BT22" s="845"/>
      <c r="BU22" s="844"/>
      <c r="BV22" s="845"/>
    </row>
    <row customHeight="true" ht="16.071428571428573" r="23">
      <c r="A23" s="758"/>
      <c r="B23" s="802">
        <f>IFERROR(VLOOKUP(C23,'字段信息'!A:C,3,),"")</f>
      </c>
      <c r="C23" s="803" t="s">
        <v>2696</v>
      </c>
      <c r="D23" s="804">
        <f>IFERROR(VLOOKUP(C23,'字段信息'!A:C,2,),"")</f>
      </c>
      <c r="E23" s="805"/>
      <c r="F23" s="805">
        <f t="shared" si="0"/>
      </c>
      <c r="G23" s="805" t="s">
        <v>2660</v>
      </c>
      <c r="H23" s="806"/>
      <c r="I23" s="806"/>
      <c r="J23" s="806"/>
      <c r="K23" s="806"/>
      <c r="L23" s="835"/>
      <c r="M23" s="808" t="s">
        <v>2654</v>
      </c>
      <c r="N23" s="809" t="s">
        <v>2651</v>
      </c>
      <c r="O23" s="810" t="s">
        <v>2652</v>
      </c>
      <c r="P23" s="808" t="s">
        <v>2697</v>
      </c>
      <c r="Q23" s="812"/>
      <c r="R23" s="813"/>
      <c r="S23" s="812"/>
      <c r="T23" s="813"/>
      <c r="U23" s="762"/>
      <c r="V23" s="808"/>
      <c r="W23" s="814"/>
      <c r="X23" s="810"/>
      <c r="Y23" s="803"/>
      <c r="Z23" s="815"/>
      <c r="AA23" s="816"/>
      <c r="AB23" s="815"/>
      <c r="AC23" s="816"/>
      <c r="AD23" s="762"/>
      <c r="AE23" s="817" t="s">
        <v>2654</v>
      </c>
      <c r="AF23" s="818"/>
      <c r="AG23" s="819" t="s">
        <v>2657</v>
      </c>
      <c r="AH23" s="837" t="s">
        <v>2697</v>
      </c>
      <c r="AI23" s="821"/>
      <c r="AJ23" s="822"/>
      <c r="AK23" s="821"/>
      <c r="AL23" s="822"/>
      <c r="AM23" s="767"/>
      <c r="AN23" s="817" t="s">
        <v>2654</v>
      </c>
      <c r="AO23" s="823" t="s">
        <v>2651</v>
      </c>
      <c r="AP23" s="819" t="s">
        <v>2652</v>
      </c>
      <c r="AQ23" s="824" t="s">
        <v>2697</v>
      </c>
      <c r="AR23" s="821"/>
      <c r="AS23" s="822"/>
      <c r="AT23" s="821"/>
      <c r="AU23" s="822"/>
      <c r="AV23" s="767"/>
      <c r="AW23" s="817" t="s">
        <v>2654</v>
      </c>
      <c r="AX23" s="823" t="s">
        <v>2651</v>
      </c>
      <c r="AY23" s="819" t="s">
        <v>2652</v>
      </c>
      <c r="AZ23" s="824" t="s">
        <v>2697</v>
      </c>
      <c r="BA23" s="821"/>
      <c r="BB23" s="822"/>
      <c r="BC23" s="821"/>
      <c r="BD23" s="822"/>
      <c r="BE23" s="767"/>
      <c r="BF23" s="817" t="s">
        <v>2654</v>
      </c>
      <c r="BG23" s="823" t="s">
        <v>2651</v>
      </c>
      <c r="BH23" s="819" t="s">
        <v>2652</v>
      </c>
      <c r="BI23" s="824" t="s">
        <v>2697</v>
      </c>
      <c r="BJ23" s="821"/>
      <c r="BK23" s="822"/>
      <c r="BL23" s="821"/>
      <c r="BM23" s="822"/>
      <c r="BN23" s="767"/>
      <c r="BO23" s="846" t="s">
        <v>2654</v>
      </c>
      <c r="BP23" s="847" t="s">
        <v>2651</v>
      </c>
      <c r="BQ23" s="819" t="s">
        <v>2658</v>
      </c>
      <c r="BR23" s="848" t="s">
        <v>2697</v>
      </c>
      <c r="BS23" s="844"/>
      <c r="BT23" s="845"/>
      <c r="BU23" s="844"/>
      <c r="BV23" s="845"/>
    </row>
    <row customHeight="true" ht="60.32986704398059" r="24">
      <c r="A24" s="758"/>
      <c r="B24" s="802">
        <f>IFERROR(VLOOKUP(C24,'字段信息'!A:C,3,),"")</f>
      </c>
      <c r="C24" s="803" t="s">
        <v>2698</v>
      </c>
      <c r="D24" s="804">
        <f>IFERROR(VLOOKUP(C24,'字段信息'!A:C,2,),"")</f>
      </c>
      <c r="E24" s="805"/>
      <c r="F24" s="805">
        <f t="shared" si="0"/>
      </c>
      <c r="G24" s="805" t="s">
        <v>2660</v>
      </c>
      <c r="H24" s="806"/>
      <c r="I24" s="806"/>
      <c r="J24" s="806"/>
      <c r="K24" s="806"/>
      <c r="L24" s="835"/>
      <c r="M24" s="849" t="s">
        <v>2699</v>
      </c>
      <c r="N24" s="850"/>
      <c r="O24" s="828"/>
      <c r="P24" s="804"/>
      <c r="Q24" s="812"/>
      <c r="R24" s="813"/>
      <c r="S24" s="851" t="s">
        <v>2700</v>
      </c>
      <c r="T24" s="813"/>
      <c r="U24" s="762"/>
      <c r="V24" s="849"/>
      <c r="W24" s="814"/>
      <c r="X24" s="828"/>
      <c r="Y24" s="852"/>
      <c r="Z24" s="815"/>
      <c r="AA24" s="816"/>
      <c r="AB24" s="815"/>
      <c r="AC24" s="816"/>
      <c r="AD24" s="762"/>
      <c r="AE24" s="820"/>
      <c r="AF24" s="818"/>
      <c r="AG24" s="831"/>
      <c r="AH24" s="853"/>
      <c r="AI24" s="821"/>
      <c r="AJ24" s="822"/>
      <c r="AK24" s="821"/>
      <c r="AL24" s="822"/>
      <c r="AM24" s="767"/>
      <c r="AN24" s="820"/>
      <c r="AO24" s="818"/>
      <c r="AP24" s="831"/>
      <c r="AQ24" s="853"/>
      <c r="AR24" s="821"/>
      <c r="AS24" s="822"/>
      <c r="AT24" s="821"/>
      <c r="AU24" s="822"/>
      <c r="AV24" s="767"/>
      <c r="AW24" s="820"/>
      <c r="AX24" s="818"/>
      <c r="AY24" s="831"/>
      <c r="AZ24" s="853"/>
      <c r="BA24" s="821"/>
      <c r="BB24" s="822"/>
      <c r="BC24" s="821"/>
      <c r="BD24" s="822"/>
      <c r="BE24" s="767"/>
      <c r="BF24" s="820"/>
      <c r="BG24" s="818"/>
      <c r="BH24" s="831"/>
      <c r="BI24" s="853"/>
      <c r="BJ24" s="821"/>
      <c r="BK24" s="822"/>
      <c r="BL24" s="821"/>
      <c r="BM24" s="822"/>
      <c r="BN24" s="767"/>
      <c r="BO24" s="820"/>
      <c r="BP24" s="818"/>
      <c r="BQ24" s="831"/>
      <c r="BR24" s="853"/>
      <c r="BS24" s="821"/>
      <c r="BT24" s="822"/>
      <c r="BU24" s="821"/>
      <c r="BV24" s="822"/>
    </row>
    <row customHeight="true" ht="16.071428571428573" r="25">
      <c r="A25" s="758"/>
      <c r="B25" s="802">
        <f>IFERROR(VLOOKUP(C25,'字段信息'!A:C,3,),"")</f>
      </c>
      <c r="C25" s="803" t="s">
        <v>2701</v>
      </c>
      <c r="D25" s="804">
        <f>IFERROR(VLOOKUP(C25,'字段信息'!A:C,2,),"")</f>
      </c>
      <c r="E25" s="805"/>
      <c r="F25" s="805">
        <f t="shared" si="0"/>
      </c>
      <c r="G25" s="805" t="s">
        <v>2660</v>
      </c>
      <c r="H25" s="806"/>
      <c r="I25" s="806"/>
      <c r="J25" s="806"/>
      <c r="K25" s="806"/>
      <c r="L25" s="835"/>
      <c r="M25" s="808" t="s">
        <v>2654</v>
      </c>
      <c r="N25" s="809" t="s">
        <v>2651</v>
      </c>
      <c r="O25" s="810" t="s">
        <v>2652</v>
      </c>
      <c r="P25" s="803" t="s">
        <v>2702</v>
      </c>
      <c r="Q25" s="812"/>
      <c r="R25" s="813"/>
      <c r="S25" s="812"/>
      <c r="T25" s="813"/>
      <c r="U25" s="762"/>
      <c r="V25" s="849"/>
      <c r="W25" s="814"/>
      <c r="X25" s="828"/>
      <c r="Y25" s="852"/>
      <c r="Z25" s="815"/>
      <c r="AA25" s="816"/>
      <c r="AB25" s="815"/>
      <c r="AC25" s="816"/>
      <c r="AD25" s="762"/>
      <c r="AE25" s="820"/>
      <c r="AF25" s="818"/>
      <c r="AG25" s="831"/>
      <c r="AH25" s="853"/>
      <c r="AI25" s="821"/>
      <c r="AJ25" s="822"/>
      <c r="AK25" s="821"/>
      <c r="AL25" s="822"/>
      <c r="AM25" s="767"/>
      <c r="AN25" s="820"/>
      <c r="AO25" s="818"/>
      <c r="AP25" s="831"/>
      <c r="AQ25" s="853"/>
      <c r="AR25" s="821"/>
      <c r="AS25" s="822"/>
      <c r="AT25" s="821"/>
      <c r="AU25" s="822"/>
      <c r="AV25" s="767"/>
      <c r="AW25" s="820"/>
      <c r="AX25" s="818"/>
      <c r="AY25" s="831"/>
      <c r="AZ25" s="853"/>
      <c r="BA25" s="821"/>
      <c r="BB25" s="822"/>
      <c r="BC25" s="821"/>
      <c r="BD25" s="822"/>
      <c r="BE25" s="767"/>
      <c r="BF25" s="820"/>
      <c r="BG25" s="818"/>
      <c r="BH25" s="831"/>
      <c r="BI25" s="853"/>
      <c r="BJ25" s="821"/>
      <c r="BK25" s="822"/>
      <c r="BL25" s="821"/>
      <c r="BM25" s="822"/>
      <c r="BN25" s="767"/>
      <c r="BO25" s="820"/>
      <c r="BP25" s="818"/>
      <c r="BQ25" s="831"/>
      <c r="BR25" s="853"/>
      <c r="BS25" s="821"/>
      <c r="BT25" s="822"/>
      <c r="BU25" s="821"/>
      <c r="BV25" s="822"/>
    </row>
    <row r="26">
      <c r="A26" s="758"/>
      <c r="B26" s="802">
        <f>IFERROR(VLOOKUP(C26,'字段信息'!A:C,3,),"")</f>
      </c>
      <c r="C26" s="803" t="s">
        <v>2703</v>
      </c>
      <c r="D26" s="804">
        <f>IFERROR(VLOOKUP(C26,'字段信息'!A:C,2,),"")</f>
      </c>
      <c r="E26" s="805"/>
      <c r="F26" s="805">
        <f t="shared" si="0"/>
      </c>
      <c r="G26" s="805" t="s">
        <v>2660</v>
      </c>
      <c r="H26" s="806"/>
      <c r="I26" s="806"/>
      <c r="J26" s="806"/>
      <c r="K26" s="806"/>
      <c r="L26" s="835" t="s">
        <v>2661</v>
      </c>
      <c r="M26" s="849"/>
      <c r="N26" s="850"/>
      <c r="O26" s="828"/>
      <c r="P26" s="804"/>
      <c r="Q26" s="812"/>
      <c r="R26" s="813"/>
      <c r="S26" s="812"/>
      <c r="T26" s="813"/>
      <c r="U26" s="762"/>
      <c r="V26" s="849"/>
      <c r="W26" s="814"/>
      <c r="X26" s="828"/>
      <c r="Y26" s="852"/>
      <c r="Z26" s="815"/>
      <c r="AA26" s="816"/>
      <c r="AB26" s="815"/>
      <c r="AC26" s="816"/>
      <c r="AD26" s="762"/>
      <c r="AE26" s="820"/>
      <c r="AF26" s="818"/>
      <c r="AG26" s="831"/>
      <c r="AH26" s="853"/>
      <c r="AI26" s="821"/>
      <c r="AJ26" s="822"/>
      <c r="AK26" s="821"/>
      <c r="AL26" s="822"/>
      <c r="AM26" s="767"/>
      <c r="AN26" s="820"/>
      <c r="AO26" s="818"/>
      <c r="AP26" s="831"/>
      <c r="AQ26" s="853"/>
      <c r="AR26" s="821"/>
      <c r="AS26" s="822"/>
      <c r="AT26" s="821"/>
      <c r="AU26" s="822"/>
      <c r="AV26" s="767"/>
      <c r="AW26" s="820"/>
      <c r="AX26" s="818"/>
      <c r="AY26" s="831"/>
      <c r="AZ26" s="853"/>
      <c r="BA26" s="821"/>
      <c r="BB26" s="822"/>
      <c r="BC26" s="821"/>
      <c r="BD26" s="822"/>
      <c r="BE26" s="767"/>
      <c r="BF26" s="820"/>
      <c r="BG26" s="818"/>
      <c r="BH26" s="831"/>
      <c r="BI26" s="853"/>
      <c r="BJ26" s="821"/>
      <c r="BK26" s="822"/>
      <c r="BL26" s="821"/>
      <c r="BM26" s="822"/>
      <c r="BN26" s="767"/>
      <c r="BO26" s="820"/>
      <c r="BP26" s="818"/>
      <c r="BQ26" s="831"/>
      <c r="BR26" s="853"/>
      <c r="BS26" s="821"/>
      <c r="BT26" s="822"/>
      <c r="BU26" s="821"/>
      <c r="BV26" s="822"/>
    </row>
    <row r="27">
      <c r="A27" s="758"/>
      <c r="B27" s="802">
        <f>IFERROR(VLOOKUP(C27,'字段信息'!A:C,3,),"")</f>
      </c>
      <c r="C27" s="803" t="s">
        <v>2704</v>
      </c>
      <c r="D27" s="804">
        <f>IFERROR(VLOOKUP(C27,'字段信息'!A:C,2,),"")</f>
      </c>
      <c r="E27" s="805"/>
      <c r="F27" s="805">
        <f t="shared" si="0"/>
      </c>
      <c r="G27" s="805" t="s">
        <v>2660</v>
      </c>
      <c r="H27" s="806"/>
      <c r="I27" s="806"/>
      <c r="J27" s="806"/>
      <c r="K27" s="806"/>
      <c r="L27" s="835" t="s">
        <v>2661</v>
      </c>
      <c r="M27" s="849"/>
      <c r="N27" s="854"/>
      <c r="O27" s="828"/>
      <c r="P27" s="855"/>
      <c r="Q27" s="812"/>
      <c r="R27" s="856"/>
      <c r="S27" s="812"/>
      <c r="T27" s="813"/>
      <c r="U27" s="762"/>
      <c r="V27" s="849"/>
      <c r="W27" s="857"/>
      <c r="X27" s="828"/>
      <c r="Y27" s="852"/>
      <c r="Z27" s="815"/>
      <c r="AA27" s="816"/>
      <c r="AB27" s="815"/>
      <c r="AC27" s="816"/>
      <c r="AD27" s="762"/>
      <c r="AE27" s="820"/>
      <c r="AF27" s="830"/>
      <c r="AG27" s="831"/>
      <c r="AH27" s="853"/>
      <c r="AI27" s="821"/>
      <c r="AJ27" s="822"/>
      <c r="AK27" s="821"/>
      <c r="AL27" s="822"/>
      <c r="AM27" s="767"/>
      <c r="AN27" s="820"/>
      <c r="AO27" s="830"/>
      <c r="AP27" s="831"/>
      <c r="AQ27" s="853"/>
      <c r="AR27" s="821"/>
      <c r="AS27" s="822"/>
      <c r="AT27" s="821"/>
      <c r="AU27" s="822"/>
      <c r="AV27" s="767"/>
      <c r="AW27" s="820"/>
      <c r="AX27" s="830"/>
      <c r="AY27" s="831"/>
      <c r="AZ27" s="853"/>
      <c r="BA27" s="821"/>
      <c r="BB27" s="822"/>
      <c r="BC27" s="821"/>
      <c r="BD27" s="822"/>
      <c r="BE27" s="767"/>
      <c r="BF27" s="820"/>
      <c r="BG27" s="830"/>
      <c r="BH27" s="831"/>
      <c r="BI27" s="853"/>
      <c r="BJ27" s="821"/>
      <c r="BK27" s="822"/>
      <c r="BL27" s="821"/>
      <c r="BM27" s="822"/>
      <c r="BN27" s="767"/>
      <c r="BO27" s="820"/>
      <c r="BP27" s="830"/>
      <c r="BQ27" s="831"/>
      <c r="BR27" s="853"/>
      <c r="BS27" s="821"/>
      <c r="BT27" s="822"/>
      <c r="BU27" s="821"/>
      <c r="BV27" s="822"/>
    </row>
    <row r="28">
      <c r="A28" s="758"/>
      <c r="B28" s="802">
        <f>IFERROR(VLOOKUP(C28,'字段信息'!A:C,3,),"")</f>
      </c>
      <c r="C28" s="803" t="s">
        <v>2705</v>
      </c>
      <c r="D28" s="804">
        <f>IFERROR(VLOOKUP(C28,'字段信息'!A:C,2,),"")</f>
      </c>
      <c r="E28" s="805"/>
      <c r="F28" s="805">
        <f t="shared" si="0"/>
      </c>
      <c r="G28" s="805" t="s">
        <v>2660</v>
      </c>
      <c r="H28" s="806"/>
      <c r="I28" s="806"/>
      <c r="J28" s="806"/>
      <c r="K28" s="806"/>
      <c r="L28" s="835" t="s">
        <v>2661</v>
      </c>
      <c r="M28" s="849"/>
      <c r="N28" s="854"/>
      <c r="O28" s="828"/>
      <c r="P28" s="855"/>
      <c r="Q28" s="858"/>
      <c r="R28" s="856"/>
      <c r="S28" s="812"/>
      <c r="T28" s="813"/>
      <c r="U28" s="762"/>
      <c r="V28" s="849"/>
      <c r="W28" s="857"/>
      <c r="X28" s="828"/>
      <c r="Y28" s="852"/>
      <c r="Z28" s="858"/>
      <c r="AA28" s="816"/>
      <c r="AB28" s="815"/>
      <c r="AC28" s="816"/>
      <c r="AD28" s="762"/>
      <c r="AE28" s="820"/>
      <c r="AF28" s="830"/>
      <c r="AG28" s="831"/>
      <c r="AH28" s="853"/>
      <c r="AI28" s="859"/>
      <c r="AJ28" s="822"/>
      <c r="AK28" s="821"/>
      <c r="AL28" s="822"/>
      <c r="AM28" s="767"/>
      <c r="AN28" s="820"/>
      <c r="AO28" s="830"/>
      <c r="AP28" s="831"/>
      <c r="AQ28" s="853"/>
      <c r="AR28" s="859"/>
      <c r="AS28" s="822"/>
      <c r="AT28" s="821"/>
      <c r="AU28" s="822"/>
      <c r="AV28" s="767"/>
      <c r="AW28" s="820"/>
      <c r="AX28" s="830"/>
      <c r="AY28" s="831"/>
      <c r="AZ28" s="853"/>
      <c r="BA28" s="859"/>
      <c r="BB28" s="822"/>
      <c r="BC28" s="821"/>
      <c r="BD28" s="822"/>
      <c r="BE28" s="767"/>
      <c r="BF28" s="820"/>
      <c r="BG28" s="830"/>
      <c r="BH28" s="831"/>
      <c r="BI28" s="853"/>
      <c r="BJ28" s="859"/>
      <c r="BK28" s="822"/>
      <c r="BL28" s="821"/>
      <c r="BM28" s="822"/>
      <c r="BN28" s="767"/>
      <c r="BO28" s="820"/>
      <c r="BP28" s="830"/>
      <c r="BQ28" s="831"/>
      <c r="BR28" s="853"/>
      <c r="BS28" s="859"/>
      <c r="BT28" s="822"/>
      <c r="BU28" s="821"/>
      <c r="BV28" s="822"/>
    </row>
    <row r="29">
      <c r="A29" s="758"/>
      <c r="B29" s="802">
        <f>IFERROR(VLOOKUP(C29,'字段信息'!A:C,3,),"")</f>
      </c>
      <c r="C29" s="803" t="s">
        <v>2706</v>
      </c>
      <c r="D29" s="804">
        <f>IFERROR(VLOOKUP(C29,'字段信息'!A:C,2,),"")</f>
      </c>
      <c r="E29" s="805"/>
      <c r="F29" s="805">
        <f t="shared" si="0"/>
      </c>
      <c r="G29" s="805" t="s">
        <v>2660</v>
      </c>
      <c r="H29" s="806"/>
      <c r="I29" s="806"/>
      <c r="J29" s="806"/>
      <c r="K29" s="806"/>
      <c r="L29" s="835" t="s">
        <v>2661</v>
      </c>
      <c r="M29" s="860"/>
      <c r="N29" s="854"/>
      <c r="O29" s="861"/>
      <c r="P29" s="862"/>
      <c r="Q29" s="858"/>
      <c r="R29" s="856"/>
      <c r="S29" s="812"/>
      <c r="T29" s="813"/>
      <c r="U29" s="762"/>
      <c r="V29" s="849"/>
      <c r="W29" s="857"/>
      <c r="X29" s="828"/>
      <c r="Y29" s="849"/>
      <c r="Z29" s="858"/>
      <c r="AA29" s="816"/>
      <c r="AB29" s="815"/>
      <c r="AC29" s="816"/>
      <c r="AD29" s="762"/>
      <c r="AE29" s="820"/>
      <c r="AF29" s="830"/>
      <c r="AG29" s="831"/>
      <c r="AH29" s="820"/>
      <c r="AI29" s="859"/>
      <c r="AJ29" s="822"/>
      <c r="AK29" s="821"/>
      <c r="AL29" s="822"/>
      <c r="AM29" s="767"/>
      <c r="AN29" s="820"/>
      <c r="AO29" s="830"/>
      <c r="AP29" s="831"/>
      <c r="AQ29" s="820"/>
      <c r="AR29" s="859"/>
      <c r="AS29" s="822"/>
      <c r="AT29" s="821"/>
      <c r="AU29" s="822"/>
      <c r="AV29" s="767"/>
      <c r="AW29" s="820"/>
      <c r="AX29" s="830"/>
      <c r="AY29" s="831"/>
      <c r="AZ29" s="820"/>
      <c r="BA29" s="859"/>
      <c r="BB29" s="822"/>
      <c r="BC29" s="821"/>
      <c r="BD29" s="822"/>
      <c r="BE29" s="767"/>
      <c r="BF29" s="820"/>
      <c r="BG29" s="830"/>
      <c r="BH29" s="831"/>
      <c r="BI29" s="820"/>
      <c r="BJ29" s="859"/>
      <c r="BK29" s="822"/>
      <c r="BL29" s="821"/>
      <c r="BM29" s="822"/>
      <c r="BN29" s="767"/>
      <c r="BO29" s="820"/>
      <c r="BP29" s="830"/>
      <c r="BQ29" s="831"/>
      <c r="BR29" s="820"/>
      <c r="BS29" s="859"/>
      <c r="BT29" s="822"/>
      <c r="BU29" s="821"/>
      <c r="BV29" s="822"/>
    </row>
    <row r="30">
      <c r="A30" s="758"/>
      <c r="B30" s="802">
        <f>IFERROR(VLOOKUP(C30,'字段信息'!A:C,3,),"")</f>
      </c>
      <c r="C30" s="803" t="s">
        <v>2707</v>
      </c>
      <c r="D30" s="804">
        <f>IFERROR(VLOOKUP(C30,'字段信息'!A:C,2,),"")</f>
      </c>
      <c r="E30" s="805"/>
      <c r="F30" s="805">
        <f t="shared" si="0"/>
      </c>
      <c r="G30" s="805" t="s">
        <v>2660</v>
      </c>
      <c r="H30" s="806"/>
      <c r="I30" s="806"/>
      <c r="J30" s="806"/>
      <c r="K30" s="806"/>
      <c r="L30" s="835" t="s">
        <v>2661</v>
      </c>
      <c r="M30" s="808" t="s">
        <v>2654</v>
      </c>
      <c r="N30" s="809" t="s">
        <v>2651</v>
      </c>
      <c r="O30" s="810" t="s">
        <v>2652</v>
      </c>
      <c r="P30" s="808" t="s">
        <v>2708</v>
      </c>
      <c r="Q30" s="810"/>
      <c r="R30" s="856"/>
      <c r="S30" s="812"/>
      <c r="T30" s="813"/>
      <c r="U30" s="762"/>
      <c r="V30" s="808" t="s">
        <v>2654</v>
      </c>
      <c r="W30" s="814" t="s">
        <v>2655</v>
      </c>
      <c r="X30" s="810" t="s">
        <v>2656</v>
      </c>
      <c r="Y30" s="803" t="s">
        <v>2707</v>
      </c>
      <c r="Z30" s="810"/>
      <c r="AA30" s="816"/>
      <c r="AB30" s="815"/>
      <c r="AC30" s="816"/>
      <c r="AD30" s="762"/>
      <c r="AE30" s="817" t="s">
        <v>2654</v>
      </c>
      <c r="AF30" s="818"/>
      <c r="AG30" s="819" t="s">
        <v>2657</v>
      </c>
      <c r="AH30" s="824" t="s">
        <v>2708</v>
      </c>
      <c r="AI30" s="819"/>
      <c r="AJ30" s="822"/>
      <c r="AK30" s="821"/>
      <c r="AL30" s="822"/>
      <c r="AM30" s="767"/>
      <c r="AN30" s="817" t="s">
        <v>2654</v>
      </c>
      <c r="AO30" s="823" t="s">
        <v>2651</v>
      </c>
      <c r="AP30" s="819" t="s">
        <v>2652</v>
      </c>
      <c r="AQ30" s="824" t="s">
        <v>2708</v>
      </c>
      <c r="AR30" s="819"/>
      <c r="AS30" s="822"/>
      <c r="AT30" s="821"/>
      <c r="AU30" s="822"/>
      <c r="AV30" s="767"/>
      <c r="AW30" s="817" t="s">
        <v>2654</v>
      </c>
      <c r="AX30" s="823" t="s">
        <v>2651</v>
      </c>
      <c r="AY30" s="819" t="s">
        <v>2652</v>
      </c>
      <c r="AZ30" s="824" t="s">
        <v>2708</v>
      </c>
      <c r="BA30" s="819"/>
      <c r="BB30" s="822"/>
      <c r="BC30" s="821"/>
      <c r="BD30" s="822"/>
      <c r="BE30" s="767"/>
      <c r="BF30" s="817" t="s">
        <v>2654</v>
      </c>
      <c r="BG30" s="823" t="s">
        <v>2651</v>
      </c>
      <c r="BH30" s="819" t="s">
        <v>2652</v>
      </c>
      <c r="BI30" s="824" t="s">
        <v>2708</v>
      </c>
      <c r="BJ30" s="819"/>
      <c r="BK30" s="822"/>
      <c r="BL30" s="821"/>
      <c r="BM30" s="822"/>
      <c r="BN30" s="767"/>
      <c r="BO30" s="817"/>
      <c r="BP30" s="823"/>
      <c r="BQ30" s="819"/>
      <c r="BR30" s="824"/>
      <c r="BS30" s="819"/>
      <c r="BT30" s="822"/>
      <c r="BU30" s="821"/>
      <c r="BV30" s="822"/>
    </row>
    <row r="31">
      <c r="A31" s="758"/>
      <c r="B31" s="802">
        <f>IFERROR(VLOOKUP(C31,'字段信息'!A:C,3,),"")</f>
      </c>
      <c r="C31" s="803" t="s">
        <v>2709</v>
      </c>
      <c r="D31" s="804">
        <f>IFERROR(VLOOKUP(C31,'字段信息'!A:C,2,),"")</f>
      </c>
      <c r="E31" s="805"/>
      <c r="F31" s="805">
        <f t="shared" si="0"/>
      </c>
      <c r="G31" s="805" t="s">
        <v>2660</v>
      </c>
      <c r="H31" s="806"/>
      <c r="I31" s="806"/>
      <c r="J31" s="806"/>
      <c r="K31" s="806"/>
      <c r="L31" s="835"/>
      <c r="M31" s="808" t="s">
        <v>2654</v>
      </c>
      <c r="N31" s="809" t="s">
        <v>2651</v>
      </c>
      <c r="O31" s="810" t="s">
        <v>2652</v>
      </c>
      <c r="P31" s="808" t="s">
        <v>2710</v>
      </c>
      <c r="Q31" s="863"/>
      <c r="R31" s="813"/>
      <c r="S31" s="812"/>
      <c r="T31" s="813"/>
      <c r="U31" s="762"/>
      <c r="V31" s="808" t="s">
        <v>2654</v>
      </c>
      <c r="W31" s="814" t="s">
        <v>2655</v>
      </c>
      <c r="X31" s="810" t="s">
        <v>2656</v>
      </c>
      <c r="Y31" s="803" t="s">
        <v>2709</v>
      </c>
      <c r="Z31" s="810"/>
      <c r="AA31" s="816"/>
      <c r="AB31" s="815"/>
      <c r="AC31" s="816"/>
      <c r="AD31" s="762"/>
      <c r="AE31" s="817" t="s">
        <v>2654</v>
      </c>
      <c r="AF31" s="818"/>
      <c r="AG31" s="819" t="s">
        <v>2657</v>
      </c>
      <c r="AH31" s="824" t="s">
        <v>2710</v>
      </c>
      <c r="AI31" s="819"/>
      <c r="AJ31" s="822"/>
      <c r="AK31" s="821"/>
      <c r="AL31" s="822"/>
      <c r="AM31" s="767"/>
      <c r="AN31" s="817" t="s">
        <v>2654</v>
      </c>
      <c r="AO31" s="823" t="s">
        <v>2651</v>
      </c>
      <c r="AP31" s="819" t="s">
        <v>2652</v>
      </c>
      <c r="AQ31" s="824" t="s">
        <v>2710</v>
      </c>
      <c r="AR31" s="819"/>
      <c r="AS31" s="822"/>
      <c r="AT31" s="821"/>
      <c r="AU31" s="822"/>
      <c r="AV31" s="767"/>
      <c r="AW31" s="817" t="s">
        <v>2654</v>
      </c>
      <c r="AX31" s="823" t="s">
        <v>2651</v>
      </c>
      <c r="AY31" s="819" t="s">
        <v>2652</v>
      </c>
      <c r="AZ31" s="824" t="s">
        <v>2710</v>
      </c>
      <c r="BA31" s="819"/>
      <c r="BB31" s="822"/>
      <c r="BC31" s="821"/>
      <c r="BD31" s="822"/>
      <c r="BE31" s="767"/>
      <c r="BF31" s="817" t="s">
        <v>2654</v>
      </c>
      <c r="BG31" s="823" t="s">
        <v>2651</v>
      </c>
      <c r="BH31" s="819" t="s">
        <v>2652</v>
      </c>
      <c r="BI31" s="824" t="s">
        <v>2710</v>
      </c>
      <c r="BJ31" s="819"/>
      <c r="BK31" s="822"/>
      <c r="BL31" s="821"/>
      <c r="BM31" s="822"/>
      <c r="BN31" s="767"/>
      <c r="BO31" s="817"/>
      <c r="BP31" s="823"/>
      <c r="BQ31" s="819"/>
      <c r="BR31" s="824"/>
      <c r="BS31" s="819"/>
      <c r="BT31" s="822"/>
      <c r="BU31" s="821"/>
      <c r="BV31" s="822"/>
    </row>
    <row r="32">
      <c r="A32" s="758"/>
      <c r="B32" s="802">
        <f>IFERROR(VLOOKUP(C32,'字段信息'!A:C,3,),"")</f>
      </c>
      <c r="C32" s="803" t="s">
        <v>2711</v>
      </c>
      <c r="D32" s="804">
        <f>IFERROR(VLOOKUP(C32,'字段信息'!A:C,2,),"")</f>
      </c>
      <c r="E32" s="805"/>
      <c r="F32" s="805">
        <f t="shared" si="0"/>
      </c>
      <c r="G32" s="805" t="s">
        <v>2660</v>
      </c>
      <c r="H32" s="806"/>
      <c r="I32" s="806"/>
      <c r="J32" s="806"/>
      <c r="K32" s="806"/>
      <c r="L32" s="835" t="s">
        <v>2661</v>
      </c>
      <c r="M32" s="808" t="s">
        <v>2654</v>
      </c>
      <c r="N32" s="809" t="s">
        <v>2651</v>
      </c>
      <c r="O32" s="810" t="s">
        <v>2652</v>
      </c>
      <c r="P32" s="808" t="s">
        <v>2712</v>
      </c>
      <c r="Q32" s="812"/>
      <c r="R32" s="813"/>
      <c r="S32" s="812"/>
      <c r="T32" s="813"/>
      <c r="U32" s="762"/>
      <c r="V32" s="808" t="s">
        <v>2654</v>
      </c>
      <c r="W32" s="814" t="s">
        <v>2655</v>
      </c>
      <c r="X32" s="810" t="s">
        <v>2656</v>
      </c>
      <c r="Y32" s="803" t="s">
        <v>2711</v>
      </c>
      <c r="Z32" s="815"/>
      <c r="AA32" s="816"/>
      <c r="AB32" s="815"/>
      <c r="AC32" s="816"/>
      <c r="AD32" s="762"/>
      <c r="AE32" s="817" t="s">
        <v>2654</v>
      </c>
      <c r="AF32" s="818"/>
      <c r="AG32" s="819" t="s">
        <v>2657</v>
      </c>
      <c r="AH32" s="837" t="s">
        <v>2712</v>
      </c>
      <c r="AI32" s="821"/>
      <c r="AJ32" s="822"/>
      <c r="AK32" s="821"/>
      <c r="AL32" s="822"/>
      <c r="AM32" s="767"/>
      <c r="AN32" s="817" t="s">
        <v>2654</v>
      </c>
      <c r="AO32" s="823" t="s">
        <v>2651</v>
      </c>
      <c r="AP32" s="819" t="s">
        <v>2652</v>
      </c>
      <c r="AQ32" s="824" t="s">
        <v>2712</v>
      </c>
      <c r="AR32" s="821"/>
      <c r="AS32" s="822"/>
      <c r="AT32" s="821"/>
      <c r="AU32" s="822"/>
      <c r="AV32" s="767"/>
      <c r="AW32" s="817" t="s">
        <v>2654</v>
      </c>
      <c r="AX32" s="823" t="s">
        <v>2651</v>
      </c>
      <c r="AY32" s="819" t="s">
        <v>2652</v>
      </c>
      <c r="AZ32" s="824" t="s">
        <v>2712</v>
      </c>
      <c r="BA32" s="821"/>
      <c r="BB32" s="822"/>
      <c r="BC32" s="821"/>
      <c r="BD32" s="822"/>
      <c r="BE32" s="767"/>
      <c r="BF32" s="817" t="s">
        <v>2654</v>
      </c>
      <c r="BG32" s="823" t="s">
        <v>2651</v>
      </c>
      <c r="BH32" s="819" t="s">
        <v>2652</v>
      </c>
      <c r="BI32" s="824" t="s">
        <v>2712</v>
      </c>
      <c r="BJ32" s="821"/>
      <c r="BK32" s="822"/>
      <c r="BL32" s="821"/>
      <c r="BM32" s="822"/>
      <c r="BN32" s="767"/>
      <c r="BO32" s="817" t="s">
        <v>2654</v>
      </c>
      <c r="BP32" s="823" t="s">
        <v>2651</v>
      </c>
      <c r="BQ32" s="819" t="s">
        <v>2658</v>
      </c>
      <c r="BR32" s="824" t="s">
        <v>2712</v>
      </c>
      <c r="BS32" s="821"/>
      <c r="BT32" s="822"/>
      <c r="BU32" s="821"/>
      <c r="BV32" s="822"/>
    </row>
    <row r="33">
      <c r="A33" s="758"/>
      <c r="B33" s="802">
        <f>IFERROR(VLOOKUP(C33,'字段信息'!A:C,3,),"")</f>
      </c>
      <c r="C33" s="803" t="s">
        <v>2713</v>
      </c>
      <c r="D33" s="804">
        <f>IFERROR(VLOOKUP(C33,'字段信息'!A:C,2,),"")</f>
      </c>
      <c r="E33" s="805"/>
      <c r="F33" s="805">
        <f t="shared" si="0"/>
      </c>
      <c r="G33" s="805" t="s">
        <v>2660</v>
      </c>
      <c r="H33" s="806"/>
      <c r="I33" s="806"/>
      <c r="J33" s="806"/>
      <c r="K33" s="806"/>
      <c r="L33" s="835" t="s">
        <v>2661</v>
      </c>
      <c r="M33" s="808" t="s">
        <v>2654</v>
      </c>
      <c r="N33" s="809" t="s">
        <v>2651</v>
      </c>
      <c r="O33" s="810" t="s">
        <v>2652</v>
      </c>
      <c r="P33" s="808" t="s">
        <v>2714</v>
      </c>
      <c r="Q33" s="812"/>
      <c r="R33" s="813"/>
      <c r="S33" s="812"/>
      <c r="T33" s="813"/>
      <c r="U33" s="762"/>
      <c r="V33" s="808" t="s">
        <v>2654</v>
      </c>
      <c r="W33" s="814" t="s">
        <v>2655</v>
      </c>
      <c r="X33" s="810" t="s">
        <v>2656</v>
      </c>
      <c r="Y33" s="803" t="s">
        <v>2713</v>
      </c>
      <c r="Z33" s="815"/>
      <c r="AA33" s="816"/>
      <c r="AB33" s="815"/>
      <c r="AC33" s="816"/>
      <c r="AD33" s="762"/>
      <c r="AE33" s="817" t="s">
        <v>2654</v>
      </c>
      <c r="AF33" s="818"/>
      <c r="AG33" s="819" t="s">
        <v>2657</v>
      </c>
      <c r="AH33" s="824" t="s">
        <v>2714</v>
      </c>
      <c r="AI33" s="821"/>
      <c r="AJ33" s="822"/>
      <c r="AK33" s="821"/>
      <c r="AL33" s="822"/>
      <c r="AM33" s="767"/>
      <c r="AN33" s="817" t="s">
        <v>2654</v>
      </c>
      <c r="AO33" s="823" t="s">
        <v>2651</v>
      </c>
      <c r="AP33" s="819" t="s">
        <v>2652</v>
      </c>
      <c r="AQ33" s="824" t="s">
        <v>2714</v>
      </c>
      <c r="AR33" s="821"/>
      <c r="AS33" s="822"/>
      <c r="AT33" s="821"/>
      <c r="AU33" s="822"/>
      <c r="AV33" s="767"/>
      <c r="AW33" s="817" t="s">
        <v>2654</v>
      </c>
      <c r="AX33" s="823" t="s">
        <v>2651</v>
      </c>
      <c r="AY33" s="819" t="s">
        <v>2652</v>
      </c>
      <c r="AZ33" s="824" t="s">
        <v>2714</v>
      </c>
      <c r="BA33" s="821"/>
      <c r="BB33" s="822"/>
      <c r="BC33" s="821"/>
      <c r="BD33" s="822"/>
      <c r="BE33" s="767"/>
      <c r="BF33" s="817" t="s">
        <v>2654</v>
      </c>
      <c r="BG33" s="823" t="s">
        <v>2651</v>
      </c>
      <c r="BH33" s="819" t="s">
        <v>2652</v>
      </c>
      <c r="BI33" s="824" t="s">
        <v>2714</v>
      </c>
      <c r="BJ33" s="821"/>
      <c r="BK33" s="822"/>
      <c r="BL33" s="821"/>
      <c r="BM33" s="822"/>
      <c r="BN33" s="767"/>
      <c r="BO33" s="817"/>
      <c r="BP33" s="823"/>
      <c r="BQ33" s="819"/>
      <c r="BR33" s="824"/>
      <c r="BS33" s="821"/>
      <c r="BT33" s="822"/>
      <c r="BU33" s="821"/>
      <c r="BV33" s="822"/>
    </row>
    <row r="34">
      <c r="A34" s="758"/>
      <c r="B34" s="802">
        <f>IFERROR(VLOOKUP(C34,'字段信息'!A:C,3,),"")</f>
      </c>
      <c r="C34" s="803" t="s">
        <v>2715</v>
      </c>
      <c r="D34" s="804">
        <f>IFERROR(VLOOKUP(C33,'字段信息'!A:C,2,),"")</f>
      </c>
      <c r="E34" s="805"/>
      <c r="F34" s="805">
        <f t="shared" si="0"/>
      </c>
      <c r="G34" s="805" t="s">
        <v>2660</v>
      </c>
      <c r="H34" s="806"/>
      <c r="I34" s="806"/>
      <c r="J34" s="806"/>
      <c r="K34" s="806"/>
      <c r="L34" s="835" t="s">
        <v>2661</v>
      </c>
      <c r="M34" s="808" t="s">
        <v>2654</v>
      </c>
      <c r="N34" s="809" t="s">
        <v>2651</v>
      </c>
      <c r="O34" s="810" t="s">
        <v>2652</v>
      </c>
      <c r="P34" s="808" t="s">
        <v>2716</v>
      </c>
      <c r="Q34" s="851"/>
      <c r="R34" s="813"/>
      <c r="S34" s="812"/>
      <c r="T34" s="813"/>
      <c r="U34" s="762"/>
      <c r="V34" s="808" t="s">
        <v>2654</v>
      </c>
      <c r="W34" s="814" t="s">
        <v>2655</v>
      </c>
      <c r="X34" s="810" t="s">
        <v>2656</v>
      </c>
      <c r="Y34" s="803" t="s">
        <v>2715</v>
      </c>
      <c r="Z34" s="836"/>
      <c r="AA34" s="816"/>
      <c r="AB34" s="815"/>
      <c r="AC34" s="816"/>
      <c r="AD34" s="762"/>
      <c r="AE34" s="817" t="s">
        <v>2654</v>
      </c>
      <c r="AF34" s="818"/>
      <c r="AG34" s="819" t="s">
        <v>2657</v>
      </c>
      <c r="AH34" s="824" t="s">
        <v>2716</v>
      </c>
      <c r="AI34" s="838"/>
      <c r="AJ34" s="822"/>
      <c r="AK34" s="821"/>
      <c r="AL34" s="822"/>
      <c r="AM34" s="767"/>
      <c r="AN34" s="817" t="s">
        <v>2654</v>
      </c>
      <c r="AO34" s="823" t="s">
        <v>2651</v>
      </c>
      <c r="AP34" s="819" t="s">
        <v>2652</v>
      </c>
      <c r="AQ34" s="824" t="s">
        <v>2716</v>
      </c>
      <c r="AR34" s="838"/>
      <c r="AS34" s="822"/>
      <c r="AT34" s="821"/>
      <c r="AU34" s="822"/>
      <c r="AV34" s="767"/>
      <c r="AW34" s="817" t="s">
        <v>2654</v>
      </c>
      <c r="AX34" s="823" t="s">
        <v>2651</v>
      </c>
      <c r="AY34" s="819" t="s">
        <v>2652</v>
      </c>
      <c r="AZ34" s="824" t="s">
        <v>2716</v>
      </c>
      <c r="BA34" s="838"/>
      <c r="BB34" s="822"/>
      <c r="BC34" s="821"/>
      <c r="BD34" s="822"/>
      <c r="BE34" s="767"/>
      <c r="BF34" s="817" t="s">
        <v>2654</v>
      </c>
      <c r="BG34" s="823" t="s">
        <v>2651</v>
      </c>
      <c r="BH34" s="819" t="s">
        <v>2652</v>
      </c>
      <c r="BI34" s="824" t="s">
        <v>2716</v>
      </c>
      <c r="BJ34" s="838"/>
      <c r="BK34" s="822"/>
      <c r="BL34" s="821"/>
      <c r="BM34" s="822"/>
      <c r="BN34" s="767"/>
      <c r="BO34" s="817"/>
      <c r="BP34" s="823"/>
      <c r="BQ34" s="819"/>
      <c r="BR34" s="824"/>
      <c r="BS34" s="838"/>
      <c r="BT34" s="822"/>
      <c r="BU34" s="821"/>
      <c r="BV34" s="822"/>
    </row>
    <row customHeight="true" ht="16.071428571428573" r="35">
      <c r="A35" s="864"/>
      <c r="B35" s="802">
        <f>IFERROR(VLOOKUP(C35,'字段信息'!A:C,3,),"")</f>
      </c>
      <c r="C35" s="803" t="s">
        <v>2717</v>
      </c>
      <c r="D35" s="804">
        <f>IFERROR(VLOOKUP(C34,'字段信息'!A:C,2,),"")</f>
      </c>
      <c r="E35" s="805"/>
      <c r="F35" s="805">
        <f t="shared" si="0"/>
      </c>
      <c r="G35" s="805" t="s">
        <v>2660</v>
      </c>
      <c r="H35" s="806"/>
      <c r="I35" s="806"/>
      <c r="J35" s="806"/>
      <c r="K35" s="806"/>
      <c r="L35" s="835"/>
      <c r="M35" s="808" t="s">
        <v>2654</v>
      </c>
      <c r="N35" s="809" t="s">
        <v>2651</v>
      </c>
      <c r="O35" s="810" t="s">
        <v>2652</v>
      </c>
      <c r="P35" s="803" t="s">
        <v>2718</v>
      </c>
      <c r="Q35" s="865"/>
      <c r="R35" s="813"/>
      <c r="S35" s="812"/>
      <c r="T35" s="813"/>
      <c r="U35" s="762"/>
      <c r="V35" s="808"/>
      <c r="W35" s="814"/>
      <c r="X35" s="810"/>
      <c r="Y35" s="803"/>
      <c r="Z35" s="810"/>
      <c r="AA35" s="816"/>
      <c r="AB35" s="815"/>
      <c r="AC35" s="816"/>
      <c r="AD35" s="762"/>
      <c r="AE35" s="817"/>
      <c r="AF35" s="818"/>
      <c r="AG35" s="819"/>
      <c r="AH35" s="824"/>
      <c r="AI35" s="819"/>
      <c r="AJ35" s="822"/>
      <c r="AK35" s="821"/>
      <c r="AL35" s="822"/>
      <c r="AM35" s="767"/>
      <c r="AN35" s="817"/>
      <c r="AO35" s="823"/>
      <c r="AP35" s="819"/>
      <c r="AQ35" s="824"/>
      <c r="AR35" s="819"/>
      <c r="AS35" s="822"/>
      <c r="AT35" s="821"/>
      <c r="AU35" s="822"/>
      <c r="AV35" s="767"/>
      <c r="AW35" s="817"/>
      <c r="AX35" s="823"/>
      <c r="AY35" s="819"/>
      <c r="AZ35" s="824"/>
      <c r="BA35" s="819"/>
      <c r="BB35" s="822"/>
      <c r="BC35" s="821"/>
      <c r="BD35" s="822"/>
      <c r="BE35" s="767"/>
      <c r="BF35" s="817"/>
      <c r="BG35" s="823"/>
      <c r="BH35" s="819"/>
      <c r="BI35" s="824"/>
      <c r="BJ35" s="819"/>
      <c r="BK35" s="822"/>
      <c r="BL35" s="821"/>
      <c r="BM35" s="822"/>
      <c r="BN35" s="767"/>
      <c r="BO35" s="817"/>
      <c r="BP35" s="823"/>
      <c r="BQ35" s="819"/>
      <c r="BR35" s="824"/>
      <c r="BS35" s="819"/>
      <c r="BT35" s="822"/>
      <c r="BU35" s="821"/>
      <c r="BV35" s="822"/>
    </row>
    <row customHeight="true" ht="16.071428571428573" r="36">
      <c r="A36" s="864"/>
      <c r="B36" s="802">
        <f>IFERROR(VLOOKUP(C36,'字段信息'!A:C,3,),"")</f>
      </c>
      <c r="C36" s="803" t="s">
        <v>2719</v>
      </c>
      <c r="D36" s="804">
        <f>IFERROR(VLOOKUP(C34,'字段信息'!A:C,2,),"")</f>
      </c>
      <c r="E36" s="805"/>
      <c r="F36" s="805">
        <f t="shared" si="0"/>
      </c>
      <c r="G36" s="805" t="s">
        <v>2660</v>
      </c>
      <c r="H36" s="806"/>
      <c r="I36" s="806"/>
      <c r="J36" s="806"/>
      <c r="K36" s="806"/>
      <c r="L36" s="835"/>
      <c r="M36" s="808" t="s">
        <v>2654</v>
      </c>
      <c r="N36" s="809" t="s">
        <v>2651</v>
      </c>
      <c r="O36" s="810" t="s">
        <v>2652</v>
      </c>
      <c r="P36" s="803" t="s">
        <v>2720</v>
      </c>
      <c r="Q36" s="865"/>
      <c r="R36" s="813"/>
      <c r="S36" s="812"/>
      <c r="T36" s="813"/>
      <c r="U36" s="762"/>
      <c r="V36" s="808"/>
      <c r="W36" s="814"/>
      <c r="X36" s="810"/>
      <c r="Y36" s="803"/>
      <c r="Z36" s="810"/>
      <c r="AA36" s="816"/>
      <c r="AB36" s="815"/>
      <c r="AC36" s="816"/>
      <c r="AD36" s="762"/>
      <c r="AE36" s="817"/>
      <c r="AF36" s="818"/>
      <c r="AG36" s="819"/>
      <c r="AH36" s="824"/>
      <c r="AI36" s="819"/>
      <c r="AJ36" s="822"/>
      <c r="AK36" s="821"/>
      <c r="AL36" s="822"/>
      <c r="AM36" s="767"/>
      <c r="AN36" s="817"/>
      <c r="AO36" s="823"/>
      <c r="AP36" s="819"/>
      <c r="AQ36" s="824"/>
      <c r="AR36" s="819"/>
      <c r="AS36" s="822"/>
      <c r="AT36" s="821"/>
      <c r="AU36" s="822"/>
      <c r="AV36" s="767"/>
      <c r="AW36" s="817"/>
      <c r="AX36" s="823"/>
      <c r="AY36" s="819"/>
      <c r="AZ36" s="824"/>
      <c r="BA36" s="819"/>
      <c r="BB36" s="822"/>
      <c r="BC36" s="821"/>
      <c r="BD36" s="822"/>
      <c r="BE36" s="767"/>
      <c r="BF36" s="817"/>
      <c r="BG36" s="823"/>
      <c r="BH36" s="819"/>
      <c r="BI36" s="824"/>
      <c r="BJ36" s="819"/>
      <c r="BK36" s="822"/>
      <c r="BL36" s="821"/>
      <c r="BM36" s="822"/>
      <c r="BN36" s="767"/>
      <c r="BO36" s="817"/>
      <c r="BP36" s="823"/>
      <c r="BQ36" s="819"/>
      <c r="BR36" s="824"/>
      <c r="BS36" s="819"/>
      <c r="BT36" s="822"/>
      <c r="BU36" s="821"/>
      <c r="BV36" s="822"/>
    </row>
    <row r="37">
      <c r="A37" s="864"/>
      <c r="B37" s="802">
        <f>IFERROR(VLOOKUP(C37,'字段信息'!A:C,3,),"")</f>
      </c>
      <c r="C37" s="803" t="s">
        <v>2721</v>
      </c>
      <c r="D37" s="804">
        <f>IFERROR(VLOOKUP(C34,'字段信息'!A:C,2,),"")</f>
      </c>
      <c r="E37" s="805"/>
      <c r="F37" s="805">
        <f t="shared" si="0"/>
      </c>
      <c r="G37" s="805" t="s">
        <v>2660</v>
      </c>
      <c r="H37" s="806"/>
      <c r="I37" s="806"/>
      <c r="J37" s="806"/>
      <c r="K37" s="806"/>
      <c r="L37" s="835" t="s">
        <v>2661</v>
      </c>
      <c r="M37" s="808" t="s">
        <v>2654</v>
      </c>
      <c r="N37" s="809" t="s">
        <v>2651</v>
      </c>
      <c r="O37" s="810" t="s">
        <v>2652</v>
      </c>
      <c r="P37" s="808" t="s">
        <v>2722</v>
      </c>
      <c r="Q37" s="865"/>
      <c r="R37" s="813"/>
      <c r="S37" s="812"/>
      <c r="T37" s="813"/>
      <c r="U37" s="762"/>
      <c r="V37" s="808" t="s">
        <v>2654</v>
      </c>
      <c r="W37" s="814" t="s">
        <v>2655</v>
      </c>
      <c r="X37" s="810" t="s">
        <v>2656</v>
      </c>
      <c r="Y37" s="803" t="s">
        <v>2721</v>
      </c>
      <c r="Z37" s="810"/>
      <c r="AA37" s="816"/>
      <c r="AB37" s="815"/>
      <c r="AC37" s="816"/>
      <c r="AD37" s="762"/>
      <c r="AE37" s="817" t="s">
        <v>2654</v>
      </c>
      <c r="AF37" s="818"/>
      <c r="AG37" s="819"/>
      <c r="AH37" s="824"/>
      <c r="AI37" s="819"/>
      <c r="AJ37" s="822"/>
      <c r="AK37" s="821"/>
      <c r="AL37" s="822"/>
      <c r="AM37" s="767"/>
      <c r="AN37" s="817" t="s">
        <v>2654</v>
      </c>
      <c r="AO37" s="823" t="s">
        <v>2651</v>
      </c>
      <c r="AP37" s="819" t="s">
        <v>2652</v>
      </c>
      <c r="AQ37" s="824" t="s">
        <v>2722</v>
      </c>
      <c r="AR37" s="819"/>
      <c r="AS37" s="822"/>
      <c r="AT37" s="821"/>
      <c r="AU37" s="822"/>
      <c r="AV37" s="767"/>
      <c r="AW37" s="817" t="s">
        <v>2654</v>
      </c>
      <c r="AX37" s="823" t="s">
        <v>2651</v>
      </c>
      <c r="AY37" s="819" t="s">
        <v>2652</v>
      </c>
      <c r="AZ37" s="824" t="s">
        <v>2722</v>
      </c>
      <c r="BA37" s="819"/>
      <c r="BB37" s="822"/>
      <c r="BC37" s="821"/>
      <c r="BD37" s="822"/>
      <c r="BE37" s="767"/>
      <c r="BF37" s="817" t="s">
        <v>2654</v>
      </c>
      <c r="BG37" s="823" t="s">
        <v>2651</v>
      </c>
      <c r="BH37" s="819" t="s">
        <v>2652</v>
      </c>
      <c r="BI37" s="824" t="s">
        <v>2722</v>
      </c>
      <c r="BJ37" s="819"/>
      <c r="BK37" s="822"/>
      <c r="BL37" s="821"/>
      <c r="BM37" s="822"/>
      <c r="BN37" s="767"/>
      <c r="BO37" s="817" t="s">
        <v>2654</v>
      </c>
      <c r="BP37" s="823" t="s">
        <v>2651</v>
      </c>
      <c r="BQ37" s="819" t="s">
        <v>2658</v>
      </c>
      <c r="BR37" s="824" t="s">
        <v>2722</v>
      </c>
      <c r="BS37" s="819"/>
      <c r="BT37" s="822"/>
      <c r="BU37" s="821"/>
      <c r="BV37" s="822"/>
    </row>
    <row r="38">
      <c r="A38" s="758"/>
      <c r="B38" s="802">
        <f>IFERROR(VLOOKUP(C38,'字段信息'!A:C,3,),"")</f>
      </c>
      <c r="C38" s="803" t="s">
        <v>2723</v>
      </c>
      <c r="D38" s="804">
        <f>IFERROR(VLOOKUP(C38,'字段信息'!A:C,2,),"")</f>
      </c>
      <c r="E38" s="805"/>
      <c r="F38" s="805">
        <f t="shared" si="0"/>
      </c>
      <c r="G38" s="805" t="s">
        <v>2660</v>
      </c>
      <c r="H38" s="806"/>
      <c r="I38" s="806"/>
      <c r="J38" s="806"/>
      <c r="K38" s="806"/>
      <c r="L38" s="835" t="s">
        <v>2661</v>
      </c>
      <c r="M38" s="808" t="s">
        <v>2654</v>
      </c>
      <c r="N38" s="809" t="s">
        <v>2651</v>
      </c>
      <c r="O38" s="810" t="s">
        <v>2652</v>
      </c>
      <c r="P38" s="808" t="s">
        <v>2724</v>
      </c>
      <c r="Q38" s="865"/>
      <c r="R38" s="813"/>
      <c r="S38" s="812"/>
      <c r="T38" s="813"/>
      <c r="U38" s="762"/>
      <c r="V38" s="808" t="s">
        <v>2725</v>
      </c>
      <c r="W38" s="814" t="s">
        <v>2655</v>
      </c>
      <c r="X38" s="810"/>
      <c r="Y38" s="803"/>
      <c r="Z38" s="810"/>
      <c r="AA38" s="816"/>
      <c r="AB38" s="815"/>
      <c r="AC38" s="816"/>
      <c r="AD38" s="762"/>
      <c r="AE38" s="846" t="s">
        <v>2725</v>
      </c>
      <c r="AF38" s="847"/>
      <c r="AG38" s="866"/>
      <c r="AH38" s="848"/>
      <c r="AI38" s="867"/>
      <c r="AJ38" s="868"/>
      <c r="AK38" s="869"/>
      <c r="AL38" s="868"/>
      <c r="AM38" s="767"/>
      <c r="AN38" s="817" t="s">
        <v>2726</v>
      </c>
      <c r="AO38" s="823" t="s">
        <v>2651</v>
      </c>
      <c r="AP38" s="819" t="s">
        <v>2652</v>
      </c>
      <c r="AQ38" s="824" t="s">
        <v>2722</v>
      </c>
      <c r="AR38" s="867"/>
      <c r="AS38" s="868"/>
      <c r="AT38" s="869"/>
      <c r="AU38" s="868"/>
      <c r="AV38" s="767"/>
      <c r="AW38" s="817" t="s">
        <v>2726</v>
      </c>
      <c r="AX38" s="823" t="s">
        <v>2651</v>
      </c>
      <c r="AY38" s="819" t="s">
        <v>2652</v>
      </c>
      <c r="AZ38" s="824" t="s">
        <v>2722</v>
      </c>
      <c r="BA38" s="867"/>
      <c r="BB38" s="868"/>
      <c r="BC38" s="869"/>
      <c r="BD38" s="868"/>
      <c r="BE38" s="767"/>
      <c r="BF38" s="817" t="s">
        <v>2654</v>
      </c>
      <c r="BG38" s="823" t="s">
        <v>2651</v>
      </c>
      <c r="BH38" s="819" t="s">
        <v>2652</v>
      </c>
      <c r="BI38" s="824" t="s">
        <v>2724</v>
      </c>
      <c r="BJ38" s="867"/>
      <c r="BK38" s="868"/>
      <c r="BL38" s="869"/>
      <c r="BM38" s="868"/>
      <c r="BN38" s="767"/>
      <c r="BO38" s="817" t="s">
        <v>2654</v>
      </c>
      <c r="BP38" s="823" t="s">
        <v>2651</v>
      </c>
      <c r="BQ38" s="819" t="s">
        <v>2658</v>
      </c>
      <c r="BR38" s="824" t="s">
        <v>2724</v>
      </c>
      <c r="BS38" s="867"/>
      <c r="BT38" s="868"/>
      <c r="BU38" s="869"/>
      <c r="BV38" s="868"/>
    </row>
    <row r="39">
      <c r="A39" s="758"/>
      <c r="B39" s="802">
        <f>IFERROR(VLOOKUP(C39,'字段信息'!A:C,3,),"")</f>
      </c>
      <c r="C39" s="803" t="s">
        <v>2727</v>
      </c>
      <c r="D39" s="804">
        <f>IFERROR(VLOOKUP(C39,'字段信息'!A:C,2,),"")</f>
      </c>
      <c r="E39" s="805"/>
      <c r="F39" s="805">
        <f t="shared" si="0"/>
      </c>
      <c r="G39" s="805" t="s">
        <v>2660</v>
      </c>
      <c r="H39" s="806"/>
      <c r="I39" s="806"/>
      <c r="J39" s="806"/>
      <c r="K39" s="806"/>
      <c r="L39" s="835" t="s">
        <v>2661</v>
      </c>
      <c r="M39" s="860" t="s">
        <v>2654</v>
      </c>
      <c r="N39" s="809" t="s">
        <v>2651</v>
      </c>
      <c r="O39" s="810" t="s">
        <v>2652</v>
      </c>
      <c r="P39" s="803" t="s">
        <v>2727</v>
      </c>
      <c r="Q39" s="865"/>
      <c r="R39" s="813"/>
      <c r="S39" s="812"/>
      <c r="T39" s="813"/>
      <c r="U39" s="762"/>
      <c r="V39" s="849" t="s">
        <v>2728</v>
      </c>
      <c r="W39" s="814" t="s">
        <v>2655</v>
      </c>
      <c r="X39" s="810" t="s">
        <v>2656</v>
      </c>
      <c r="Y39" s="803" t="s">
        <v>2729</v>
      </c>
      <c r="Z39" s="810"/>
      <c r="AA39" s="816"/>
      <c r="AB39" s="815"/>
      <c r="AC39" s="816"/>
      <c r="AD39" s="762"/>
      <c r="AE39" s="870" t="s">
        <v>2730</v>
      </c>
      <c r="AF39" s="823"/>
      <c r="AG39" s="819" t="s">
        <v>2657</v>
      </c>
      <c r="AH39" s="824" t="s">
        <v>2731</v>
      </c>
      <c r="AI39" s="871"/>
      <c r="AJ39" s="872"/>
      <c r="AK39" s="873"/>
      <c r="AL39" s="872"/>
      <c r="AM39" s="767"/>
      <c r="AN39" s="838" t="s">
        <v>2732</v>
      </c>
      <c r="AO39" s="823" t="s">
        <v>2651</v>
      </c>
      <c r="AP39" s="819" t="s">
        <v>2652</v>
      </c>
      <c r="AQ39" s="824" t="s">
        <v>2733</v>
      </c>
      <c r="AR39" s="871"/>
      <c r="AS39" s="838"/>
      <c r="AT39" s="873"/>
      <c r="AU39" s="872"/>
      <c r="AV39" s="767"/>
      <c r="AW39" s="838" t="s">
        <v>2734</v>
      </c>
      <c r="AX39" s="823" t="s">
        <v>2651</v>
      </c>
      <c r="AY39" s="819" t="s">
        <v>2652</v>
      </c>
      <c r="AZ39" s="824" t="s">
        <v>2733</v>
      </c>
      <c r="BA39" s="871"/>
      <c r="BB39" s="838"/>
      <c r="BC39" s="873"/>
      <c r="BD39" s="872"/>
      <c r="BE39" s="767"/>
      <c r="BF39" s="817" t="s">
        <v>2735</v>
      </c>
      <c r="BG39" s="823" t="s">
        <v>2651</v>
      </c>
      <c r="BH39" s="819" t="s">
        <v>2652</v>
      </c>
      <c r="BI39" s="824" t="s">
        <v>2733</v>
      </c>
      <c r="BJ39" s="871"/>
      <c r="BK39" s="838" t="s">
        <v>2736</v>
      </c>
      <c r="BL39" s="873"/>
      <c r="BM39" s="872"/>
      <c r="BN39" s="767"/>
      <c r="BO39" s="817" t="s">
        <v>2735</v>
      </c>
      <c r="BP39" s="823" t="s">
        <v>2651</v>
      </c>
      <c r="BQ39" s="819"/>
      <c r="BR39" s="824" t="s">
        <v>2733</v>
      </c>
      <c r="BS39" s="871"/>
      <c r="BT39" s="838"/>
      <c r="BU39" s="873"/>
      <c r="BV39" s="872"/>
    </row>
    <row r="40">
      <c r="A40" s="758"/>
      <c r="B40" s="802">
        <f>IFERROR(VLOOKUP(C40,'字段信息'!A:C,3,),"")</f>
      </c>
      <c r="C40" s="803" t="s">
        <v>2737</v>
      </c>
      <c r="D40" s="804">
        <f>IFERROR(VLOOKUP(C40,'字段信息'!A:C,2,),"")</f>
      </c>
      <c r="E40" s="805"/>
      <c r="F40" s="805">
        <f t="shared" si="0"/>
      </c>
      <c r="G40" s="805" t="s">
        <v>2660</v>
      </c>
      <c r="H40" s="806"/>
      <c r="I40" s="806"/>
      <c r="J40" s="806"/>
      <c r="K40" s="806"/>
      <c r="L40" s="835" t="s">
        <v>2661</v>
      </c>
      <c r="M40" s="860" t="s">
        <v>2654</v>
      </c>
      <c r="N40" s="809" t="s">
        <v>2651</v>
      </c>
      <c r="O40" s="810" t="s">
        <v>2652</v>
      </c>
      <c r="P40" s="803" t="s">
        <v>2737</v>
      </c>
      <c r="Q40" s="865"/>
      <c r="R40" s="813"/>
      <c r="S40" s="812"/>
      <c r="T40" s="813"/>
      <c r="U40" s="762"/>
      <c r="V40" s="849" t="s">
        <v>2728</v>
      </c>
      <c r="W40" s="814" t="s">
        <v>2655</v>
      </c>
      <c r="X40" s="810" t="s">
        <v>2656</v>
      </c>
      <c r="Y40" s="816" t="s">
        <v>2729</v>
      </c>
      <c r="Z40" s="810"/>
      <c r="AA40" s="816"/>
      <c r="AB40" s="815"/>
      <c r="AC40" s="816"/>
      <c r="AD40" s="762"/>
      <c r="AE40" s="870" t="s">
        <v>2730</v>
      </c>
      <c r="AF40" s="823"/>
      <c r="AG40" s="819" t="s">
        <v>2657</v>
      </c>
      <c r="AH40" s="874" t="s">
        <v>2731</v>
      </c>
      <c r="AI40" s="871"/>
      <c r="AJ40" s="872"/>
      <c r="AK40" s="873"/>
      <c r="AL40" s="872"/>
      <c r="AM40" s="767"/>
      <c r="AN40" s="870" t="s">
        <v>2738</v>
      </c>
      <c r="AO40" s="823" t="s">
        <v>2651</v>
      </c>
      <c r="AP40" s="819" t="s">
        <v>2652</v>
      </c>
      <c r="AQ40" s="824" t="s">
        <v>2733</v>
      </c>
      <c r="AR40" s="871"/>
      <c r="AS40" s="872"/>
      <c r="AT40" s="873"/>
      <c r="AU40" s="872"/>
      <c r="AV40" s="767"/>
      <c r="AW40" s="870" t="s">
        <v>2738</v>
      </c>
      <c r="AX40" s="823" t="s">
        <v>2651</v>
      </c>
      <c r="AY40" s="819" t="s">
        <v>2652</v>
      </c>
      <c r="AZ40" s="824" t="s">
        <v>2733</v>
      </c>
      <c r="BA40" s="871"/>
      <c r="BB40" s="872"/>
      <c r="BC40" s="873"/>
      <c r="BD40" s="872"/>
      <c r="BE40" s="767"/>
      <c r="BF40" s="817" t="s">
        <v>2739</v>
      </c>
      <c r="BG40" s="823" t="s">
        <v>2651</v>
      </c>
      <c r="BH40" s="819" t="s">
        <v>2652</v>
      </c>
      <c r="BI40" s="824" t="s">
        <v>2733</v>
      </c>
      <c r="BJ40" s="871"/>
      <c r="BK40" s="872"/>
      <c r="BL40" s="873"/>
      <c r="BM40" s="872"/>
      <c r="BN40" s="767"/>
      <c r="BO40" s="817" t="s">
        <v>2739</v>
      </c>
      <c r="BP40" s="823" t="s">
        <v>2651</v>
      </c>
      <c r="BQ40" s="819" t="s">
        <v>2652</v>
      </c>
      <c r="BR40" s="824" t="s">
        <v>2733</v>
      </c>
      <c r="BS40" s="871"/>
      <c r="BT40" s="872"/>
      <c r="BU40" s="873"/>
      <c r="BV40" s="872"/>
    </row>
    <row r="41">
      <c r="A41" s="758"/>
      <c r="B41" s="802">
        <f>IFERROR(VLOOKUP(C41,'字段信息'!A:C,3,),"")</f>
      </c>
      <c r="C41" s="803" t="s">
        <v>2740</v>
      </c>
      <c r="D41" s="804">
        <f>IFERROR(VLOOKUP(C41,'字段信息'!A:C,2,),"")</f>
      </c>
      <c r="E41" s="805"/>
      <c r="F41" s="805">
        <f t="shared" si="0"/>
      </c>
      <c r="G41" s="805" t="s">
        <v>2660</v>
      </c>
      <c r="H41" s="806"/>
      <c r="I41" s="806"/>
      <c r="J41" s="806"/>
      <c r="K41" s="806"/>
      <c r="L41" s="835" t="s">
        <v>2661</v>
      </c>
      <c r="M41" s="860" t="s">
        <v>2654</v>
      </c>
      <c r="N41" s="809" t="s">
        <v>2651</v>
      </c>
      <c r="O41" s="810" t="s">
        <v>2652</v>
      </c>
      <c r="P41" s="803" t="s">
        <v>2740</v>
      </c>
      <c r="Q41" s="865"/>
      <c r="R41" s="813"/>
      <c r="S41" s="812"/>
      <c r="T41" s="813"/>
      <c r="U41" s="762"/>
      <c r="V41" s="875"/>
      <c r="W41" s="876"/>
      <c r="X41" s="877"/>
      <c r="Y41" s="878"/>
      <c r="Z41" s="863"/>
      <c r="AA41" s="879"/>
      <c r="AB41" s="880"/>
      <c r="AC41" s="879"/>
      <c r="AD41" s="762"/>
      <c r="AE41" s="870"/>
      <c r="AF41" s="823"/>
      <c r="AG41" s="819"/>
      <c r="AH41" s="824"/>
      <c r="AI41" s="871"/>
      <c r="AJ41" s="872"/>
      <c r="AK41" s="873"/>
      <c r="AL41" s="872"/>
      <c r="AM41" s="767"/>
      <c r="AN41" s="870"/>
      <c r="AO41" s="823"/>
      <c r="AP41" s="819"/>
      <c r="AQ41" s="824"/>
      <c r="AR41" s="871"/>
      <c r="AS41" s="872"/>
      <c r="AT41" s="873"/>
      <c r="AU41" s="872"/>
      <c r="AV41" s="767"/>
      <c r="AW41" s="870"/>
      <c r="AX41" s="823"/>
      <c r="AY41" s="819"/>
      <c r="AZ41" s="824"/>
      <c r="BA41" s="871"/>
      <c r="BB41" s="872"/>
      <c r="BC41" s="873"/>
      <c r="BD41" s="872"/>
      <c r="BE41" s="767"/>
      <c r="BF41" s="870"/>
      <c r="BG41" s="823"/>
      <c r="BH41" s="819"/>
      <c r="BI41" s="824"/>
      <c r="BJ41" s="871"/>
      <c r="BK41" s="872"/>
      <c r="BL41" s="873"/>
      <c r="BM41" s="872"/>
      <c r="BN41" s="767"/>
      <c r="BO41" s="870"/>
      <c r="BP41" s="823"/>
      <c r="BQ41" s="819"/>
      <c r="BR41" s="824"/>
      <c r="BS41" s="871"/>
      <c r="BT41" s="872"/>
      <c r="BU41" s="873"/>
      <c r="BV41" s="872"/>
    </row>
    <row r="42">
      <c r="A42" s="758"/>
      <c r="B42" s="802">
        <f>IFERROR(VLOOKUP(C42,'字段信息'!A:C,3,),"")</f>
      </c>
      <c r="C42" s="803" t="s">
        <v>2741</v>
      </c>
      <c r="D42" s="804">
        <f>IFERROR(VLOOKUP(C42,'字段信息'!A:C,2,),"")</f>
      </c>
      <c r="E42" s="805"/>
      <c r="F42" s="805">
        <f t="shared" si="0"/>
      </c>
      <c r="G42" s="805" t="s">
        <v>2660</v>
      </c>
      <c r="H42" s="806"/>
      <c r="I42" s="806"/>
      <c r="J42" s="806"/>
      <c r="K42" s="806"/>
      <c r="L42" s="835" t="s">
        <v>2661</v>
      </c>
      <c r="M42" s="860" t="s">
        <v>2654</v>
      </c>
      <c r="N42" s="809" t="s">
        <v>2651</v>
      </c>
      <c r="O42" s="810" t="s">
        <v>2652</v>
      </c>
      <c r="P42" s="803" t="s">
        <v>2741</v>
      </c>
      <c r="Q42" s="865"/>
      <c r="R42" s="813"/>
      <c r="S42" s="812"/>
      <c r="T42" s="813"/>
      <c r="U42" s="762"/>
      <c r="V42" s="860"/>
      <c r="W42" s="809"/>
      <c r="X42" s="810"/>
      <c r="Y42" s="803"/>
      <c r="Z42" s="865"/>
      <c r="AA42" s="813"/>
      <c r="AB42" s="812"/>
      <c r="AC42" s="813"/>
      <c r="AD42" s="762"/>
      <c r="AE42" s="870"/>
      <c r="AF42" s="823"/>
      <c r="AG42" s="819"/>
      <c r="AH42" s="824"/>
      <c r="AI42" s="871"/>
      <c r="AJ42" s="872"/>
      <c r="AK42" s="873"/>
      <c r="AL42" s="872"/>
      <c r="AM42" s="767"/>
      <c r="AN42" s="870"/>
      <c r="AO42" s="823"/>
      <c r="AP42" s="819"/>
      <c r="AQ42" s="824"/>
      <c r="AR42" s="871"/>
      <c r="AS42" s="872"/>
      <c r="AT42" s="873"/>
      <c r="AU42" s="872"/>
      <c r="AV42" s="767"/>
      <c r="AW42" s="870"/>
      <c r="AX42" s="823"/>
      <c r="AY42" s="819"/>
      <c r="AZ42" s="824"/>
      <c r="BA42" s="871"/>
      <c r="BB42" s="872"/>
      <c r="BC42" s="873"/>
      <c r="BD42" s="872"/>
      <c r="BE42" s="767"/>
      <c r="BF42" s="870"/>
      <c r="BG42" s="823"/>
      <c r="BH42" s="819"/>
      <c r="BI42" s="824"/>
      <c r="BJ42" s="871"/>
      <c r="BK42" s="872"/>
      <c r="BL42" s="873"/>
      <c r="BM42" s="872"/>
      <c r="BN42" s="767"/>
      <c r="BO42" s="870"/>
      <c r="BP42" s="823"/>
      <c r="BQ42" s="819"/>
      <c r="BR42" s="824"/>
      <c r="BS42" s="871"/>
      <c r="BT42" s="872"/>
      <c r="BU42" s="873"/>
      <c r="BV42" s="872"/>
    </row>
    <row r="43">
      <c r="A43" s="864"/>
      <c r="B43" s="802">
        <f>IFERROR(VLOOKUP(C43,'字段信息'!A:C,3,),"")</f>
      </c>
      <c r="C43" s="803" t="s">
        <v>2742</v>
      </c>
      <c r="D43" s="804">
        <f>IFERROR(VLOOKUP(C43,'字段信息'!A:C,2,),"")</f>
      </c>
      <c r="E43" s="805"/>
      <c r="F43" s="805">
        <f t="shared" si="0"/>
      </c>
      <c r="G43" s="805" t="s">
        <v>2660</v>
      </c>
      <c r="H43" s="806"/>
      <c r="I43" s="806"/>
      <c r="J43" s="806"/>
      <c r="K43" s="806"/>
      <c r="L43" s="835" t="s">
        <v>2661</v>
      </c>
      <c r="M43" s="860" t="s">
        <v>2654</v>
      </c>
      <c r="N43" s="809" t="s">
        <v>2651</v>
      </c>
      <c r="O43" s="810" t="s">
        <v>2652</v>
      </c>
      <c r="P43" s="803" t="s">
        <v>2742</v>
      </c>
      <c r="Q43" s="812"/>
      <c r="R43" s="813"/>
      <c r="S43" s="812"/>
      <c r="T43" s="813"/>
      <c r="U43" s="762"/>
      <c r="V43" s="860"/>
      <c r="W43" s="809"/>
      <c r="X43" s="810"/>
      <c r="Y43" s="803"/>
      <c r="Z43" s="812"/>
      <c r="AA43" s="813"/>
      <c r="AB43" s="812"/>
      <c r="AC43" s="813"/>
      <c r="AD43" s="762"/>
      <c r="AE43" s="870"/>
      <c r="AF43" s="823"/>
      <c r="AG43" s="819"/>
      <c r="AH43" s="824"/>
      <c r="AI43" s="873"/>
      <c r="AJ43" s="872"/>
      <c r="AK43" s="873"/>
      <c r="AL43" s="872"/>
      <c r="AM43" s="767"/>
      <c r="AN43" s="870"/>
      <c r="AO43" s="823"/>
      <c r="AP43" s="819"/>
      <c r="AQ43" s="824"/>
      <c r="AR43" s="873"/>
      <c r="AS43" s="872"/>
      <c r="AT43" s="873"/>
      <c r="AU43" s="872"/>
      <c r="AV43" s="767"/>
      <c r="AW43" s="870"/>
      <c r="AX43" s="823"/>
      <c r="AY43" s="819"/>
      <c r="AZ43" s="824"/>
      <c r="BA43" s="873"/>
      <c r="BB43" s="872"/>
      <c r="BC43" s="873"/>
      <c r="BD43" s="872"/>
      <c r="BE43" s="767"/>
      <c r="BF43" s="870"/>
      <c r="BG43" s="823"/>
      <c r="BH43" s="819"/>
      <c r="BI43" s="824"/>
      <c r="BJ43" s="873"/>
      <c r="BK43" s="872"/>
      <c r="BL43" s="873"/>
      <c r="BM43" s="872"/>
      <c r="BN43" s="767"/>
      <c r="BO43" s="870"/>
      <c r="BP43" s="823"/>
      <c r="BQ43" s="819"/>
      <c r="BR43" s="824"/>
      <c r="BS43" s="873"/>
      <c r="BT43" s="872"/>
      <c r="BU43" s="873"/>
      <c r="BV43" s="872"/>
    </row>
    <row r="44">
      <c r="A44" s="864"/>
      <c r="B44" s="802">
        <f>IFERROR(VLOOKUP(C44,'字段信息'!A:C,3,),"")</f>
      </c>
      <c r="C44" s="803" t="s">
        <v>2743</v>
      </c>
      <c r="D44" s="804">
        <f>IFERROR(VLOOKUP(C44,'字段信息'!A:C,2,),"")</f>
      </c>
      <c r="E44" s="805"/>
      <c r="F44" s="805">
        <f t="shared" si="0"/>
      </c>
      <c r="G44" s="805" t="s">
        <v>2660</v>
      </c>
      <c r="H44" s="806"/>
      <c r="I44" s="806"/>
      <c r="J44" s="806"/>
      <c r="K44" s="806"/>
      <c r="L44" s="835" t="s">
        <v>2661</v>
      </c>
      <c r="M44" s="860" t="s">
        <v>2654</v>
      </c>
      <c r="N44" s="809" t="s">
        <v>2651</v>
      </c>
      <c r="O44" s="810" t="s">
        <v>2652</v>
      </c>
      <c r="P44" s="803" t="s">
        <v>2743</v>
      </c>
      <c r="Q44" s="812"/>
      <c r="R44" s="813"/>
      <c r="S44" s="812"/>
      <c r="T44" s="813"/>
      <c r="U44" s="762"/>
      <c r="V44" s="860"/>
      <c r="W44" s="809"/>
      <c r="X44" s="810"/>
      <c r="Y44" s="803"/>
      <c r="Z44" s="812"/>
      <c r="AA44" s="813"/>
      <c r="AB44" s="812"/>
      <c r="AC44" s="813"/>
      <c r="AD44" s="762"/>
      <c r="AE44" s="870"/>
      <c r="AF44" s="823"/>
      <c r="AG44" s="819"/>
      <c r="AH44" s="824"/>
      <c r="AI44" s="873"/>
      <c r="AJ44" s="872"/>
      <c r="AK44" s="873"/>
      <c r="AL44" s="872"/>
      <c r="AM44" s="767"/>
      <c r="AN44" s="870"/>
      <c r="AO44" s="823"/>
      <c r="AP44" s="819"/>
      <c r="AQ44" s="824"/>
      <c r="AR44" s="873"/>
      <c r="AS44" s="872"/>
      <c r="AT44" s="873"/>
      <c r="AU44" s="872"/>
      <c r="AV44" s="767"/>
      <c r="AW44" s="870"/>
      <c r="AX44" s="823"/>
      <c r="AY44" s="819"/>
      <c r="AZ44" s="824"/>
      <c r="BA44" s="873"/>
      <c r="BB44" s="872"/>
      <c r="BC44" s="873"/>
      <c r="BD44" s="872"/>
      <c r="BE44" s="767"/>
      <c r="BF44" s="870"/>
      <c r="BG44" s="823"/>
      <c r="BH44" s="819"/>
      <c r="BI44" s="824"/>
      <c r="BJ44" s="873"/>
      <c r="BK44" s="872"/>
      <c r="BL44" s="873"/>
      <c r="BM44" s="872"/>
      <c r="BN44" s="767"/>
      <c r="BO44" s="870"/>
      <c r="BP44" s="823"/>
      <c r="BQ44" s="819"/>
      <c r="BR44" s="824"/>
      <c r="BS44" s="873"/>
      <c r="BT44" s="872"/>
      <c r="BU44" s="873"/>
      <c r="BV44" s="872"/>
    </row>
    <row r="45">
      <c r="A45" s="758"/>
      <c r="B45" s="802">
        <f>IFERROR(VLOOKUP(C45,'字段信息'!A:C,3,),"")</f>
      </c>
      <c r="C45" s="803" t="s">
        <v>2744</v>
      </c>
      <c r="D45" s="804">
        <f>IFERROR(VLOOKUP(C45,'字段信息'!A:C,2,),"")</f>
      </c>
      <c r="E45" s="805"/>
      <c r="F45" s="805">
        <f t="shared" si="0"/>
      </c>
      <c r="G45" s="805" t="s">
        <v>2660</v>
      </c>
      <c r="H45" s="806"/>
      <c r="I45" s="806"/>
      <c r="J45" s="806"/>
      <c r="K45" s="806"/>
      <c r="L45" s="835" t="s">
        <v>2661</v>
      </c>
      <c r="M45" s="860" t="s">
        <v>2654</v>
      </c>
      <c r="N45" s="809" t="s">
        <v>2651</v>
      </c>
      <c r="O45" s="810" t="s">
        <v>2652</v>
      </c>
      <c r="P45" s="803" t="s">
        <v>2744</v>
      </c>
      <c r="Q45" s="812"/>
      <c r="R45" s="813"/>
      <c r="S45" s="812"/>
      <c r="T45" s="813"/>
      <c r="U45" s="762"/>
      <c r="V45" s="860"/>
      <c r="W45" s="809"/>
      <c r="X45" s="810"/>
      <c r="Y45" s="803"/>
      <c r="Z45" s="812"/>
      <c r="AA45" s="813"/>
      <c r="AB45" s="812"/>
      <c r="AC45" s="813"/>
      <c r="AD45" s="762"/>
      <c r="AE45" s="870"/>
      <c r="AF45" s="823"/>
      <c r="AG45" s="819"/>
      <c r="AH45" s="824"/>
      <c r="AI45" s="873"/>
      <c r="AJ45" s="872"/>
      <c r="AK45" s="873"/>
      <c r="AL45" s="872"/>
      <c r="AM45" s="767"/>
      <c r="AN45" s="870"/>
      <c r="AO45" s="823"/>
      <c r="AP45" s="819"/>
      <c r="AQ45" s="824"/>
      <c r="AR45" s="873"/>
      <c r="AS45" s="872"/>
      <c r="AT45" s="873"/>
      <c r="AU45" s="872"/>
      <c r="AV45" s="767"/>
      <c r="AW45" s="870"/>
      <c r="AX45" s="823"/>
      <c r="AY45" s="819"/>
      <c r="AZ45" s="824"/>
      <c r="BA45" s="873"/>
      <c r="BB45" s="872"/>
      <c r="BC45" s="873"/>
      <c r="BD45" s="872"/>
      <c r="BE45" s="767"/>
      <c r="BF45" s="870"/>
      <c r="BG45" s="823"/>
      <c r="BH45" s="819"/>
      <c r="BI45" s="824"/>
      <c r="BJ45" s="873"/>
      <c r="BK45" s="872"/>
      <c r="BL45" s="873"/>
      <c r="BM45" s="872"/>
      <c r="BN45" s="767"/>
      <c r="BO45" s="870"/>
      <c r="BP45" s="823"/>
      <c r="BQ45" s="819"/>
      <c r="BR45" s="824"/>
      <c r="BS45" s="873"/>
      <c r="BT45" s="872"/>
      <c r="BU45" s="873"/>
      <c r="BV45" s="872"/>
    </row>
    <row r="46">
      <c r="A46" s="758"/>
      <c r="B46" s="802">
        <f>IFERROR(VLOOKUP(C46,'字段信息'!A:C,3,),"")</f>
      </c>
      <c r="C46" s="803" t="s">
        <v>2745</v>
      </c>
      <c r="D46" s="804">
        <f>IFERROR(VLOOKUP(C46,'字段信息'!A:C,2,),"")</f>
      </c>
      <c r="E46" s="805"/>
      <c r="F46" s="805">
        <f t="shared" si="0"/>
      </c>
      <c r="G46" s="805" t="s">
        <v>2660</v>
      </c>
      <c r="H46" s="806"/>
      <c r="I46" s="806"/>
      <c r="J46" s="806"/>
      <c r="K46" s="806"/>
      <c r="L46" s="835" t="s">
        <v>2661</v>
      </c>
      <c r="M46" s="860" t="s">
        <v>2654</v>
      </c>
      <c r="N46" s="809" t="s">
        <v>2651</v>
      </c>
      <c r="O46" s="810" t="s">
        <v>2652</v>
      </c>
      <c r="P46" s="803" t="s">
        <v>2745</v>
      </c>
      <c r="Q46" s="812"/>
      <c r="R46" s="813"/>
      <c r="S46" s="812"/>
      <c r="T46" s="813"/>
      <c r="U46" s="762"/>
      <c r="V46" s="860"/>
      <c r="W46" s="809"/>
      <c r="X46" s="810"/>
      <c r="Y46" s="803"/>
      <c r="Z46" s="812"/>
      <c r="AA46" s="813"/>
      <c r="AB46" s="812"/>
      <c r="AC46" s="813"/>
      <c r="AD46" s="762"/>
      <c r="AE46" s="870"/>
      <c r="AF46" s="823"/>
      <c r="AG46" s="819"/>
      <c r="AH46" s="824"/>
      <c r="AI46" s="873"/>
      <c r="AJ46" s="872"/>
      <c r="AK46" s="873"/>
      <c r="AL46" s="872"/>
      <c r="AM46" s="767"/>
      <c r="AN46" s="870"/>
      <c r="AO46" s="823"/>
      <c r="AP46" s="819"/>
      <c r="AQ46" s="824"/>
      <c r="AR46" s="873"/>
      <c r="AS46" s="872"/>
      <c r="AT46" s="873"/>
      <c r="AU46" s="872"/>
      <c r="AV46" s="767"/>
      <c r="AW46" s="870"/>
      <c r="AX46" s="823"/>
      <c r="AY46" s="819"/>
      <c r="AZ46" s="824"/>
      <c r="BA46" s="873"/>
      <c r="BB46" s="872"/>
      <c r="BC46" s="873"/>
      <c r="BD46" s="872"/>
      <c r="BE46" s="767"/>
      <c r="BF46" s="870"/>
      <c r="BG46" s="823"/>
      <c r="BH46" s="819"/>
      <c r="BI46" s="824"/>
      <c r="BJ46" s="873"/>
      <c r="BK46" s="872"/>
      <c r="BL46" s="873"/>
      <c r="BM46" s="872"/>
      <c r="BN46" s="767"/>
      <c r="BO46" s="870"/>
      <c r="BP46" s="823"/>
      <c r="BQ46" s="819"/>
      <c r="BR46" s="824"/>
      <c r="BS46" s="873"/>
      <c r="BT46" s="872"/>
      <c r="BU46" s="873"/>
      <c r="BV46" s="872"/>
    </row>
    <row r="47">
      <c r="A47" s="758"/>
      <c r="B47" s="802">
        <f>IFERROR(VLOOKUP(C47,'字段信息'!A:C,3,),"")</f>
      </c>
      <c r="C47" s="803" t="s">
        <v>2746</v>
      </c>
      <c r="D47" s="804">
        <f>IFERROR(VLOOKUP(C47,'字段信息'!A:C,2,),"")</f>
      </c>
      <c r="E47" s="805"/>
      <c r="F47" s="805">
        <f t="shared" si="0"/>
      </c>
      <c r="G47" s="805" t="s">
        <v>2660</v>
      </c>
      <c r="H47" s="806"/>
      <c r="I47" s="806"/>
      <c r="J47" s="806"/>
      <c r="K47" s="806"/>
      <c r="L47" s="835" t="s">
        <v>2661</v>
      </c>
      <c r="M47" s="860" t="s">
        <v>2654</v>
      </c>
      <c r="N47" s="809" t="s">
        <v>2651</v>
      </c>
      <c r="O47" s="810" t="s">
        <v>2652</v>
      </c>
      <c r="P47" s="803" t="s">
        <v>2746</v>
      </c>
      <c r="Q47" s="812"/>
      <c r="R47" s="813"/>
      <c r="S47" s="812"/>
      <c r="T47" s="813"/>
      <c r="U47" s="762"/>
      <c r="V47" s="860"/>
      <c r="W47" s="809"/>
      <c r="X47" s="810"/>
      <c r="Y47" s="803"/>
      <c r="Z47" s="812"/>
      <c r="AA47" s="813"/>
      <c r="AB47" s="812"/>
      <c r="AC47" s="813"/>
      <c r="AD47" s="762"/>
      <c r="AE47" s="870"/>
      <c r="AF47" s="823"/>
      <c r="AG47" s="819"/>
      <c r="AH47" s="824"/>
      <c r="AI47" s="873"/>
      <c r="AJ47" s="872"/>
      <c r="AK47" s="873"/>
      <c r="AL47" s="872"/>
      <c r="AM47" s="767"/>
      <c r="AN47" s="870"/>
      <c r="AO47" s="823"/>
      <c r="AP47" s="819"/>
      <c r="AQ47" s="824"/>
      <c r="AR47" s="873"/>
      <c r="AS47" s="872"/>
      <c r="AT47" s="873"/>
      <c r="AU47" s="872"/>
      <c r="AV47" s="767"/>
      <c r="AW47" s="870"/>
      <c r="AX47" s="823"/>
      <c r="AY47" s="819"/>
      <c r="AZ47" s="824"/>
      <c r="BA47" s="873"/>
      <c r="BB47" s="872"/>
      <c r="BC47" s="873"/>
      <c r="BD47" s="872"/>
      <c r="BE47" s="767"/>
      <c r="BF47" s="870"/>
      <c r="BG47" s="823"/>
      <c r="BH47" s="819"/>
      <c r="BI47" s="824"/>
      <c r="BJ47" s="873"/>
      <c r="BK47" s="872"/>
      <c r="BL47" s="873"/>
      <c r="BM47" s="872"/>
      <c r="BN47" s="767"/>
      <c r="BO47" s="870"/>
      <c r="BP47" s="823"/>
      <c r="BQ47" s="819"/>
      <c r="BR47" s="824"/>
      <c r="BS47" s="873"/>
      <c r="BT47" s="872"/>
      <c r="BU47" s="873"/>
      <c r="BV47" s="872"/>
    </row>
    <row r="48">
      <c r="A48" s="758"/>
      <c r="B48" s="802">
        <f>IFERROR(VLOOKUP(C48,'字段信息'!A:C,3,),"")</f>
      </c>
      <c r="C48" s="803" t="s">
        <v>2747</v>
      </c>
      <c r="D48" s="804">
        <f>IFERROR(VLOOKUP(C48,'字段信息'!A:C,2,),"")</f>
      </c>
      <c r="E48" s="805"/>
      <c r="F48" s="805">
        <f t="shared" si="0"/>
      </c>
      <c r="G48" s="805" t="s">
        <v>2660</v>
      </c>
      <c r="H48" s="806"/>
      <c r="I48" s="806"/>
      <c r="J48" s="806"/>
      <c r="K48" s="806"/>
      <c r="L48" s="835" t="s">
        <v>2661</v>
      </c>
      <c r="M48" s="860" t="s">
        <v>2654</v>
      </c>
      <c r="N48" s="809" t="s">
        <v>2651</v>
      </c>
      <c r="O48" s="810" t="s">
        <v>2652</v>
      </c>
      <c r="P48" s="803" t="s">
        <v>2747</v>
      </c>
      <c r="Q48" s="812"/>
      <c r="R48" s="813"/>
      <c r="S48" s="812"/>
      <c r="T48" s="813"/>
      <c r="U48" s="762"/>
      <c r="V48" s="860"/>
      <c r="W48" s="809"/>
      <c r="X48" s="810"/>
      <c r="Y48" s="803"/>
      <c r="Z48" s="812"/>
      <c r="AA48" s="813"/>
      <c r="AB48" s="812"/>
      <c r="AC48" s="813"/>
      <c r="AD48" s="762"/>
      <c r="AE48" s="870"/>
      <c r="AF48" s="823"/>
      <c r="AG48" s="819"/>
      <c r="AH48" s="824"/>
      <c r="AI48" s="873"/>
      <c r="AJ48" s="872"/>
      <c r="AK48" s="873"/>
      <c r="AL48" s="872"/>
      <c r="AM48" s="767"/>
      <c r="AN48" s="870"/>
      <c r="AO48" s="823"/>
      <c r="AP48" s="819"/>
      <c r="AQ48" s="824"/>
      <c r="AR48" s="873"/>
      <c r="AS48" s="872"/>
      <c r="AT48" s="873"/>
      <c r="AU48" s="872"/>
      <c r="AV48" s="767"/>
      <c r="AW48" s="870"/>
      <c r="AX48" s="823"/>
      <c r="AY48" s="819"/>
      <c r="AZ48" s="824"/>
      <c r="BA48" s="873"/>
      <c r="BB48" s="872"/>
      <c r="BC48" s="873"/>
      <c r="BD48" s="872"/>
      <c r="BE48" s="767"/>
      <c r="BF48" s="870"/>
      <c r="BG48" s="823"/>
      <c r="BH48" s="819"/>
      <c r="BI48" s="824"/>
      <c r="BJ48" s="873"/>
      <c r="BK48" s="872"/>
      <c r="BL48" s="873"/>
      <c r="BM48" s="872"/>
      <c r="BN48" s="767"/>
      <c r="BO48" s="870"/>
      <c r="BP48" s="823"/>
      <c r="BQ48" s="819"/>
      <c r="BR48" s="824"/>
      <c r="BS48" s="873"/>
      <c r="BT48" s="872"/>
      <c r="BU48" s="873"/>
      <c r="BV48" s="872"/>
    </row>
    <row r="49">
      <c r="A49" s="864"/>
      <c r="B49" s="802">
        <f>IFERROR(VLOOKUP(C49,'字段信息'!A:C,3,),"")</f>
      </c>
      <c r="C49" s="803" t="s">
        <v>2748</v>
      </c>
      <c r="D49" s="804">
        <f>IFERROR(VLOOKUP(C49,'字段信息'!A:C,2,),"")</f>
      </c>
      <c r="E49" s="805"/>
      <c r="F49" s="805">
        <f t="shared" si="0"/>
      </c>
      <c r="G49" s="805" t="s">
        <v>2660</v>
      </c>
      <c r="H49" s="806"/>
      <c r="I49" s="806"/>
      <c r="J49" s="806"/>
      <c r="K49" s="806"/>
      <c r="L49" s="835" t="s">
        <v>2661</v>
      </c>
      <c r="M49" s="860" t="s">
        <v>2654</v>
      </c>
      <c r="N49" s="809" t="s">
        <v>2651</v>
      </c>
      <c r="O49" s="810" t="s">
        <v>2652</v>
      </c>
      <c r="P49" s="803" t="s">
        <v>2748</v>
      </c>
      <c r="Q49" s="851"/>
      <c r="R49" s="813"/>
      <c r="S49" s="812"/>
      <c r="T49" s="813"/>
      <c r="U49" s="762"/>
      <c r="V49" s="860"/>
      <c r="W49" s="809"/>
      <c r="X49" s="810"/>
      <c r="Y49" s="803"/>
      <c r="Z49" s="851"/>
      <c r="AA49" s="813"/>
      <c r="AB49" s="812"/>
      <c r="AC49" s="813"/>
      <c r="AD49" s="762"/>
      <c r="AE49" s="870"/>
      <c r="AF49" s="823"/>
      <c r="AG49" s="819"/>
      <c r="AH49" s="824"/>
      <c r="AI49" s="881"/>
      <c r="AJ49" s="872"/>
      <c r="AK49" s="873"/>
      <c r="AL49" s="872"/>
      <c r="AM49" s="767"/>
      <c r="AN49" s="870"/>
      <c r="AO49" s="823"/>
      <c r="AP49" s="819"/>
      <c r="AQ49" s="824"/>
      <c r="AR49" s="881"/>
      <c r="AS49" s="872"/>
      <c r="AT49" s="873"/>
      <c r="AU49" s="872"/>
      <c r="AV49" s="767"/>
      <c r="AW49" s="870"/>
      <c r="AX49" s="823"/>
      <c r="AY49" s="819"/>
      <c r="AZ49" s="824"/>
      <c r="BA49" s="881"/>
      <c r="BB49" s="872"/>
      <c r="BC49" s="873"/>
      <c r="BD49" s="872"/>
      <c r="BE49" s="767"/>
      <c r="BF49" s="870"/>
      <c r="BG49" s="823"/>
      <c r="BH49" s="819"/>
      <c r="BI49" s="824"/>
      <c r="BJ49" s="881"/>
      <c r="BK49" s="872"/>
      <c r="BL49" s="873"/>
      <c r="BM49" s="872"/>
      <c r="BN49" s="767"/>
      <c r="BO49" s="870"/>
      <c r="BP49" s="823"/>
      <c r="BQ49" s="819"/>
      <c r="BR49" s="824"/>
      <c r="BS49" s="881"/>
      <c r="BT49" s="872"/>
      <c r="BU49" s="873"/>
      <c r="BV49" s="872"/>
    </row>
    <row r="50">
      <c r="A50" s="864"/>
      <c r="B50" s="802">
        <f>IFERROR(VLOOKUP(C50,'字段信息'!A:C,3,),"")</f>
      </c>
      <c r="C50" s="803" t="s">
        <v>2749</v>
      </c>
      <c r="D50" s="804">
        <f>IFERROR(VLOOKUP(C50,'字段信息'!A:C,2,),"")</f>
      </c>
      <c r="E50" s="805"/>
      <c r="F50" s="805">
        <f t="shared" si="0"/>
      </c>
      <c r="G50" s="805" t="s">
        <v>2660</v>
      </c>
      <c r="H50" s="806"/>
      <c r="I50" s="806"/>
      <c r="J50" s="806"/>
      <c r="K50" s="806"/>
      <c r="L50" s="835" t="s">
        <v>2661</v>
      </c>
      <c r="M50" s="860" t="s">
        <v>2654</v>
      </c>
      <c r="N50" s="809" t="s">
        <v>2651</v>
      </c>
      <c r="O50" s="810" t="s">
        <v>2652</v>
      </c>
      <c r="P50" s="803" t="s">
        <v>2749</v>
      </c>
      <c r="Q50" s="812"/>
      <c r="R50" s="813"/>
      <c r="S50" s="812"/>
      <c r="T50" s="813"/>
      <c r="U50" s="762"/>
      <c r="V50" s="860"/>
      <c r="W50" s="809"/>
      <c r="X50" s="810"/>
      <c r="Y50" s="803"/>
      <c r="Z50" s="812"/>
      <c r="AA50" s="813"/>
      <c r="AB50" s="812"/>
      <c r="AC50" s="813"/>
      <c r="AD50" s="762"/>
      <c r="AE50" s="870"/>
      <c r="AF50" s="823"/>
      <c r="AG50" s="819"/>
      <c r="AH50" s="824"/>
      <c r="AI50" s="873"/>
      <c r="AJ50" s="872"/>
      <c r="AK50" s="873"/>
      <c r="AL50" s="872"/>
      <c r="AM50" s="767"/>
      <c r="AN50" s="870"/>
      <c r="AO50" s="823"/>
      <c r="AP50" s="819"/>
      <c r="AQ50" s="824"/>
      <c r="AR50" s="873"/>
      <c r="AS50" s="872"/>
      <c r="AT50" s="873"/>
      <c r="AU50" s="872"/>
      <c r="AV50" s="767"/>
      <c r="AW50" s="870"/>
      <c r="AX50" s="823"/>
      <c r="AY50" s="819"/>
      <c r="AZ50" s="824"/>
      <c r="BA50" s="873"/>
      <c r="BB50" s="872"/>
      <c r="BC50" s="873"/>
      <c r="BD50" s="872"/>
      <c r="BE50" s="767"/>
      <c r="BF50" s="870"/>
      <c r="BG50" s="823"/>
      <c r="BH50" s="819"/>
      <c r="BI50" s="824"/>
      <c r="BJ50" s="873"/>
      <c r="BK50" s="872"/>
      <c r="BL50" s="873"/>
      <c r="BM50" s="872"/>
      <c r="BN50" s="767"/>
      <c r="BO50" s="870"/>
      <c r="BP50" s="823"/>
      <c r="BQ50" s="819"/>
      <c r="BR50" s="824"/>
      <c r="BS50" s="873"/>
      <c r="BT50" s="872"/>
      <c r="BU50" s="873"/>
      <c r="BV50" s="872"/>
    </row>
    <row r="51">
      <c r="A51" s="864"/>
      <c r="B51" s="802">
        <f>IFERROR(VLOOKUP(C51,'字段信息'!A:C,3,),"")</f>
      </c>
      <c r="C51" s="803" t="s">
        <v>2750</v>
      </c>
      <c r="D51" s="804">
        <f>IFERROR(VLOOKUP(C51,'字段信息'!A:C,2,),"")</f>
      </c>
      <c r="E51" s="805"/>
      <c r="F51" s="805">
        <f t="shared" si="0"/>
      </c>
      <c r="G51" s="805" t="s">
        <v>2660</v>
      </c>
      <c r="H51" s="806"/>
      <c r="I51" s="806"/>
      <c r="J51" s="806"/>
      <c r="K51" s="806"/>
      <c r="L51" s="835" t="s">
        <v>2661</v>
      </c>
      <c r="M51" s="860" t="s">
        <v>2654</v>
      </c>
      <c r="N51" s="809" t="s">
        <v>2651</v>
      </c>
      <c r="O51" s="810" t="s">
        <v>2652</v>
      </c>
      <c r="P51" s="803" t="s">
        <v>2750</v>
      </c>
      <c r="Q51" s="812"/>
      <c r="R51" s="813"/>
      <c r="S51" s="812"/>
      <c r="T51" s="813"/>
      <c r="U51" s="762"/>
      <c r="V51" s="860"/>
      <c r="W51" s="809"/>
      <c r="X51" s="810"/>
      <c r="Y51" s="803"/>
      <c r="Z51" s="812"/>
      <c r="AA51" s="813"/>
      <c r="AB51" s="812"/>
      <c r="AC51" s="813"/>
      <c r="AD51" s="762"/>
      <c r="AE51" s="870"/>
      <c r="AF51" s="823"/>
      <c r="AG51" s="819"/>
      <c r="AH51" s="824"/>
      <c r="AI51" s="873"/>
      <c r="AJ51" s="872"/>
      <c r="AK51" s="873"/>
      <c r="AL51" s="872"/>
      <c r="AM51" s="767"/>
      <c r="AN51" s="870"/>
      <c r="AO51" s="823"/>
      <c r="AP51" s="819"/>
      <c r="AQ51" s="824"/>
      <c r="AR51" s="873"/>
      <c r="AS51" s="872"/>
      <c r="AT51" s="873"/>
      <c r="AU51" s="872"/>
      <c r="AV51" s="767"/>
      <c r="AW51" s="870"/>
      <c r="AX51" s="823"/>
      <c r="AY51" s="819"/>
      <c r="AZ51" s="824"/>
      <c r="BA51" s="873"/>
      <c r="BB51" s="872"/>
      <c r="BC51" s="873"/>
      <c r="BD51" s="872"/>
      <c r="BE51" s="767"/>
      <c r="BF51" s="870"/>
      <c r="BG51" s="823"/>
      <c r="BH51" s="819"/>
      <c r="BI51" s="824"/>
      <c r="BJ51" s="873"/>
      <c r="BK51" s="872"/>
      <c r="BL51" s="873"/>
      <c r="BM51" s="872"/>
      <c r="BN51" s="767"/>
      <c r="BO51" s="870"/>
      <c r="BP51" s="823"/>
      <c r="BQ51" s="819"/>
      <c r="BR51" s="824"/>
      <c r="BS51" s="873"/>
      <c r="BT51" s="872"/>
      <c r="BU51" s="873"/>
      <c r="BV51" s="872"/>
    </row>
    <row r="52">
      <c r="A52" s="864"/>
      <c r="B52" s="802">
        <f>IFERROR(VLOOKUP(C52,'字段信息'!A:C,3,),"")</f>
      </c>
      <c r="C52" s="803" t="s">
        <v>2751</v>
      </c>
      <c r="D52" s="804">
        <f>IFERROR(VLOOKUP(C52,'字段信息'!A:C,2,),"")</f>
      </c>
      <c r="E52" s="805"/>
      <c r="F52" s="805">
        <f t="shared" si="0"/>
      </c>
      <c r="G52" s="805" t="s">
        <v>2660</v>
      </c>
      <c r="H52" s="806"/>
      <c r="I52" s="806"/>
      <c r="J52" s="806"/>
      <c r="K52" s="806"/>
      <c r="L52" s="835" t="s">
        <v>2661</v>
      </c>
      <c r="M52" s="860" t="s">
        <v>2654</v>
      </c>
      <c r="N52" s="809" t="s">
        <v>2651</v>
      </c>
      <c r="O52" s="810" t="s">
        <v>2652</v>
      </c>
      <c r="P52" s="803" t="s">
        <v>2751</v>
      </c>
      <c r="Q52" s="812"/>
      <c r="R52" s="813"/>
      <c r="S52" s="812"/>
      <c r="T52" s="813"/>
      <c r="U52" s="762"/>
      <c r="V52" s="860"/>
      <c r="W52" s="809"/>
      <c r="X52" s="810"/>
      <c r="Y52" s="803"/>
      <c r="Z52" s="812"/>
      <c r="AA52" s="813"/>
      <c r="AB52" s="812"/>
      <c r="AC52" s="813"/>
      <c r="AD52" s="762"/>
      <c r="AE52" s="870"/>
      <c r="AF52" s="823"/>
      <c r="AG52" s="819"/>
      <c r="AH52" s="824"/>
      <c r="AI52" s="873"/>
      <c r="AJ52" s="872"/>
      <c r="AK52" s="873"/>
      <c r="AL52" s="872"/>
      <c r="AM52" s="767"/>
      <c r="AN52" s="870"/>
      <c r="AO52" s="823"/>
      <c r="AP52" s="819"/>
      <c r="AQ52" s="824"/>
      <c r="AR52" s="873"/>
      <c r="AS52" s="872"/>
      <c r="AT52" s="873"/>
      <c r="AU52" s="872"/>
      <c r="AV52" s="767"/>
      <c r="AW52" s="870"/>
      <c r="AX52" s="823"/>
      <c r="AY52" s="819"/>
      <c r="AZ52" s="824"/>
      <c r="BA52" s="873"/>
      <c r="BB52" s="872"/>
      <c r="BC52" s="873"/>
      <c r="BD52" s="872"/>
      <c r="BE52" s="767"/>
      <c r="BF52" s="870"/>
      <c r="BG52" s="823"/>
      <c r="BH52" s="819"/>
      <c r="BI52" s="824"/>
      <c r="BJ52" s="873"/>
      <c r="BK52" s="872"/>
      <c r="BL52" s="873"/>
      <c r="BM52" s="872"/>
      <c r="BN52" s="767"/>
      <c r="BO52" s="870"/>
      <c r="BP52" s="823"/>
      <c r="BQ52" s="819"/>
      <c r="BR52" s="824"/>
      <c r="BS52" s="873"/>
      <c r="BT52" s="872"/>
      <c r="BU52" s="873"/>
      <c r="BV52" s="872"/>
    </row>
    <row r="53">
      <c r="A53" s="758"/>
      <c r="B53" s="802">
        <f>IFERROR(VLOOKUP(C53,'字段信息'!A:C,3,),"")</f>
      </c>
      <c r="C53" s="803" t="s">
        <v>2752</v>
      </c>
      <c r="D53" s="804">
        <f>IFERROR(VLOOKUP(C53,'字段信息'!A:C,2,),"")</f>
      </c>
      <c r="E53" s="805"/>
      <c r="F53" s="805">
        <f t="shared" si="0"/>
      </c>
      <c r="G53" s="805" t="s">
        <v>2660</v>
      </c>
      <c r="H53" s="806"/>
      <c r="I53" s="806"/>
      <c r="J53" s="806"/>
      <c r="K53" s="806"/>
      <c r="L53" s="835" t="s">
        <v>2661</v>
      </c>
      <c r="M53" s="860" t="s">
        <v>2654</v>
      </c>
      <c r="N53" s="809" t="s">
        <v>2651</v>
      </c>
      <c r="O53" s="810" t="s">
        <v>2652</v>
      </c>
      <c r="P53" s="803" t="s">
        <v>2752</v>
      </c>
      <c r="Q53" s="882"/>
      <c r="R53" s="813"/>
      <c r="S53" s="812"/>
      <c r="T53" s="813"/>
      <c r="U53" s="762"/>
      <c r="V53" s="860"/>
      <c r="W53" s="809"/>
      <c r="X53" s="810"/>
      <c r="Y53" s="803"/>
      <c r="Z53" s="882"/>
      <c r="AA53" s="813"/>
      <c r="AB53" s="812"/>
      <c r="AC53" s="813"/>
      <c r="AD53" s="762"/>
      <c r="AE53" s="870"/>
      <c r="AF53" s="823"/>
      <c r="AG53" s="819"/>
      <c r="AH53" s="824"/>
      <c r="AI53" s="883"/>
      <c r="AJ53" s="872"/>
      <c r="AK53" s="873"/>
      <c r="AL53" s="872"/>
      <c r="AM53" s="767"/>
      <c r="AN53" s="870"/>
      <c r="AO53" s="823"/>
      <c r="AP53" s="819"/>
      <c r="AQ53" s="824"/>
      <c r="AR53" s="883"/>
      <c r="AS53" s="872"/>
      <c r="AT53" s="873"/>
      <c r="AU53" s="872"/>
      <c r="AV53" s="767"/>
      <c r="AW53" s="870"/>
      <c r="AX53" s="823"/>
      <c r="AY53" s="819"/>
      <c r="AZ53" s="824"/>
      <c r="BA53" s="883"/>
      <c r="BB53" s="872"/>
      <c r="BC53" s="873"/>
      <c r="BD53" s="872"/>
      <c r="BE53" s="767"/>
      <c r="BF53" s="870"/>
      <c r="BG53" s="823"/>
      <c r="BH53" s="819"/>
      <c r="BI53" s="824"/>
      <c r="BJ53" s="883"/>
      <c r="BK53" s="872"/>
      <c r="BL53" s="873"/>
      <c r="BM53" s="872"/>
      <c r="BN53" s="767"/>
      <c r="BO53" s="870"/>
      <c r="BP53" s="823"/>
      <c r="BQ53" s="819"/>
      <c r="BR53" s="824"/>
      <c r="BS53" s="883"/>
      <c r="BT53" s="872"/>
      <c r="BU53" s="873"/>
      <c r="BV53" s="872"/>
    </row>
    <row r="54">
      <c r="A54" s="758"/>
      <c r="B54" s="802">
        <f>IFERROR(VLOOKUP(C54,'字段信息'!A:C,3,),"")</f>
      </c>
      <c r="C54" s="803" t="s">
        <v>2753</v>
      </c>
      <c r="D54" s="804">
        <f>IFERROR(VLOOKUP(C54,'字段信息'!A:C,2,),"")</f>
      </c>
      <c r="E54" s="805"/>
      <c r="F54" s="805">
        <f t="shared" si="0"/>
      </c>
      <c r="G54" s="805" t="s">
        <v>2660</v>
      </c>
      <c r="H54" s="806"/>
      <c r="I54" s="806"/>
      <c r="J54" s="806"/>
      <c r="K54" s="806"/>
      <c r="L54" s="835" t="s">
        <v>2661</v>
      </c>
      <c r="M54" s="860" t="s">
        <v>2654</v>
      </c>
      <c r="N54" s="809" t="s">
        <v>2651</v>
      </c>
      <c r="O54" s="810" t="s">
        <v>2652</v>
      </c>
      <c r="P54" s="803" t="s">
        <v>2753</v>
      </c>
      <c r="Q54" s="836"/>
      <c r="R54" s="856"/>
      <c r="S54" s="812"/>
      <c r="T54" s="813"/>
      <c r="U54" s="762"/>
      <c r="V54" s="860"/>
      <c r="W54" s="809"/>
      <c r="X54" s="810"/>
      <c r="Y54" s="803"/>
      <c r="Z54" s="836"/>
      <c r="AA54" s="856"/>
      <c r="AB54" s="812"/>
      <c r="AC54" s="813"/>
      <c r="AD54" s="762"/>
      <c r="AE54" s="870"/>
      <c r="AF54" s="823"/>
      <c r="AG54" s="819"/>
      <c r="AH54" s="824"/>
      <c r="AI54" s="838"/>
      <c r="AJ54" s="884"/>
      <c r="AK54" s="873"/>
      <c r="AL54" s="872"/>
      <c r="AM54" s="767"/>
      <c r="AN54" s="870"/>
      <c r="AO54" s="823"/>
      <c r="AP54" s="819"/>
      <c r="AQ54" s="824"/>
      <c r="AR54" s="838"/>
      <c r="AS54" s="884"/>
      <c r="AT54" s="873"/>
      <c r="AU54" s="872"/>
      <c r="AV54" s="767"/>
      <c r="AW54" s="870"/>
      <c r="AX54" s="823"/>
      <c r="AY54" s="819"/>
      <c r="AZ54" s="824"/>
      <c r="BA54" s="838"/>
      <c r="BB54" s="884"/>
      <c r="BC54" s="873"/>
      <c r="BD54" s="872"/>
      <c r="BE54" s="767"/>
      <c r="BF54" s="870"/>
      <c r="BG54" s="823"/>
      <c r="BH54" s="819"/>
      <c r="BI54" s="824"/>
      <c r="BJ54" s="838"/>
      <c r="BK54" s="884"/>
      <c r="BL54" s="873"/>
      <c r="BM54" s="872"/>
      <c r="BN54" s="767"/>
      <c r="BO54" s="870"/>
      <c r="BP54" s="823"/>
      <c r="BQ54" s="819"/>
      <c r="BR54" s="824"/>
      <c r="BS54" s="838"/>
      <c r="BT54" s="884"/>
      <c r="BU54" s="873"/>
      <c r="BV54" s="872"/>
    </row>
    <row r="55">
      <c r="A55" s="758"/>
      <c r="B55" s="802">
        <f>IFERROR(VLOOKUP(C55,'字段信息'!A:C,3,),"")</f>
      </c>
      <c r="C55" s="803" t="s">
        <v>2754</v>
      </c>
      <c r="D55" s="804">
        <f>IFERROR(VLOOKUP(C55,'字段信息'!A:C,2,),"")</f>
      </c>
      <c r="E55" s="805"/>
      <c r="F55" s="805">
        <f t="shared" si="0"/>
      </c>
      <c r="G55" s="805" t="s">
        <v>2660</v>
      </c>
      <c r="H55" s="806"/>
      <c r="I55" s="806"/>
      <c r="J55" s="806"/>
      <c r="K55" s="806"/>
      <c r="L55" s="835" t="s">
        <v>2661</v>
      </c>
      <c r="M55" s="860" t="s">
        <v>2654</v>
      </c>
      <c r="N55" s="809" t="s">
        <v>2651</v>
      </c>
      <c r="O55" s="810" t="s">
        <v>2652</v>
      </c>
      <c r="P55" s="803" t="s">
        <v>2754</v>
      </c>
      <c r="Q55" s="885"/>
      <c r="R55" s="813"/>
      <c r="S55" s="812"/>
      <c r="T55" s="813"/>
      <c r="U55" s="762"/>
      <c r="V55" s="860" t="s">
        <v>2755</v>
      </c>
      <c r="W55" s="814" t="s">
        <v>2655</v>
      </c>
      <c r="X55" s="810" t="s">
        <v>2656</v>
      </c>
      <c r="Y55" s="803" t="s">
        <v>2756</v>
      </c>
      <c r="Z55" s="885"/>
      <c r="AA55" s="813"/>
      <c r="AB55" s="812"/>
      <c r="AC55" s="813"/>
      <c r="AD55" s="762"/>
      <c r="AE55" s="870" t="s">
        <v>2730</v>
      </c>
      <c r="AF55" s="823"/>
      <c r="AG55" s="819" t="s">
        <v>2657</v>
      </c>
      <c r="AH55" s="824" t="s">
        <v>2731</v>
      </c>
      <c r="AI55" s="886"/>
      <c r="AJ55" s="872"/>
      <c r="AK55" s="873"/>
      <c r="AL55" s="872"/>
      <c r="AM55" s="767"/>
      <c r="AN55" s="838" t="s">
        <v>2757</v>
      </c>
      <c r="AO55" s="823" t="s">
        <v>2651</v>
      </c>
      <c r="AP55" s="819" t="s">
        <v>2652</v>
      </c>
      <c r="AQ55" s="824" t="s">
        <v>2733</v>
      </c>
      <c r="AR55" s="886"/>
      <c r="AS55" s="872"/>
      <c r="AT55" s="873"/>
      <c r="AU55" s="872"/>
      <c r="AV55" s="767"/>
      <c r="AW55" s="838" t="s">
        <v>2758</v>
      </c>
      <c r="AX55" s="823" t="s">
        <v>2651</v>
      </c>
      <c r="AY55" s="819" t="s">
        <v>2652</v>
      </c>
      <c r="AZ55" s="824" t="s">
        <v>2733</v>
      </c>
      <c r="BA55" s="886"/>
      <c r="BB55" s="872"/>
      <c r="BC55" s="873"/>
      <c r="BD55" s="872"/>
      <c r="BE55" s="767"/>
      <c r="BF55" s="817" t="s">
        <v>2735</v>
      </c>
      <c r="BG55" s="823" t="s">
        <v>2651</v>
      </c>
      <c r="BH55" s="819" t="s">
        <v>2652</v>
      </c>
      <c r="BI55" s="824" t="s">
        <v>2759</v>
      </c>
      <c r="BJ55" s="886"/>
      <c r="BK55" s="872"/>
      <c r="BL55" s="873"/>
      <c r="BM55" s="872"/>
      <c r="BN55" s="767"/>
      <c r="BO55" s="817" t="s">
        <v>2735</v>
      </c>
      <c r="BP55" s="823" t="s">
        <v>2651</v>
      </c>
      <c r="BQ55" s="819" t="s">
        <v>2652</v>
      </c>
      <c r="BR55" s="824" t="s">
        <v>2759</v>
      </c>
      <c r="BS55" s="886"/>
      <c r="BT55" s="872"/>
      <c r="BU55" s="873"/>
      <c r="BV55" s="872"/>
    </row>
    <row r="56">
      <c r="A56" s="758"/>
      <c r="B56" s="802">
        <f>IFERROR(VLOOKUP(C56,'字段信息'!A:C,3,),"")</f>
      </c>
      <c r="C56" s="803" t="s">
        <v>2760</v>
      </c>
      <c r="D56" s="804">
        <f>IFERROR(VLOOKUP(C56,'字段信息'!A:C,2,),"")</f>
      </c>
      <c r="E56" s="805"/>
      <c r="F56" s="805">
        <f t="shared" si="0"/>
      </c>
      <c r="G56" s="805" t="s">
        <v>2660</v>
      </c>
      <c r="H56" s="806"/>
      <c r="I56" s="806"/>
      <c r="J56" s="806"/>
      <c r="K56" s="806"/>
      <c r="L56" s="835" t="s">
        <v>2661</v>
      </c>
      <c r="M56" s="860" t="s">
        <v>2654</v>
      </c>
      <c r="N56" s="809" t="s">
        <v>2651</v>
      </c>
      <c r="O56" s="810" t="s">
        <v>2652</v>
      </c>
      <c r="P56" s="803" t="s">
        <v>2760</v>
      </c>
      <c r="Q56" s="812"/>
      <c r="R56" s="813"/>
      <c r="S56" s="812"/>
      <c r="T56" s="813"/>
      <c r="U56" s="762"/>
      <c r="V56" s="860" t="s">
        <v>2755</v>
      </c>
      <c r="W56" s="814" t="s">
        <v>2655</v>
      </c>
      <c r="X56" s="810" t="s">
        <v>2656</v>
      </c>
      <c r="Y56" s="757" t="s">
        <v>2756</v>
      </c>
      <c r="Z56" s="812"/>
      <c r="AA56" s="813"/>
      <c r="AB56" s="812"/>
      <c r="AC56" s="813"/>
      <c r="AD56" s="762"/>
      <c r="AE56" s="870" t="s">
        <v>2730</v>
      </c>
      <c r="AF56" s="823"/>
      <c r="AG56" s="819" t="s">
        <v>2657</v>
      </c>
      <c r="AH56" s="874" t="s">
        <v>2731</v>
      </c>
      <c r="AI56" s="873"/>
      <c r="AJ56" s="872"/>
      <c r="AK56" s="873"/>
      <c r="AL56" s="872"/>
      <c r="AM56" s="767"/>
      <c r="AN56" s="870" t="s">
        <v>2738</v>
      </c>
      <c r="AO56" s="823" t="s">
        <v>2651</v>
      </c>
      <c r="AP56" s="819" t="s">
        <v>2652</v>
      </c>
      <c r="AQ56" s="824" t="s">
        <v>2733</v>
      </c>
      <c r="AR56" s="873"/>
      <c r="AS56" s="872"/>
      <c r="AT56" s="873"/>
      <c r="AU56" s="872"/>
      <c r="AV56" s="767"/>
      <c r="AW56" s="870" t="s">
        <v>2738</v>
      </c>
      <c r="AX56" s="823" t="s">
        <v>2651</v>
      </c>
      <c r="AY56" s="819" t="s">
        <v>2652</v>
      </c>
      <c r="AZ56" s="824" t="s">
        <v>2733</v>
      </c>
      <c r="BA56" s="873"/>
      <c r="BB56" s="872"/>
      <c r="BC56" s="873"/>
      <c r="BD56" s="872"/>
      <c r="BE56" s="767"/>
      <c r="BF56" s="817" t="s">
        <v>2739</v>
      </c>
      <c r="BG56" s="823" t="s">
        <v>2651</v>
      </c>
      <c r="BH56" s="819" t="s">
        <v>2652</v>
      </c>
      <c r="BI56" s="824" t="s">
        <v>2759</v>
      </c>
      <c r="BJ56" s="873"/>
      <c r="BK56" s="872"/>
      <c r="BL56" s="873"/>
      <c r="BM56" s="872"/>
      <c r="BN56" s="767"/>
      <c r="BO56" s="817" t="s">
        <v>2739</v>
      </c>
      <c r="BP56" s="823" t="s">
        <v>2651</v>
      </c>
      <c r="BQ56" s="819" t="s">
        <v>2652</v>
      </c>
      <c r="BR56" s="824" t="s">
        <v>2759</v>
      </c>
      <c r="BS56" s="873"/>
      <c r="BT56" s="872"/>
      <c r="BU56" s="873"/>
      <c r="BV56" s="872"/>
    </row>
    <row r="57">
      <c r="A57" s="758"/>
      <c r="B57" s="802">
        <f>IFERROR(VLOOKUP(C57,'字段信息'!A:C,3,),"")</f>
      </c>
      <c r="C57" s="803" t="s">
        <v>2761</v>
      </c>
      <c r="D57" s="804">
        <f>IFERROR(VLOOKUP(C57,'字段信息'!A:C,2,),"")</f>
      </c>
      <c r="E57" s="805"/>
      <c r="F57" s="805">
        <f t="shared" si="0"/>
      </c>
      <c r="G57" s="805" t="s">
        <v>2660</v>
      </c>
      <c r="H57" s="806"/>
      <c r="I57" s="806"/>
      <c r="J57" s="806"/>
      <c r="K57" s="806"/>
      <c r="L57" s="835" t="s">
        <v>2661</v>
      </c>
      <c r="M57" s="860" t="s">
        <v>2654</v>
      </c>
      <c r="N57" s="809" t="s">
        <v>2651</v>
      </c>
      <c r="O57" s="810" t="s">
        <v>2652</v>
      </c>
      <c r="P57" s="803" t="s">
        <v>2761</v>
      </c>
      <c r="Q57" s="812"/>
      <c r="R57" s="813"/>
      <c r="S57" s="812"/>
      <c r="T57" s="813"/>
      <c r="U57" s="762"/>
      <c r="V57" s="860"/>
      <c r="W57" s="809"/>
      <c r="X57" s="810"/>
      <c r="Y57" s="803"/>
      <c r="Z57" s="812"/>
      <c r="AA57" s="813"/>
      <c r="AB57" s="812"/>
      <c r="AC57" s="813"/>
      <c r="AD57" s="762"/>
      <c r="AE57" s="870"/>
      <c r="AF57" s="823"/>
      <c r="AG57" s="819"/>
      <c r="AH57" s="824"/>
      <c r="AI57" s="873"/>
      <c r="AJ57" s="872"/>
      <c r="AK57" s="873"/>
      <c r="AL57" s="872"/>
      <c r="AM57" s="767"/>
      <c r="AN57" s="870"/>
      <c r="AO57" s="823"/>
      <c r="AP57" s="819"/>
      <c r="AQ57" s="824"/>
      <c r="AR57" s="873"/>
      <c r="AS57" s="872"/>
      <c r="AT57" s="873"/>
      <c r="AU57" s="872"/>
      <c r="AV57" s="767"/>
      <c r="AW57" s="870"/>
      <c r="AX57" s="823"/>
      <c r="AY57" s="819"/>
      <c r="AZ57" s="824"/>
      <c r="BA57" s="873"/>
      <c r="BB57" s="872"/>
      <c r="BC57" s="873"/>
      <c r="BD57" s="872"/>
      <c r="BE57" s="767"/>
      <c r="BF57" s="870"/>
      <c r="BG57" s="823"/>
      <c r="BH57" s="819"/>
      <c r="BI57" s="824"/>
      <c r="BJ57" s="873"/>
      <c r="BK57" s="872"/>
      <c r="BL57" s="873"/>
      <c r="BM57" s="872"/>
      <c r="BN57" s="767"/>
      <c r="BO57" s="870"/>
      <c r="BP57" s="823"/>
      <c r="BQ57" s="819"/>
      <c r="BR57" s="824"/>
      <c r="BS57" s="873"/>
      <c r="BT57" s="872"/>
      <c r="BU57" s="873"/>
      <c r="BV57" s="872"/>
    </row>
    <row r="58">
      <c r="A58" s="758"/>
      <c r="B58" s="802">
        <f>IFERROR(VLOOKUP(C58,'字段信息'!A:C,3,),"")</f>
      </c>
      <c r="C58" s="803" t="s">
        <v>2762</v>
      </c>
      <c r="D58" s="804">
        <f>IFERROR(VLOOKUP(C58,'字段信息'!A:C,2,),"")</f>
      </c>
      <c r="E58" s="805"/>
      <c r="F58" s="805">
        <f t="shared" si="0"/>
      </c>
      <c r="G58" s="805" t="s">
        <v>2660</v>
      </c>
      <c r="H58" s="806"/>
      <c r="I58" s="806"/>
      <c r="J58" s="806"/>
      <c r="K58" s="806"/>
      <c r="L58" s="835" t="s">
        <v>2661</v>
      </c>
      <c r="M58" s="860" t="s">
        <v>2654</v>
      </c>
      <c r="N58" s="809" t="s">
        <v>2651</v>
      </c>
      <c r="O58" s="810" t="s">
        <v>2652</v>
      </c>
      <c r="P58" s="803" t="s">
        <v>2762</v>
      </c>
      <c r="Q58" s="812"/>
      <c r="R58" s="813"/>
      <c r="S58" s="812"/>
      <c r="T58" s="813"/>
      <c r="U58" s="762"/>
      <c r="V58" s="860"/>
      <c r="W58" s="809"/>
      <c r="X58" s="810"/>
      <c r="Y58" s="803"/>
      <c r="Z58" s="812"/>
      <c r="AA58" s="813"/>
      <c r="AB58" s="812"/>
      <c r="AC58" s="813"/>
      <c r="AD58" s="762"/>
      <c r="AE58" s="870"/>
      <c r="AF58" s="823"/>
      <c r="AG58" s="819"/>
      <c r="AH58" s="824"/>
      <c r="AI58" s="873"/>
      <c r="AJ58" s="872"/>
      <c r="AK58" s="873"/>
      <c r="AL58" s="872"/>
      <c r="AM58" s="767"/>
      <c r="AN58" s="870"/>
      <c r="AO58" s="823"/>
      <c r="AP58" s="819"/>
      <c r="AQ58" s="824"/>
      <c r="AR58" s="873"/>
      <c r="AS58" s="872"/>
      <c r="AT58" s="873"/>
      <c r="AU58" s="872"/>
      <c r="AV58" s="767"/>
      <c r="AW58" s="870"/>
      <c r="AX58" s="823"/>
      <c r="AY58" s="819"/>
      <c r="AZ58" s="824"/>
      <c r="BA58" s="873"/>
      <c r="BB58" s="872"/>
      <c r="BC58" s="873"/>
      <c r="BD58" s="872"/>
      <c r="BE58" s="767"/>
      <c r="BF58" s="870"/>
      <c r="BG58" s="823"/>
      <c r="BH58" s="819"/>
      <c r="BI58" s="824"/>
      <c r="BJ58" s="873"/>
      <c r="BK58" s="872"/>
      <c r="BL58" s="873"/>
      <c r="BM58" s="872"/>
      <c r="BN58" s="767"/>
      <c r="BO58" s="870"/>
      <c r="BP58" s="823"/>
      <c r="BQ58" s="819"/>
      <c r="BR58" s="824"/>
      <c r="BS58" s="873"/>
      <c r="BT58" s="872"/>
      <c r="BU58" s="873"/>
      <c r="BV58" s="872"/>
    </row>
    <row r="59">
      <c r="A59" s="758"/>
      <c r="B59" s="802">
        <f>IFERROR(VLOOKUP(C59,'字段信息'!A:C,3,),"")</f>
      </c>
      <c r="C59" s="803" t="s">
        <v>2763</v>
      </c>
      <c r="D59" s="804">
        <f>IFERROR(VLOOKUP(C59,'字段信息'!A:C,2,),"")</f>
      </c>
      <c r="E59" s="805"/>
      <c r="F59" s="805">
        <f t="shared" si="0"/>
      </c>
      <c r="G59" s="805" t="s">
        <v>2660</v>
      </c>
      <c r="H59" s="806"/>
      <c r="I59" s="806"/>
      <c r="J59" s="806"/>
      <c r="K59" s="806"/>
      <c r="L59" s="835" t="s">
        <v>2661</v>
      </c>
      <c r="M59" s="860" t="s">
        <v>2654</v>
      </c>
      <c r="N59" s="809" t="s">
        <v>2651</v>
      </c>
      <c r="O59" s="810" t="s">
        <v>2652</v>
      </c>
      <c r="P59" s="803" t="s">
        <v>2763</v>
      </c>
      <c r="Q59" s="812"/>
      <c r="R59" s="813"/>
      <c r="S59" s="812"/>
      <c r="T59" s="813"/>
      <c r="U59" s="762"/>
      <c r="V59" s="860"/>
      <c r="W59" s="809"/>
      <c r="X59" s="810"/>
      <c r="Y59" s="803"/>
      <c r="Z59" s="812"/>
      <c r="AA59" s="813"/>
      <c r="AB59" s="812"/>
      <c r="AC59" s="813"/>
      <c r="AD59" s="762"/>
      <c r="AE59" s="870"/>
      <c r="AF59" s="823"/>
      <c r="AG59" s="819"/>
      <c r="AH59" s="824"/>
      <c r="AI59" s="873"/>
      <c r="AJ59" s="872"/>
      <c r="AK59" s="873"/>
      <c r="AL59" s="872"/>
      <c r="AM59" s="767"/>
      <c r="AN59" s="870"/>
      <c r="AO59" s="823"/>
      <c r="AP59" s="819"/>
      <c r="AQ59" s="824"/>
      <c r="AR59" s="873"/>
      <c r="AS59" s="872"/>
      <c r="AT59" s="873"/>
      <c r="AU59" s="872"/>
      <c r="AV59" s="767"/>
      <c r="AW59" s="870"/>
      <c r="AX59" s="823"/>
      <c r="AY59" s="819"/>
      <c r="AZ59" s="824"/>
      <c r="BA59" s="873"/>
      <c r="BB59" s="872"/>
      <c r="BC59" s="873"/>
      <c r="BD59" s="872"/>
      <c r="BE59" s="767"/>
      <c r="BF59" s="870"/>
      <c r="BG59" s="823"/>
      <c r="BH59" s="819"/>
      <c r="BI59" s="824"/>
      <c r="BJ59" s="873"/>
      <c r="BK59" s="872"/>
      <c r="BL59" s="873"/>
      <c r="BM59" s="872"/>
      <c r="BN59" s="767"/>
      <c r="BO59" s="870"/>
      <c r="BP59" s="823"/>
      <c r="BQ59" s="819"/>
      <c r="BR59" s="824"/>
      <c r="BS59" s="873"/>
      <c r="BT59" s="872"/>
      <c r="BU59" s="873"/>
      <c r="BV59" s="872"/>
    </row>
    <row r="60">
      <c r="A60" s="758"/>
      <c r="B60" s="802">
        <f>IFERROR(VLOOKUP(C60,'字段信息'!A:C,3,),"")</f>
      </c>
      <c r="C60" s="803" t="s">
        <v>2764</v>
      </c>
      <c r="D60" s="804">
        <f>IFERROR(VLOOKUP(C60,'字段信息'!A:C,2,),"")</f>
      </c>
      <c r="E60" s="805"/>
      <c r="F60" s="805">
        <f t="shared" si="0"/>
      </c>
      <c r="G60" s="805" t="s">
        <v>2660</v>
      </c>
      <c r="H60" s="806"/>
      <c r="I60" s="806"/>
      <c r="J60" s="806"/>
      <c r="K60" s="806"/>
      <c r="L60" s="835" t="s">
        <v>2661</v>
      </c>
      <c r="M60" s="860" t="s">
        <v>2654</v>
      </c>
      <c r="N60" s="809" t="s">
        <v>2651</v>
      </c>
      <c r="O60" s="810" t="s">
        <v>2652</v>
      </c>
      <c r="P60" s="803" t="s">
        <v>2764</v>
      </c>
      <c r="Q60" s="812"/>
      <c r="R60" s="813"/>
      <c r="S60" s="812"/>
      <c r="T60" s="813"/>
      <c r="U60" s="762"/>
      <c r="V60" s="860"/>
      <c r="W60" s="809"/>
      <c r="X60" s="810"/>
      <c r="Y60" s="803"/>
      <c r="Z60" s="812"/>
      <c r="AA60" s="813"/>
      <c r="AB60" s="812"/>
      <c r="AC60" s="813"/>
      <c r="AD60" s="762"/>
      <c r="AE60" s="870"/>
      <c r="AF60" s="823"/>
      <c r="AG60" s="819"/>
      <c r="AH60" s="824"/>
      <c r="AI60" s="873"/>
      <c r="AJ60" s="872"/>
      <c r="AK60" s="873"/>
      <c r="AL60" s="872"/>
      <c r="AM60" s="767"/>
      <c r="AN60" s="870"/>
      <c r="AO60" s="823"/>
      <c r="AP60" s="819"/>
      <c r="AQ60" s="824"/>
      <c r="AR60" s="873"/>
      <c r="AS60" s="872"/>
      <c r="AT60" s="873"/>
      <c r="AU60" s="872"/>
      <c r="AV60" s="767"/>
      <c r="AW60" s="870"/>
      <c r="AX60" s="823"/>
      <c r="AY60" s="819"/>
      <c r="AZ60" s="824"/>
      <c r="BA60" s="873"/>
      <c r="BB60" s="872"/>
      <c r="BC60" s="873"/>
      <c r="BD60" s="872"/>
      <c r="BE60" s="767"/>
      <c r="BF60" s="870"/>
      <c r="BG60" s="823"/>
      <c r="BH60" s="819"/>
      <c r="BI60" s="824"/>
      <c r="BJ60" s="873"/>
      <c r="BK60" s="872"/>
      <c r="BL60" s="873"/>
      <c r="BM60" s="872"/>
      <c r="BN60" s="767"/>
      <c r="BO60" s="870"/>
      <c r="BP60" s="823"/>
      <c r="BQ60" s="819"/>
      <c r="BR60" s="824"/>
      <c r="BS60" s="873"/>
      <c r="BT60" s="872"/>
      <c r="BU60" s="873"/>
      <c r="BV60" s="872"/>
    </row>
    <row r="61">
      <c r="A61" s="758"/>
      <c r="B61" s="802">
        <f>IFERROR(VLOOKUP(C61,'字段信息'!A:C,3,),"")</f>
      </c>
      <c r="C61" s="803" t="s">
        <v>2765</v>
      </c>
      <c r="D61" s="804">
        <f>IFERROR(VLOOKUP(C61,'字段信息'!A:C,2,),"")</f>
      </c>
      <c r="E61" s="805"/>
      <c r="F61" s="805">
        <f t="shared" si="0"/>
      </c>
      <c r="G61" s="805" t="s">
        <v>2660</v>
      </c>
      <c r="H61" s="806"/>
      <c r="I61" s="806"/>
      <c r="J61" s="806"/>
      <c r="K61" s="806"/>
      <c r="L61" s="835" t="s">
        <v>2661</v>
      </c>
      <c r="M61" s="860" t="s">
        <v>2654</v>
      </c>
      <c r="N61" s="809" t="s">
        <v>2651</v>
      </c>
      <c r="O61" s="810" t="s">
        <v>2652</v>
      </c>
      <c r="P61" s="803" t="s">
        <v>2765</v>
      </c>
      <c r="Q61" s="812"/>
      <c r="R61" s="813"/>
      <c r="S61" s="851"/>
      <c r="T61" s="813"/>
      <c r="U61" s="762"/>
      <c r="V61" s="860"/>
      <c r="W61" s="809"/>
      <c r="X61" s="810"/>
      <c r="Y61" s="803"/>
      <c r="Z61" s="812"/>
      <c r="AA61" s="813"/>
      <c r="AB61" s="851"/>
      <c r="AC61" s="813"/>
      <c r="AD61" s="762"/>
      <c r="AE61" s="870"/>
      <c r="AF61" s="823"/>
      <c r="AG61" s="819"/>
      <c r="AH61" s="824"/>
      <c r="AI61" s="873"/>
      <c r="AJ61" s="872"/>
      <c r="AK61" s="881"/>
      <c r="AL61" s="872"/>
      <c r="AM61" s="767"/>
      <c r="AN61" s="870"/>
      <c r="AO61" s="823"/>
      <c r="AP61" s="819"/>
      <c r="AQ61" s="824"/>
      <c r="AR61" s="873"/>
      <c r="AS61" s="872"/>
      <c r="AT61" s="881"/>
      <c r="AU61" s="872"/>
      <c r="AV61" s="767"/>
      <c r="AW61" s="870"/>
      <c r="AX61" s="823"/>
      <c r="AY61" s="819"/>
      <c r="AZ61" s="824"/>
      <c r="BA61" s="873"/>
      <c r="BB61" s="872"/>
      <c r="BC61" s="881"/>
      <c r="BD61" s="872"/>
      <c r="BE61" s="767"/>
      <c r="BF61" s="870"/>
      <c r="BG61" s="823"/>
      <c r="BH61" s="819"/>
      <c r="BI61" s="824"/>
      <c r="BJ61" s="873"/>
      <c r="BK61" s="872"/>
      <c r="BL61" s="881"/>
      <c r="BM61" s="872"/>
      <c r="BN61" s="767"/>
      <c r="BO61" s="870"/>
      <c r="BP61" s="823"/>
      <c r="BQ61" s="819"/>
      <c r="BR61" s="824"/>
      <c r="BS61" s="873"/>
      <c r="BT61" s="872"/>
      <c r="BU61" s="881"/>
      <c r="BV61" s="872"/>
    </row>
    <row r="62">
      <c r="A62" s="758"/>
      <c r="B62" s="802">
        <f>IFERROR(VLOOKUP(C62,'字段信息'!A:C,3,),"")</f>
      </c>
      <c r="C62" s="803" t="s">
        <v>2766</v>
      </c>
      <c r="D62" s="804">
        <f>IFERROR(VLOOKUP(C62,'字段信息'!A:C,2,),"")</f>
      </c>
      <c r="E62" s="805"/>
      <c r="F62" s="805">
        <f t="shared" si="0"/>
      </c>
      <c r="G62" s="805" t="s">
        <v>2660</v>
      </c>
      <c r="H62" s="806"/>
      <c r="I62" s="806"/>
      <c r="J62" s="806"/>
      <c r="K62" s="806"/>
      <c r="L62" s="835" t="s">
        <v>2661</v>
      </c>
      <c r="M62" s="860" t="s">
        <v>2654</v>
      </c>
      <c r="N62" s="809" t="s">
        <v>2651</v>
      </c>
      <c r="O62" s="810" t="s">
        <v>2652</v>
      </c>
      <c r="P62" s="803" t="s">
        <v>2766</v>
      </c>
      <c r="Q62" s="812"/>
      <c r="R62" s="813"/>
      <c r="S62" s="812"/>
      <c r="T62" s="813"/>
      <c r="U62" s="762"/>
      <c r="V62" s="860"/>
      <c r="W62" s="809"/>
      <c r="X62" s="810"/>
      <c r="Y62" s="803"/>
      <c r="Z62" s="812"/>
      <c r="AA62" s="813"/>
      <c r="AB62" s="812"/>
      <c r="AC62" s="813"/>
      <c r="AD62" s="762"/>
      <c r="AE62" s="870"/>
      <c r="AF62" s="823"/>
      <c r="AG62" s="819"/>
      <c r="AH62" s="824"/>
      <c r="AI62" s="873"/>
      <c r="AJ62" s="872"/>
      <c r="AK62" s="873"/>
      <c r="AL62" s="872"/>
      <c r="AM62" s="767"/>
      <c r="AN62" s="870"/>
      <c r="AO62" s="823"/>
      <c r="AP62" s="819"/>
      <c r="AQ62" s="824"/>
      <c r="AR62" s="873"/>
      <c r="AS62" s="872"/>
      <c r="AT62" s="873"/>
      <c r="AU62" s="872"/>
      <c r="AV62" s="767"/>
      <c r="AW62" s="870"/>
      <c r="AX62" s="823"/>
      <c r="AY62" s="819"/>
      <c r="AZ62" s="824"/>
      <c r="BA62" s="873"/>
      <c r="BB62" s="872"/>
      <c r="BC62" s="873"/>
      <c r="BD62" s="872"/>
      <c r="BE62" s="767"/>
      <c r="BF62" s="870"/>
      <c r="BG62" s="823"/>
      <c r="BH62" s="819"/>
      <c r="BI62" s="824"/>
      <c r="BJ62" s="873"/>
      <c r="BK62" s="872"/>
      <c r="BL62" s="873"/>
      <c r="BM62" s="872"/>
      <c r="BN62" s="767"/>
      <c r="BO62" s="870"/>
      <c r="BP62" s="823"/>
      <c r="BQ62" s="819"/>
      <c r="BR62" s="824"/>
      <c r="BS62" s="873"/>
      <c r="BT62" s="872"/>
      <c r="BU62" s="873"/>
      <c r="BV62" s="872"/>
    </row>
    <row r="63">
      <c r="A63" s="758"/>
      <c r="B63" s="802">
        <f>IFERROR(VLOOKUP(C63,'字段信息'!A:C,3,),"")</f>
      </c>
      <c r="C63" s="803" t="s">
        <v>2767</v>
      </c>
      <c r="D63" s="804">
        <f>IFERROR(VLOOKUP(C63,'字段信息'!A:C,2,),"")</f>
      </c>
      <c r="E63" s="805"/>
      <c r="F63" s="805">
        <f t="shared" si="0"/>
      </c>
      <c r="G63" s="805" t="s">
        <v>2660</v>
      </c>
      <c r="H63" s="806"/>
      <c r="I63" s="806"/>
      <c r="J63" s="806"/>
      <c r="K63" s="806"/>
      <c r="L63" s="835" t="s">
        <v>2661</v>
      </c>
      <c r="M63" s="860" t="s">
        <v>2654</v>
      </c>
      <c r="N63" s="809" t="s">
        <v>2651</v>
      </c>
      <c r="O63" s="810" t="s">
        <v>2652</v>
      </c>
      <c r="P63" s="803" t="s">
        <v>2767</v>
      </c>
      <c r="Q63" s="812"/>
      <c r="R63" s="813"/>
      <c r="S63" s="812"/>
      <c r="T63" s="813"/>
      <c r="U63" s="762"/>
      <c r="V63" s="860"/>
      <c r="W63" s="809"/>
      <c r="X63" s="810"/>
      <c r="Y63" s="803"/>
      <c r="Z63" s="812"/>
      <c r="AA63" s="813"/>
      <c r="AB63" s="812"/>
      <c r="AC63" s="813"/>
      <c r="AD63" s="762"/>
      <c r="AE63" s="870"/>
      <c r="AF63" s="823"/>
      <c r="AG63" s="819"/>
      <c r="AH63" s="824"/>
      <c r="AI63" s="873"/>
      <c r="AJ63" s="872"/>
      <c r="AK63" s="873"/>
      <c r="AL63" s="872"/>
      <c r="AM63" s="767"/>
      <c r="AN63" s="870"/>
      <c r="AO63" s="823"/>
      <c r="AP63" s="819"/>
      <c r="AQ63" s="824"/>
      <c r="AR63" s="873"/>
      <c r="AS63" s="872"/>
      <c r="AT63" s="873"/>
      <c r="AU63" s="872"/>
      <c r="AV63" s="767"/>
      <c r="AW63" s="870"/>
      <c r="AX63" s="823"/>
      <c r="AY63" s="819"/>
      <c r="AZ63" s="824"/>
      <c r="BA63" s="873"/>
      <c r="BB63" s="872"/>
      <c r="BC63" s="873"/>
      <c r="BD63" s="872"/>
      <c r="BE63" s="767"/>
      <c r="BF63" s="870"/>
      <c r="BG63" s="823"/>
      <c r="BH63" s="819"/>
      <c r="BI63" s="824"/>
      <c r="BJ63" s="873"/>
      <c r="BK63" s="872"/>
      <c r="BL63" s="873"/>
      <c r="BM63" s="872"/>
      <c r="BN63" s="767"/>
      <c r="BO63" s="870"/>
      <c r="BP63" s="823"/>
      <c r="BQ63" s="819"/>
      <c r="BR63" s="824"/>
      <c r="BS63" s="873"/>
      <c r="BT63" s="872"/>
      <c r="BU63" s="873"/>
      <c r="BV63" s="872"/>
    </row>
    <row r="64">
      <c r="A64" s="758"/>
      <c r="B64" s="802">
        <f>IFERROR(VLOOKUP(C64,'字段信息'!A:C,3,),"")</f>
      </c>
      <c r="C64" s="803" t="s">
        <v>2768</v>
      </c>
      <c r="D64" s="804">
        <f>IFERROR(VLOOKUP(C64,'字段信息'!A:C,2,),"")</f>
      </c>
      <c r="E64" s="805"/>
      <c r="F64" s="805">
        <f t="shared" si="0"/>
      </c>
      <c r="G64" s="805" t="s">
        <v>2660</v>
      </c>
      <c r="H64" s="806"/>
      <c r="I64" s="806"/>
      <c r="J64" s="806"/>
      <c r="K64" s="806"/>
      <c r="L64" s="835" t="s">
        <v>2661</v>
      </c>
      <c r="M64" s="860" t="s">
        <v>2654</v>
      </c>
      <c r="N64" s="809" t="s">
        <v>2651</v>
      </c>
      <c r="O64" s="810" t="s">
        <v>2652</v>
      </c>
      <c r="P64" s="803" t="s">
        <v>2768</v>
      </c>
      <c r="Q64" s="812"/>
      <c r="R64" s="813"/>
      <c r="S64" s="812"/>
      <c r="T64" s="813"/>
      <c r="U64" s="762"/>
      <c r="V64" s="860"/>
      <c r="W64" s="809"/>
      <c r="X64" s="810"/>
      <c r="Y64" s="803"/>
      <c r="Z64" s="812"/>
      <c r="AA64" s="813"/>
      <c r="AB64" s="812"/>
      <c r="AC64" s="813"/>
      <c r="AD64" s="762"/>
      <c r="AE64" s="870"/>
      <c r="AF64" s="823"/>
      <c r="AG64" s="819"/>
      <c r="AH64" s="824"/>
      <c r="AI64" s="873"/>
      <c r="AJ64" s="872"/>
      <c r="AK64" s="873"/>
      <c r="AL64" s="872"/>
      <c r="AM64" s="767"/>
      <c r="AN64" s="870"/>
      <c r="AO64" s="823"/>
      <c r="AP64" s="819"/>
      <c r="AQ64" s="824"/>
      <c r="AR64" s="873"/>
      <c r="AS64" s="872"/>
      <c r="AT64" s="873"/>
      <c r="AU64" s="872"/>
      <c r="AV64" s="767"/>
      <c r="AW64" s="870"/>
      <c r="AX64" s="823"/>
      <c r="AY64" s="819"/>
      <c r="AZ64" s="824"/>
      <c r="BA64" s="873"/>
      <c r="BB64" s="872"/>
      <c r="BC64" s="873"/>
      <c r="BD64" s="872"/>
      <c r="BE64" s="767"/>
      <c r="BF64" s="870"/>
      <c r="BG64" s="823"/>
      <c r="BH64" s="819"/>
      <c r="BI64" s="824"/>
      <c r="BJ64" s="873"/>
      <c r="BK64" s="872"/>
      <c r="BL64" s="873"/>
      <c r="BM64" s="872"/>
      <c r="BN64" s="767"/>
      <c r="BO64" s="870"/>
      <c r="BP64" s="823"/>
      <c r="BQ64" s="819"/>
      <c r="BR64" s="824"/>
      <c r="BS64" s="873"/>
      <c r="BT64" s="872"/>
      <c r="BU64" s="873"/>
      <c r="BV64" s="872"/>
    </row>
    <row r="65">
      <c r="A65" s="758"/>
      <c r="B65" s="802">
        <f>IFERROR(VLOOKUP(C65,'字段信息'!A:C,3,),"")</f>
      </c>
      <c r="C65" s="803" t="s">
        <v>2769</v>
      </c>
      <c r="D65" s="804">
        <f>IFERROR(VLOOKUP(C65,'字段信息'!A:C,2,),"")</f>
      </c>
      <c r="E65" s="805"/>
      <c r="F65" s="805">
        <f t="shared" si="0"/>
      </c>
      <c r="G65" s="805" t="s">
        <v>2660</v>
      </c>
      <c r="H65" s="806"/>
      <c r="I65" s="806"/>
      <c r="J65" s="806"/>
      <c r="K65" s="806"/>
      <c r="L65" s="835" t="s">
        <v>2661</v>
      </c>
      <c r="M65" s="860" t="s">
        <v>2654</v>
      </c>
      <c r="N65" s="809" t="s">
        <v>2651</v>
      </c>
      <c r="O65" s="810" t="s">
        <v>2652</v>
      </c>
      <c r="P65" s="803" t="s">
        <v>2769</v>
      </c>
      <c r="Q65" s="812"/>
      <c r="R65" s="813"/>
      <c r="S65" s="812"/>
      <c r="T65" s="813"/>
      <c r="U65" s="762"/>
      <c r="V65" s="860"/>
      <c r="W65" s="809"/>
      <c r="X65" s="810"/>
      <c r="Y65" s="803"/>
      <c r="Z65" s="812"/>
      <c r="AA65" s="813"/>
      <c r="AB65" s="812"/>
      <c r="AC65" s="813"/>
      <c r="AD65" s="762"/>
      <c r="AE65" s="870"/>
      <c r="AF65" s="823"/>
      <c r="AG65" s="819"/>
      <c r="AH65" s="824"/>
      <c r="AI65" s="873"/>
      <c r="AJ65" s="872"/>
      <c r="AK65" s="873"/>
      <c r="AL65" s="872"/>
      <c r="AM65" s="767"/>
      <c r="AN65" s="870"/>
      <c r="AO65" s="823"/>
      <c r="AP65" s="819"/>
      <c r="AQ65" s="824"/>
      <c r="AR65" s="873"/>
      <c r="AS65" s="872"/>
      <c r="AT65" s="873"/>
      <c r="AU65" s="872"/>
      <c r="AV65" s="767"/>
      <c r="AW65" s="870"/>
      <c r="AX65" s="823"/>
      <c r="AY65" s="819"/>
      <c r="AZ65" s="824"/>
      <c r="BA65" s="873"/>
      <c r="BB65" s="872"/>
      <c r="BC65" s="873"/>
      <c r="BD65" s="872"/>
      <c r="BE65" s="767"/>
      <c r="BF65" s="870"/>
      <c r="BG65" s="823"/>
      <c r="BH65" s="819"/>
      <c r="BI65" s="824"/>
      <c r="BJ65" s="873"/>
      <c r="BK65" s="872"/>
      <c r="BL65" s="873"/>
      <c r="BM65" s="872"/>
      <c r="BN65" s="767"/>
      <c r="BO65" s="870"/>
      <c r="BP65" s="823"/>
      <c r="BQ65" s="819"/>
      <c r="BR65" s="824"/>
      <c r="BS65" s="873"/>
      <c r="BT65" s="872"/>
      <c r="BU65" s="873"/>
      <c r="BV65" s="872"/>
    </row>
    <row r="66">
      <c r="A66" s="758"/>
      <c r="B66" s="802">
        <f>IFERROR(VLOOKUP(C66,'字段信息'!A:C,3,),"")</f>
      </c>
      <c r="C66" s="803" t="s">
        <v>2770</v>
      </c>
      <c r="D66" s="804">
        <f>IFERROR(VLOOKUP(C66,'字段信息'!A:C,2,),"")</f>
      </c>
      <c r="E66" s="805"/>
      <c r="F66" s="805">
        <f t="shared" si="0"/>
      </c>
      <c r="G66" s="805" t="s">
        <v>2660</v>
      </c>
      <c r="H66" s="806"/>
      <c r="I66" s="806"/>
      <c r="J66" s="806"/>
      <c r="K66" s="806"/>
      <c r="L66" s="835"/>
      <c r="M66" s="860" t="s">
        <v>2654</v>
      </c>
      <c r="N66" s="809" t="s">
        <v>2651</v>
      </c>
      <c r="O66" s="810" t="s">
        <v>2652</v>
      </c>
      <c r="P66" s="803" t="s">
        <v>2770</v>
      </c>
      <c r="Q66" s="812"/>
      <c r="R66" s="813"/>
      <c r="S66" s="812"/>
      <c r="T66" s="813"/>
      <c r="U66" s="762"/>
      <c r="V66" s="860"/>
      <c r="W66" s="809"/>
      <c r="X66" s="810"/>
      <c r="Y66" s="803"/>
      <c r="Z66" s="812"/>
      <c r="AA66" s="813"/>
      <c r="AB66" s="812"/>
      <c r="AC66" s="813"/>
      <c r="AD66" s="762"/>
      <c r="AE66" s="870"/>
      <c r="AF66" s="823"/>
      <c r="AG66" s="819"/>
      <c r="AH66" s="824"/>
      <c r="AI66" s="873"/>
      <c r="AJ66" s="872"/>
      <c r="AK66" s="873"/>
      <c r="AL66" s="872"/>
      <c r="AM66" s="767"/>
      <c r="AN66" s="870"/>
      <c r="AO66" s="823"/>
      <c r="AP66" s="819"/>
      <c r="AQ66" s="824"/>
      <c r="AR66" s="873"/>
      <c r="AS66" s="872"/>
      <c r="AT66" s="873"/>
      <c r="AU66" s="872"/>
      <c r="AV66" s="767"/>
      <c r="AW66" s="870"/>
      <c r="AX66" s="823"/>
      <c r="AY66" s="819"/>
      <c r="AZ66" s="824"/>
      <c r="BA66" s="873"/>
      <c r="BB66" s="872"/>
      <c r="BC66" s="873"/>
      <c r="BD66" s="872"/>
      <c r="BE66" s="767"/>
      <c r="BF66" s="870"/>
      <c r="BG66" s="823"/>
      <c r="BH66" s="819"/>
      <c r="BI66" s="824"/>
      <c r="BJ66" s="873"/>
      <c r="BK66" s="872"/>
      <c r="BL66" s="873"/>
      <c r="BM66" s="872"/>
      <c r="BN66" s="767"/>
      <c r="BO66" s="870"/>
      <c r="BP66" s="823"/>
      <c r="BQ66" s="819"/>
      <c r="BR66" s="824"/>
      <c r="BS66" s="873"/>
      <c r="BT66" s="872"/>
      <c r="BU66" s="873"/>
      <c r="BV66" s="872"/>
    </row>
    <row r="67">
      <c r="A67" s="758"/>
      <c r="B67" s="802">
        <f>IFERROR(VLOOKUP(C67,'字段信息'!A:C,3,),"")</f>
      </c>
      <c r="C67" s="803" t="s">
        <v>2771</v>
      </c>
      <c r="D67" s="804">
        <f>IFERROR(VLOOKUP(C67,'字段信息'!A:C,2,),"")</f>
      </c>
      <c r="E67" s="805"/>
      <c r="F67" s="805">
        <f t="shared" si="0"/>
      </c>
      <c r="G67" s="805" t="s">
        <v>2660</v>
      </c>
      <c r="H67" s="806"/>
      <c r="I67" s="806"/>
      <c r="J67" s="806"/>
      <c r="K67" s="806"/>
      <c r="L67" s="835"/>
      <c r="M67" s="860" t="s">
        <v>2654</v>
      </c>
      <c r="N67" s="809" t="s">
        <v>2651</v>
      </c>
      <c r="O67" s="810" t="s">
        <v>2652</v>
      </c>
      <c r="P67" s="803" t="s">
        <v>2771</v>
      </c>
      <c r="Q67" s="812"/>
      <c r="R67" s="813"/>
      <c r="S67" s="812"/>
      <c r="T67" s="813"/>
      <c r="U67" s="762"/>
      <c r="V67" s="860"/>
      <c r="W67" s="809"/>
      <c r="X67" s="810"/>
      <c r="Y67" s="803"/>
      <c r="Z67" s="812"/>
      <c r="AA67" s="813"/>
      <c r="AB67" s="812"/>
      <c r="AC67" s="813"/>
      <c r="AD67" s="762"/>
      <c r="AE67" s="870"/>
      <c r="AF67" s="823"/>
      <c r="AG67" s="819"/>
      <c r="AH67" s="824"/>
      <c r="AI67" s="873"/>
      <c r="AJ67" s="872"/>
      <c r="AK67" s="873"/>
      <c r="AL67" s="872"/>
      <c r="AM67" s="767"/>
      <c r="AN67" s="870"/>
      <c r="AO67" s="823"/>
      <c r="AP67" s="819"/>
      <c r="AQ67" s="824"/>
      <c r="AR67" s="873"/>
      <c r="AS67" s="872"/>
      <c r="AT67" s="873"/>
      <c r="AU67" s="872"/>
      <c r="AV67" s="767"/>
      <c r="AW67" s="870"/>
      <c r="AX67" s="823"/>
      <c r="AY67" s="819"/>
      <c r="AZ67" s="824"/>
      <c r="BA67" s="873"/>
      <c r="BB67" s="872"/>
      <c r="BC67" s="873"/>
      <c r="BD67" s="872"/>
      <c r="BE67" s="767"/>
      <c r="BF67" s="870"/>
      <c r="BG67" s="823"/>
      <c r="BH67" s="819"/>
      <c r="BI67" s="824"/>
      <c r="BJ67" s="873"/>
      <c r="BK67" s="872"/>
      <c r="BL67" s="873"/>
      <c r="BM67" s="872"/>
      <c r="BN67" s="767"/>
      <c r="BO67" s="870"/>
      <c r="BP67" s="823"/>
      <c r="BQ67" s="819"/>
      <c r="BR67" s="824"/>
      <c r="BS67" s="873"/>
      <c r="BT67" s="872"/>
      <c r="BU67" s="873"/>
      <c r="BV67" s="872"/>
    </row>
    <row r="68">
      <c r="A68" s="758"/>
      <c r="B68" s="802">
        <f>IFERROR(VLOOKUP(C68,'字段信息'!A:C,3,),"")</f>
      </c>
      <c r="C68" s="803" t="s">
        <v>2772</v>
      </c>
      <c r="D68" s="804">
        <f>IFERROR(VLOOKUP(C68,'字段信息'!A:C,2,),"")</f>
      </c>
      <c r="E68" s="805"/>
      <c r="F68" s="805">
        <f t="shared" si="0"/>
      </c>
      <c r="G68" s="805" t="s">
        <v>2660</v>
      </c>
      <c r="H68" s="806"/>
      <c r="I68" s="806"/>
      <c r="J68" s="806"/>
      <c r="K68" s="806"/>
      <c r="L68" s="835"/>
      <c r="M68" s="860" t="s">
        <v>2654</v>
      </c>
      <c r="N68" s="809" t="s">
        <v>2651</v>
      </c>
      <c r="O68" s="810" t="s">
        <v>2652</v>
      </c>
      <c r="P68" s="803" t="s">
        <v>2772</v>
      </c>
      <c r="Q68" s="812"/>
      <c r="R68" s="813"/>
      <c r="S68" s="812"/>
      <c r="T68" s="813"/>
      <c r="U68" s="762"/>
      <c r="V68" s="860"/>
      <c r="W68" s="809"/>
      <c r="X68" s="810"/>
      <c r="Y68" s="803"/>
      <c r="Z68" s="812"/>
      <c r="AA68" s="813"/>
      <c r="AB68" s="812"/>
      <c r="AC68" s="813"/>
      <c r="AD68" s="762"/>
      <c r="AE68" s="870"/>
      <c r="AF68" s="823"/>
      <c r="AG68" s="819"/>
      <c r="AH68" s="824"/>
      <c r="AI68" s="873"/>
      <c r="AJ68" s="872"/>
      <c r="AK68" s="873"/>
      <c r="AL68" s="872"/>
      <c r="AM68" s="767"/>
      <c r="AN68" s="870"/>
      <c r="AO68" s="823"/>
      <c r="AP68" s="819"/>
      <c r="AQ68" s="824"/>
      <c r="AR68" s="873"/>
      <c r="AS68" s="872"/>
      <c r="AT68" s="873"/>
      <c r="AU68" s="872"/>
      <c r="AV68" s="767"/>
      <c r="AW68" s="870"/>
      <c r="AX68" s="823"/>
      <c r="AY68" s="819"/>
      <c r="AZ68" s="824"/>
      <c r="BA68" s="873"/>
      <c r="BB68" s="872"/>
      <c r="BC68" s="873"/>
      <c r="BD68" s="872"/>
      <c r="BE68" s="767"/>
      <c r="BF68" s="870"/>
      <c r="BG68" s="823"/>
      <c r="BH68" s="819"/>
      <c r="BI68" s="824"/>
      <c r="BJ68" s="873"/>
      <c r="BK68" s="872"/>
      <c r="BL68" s="873"/>
      <c r="BM68" s="872"/>
      <c r="BN68" s="767"/>
      <c r="BO68" s="870"/>
      <c r="BP68" s="823"/>
      <c r="BQ68" s="819"/>
      <c r="BR68" s="824"/>
      <c r="BS68" s="873"/>
      <c r="BT68" s="872"/>
      <c r="BU68" s="873"/>
      <c r="BV68" s="872"/>
    </row>
    <row r="69">
      <c r="A69" s="758"/>
      <c r="B69" s="802">
        <f>IFERROR(VLOOKUP(C69,'字段信息'!A:C,3,),"")</f>
      </c>
      <c r="C69" s="803" t="s">
        <v>2773</v>
      </c>
      <c r="D69" s="804">
        <f>IFERROR(VLOOKUP(C69,'字段信息'!A:C,2,),"")</f>
      </c>
      <c r="E69" s="805"/>
      <c r="F69" s="805">
        <f t="shared" si="0"/>
      </c>
      <c r="G69" s="805" t="s">
        <v>2660</v>
      </c>
      <c r="H69" s="806"/>
      <c r="I69" s="806"/>
      <c r="J69" s="806"/>
      <c r="K69" s="806"/>
      <c r="L69" s="835"/>
      <c r="M69" s="860" t="s">
        <v>2654</v>
      </c>
      <c r="N69" s="809" t="s">
        <v>2651</v>
      </c>
      <c r="O69" s="810" t="s">
        <v>2652</v>
      </c>
      <c r="P69" s="803" t="s">
        <v>2773</v>
      </c>
      <c r="Q69" s="812"/>
      <c r="R69" s="813"/>
      <c r="S69" s="812"/>
      <c r="T69" s="813"/>
      <c r="U69" s="762"/>
      <c r="V69" s="860"/>
      <c r="W69" s="809"/>
      <c r="X69" s="810"/>
      <c r="Y69" s="803"/>
      <c r="Z69" s="812"/>
      <c r="AA69" s="813"/>
      <c r="AB69" s="812"/>
      <c r="AC69" s="813"/>
      <c r="AD69" s="762"/>
      <c r="AE69" s="870"/>
      <c r="AF69" s="823"/>
      <c r="AG69" s="819"/>
      <c r="AH69" s="824"/>
      <c r="AI69" s="873"/>
      <c r="AJ69" s="872"/>
      <c r="AK69" s="873"/>
      <c r="AL69" s="872"/>
      <c r="AM69" s="767"/>
      <c r="AN69" s="870"/>
      <c r="AO69" s="823"/>
      <c r="AP69" s="819"/>
      <c r="AQ69" s="824"/>
      <c r="AR69" s="873"/>
      <c r="AS69" s="872"/>
      <c r="AT69" s="873"/>
      <c r="AU69" s="872"/>
      <c r="AV69" s="767"/>
      <c r="AW69" s="870"/>
      <c r="AX69" s="823"/>
      <c r="AY69" s="819"/>
      <c r="AZ69" s="824"/>
      <c r="BA69" s="873"/>
      <c r="BB69" s="872"/>
      <c r="BC69" s="873"/>
      <c r="BD69" s="872"/>
      <c r="BE69" s="767"/>
      <c r="BF69" s="870"/>
      <c r="BG69" s="823"/>
      <c r="BH69" s="819"/>
      <c r="BI69" s="824"/>
      <c r="BJ69" s="873"/>
      <c r="BK69" s="872"/>
      <c r="BL69" s="873"/>
      <c r="BM69" s="872"/>
      <c r="BN69" s="767"/>
      <c r="BO69" s="870"/>
      <c r="BP69" s="823"/>
      <c r="BQ69" s="819"/>
      <c r="BR69" s="824"/>
      <c r="BS69" s="873"/>
      <c r="BT69" s="872"/>
      <c r="BU69" s="873"/>
      <c r="BV69" s="872"/>
    </row>
    <row r="70">
      <c r="A70" s="758"/>
      <c r="B70" s="802">
        <f>IFERROR(VLOOKUP(C70,'字段信息'!A:C,3,),"")</f>
      </c>
      <c r="C70" s="803" t="s">
        <v>2774</v>
      </c>
      <c r="D70" s="804">
        <f>IFERROR(VLOOKUP(C70,'字段信息'!A:C,2,),"")</f>
      </c>
      <c r="E70" s="805"/>
      <c r="F70" s="805">
        <f t="shared" si="0"/>
      </c>
      <c r="G70" s="805" t="s">
        <v>2660</v>
      </c>
      <c r="H70" s="806"/>
      <c r="I70" s="806"/>
      <c r="J70" s="806"/>
      <c r="K70" s="806"/>
      <c r="L70" s="835"/>
      <c r="M70" s="860" t="s">
        <v>2654</v>
      </c>
      <c r="N70" s="809" t="s">
        <v>2651</v>
      </c>
      <c r="O70" s="810" t="s">
        <v>2652</v>
      </c>
      <c r="P70" s="803" t="s">
        <v>2774</v>
      </c>
      <c r="Q70" s="812"/>
      <c r="R70" s="813"/>
      <c r="S70" s="812"/>
      <c r="T70" s="813"/>
      <c r="U70" s="762"/>
      <c r="V70" s="860"/>
      <c r="W70" s="809"/>
      <c r="X70" s="810"/>
      <c r="Y70" s="803"/>
      <c r="Z70" s="812"/>
      <c r="AA70" s="813"/>
      <c r="AB70" s="812"/>
      <c r="AC70" s="813"/>
      <c r="AD70" s="762"/>
      <c r="AE70" s="870"/>
      <c r="AF70" s="823"/>
      <c r="AG70" s="819"/>
      <c r="AH70" s="824"/>
      <c r="AI70" s="873"/>
      <c r="AJ70" s="872"/>
      <c r="AK70" s="873"/>
      <c r="AL70" s="872"/>
      <c r="AM70" s="767"/>
      <c r="AN70" s="870"/>
      <c r="AO70" s="823"/>
      <c r="AP70" s="819"/>
      <c r="AQ70" s="824"/>
      <c r="AR70" s="873"/>
      <c r="AS70" s="872"/>
      <c r="AT70" s="873"/>
      <c r="AU70" s="872"/>
      <c r="AV70" s="767"/>
      <c r="AW70" s="870"/>
      <c r="AX70" s="823"/>
      <c r="AY70" s="819"/>
      <c r="AZ70" s="824"/>
      <c r="BA70" s="873"/>
      <c r="BB70" s="872"/>
      <c r="BC70" s="873"/>
      <c r="BD70" s="872"/>
      <c r="BE70" s="767"/>
      <c r="BF70" s="870"/>
      <c r="BG70" s="823"/>
      <c r="BH70" s="819"/>
      <c r="BI70" s="824"/>
      <c r="BJ70" s="873"/>
      <c r="BK70" s="872"/>
      <c r="BL70" s="873"/>
      <c r="BM70" s="872"/>
      <c r="BN70" s="767"/>
      <c r="BO70" s="870"/>
      <c r="BP70" s="823"/>
      <c r="BQ70" s="819"/>
      <c r="BR70" s="824"/>
      <c r="BS70" s="873"/>
      <c r="BT70" s="872"/>
      <c r="BU70" s="873"/>
      <c r="BV70" s="872"/>
    </row>
    <row r="71">
      <c r="A71" s="758"/>
      <c r="B71" s="802">
        <f>IFERROR(VLOOKUP(C71,'字段信息'!A:C,3,),"")</f>
      </c>
      <c r="C71" s="803" t="s">
        <v>2775</v>
      </c>
      <c r="D71" s="804">
        <f>IFERROR(VLOOKUP(C71,'字段信息'!A:C,2,),"")</f>
      </c>
      <c r="E71" s="805"/>
      <c r="F71" s="805">
        <f t="shared" si="0"/>
      </c>
      <c r="G71" s="805" t="s">
        <v>2660</v>
      </c>
      <c r="H71" s="806"/>
      <c r="I71" s="806"/>
      <c r="J71" s="806"/>
      <c r="K71" s="806"/>
      <c r="L71" s="835"/>
      <c r="M71" s="860" t="s">
        <v>2654</v>
      </c>
      <c r="N71" s="809" t="s">
        <v>2651</v>
      </c>
      <c r="O71" s="810" t="s">
        <v>2652</v>
      </c>
      <c r="P71" s="808" t="s">
        <v>2776</v>
      </c>
      <c r="Q71" s="812"/>
      <c r="R71" s="813"/>
      <c r="S71" s="812"/>
      <c r="T71" s="813"/>
      <c r="U71" s="762"/>
      <c r="V71" s="860"/>
      <c r="W71" s="809"/>
      <c r="X71" s="810"/>
      <c r="Y71" s="803"/>
      <c r="Z71" s="812"/>
      <c r="AA71" s="813"/>
      <c r="AB71" s="812"/>
      <c r="AC71" s="813"/>
      <c r="AD71" s="762"/>
      <c r="AE71" s="870"/>
      <c r="AF71" s="823"/>
      <c r="AG71" s="819"/>
      <c r="AH71" s="824"/>
      <c r="AI71" s="873"/>
      <c r="AJ71" s="872"/>
      <c r="AK71" s="873"/>
      <c r="AL71" s="872"/>
      <c r="AM71" s="767"/>
      <c r="AN71" s="870"/>
      <c r="AO71" s="823"/>
      <c r="AP71" s="819"/>
      <c r="AQ71" s="824"/>
      <c r="AR71" s="873"/>
      <c r="AS71" s="872"/>
      <c r="AT71" s="873"/>
      <c r="AU71" s="872"/>
      <c r="AV71" s="767"/>
      <c r="AW71" s="870"/>
      <c r="AX71" s="823"/>
      <c r="AY71" s="819"/>
      <c r="AZ71" s="824"/>
      <c r="BA71" s="873"/>
      <c r="BB71" s="872"/>
      <c r="BC71" s="873"/>
      <c r="BD71" s="872"/>
      <c r="BE71" s="767"/>
      <c r="BF71" s="870"/>
      <c r="BG71" s="823"/>
      <c r="BH71" s="819"/>
      <c r="BI71" s="824"/>
      <c r="BJ71" s="873"/>
      <c r="BK71" s="872"/>
      <c r="BL71" s="873"/>
      <c r="BM71" s="872"/>
      <c r="BN71" s="767"/>
      <c r="BO71" s="870"/>
      <c r="BP71" s="823"/>
      <c r="BQ71" s="819"/>
      <c r="BR71" s="824"/>
      <c r="BS71" s="873"/>
      <c r="BT71" s="872"/>
      <c r="BU71" s="873"/>
      <c r="BV71" s="872"/>
    </row>
    <row r="72">
      <c r="A72" s="758"/>
      <c r="B72" s="802">
        <f>IFERROR(VLOOKUP(C72,'字段信息'!A:C,3,),"")</f>
      </c>
      <c r="C72" s="803" t="s">
        <v>2777</v>
      </c>
      <c r="D72" s="804">
        <f>IFERROR(VLOOKUP(C72,'字段信息'!A:C,2,),"")</f>
      </c>
      <c r="E72" s="805"/>
      <c r="F72" s="805">
        <f t="shared" si="0"/>
      </c>
      <c r="G72" s="805" t="s">
        <v>2660</v>
      </c>
      <c r="H72" s="806"/>
      <c r="I72" s="806"/>
      <c r="J72" s="806"/>
      <c r="K72" s="806"/>
      <c r="L72" s="835"/>
      <c r="M72" s="860" t="s">
        <v>2654</v>
      </c>
      <c r="N72" s="809"/>
      <c r="O72" s="810"/>
      <c r="P72" s="808" t="s">
        <v>2778</v>
      </c>
      <c r="Q72" s="812"/>
      <c r="R72" s="813"/>
      <c r="S72" s="812"/>
      <c r="T72" s="813"/>
      <c r="U72" s="762"/>
      <c r="V72" s="860"/>
      <c r="W72" s="809"/>
      <c r="X72" s="810"/>
      <c r="Y72" s="803"/>
      <c r="Z72" s="812"/>
      <c r="AA72" s="813"/>
      <c r="AB72" s="812"/>
      <c r="AC72" s="813"/>
      <c r="AD72" s="762"/>
      <c r="AE72" s="870"/>
      <c r="AF72" s="823"/>
      <c r="AG72" s="819"/>
      <c r="AH72" s="824"/>
      <c r="AI72" s="873"/>
      <c r="AJ72" s="872"/>
      <c r="AK72" s="873"/>
      <c r="AL72" s="872"/>
      <c r="AM72" s="767"/>
      <c r="AN72" s="870"/>
      <c r="AO72" s="823"/>
      <c r="AP72" s="819"/>
      <c r="AQ72" s="824"/>
      <c r="AR72" s="873"/>
      <c r="AS72" s="872"/>
      <c r="AT72" s="873"/>
      <c r="AU72" s="872"/>
      <c r="AV72" s="767"/>
      <c r="AW72" s="870"/>
      <c r="AX72" s="823"/>
      <c r="AY72" s="819"/>
      <c r="AZ72" s="824"/>
      <c r="BA72" s="873"/>
      <c r="BB72" s="872"/>
      <c r="BC72" s="873"/>
      <c r="BD72" s="872"/>
      <c r="BE72" s="767"/>
      <c r="BF72" s="870"/>
      <c r="BG72" s="823"/>
      <c r="BH72" s="819"/>
      <c r="BI72" s="824"/>
      <c r="BJ72" s="873"/>
      <c r="BK72" s="872"/>
      <c r="BL72" s="873"/>
      <c r="BM72" s="872"/>
      <c r="BN72" s="767"/>
      <c r="BO72" s="870"/>
      <c r="BP72" s="823"/>
      <c r="BQ72" s="819"/>
      <c r="BR72" s="824"/>
      <c r="BS72" s="873"/>
      <c r="BT72" s="872"/>
      <c r="BU72" s="873"/>
      <c r="BV72" s="872"/>
    </row>
    <row r="73">
      <c r="A73" s="758"/>
      <c r="B73" s="802">
        <f>IFERROR(VLOOKUP(C73,'字段信息'!A:C,3,),"")</f>
      </c>
      <c r="C73" s="803" t="s">
        <v>2779</v>
      </c>
      <c r="D73" s="804">
        <f>IFERROR(VLOOKUP(C73,'字段信息'!A:C,2,),"")</f>
      </c>
      <c r="E73" s="805"/>
      <c r="F73" s="805">
        <f t="shared" si="0"/>
      </c>
      <c r="G73" s="805" t="s">
        <v>2660</v>
      </c>
      <c r="H73" s="806"/>
      <c r="I73" s="806"/>
      <c r="J73" s="806"/>
      <c r="K73" s="806"/>
      <c r="L73" s="835"/>
      <c r="M73" s="860" t="s">
        <v>2654</v>
      </c>
      <c r="N73" s="809" t="s">
        <v>2651</v>
      </c>
      <c r="O73" s="810" t="s">
        <v>2652</v>
      </c>
      <c r="P73" s="803" t="s">
        <v>2779</v>
      </c>
      <c r="Q73" s="812"/>
      <c r="R73" s="813"/>
      <c r="S73" s="812"/>
      <c r="T73" s="813"/>
      <c r="U73" s="762"/>
      <c r="V73" s="860"/>
      <c r="W73" s="809"/>
      <c r="X73" s="810"/>
      <c r="Y73" s="803"/>
      <c r="Z73" s="812"/>
      <c r="AA73" s="813"/>
      <c r="AB73" s="812"/>
      <c r="AC73" s="813"/>
      <c r="AD73" s="762"/>
      <c r="AE73" s="870"/>
      <c r="AF73" s="823"/>
      <c r="AG73" s="819"/>
      <c r="AH73" s="824"/>
      <c r="AI73" s="873"/>
      <c r="AJ73" s="872"/>
      <c r="AK73" s="873"/>
      <c r="AL73" s="872"/>
      <c r="AM73" s="767"/>
      <c r="AN73" s="870"/>
      <c r="AO73" s="823"/>
      <c r="AP73" s="819"/>
      <c r="AQ73" s="824"/>
      <c r="AR73" s="873"/>
      <c r="AS73" s="872"/>
      <c r="AT73" s="873"/>
      <c r="AU73" s="872"/>
      <c r="AV73" s="767"/>
      <c r="AW73" s="870"/>
      <c r="AX73" s="823"/>
      <c r="AY73" s="819"/>
      <c r="AZ73" s="824"/>
      <c r="BA73" s="873"/>
      <c r="BB73" s="872"/>
      <c r="BC73" s="873"/>
      <c r="BD73" s="872"/>
      <c r="BE73" s="767"/>
      <c r="BF73" s="870"/>
      <c r="BG73" s="823"/>
      <c r="BH73" s="819"/>
      <c r="BI73" s="824"/>
      <c r="BJ73" s="873"/>
      <c r="BK73" s="872"/>
      <c r="BL73" s="873"/>
      <c r="BM73" s="872"/>
      <c r="BN73" s="767"/>
      <c r="BO73" s="870"/>
      <c r="BP73" s="823"/>
      <c r="BQ73" s="819"/>
      <c r="BR73" s="824"/>
      <c r="BS73" s="873"/>
      <c r="BT73" s="872"/>
      <c r="BU73" s="873"/>
      <c r="BV73" s="872"/>
    </row>
    <row r="74">
      <c r="A74" s="758"/>
      <c r="B74" s="802">
        <f>IFERROR(VLOOKUP(C74,'字段信息'!A:C,3,),"")</f>
      </c>
      <c r="C74" s="803" t="s">
        <v>2780</v>
      </c>
      <c r="D74" s="804">
        <f>IFERROR(VLOOKUP(C74,'字段信息'!A:C,2,),"")</f>
      </c>
      <c r="E74" s="805"/>
      <c r="F74" s="805">
        <f t="shared" si="0"/>
      </c>
      <c r="G74" s="805" t="s">
        <v>2660</v>
      </c>
      <c r="H74" s="806"/>
      <c r="I74" s="806"/>
      <c r="J74" s="806"/>
      <c r="K74" s="806"/>
      <c r="L74" s="835"/>
      <c r="M74" s="860" t="s">
        <v>2654</v>
      </c>
      <c r="N74" s="809" t="s">
        <v>2651</v>
      </c>
      <c r="O74" s="810" t="s">
        <v>2652</v>
      </c>
      <c r="P74" s="803" t="s">
        <v>2780</v>
      </c>
      <c r="Q74" s="812"/>
      <c r="R74" s="813"/>
      <c r="S74" s="812"/>
      <c r="T74" s="813"/>
      <c r="U74" s="762"/>
      <c r="V74" s="860"/>
      <c r="W74" s="809"/>
      <c r="X74" s="810"/>
      <c r="Y74" s="803"/>
      <c r="Z74" s="812"/>
      <c r="AA74" s="813"/>
      <c r="AB74" s="812"/>
      <c r="AC74" s="813"/>
      <c r="AD74" s="762"/>
      <c r="AE74" s="870"/>
      <c r="AF74" s="823"/>
      <c r="AG74" s="819"/>
      <c r="AH74" s="824"/>
      <c r="AI74" s="873"/>
      <c r="AJ74" s="872"/>
      <c r="AK74" s="873"/>
      <c r="AL74" s="872"/>
      <c r="AM74" s="767"/>
      <c r="AN74" s="870"/>
      <c r="AO74" s="823"/>
      <c r="AP74" s="819"/>
      <c r="AQ74" s="824"/>
      <c r="AR74" s="873"/>
      <c r="AS74" s="872"/>
      <c r="AT74" s="873"/>
      <c r="AU74" s="872"/>
      <c r="AV74" s="767"/>
      <c r="AW74" s="870"/>
      <c r="AX74" s="823"/>
      <c r="AY74" s="819"/>
      <c r="AZ74" s="824"/>
      <c r="BA74" s="873"/>
      <c r="BB74" s="872"/>
      <c r="BC74" s="873"/>
      <c r="BD74" s="872"/>
      <c r="BE74" s="767"/>
      <c r="BF74" s="870"/>
      <c r="BG74" s="823"/>
      <c r="BH74" s="819"/>
      <c r="BI74" s="824"/>
      <c r="BJ74" s="873"/>
      <c r="BK74" s="872"/>
      <c r="BL74" s="873"/>
      <c r="BM74" s="872"/>
      <c r="BN74" s="767"/>
      <c r="BO74" s="870"/>
      <c r="BP74" s="823"/>
      <c r="BQ74" s="819"/>
      <c r="BR74" s="824"/>
      <c r="BS74" s="873"/>
      <c r="BT74" s="872"/>
      <c r="BU74" s="873"/>
      <c r="BV74" s="872"/>
    </row>
    <row r="75">
      <c r="A75" s="758"/>
      <c r="B75" s="802">
        <f>IFERROR(VLOOKUP(C75,'字段信息'!A:C,3,),"")</f>
      </c>
      <c r="C75" s="803" t="s">
        <v>2781</v>
      </c>
      <c r="D75" s="804">
        <f>IFERROR(VLOOKUP(C75,'字段信息'!A:C,2,),"")</f>
      </c>
      <c r="E75" s="805"/>
      <c r="F75" s="805">
        <f t="shared" si="0"/>
      </c>
      <c r="G75" s="805" t="s">
        <v>2660</v>
      </c>
      <c r="H75" s="806"/>
      <c r="I75" s="806"/>
      <c r="J75" s="806"/>
      <c r="K75" s="806"/>
      <c r="L75" s="835"/>
      <c r="M75" s="860" t="s">
        <v>2654</v>
      </c>
      <c r="N75" s="809" t="s">
        <v>2651</v>
      </c>
      <c r="O75" s="810" t="s">
        <v>2652</v>
      </c>
      <c r="P75" s="803" t="s">
        <v>2781</v>
      </c>
      <c r="Q75" s="812"/>
      <c r="R75" s="813"/>
      <c r="S75" s="812"/>
      <c r="T75" s="813"/>
      <c r="U75" s="762"/>
      <c r="V75" s="860"/>
      <c r="W75" s="809"/>
      <c r="X75" s="810"/>
      <c r="Y75" s="803"/>
      <c r="Z75" s="812"/>
      <c r="AA75" s="813"/>
      <c r="AB75" s="812"/>
      <c r="AC75" s="813"/>
      <c r="AD75" s="762"/>
      <c r="AE75" s="870"/>
      <c r="AF75" s="823"/>
      <c r="AG75" s="819"/>
      <c r="AH75" s="824"/>
      <c r="AI75" s="873"/>
      <c r="AJ75" s="872"/>
      <c r="AK75" s="873"/>
      <c r="AL75" s="872"/>
      <c r="AM75" s="767"/>
      <c r="AN75" s="870"/>
      <c r="AO75" s="823"/>
      <c r="AP75" s="819"/>
      <c r="AQ75" s="824"/>
      <c r="AR75" s="873"/>
      <c r="AS75" s="872"/>
      <c r="AT75" s="873"/>
      <c r="AU75" s="872"/>
      <c r="AV75" s="767"/>
      <c r="AW75" s="870"/>
      <c r="AX75" s="823"/>
      <c r="AY75" s="819"/>
      <c r="AZ75" s="824"/>
      <c r="BA75" s="873"/>
      <c r="BB75" s="872"/>
      <c r="BC75" s="873"/>
      <c r="BD75" s="872"/>
      <c r="BE75" s="767"/>
      <c r="BF75" s="870"/>
      <c r="BG75" s="823"/>
      <c r="BH75" s="819"/>
      <c r="BI75" s="824"/>
      <c r="BJ75" s="873"/>
      <c r="BK75" s="872"/>
      <c r="BL75" s="873"/>
      <c r="BM75" s="872"/>
      <c r="BN75" s="767"/>
      <c r="BO75" s="870"/>
      <c r="BP75" s="823"/>
      <c r="BQ75" s="819"/>
      <c r="BR75" s="824"/>
      <c r="BS75" s="873"/>
      <c r="BT75" s="872"/>
      <c r="BU75" s="873"/>
      <c r="BV75" s="872"/>
    </row>
    <row r="76">
      <c r="A76" s="758"/>
      <c r="B76" s="802">
        <f>IFERROR(VLOOKUP(C76,'字段信息'!A:C,3,),"")</f>
      </c>
      <c r="C76" s="803" t="s">
        <v>2782</v>
      </c>
      <c r="D76" s="804">
        <f>IFERROR(VLOOKUP(C76,'字段信息'!A:C,2,),"")</f>
      </c>
      <c r="E76" s="805"/>
      <c r="F76" s="805">
        <f t="shared" si="0"/>
      </c>
      <c r="G76" s="805" t="s">
        <v>2660</v>
      </c>
      <c r="H76" s="806"/>
      <c r="I76" s="806"/>
      <c r="J76" s="806"/>
      <c r="K76" s="806"/>
      <c r="L76" s="835"/>
      <c r="M76" s="860" t="s">
        <v>2654</v>
      </c>
      <c r="N76" s="809" t="s">
        <v>2651</v>
      </c>
      <c r="O76" s="810" t="s">
        <v>2652</v>
      </c>
      <c r="P76" s="803" t="s">
        <v>2782</v>
      </c>
      <c r="Q76" s="812"/>
      <c r="R76" s="813"/>
      <c r="S76" s="812"/>
      <c r="T76" s="813"/>
      <c r="U76" s="762"/>
      <c r="V76" s="860"/>
      <c r="W76" s="809"/>
      <c r="X76" s="810"/>
      <c r="Y76" s="803"/>
      <c r="Z76" s="812"/>
      <c r="AA76" s="813"/>
      <c r="AB76" s="812"/>
      <c r="AC76" s="813"/>
      <c r="AD76" s="762"/>
      <c r="AE76" s="870"/>
      <c r="AF76" s="823"/>
      <c r="AG76" s="819"/>
      <c r="AH76" s="824"/>
      <c r="AI76" s="873"/>
      <c r="AJ76" s="872"/>
      <c r="AK76" s="873"/>
      <c r="AL76" s="872"/>
      <c r="AM76" s="767"/>
      <c r="AN76" s="870"/>
      <c r="AO76" s="823"/>
      <c r="AP76" s="819"/>
      <c r="AQ76" s="824"/>
      <c r="AR76" s="873"/>
      <c r="AS76" s="872"/>
      <c r="AT76" s="873"/>
      <c r="AU76" s="872"/>
      <c r="AV76" s="767"/>
      <c r="AW76" s="870"/>
      <c r="AX76" s="823"/>
      <c r="AY76" s="819"/>
      <c r="AZ76" s="824"/>
      <c r="BA76" s="873"/>
      <c r="BB76" s="872"/>
      <c r="BC76" s="873"/>
      <c r="BD76" s="872"/>
      <c r="BE76" s="767"/>
      <c r="BF76" s="870"/>
      <c r="BG76" s="823"/>
      <c r="BH76" s="819"/>
      <c r="BI76" s="824"/>
      <c r="BJ76" s="873"/>
      <c r="BK76" s="872"/>
      <c r="BL76" s="873"/>
      <c r="BM76" s="872"/>
      <c r="BN76" s="767"/>
      <c r="BO76" s="870"/>
      <c r="BP76" s="823"/>
      <c r="BQ76" s="819"/>
      <c r="BR76" s="824"/>
      <c r="BS76" s="873"/>
      <c r="BT76" s="872"/>
      <c r="BU76" s="873"/>
      <c r="BV76" s="872"/>
    </row>
    <row r="77">
      <c r="A77" s="758"/>
      <c r="B77" s="802">
        <f>IFERROR(VLOOKUP(C77,'字段信息'!A:C,3,),"")</f>
      </c>
      <c r="C77" s="803" t="s">
        <v>2783</v>
      </c>
      <c r="D77" s="804">
        <f>IFERROR(VLOOKUP(C77,'字段信息'!A:C,2,),"")</f>
      </c>
      <c r="E77" s="805"/>
      <c r="F77" s="805">
        <f t="shared" si="0"/>
      </c>
      <c r="G77" s="805" t="s">
        <v>2660</v>
      </c>
      <c r="H77" s="806"/>
      <c r="I77" s="806"/>
      <c r="J77" s="806"/>
      <c r="K77" s="806"/>
      <c r="L77" s="835"/>
      <c r="M77" s="860" t="s">
        <v>2654</v>
      </c>
      <c r="N77" s="809" t="s">
        <v>2651</v>
      </c>
      <c r="O77" s="810" t="s">
        <v>2652</v>
      </c>
      <c r="P77" s="803" t="s">
        <v>2783</v>
      </c>
      <c r="Q77" s="812"/>
      <c r="R77" s="813"/>
      <c r="S77" s="812"/>
      <c r="T77" s="813"/>
      <c r="U77" s="762"/>
      <c r="V77" s="860"/>
      <c r="W77" s="809"/>
      <c r="X77" s="810"/>
      <c r="Y77" s="803"/>
      <c r="Z77" s="812"/>
      <c r="AA77" s="813"/>
      <c r="AB77" s="812"/>
      <c r="AC77" s="813"/>
      <c r="AD77" s="762"/>
      <c r="AE77" s="870"/>
      <c r="AF77" s="823"/>
      <c r="AG77" s="819"/>
      <c r="AH77" s="824"/>
      <c r="AI77" s="873"/>
      <c r="AJ77" s="872"/>
      <c r="AK77" s="873"/>
      <c r="AL77" s="872"/>
      <c r="AM77" s="767"/>
      <c r="AN77" s="870"/>
      <c r="AO77" s="823"/>
      <c r="AP77" s="819"/>
      <c r="AQ77" s="824"/>
      <c r="AR77" s="873"/>
      <c r="AS77" s="872"/>
      <c r="AT77" s="873"/>
      <c r="AU77" s="872"/>
      <c r="AV77" s="767"/>
      <c r="AW77" s="870"/>
      <c r="AX77" s="823"/>
      <c r="AY77" s="819"/>
      <c r="AZ77" s="824"/>
      <c r="BA77" s="873"/>
      <c r="BB77" s="872"/>
      <c r="BC77" s="873"/>
      <c r="BD77" s="872"/>
      <c r="BE77" s="767"/>
      <c r="BF77" s="870"/>
      <c r="BG77" s="823"/>
      <c r="BH77" s="819"/>
      <c r="BI77" s="824"/>
      <c r="BJ77" s="873"/>
      <c r="BK77" s="872"/>
      <c r="BL77" s="873"/>
      <c r="BM77" s="872"/>
      <c r="BN77" s="767"/>
      <c r="BO77" s="870"/>
      <c r="BP77" s="823"/>
      <c r="BQ77" s="819"/>
      <c r="BR77" s="824"/>
      <c r="BS77" s="873"/>
      <c r="BT77" s="872"/>
      <c r="BU77" s="873"/>
      <c r="BV77" s="872"/>
    </row>
    <row r="78">
      <c r="A78" s="758"/>
      <c r="B78" s="802">
        <f>IFERROR(VLOOKUP(C78,'字段信息'!A:C,3,),"")</f>
      </c>
      <c r="C78" s="803" t="s">
        <v>2784</v>
      </c>
      <c r="D78" s="804">
        <f>IFERROR(VLOOKUP(C78,'字段信息'!A:C,2,),"")</f>
      </c>
      <c r="E78" s="805"/>
      <c r="F78" s="805">
        <f t="shared" si="0"/>
      </c>
      <c r="G78" s="805" t="s">
        <v>2660</v>
      </c>
      <c r="H78" s="806"/>
      <c r="I78" s="806"/>
      <c r="J78" s="806"/>
      <c r="K78" s="806"/>
      <c r="L78" s="835"/>
      <c r="M78" s="860" t="s">
        <v>2654</v>
      </c>
      <c r="N78" s="809" t="s">
        <v>2651</v>
      </c>
      <c r="O78" s="810" t="s">
        <v>2652</v>
      </c>
      <c r="P78" s="803" t="s">
        <v>2784</v>
      </c>
      <c r="Q78" s="812"/>
      <c r="R78" s="813"/>
      <c r="S78" s="812"/>
      <c r="T78" s="813"/>
      <c r="U78" s="762"/>
      <c r="V78" s="860"/>
      <c r="W78" s="809"/>
      <c r="X78" s="810"/>
      <c r="Y78" s="803"/>
      <c r="Z78" s="812"/>
      <c r="AA78" s="813"/>
      <c r="AB78" s="812"/>
      <c r="AC78" s="813"/>
      <c r="AD78" s="762"/>
      <c r="AE78" s="870"/>
      <c r="AF78" s="823"/>
      <c r="AG78" s="819"/>
      <c r="AH78" s="824"/>
      <c r="AI78" s="873"/>
      <c r="AJ78" s="872"/>
      <c r="AK78" s="873"/>
      <c r="AL78" s="872"/>
      <c r="AM78" s="767"/>
      <c r="AN78" s="870"/>
      <c r="AO78" s="823"/>
      <c r="AP78" s="819"/>
      <c r="AQ78" s="824"/>
      <c r="AR78" s="873"/>
      <c r="AS78" s="872"/>
      <c r="AT78" s="873"/>
      <c r="AU78" s="872"/>
      <c r="AV78" s="767"/>
      <c r="AW78" s="870"/>
      <c r="AX78" s="823"/>
      <c r="AY78" s="819"/>
      <c r="AZ78" s="824"/>
      <c r="BA78" s="873"/>
      <c r="BB78" s="872"/>
      <c r="BC78" s="873"/>
      <c r="BD78" s="872"/>
      <c r="BE78" s="767"/>
      <c r="BF78" s="870"/>
      <c r="BG78" s="823"/>
      <c r="BH78" s="819"/>
      <c r="BI78" s="824"/>
      <c r="BJ78" s="873"/>
      <c r="BK78" s="872"/>
      <c r="BL78" s="873"/>
      <c r="BM78" s="872"/>
      <c r="BN78" s="767"/>
      <c r="BO78" s="870"/>
      <c r="BP78" s="823"/>
      <c r="BQ78" s="819"/>
      <c r="BR78" s="824"/>
      <c r="BS78" s="873"/>
      <c r="BT78" s="872"/>
      <c r="BU78" s="873"/>
      <c r="BV78" s="872"/>
    </row>
    <row r="79">
      <c r="A79" s="758"/>
      <c r="B79" s="802">
        <f>IFERROR(VLOOKUP(C79,'字段信息'!A:C,3,),"")</f>
      </c>
      <c r="C79" s="803" t="s">
        <v>2785</v>
      </c>
      <c r="D79" s="804">
        <f>IFERROR(VLOOKUP(C79,'字段信息'!A:C,2,),"")</f>
      </c>
      <c r="E79" s="805"/>
      <c r="F79" s="805">
        <f t="shared" si="0"/>
      </c>
      <c r="G79" s="805" t="s">
        <v>2660</v>
      </c>
      <c r="H79" s="806"/>
      <c r="I79" s="806"/>
      <c r="J79" s="806"/>
      <c r="K79" s="806"/>
      <c r="L79" s="835"/>
      <c r="M79" s="860" t="s">
        <v>2654</v>
      </c>
      <c r="N79" s="809" t="s">
        <v>2651</v>
      </c>
      <c r="O79" s="810" t="s">
        <v>2652</v>
      </c>
      <c r="P79" s="803" t="s">
        <v>2785</v>
      </c>
      <c r="Q79" s="812"/>
      <c r="R79" s="813"/>
      <c r="S79" s="812"/>
      <c r="T79" s="813"/>
      <c r="U79" s="762"/>
      <c r="V79" s="860"/>
      <c r="W79" s="809"/>
      <c r="X79" s="810"/>
      <c r="Y79" s="803"/>
      <c r="Z79" s="812"/>
      <c r="AA79" s="813"/>
      <c r="AB79" s="812"/>
      <c r="AC79" s="813"/>
      <c r="AD79" s="762"/>
      <c r="AE79" s="870"/>
      <c r="AF79" s="823"/>
      <c r="AG79" s="819"/>
      <c r="AH79" s="824"/>
      <c r="AI79" s="873"/>
      <c r="AJ79" s="872"/>
      <c r="AK79" s="873"/>
      <c r="AL79" s="872"/>
      <c r="AM79" s="767"/>
      <c r="AN79" s="870"/>
      <c r="AO79" s="823"/>
      <c r="AP79" s="819"/>
      <c r="AQ79" s="824"/>
      <c r="AR79" s="873"/>
      <c r="AS79" s="872"/>
      <c r="AT79" s="873"/>
      <c r="AU79" s="872"/>
      <c r="AV79" s="767"/>
      <c r="AW79" s="870"/>
      <c r="AX79" s="823"/>
      <c r="AY79" s="819"/>
      <c r="AZ79" s="824"/>
      <c r="BA79" s="873"/>
      <c r="BB79" s="872"/>
      <c r="BC79" s="873"/>
      <c r="BD79" s="872"/>
      <c r="BE79" s="767"/>
      <c r="BF79" s="870"/>
      <c r="BG79" s="823"/>
      <c r="BH79" s="819"/>
      <c r="BI79" s="824"/>
      <c r="BJ79" s="873"/>
      <c r="BK79" s="872"/>
      <c r="BL79" s="873"/>
      <c r="BM79" s="872"/>
      <c r="BN79" s="767"/>
      <c r="BO79" s="870"/>
      <c r="BP79" s="823"/>
      <c r="BQ79" s="819"/>
      <c r="BR79" s="824"/>
      <c r="BS79" s="873"/>
      <c r="BT79" s="872"/>
      <c r="BU79" s="873"/>
      <c r="BV79" s="872"/>
    </row>
    <row r="80">
      <c r="A80" s="758"/>
      <c r="B80" s="802">
        <f>IFERROR(VLOOKUP(C80,'字段信息'!A:C,3,),"")</f>
      </c>
      <c r="C80" s="803" t="s">
        <v>2786</v>
      </c>
      <c r="D80" s="804">
        <f>IFERROR(VLOOKUP(C80,'字段信息'!A:C,2,),"")</f>
      </c>
      <c r="E80" s="805"/>
      <c r="F80" s="805">
        <f t="shared" si="0"/>
      </c>
      <c r="G80" s="805" t="s">
        <v>2660</v>
      </c>
      <c r="H80" s="806"/>
      <c r="I80" s="806"/>
      <c r="J80" s="806"/>
      <c r="K80" s="806"/>
      <c r="L80" s="835"/>
      <c r="M80" s="860" t="s">
        <v>2654</v>
      </c>
      <c r="N80" s="809" t="s">
        <v>2651</v>
      </c>
      <c r="O80" s="810" t="s">
        <v>2652</v>
      </c>
      <c r="P80" s="803" t="s">
        <v>2786</v>
      </c>
      <c r="Q80" s="812"/>
      <c r="R80" s="813"/>
      <c r="S80" s="812"/>
      <c r="T80" s="813"/>
      <c r="U80" s="762"/>
      <c r="V80" s="860"/>
      <c r="W80" s="809"/>
      <c r="X80" s="810"/>
      <c r="Y80" s="803"/>
      <c r="Z80" s="812"/>
      <c r="AA80" s="813"/>
      <c r="AB80" s="812"/>
      <c r="AC80" s="813"/>
      <c r="AD80" s="762"/>
      <c r="AE80" s="870"/>
      <c r="AF80" s="823"/>
      <c r="AG80" s="819"/>
      <c r="AH80" s="824"/>
      <c r="AI80" s="873"/>
      <c r="AJ80" s="872"/>
      <c r="AK80" s="873"/>
      <c r="AL80" s="872"/>
      <c r="AM80" s="767"/>
      <c r="AN80" s="870"/>
      <c r="AO80" s="823"/>
      <c r="AP80" s="819"/>
      <c r="AQ80" s="824"/>
      <c r="AR80" s="873"/>
      <c r="AS80" s="872"/>
      <c r="AT80" s="873"/>
      <c r="AU80" s="872"/>
      <c r="AV80" s="767"/>
      <c r="AW80" s="870"/>
      <c r="AX80" s="823"/>
      <c r="AY80" s="819"/>
      <c r="AZ80" s="824"/>
      <c r="BA80" s="873"/>
      <c r="BB80" s="872"/>
      <c r="BC80" s="873"/>
      <c r="BD80" s="872"/>
      <c r="BE80" s="767"/>
      <c r="BF80" s="870"/>
      <c r="BG80" s="823"/>
      <c r="BH80" s="819"/>
      <c r="BI80" s="824"/>
      <c r="BJ80" s="873"/>
      <c r="BK80" s="872"/>
      <c r="BL80" s="873"/>
      <c r="BM80" s="872"/>
      <c r="BN80" s="767"/>
      <c r="BO80" s="870"/>
      <c r="BP80" s="823"/>
      <c r="BQ80" s="819"/>
      <c r="BR80" s="824"/>
      <c r="BS80" s="873"/>
      <c r="BT80" s="872"/>
      <c r="BU80" s="873"/>
      <c r="BV80" s="872"/>
    </row>
    <row r="81">
      <c r="A81" s="758"/>
      <c r="B81" s="802">
        <f>IFERROR(VLOOKUP(C81,'字段信息'!A:C,3,),"")</f>
      </c>
      <c r="C81" s="803" t="s">
        <v>2787</v>
      </c>
      <c r="D81" s="804">
        <f>IFERROR(VLOOKUP(C81,'字段信息'!A:C,2,),"")</f>
      </c>
      <c r="E81" s="805"/>
      <c r="F81" s="805">
        <f t="shared" si="0"/>
      </c>
      <c r="G81" s="805" t="s">
        <v>2660</v>
      </c>
      <c r="H81" s="806"/>
      <c r="I81" s="806"/>
      <c r="J81" s="806"/>
      <c r="K81" s="806"/>
      <c r="L81" s="835"/>
      <c r="M81" s="860" t="s">
        <v>2654</v>
      </c>
      <c r="N81" s="809" t="s">
        <v>2651</v>
      </c>
      <c r="O81" s="810" t="s">
        <v>2652</v>
      </c>
      <c r="P81" s="803" t="s">
        <v>2787</v>
      </c>
      <c r="Q81" s="812"/>
      <c r="R81" s="813"/>
      <c r="S81" s="812"/>
      <c r="T81" s="813"/>
      <c r="U81" s="762"/>
      <c r="V81" s="860"/>
      <c r="W81" s="809"/>
      <c r="X81" s="810"/>
      <c r="Y81" s="803"/>
      <c r="Z81" s="812"/>
      <c r="AA81" s="813"/>
      <c r="AB81" s="812"/>
      <c r="AC81" s="813"/>
      <c r="AD81" s="762"/>
      <c r="AE81" s="870"/>
      <c r="AF81" s="823"/>
      <c r="AG81" s="819"/>
      <c r="AH81" s="824"/>
      <c r="AI81" s="873"/>
      <c r="AJ81" s="872"/>
      <c r="AK81" s="873"/>
      <c r="AL81" s="872"/>
      <c r="AM81" s="767"/>
      <c r="AN81" s="870"/>
      <c r="AO81" s="823"/>
      <c r="AP81" s="819"/>
      <c r="AQ81" s="824"/>
      <c r="AR81" s="873"/>
      <c r="AS81" s="872"/>
      <c r="AT81" s="873"/>
      <c r="AU81" s="872"/>
      <c r="AV81" s="767"/>
      <c r="AW81" s="870"/>
      <c r="AX81" s="823"/>
      <c r="AY81" s="819"/>
      <c r="AZ81" s="824"/>
      <c r="BA81" s="873"/>
      <c r="BB81" s="872"/>
      <c r="BC81" s="873"/>
      <c r="BD81" s="872"/>
      <c r="BE81" s="767"/>
      <c r="BF81" s="870"/>
      <c r="BG81" s="823"/>
      <c r="BH81" s="819"/>
      <c r="BI81" s="824"/>
      <c r="BJ81" s="873"/>
      <c r="BK81" s="872"/>
      <c r="BL81" s="873"/>
      <c r="BM81" s="872"/>
      <c r="BN81" s="767"/>
      <c r="BO81" s="870"/>
      <c r="BP81" s="823"/>
      <c r="BQ81" s="819"/>
      <c r="BR81" s="824"/>
      <c r="BS81" s="873"/>
      <c r="BT81" s="872"/>
      <c r="BU81" s="873"/>
      <c r="BV81" s="872"/>
    </row>
    <row r="82">
      <c r="M82" s="887"/>
      <c r="N82" s="888"/>
      <c r="O82" s="887"/>
      <c r="P82" s="887"/>
      <c r="Q82" s="887"/>
      <c r="S82" s="887"/>
      <c r="V82" s="887"/>
      <c r="W82" s="888"/>
      <c r="X82" s="887"/>
      <c r="Y82" s="887"/>
      <c r="Z82" s="887"/>
      <c r="AB82" s="887"/>
      <c r="AD82" s="762"/>
      <c r="AE82" s="889"/>
      <c r="AF82" s="890"/>
      <c r="AG82" s="889"/>
      <c r="AH82" s="889"/>
      <c r="AI82" s="889"/>
      <c r="AJ82" s="767"/>
      <c r="AK82" s="889"/>
      <c r="AL82" s="767"/>
      <c r="AM82" s="767"/>
      <c r="AN82" s="889"/>
      <c r="AO82" s="890"/>
      <c r="AP82" s="889"/>
      <c r="AQ82" s="889"/>
      <c r="AR82" s="889"/>
      <c r="AS82" s="767"/>
      <c r="AT82" s="889"/>
      <c r="AU82" s="767"/>
      <c r="AV82" s="767"/>
      <c r="AW82" s="889"/>
      <c r="AX82" s="890"/>
      <c r="AY82" s="889"/>
      <c r="AZ82" s="889"/>
      <c r="BA82" s="889"/>
      <c r="BB82" s="767"/>
      <c r="BC82" s="889"/>
      <c r="BD82" s="767"/>
      <c r="BE82" s="767"/>
      <c r="BF82" s="889"/>
      <c r="BG82" s="890"/>
      <c r="BH82" s="889"/>
      <c r="BI82" s="889"/>
      <c r="BJ82" s="889"/>
      <c r="BK82" s="767"/>
      <c r="BL82" s="889"/>
      <c r="BM82" s="767"/>
      <c r="BN82" s="767"/>
      <c r="BO82" s="889"/>
      <c r="BP82" s="890"/>
      <c r="BQ82" s="889"/>
      <c r="BR82" s="889"/>
      <c r="BS82" s="889"/>
      <c r="BT82" s="767"/>
      <c r="BU82" s="889"/>
      <c r="BV82" s="767"/>
    </row>
    <row r="83">
      <c r="M83" s="887"/>
      <c r="N83" s="888"/>
      <c r="O83" s="887"/>
      <c r="P83" s="887"/>
      <c r="Q83" s="887"/>
      <c r="S83" s="887"/>
      <c r="V83" s="887"/>
      <c r="W83" s="888"/>
      <c r="X83" s="887"/>
      <c r="Y83" s="887"/>
      <c r="Z83" s="887"/>
      <c r="AB83" s="887"/>
      <c r="AD83" s="762"/>
      <c r="AE83" s="889"/>
      <c r="AF83" s="890"/>
      <c r="AG83" s="889"/>
      <c r="AH83" s="889"/>
      <c r="AI83" s="889"/>
      <c r="AJ83" s="767"/>
      <c r="AK83" s="889"/>
      <c r="AL83" s="767"/>
      <c r="AM83" s="767"/>
      <c r="AN83" s="889"/>
      <c r="AO83" s="890"/>
      <c r="AP83" s="889"/>
      <c r="AQ83" s="889"/>
      <c r="AR83" s="889"/>
      <c r="AS83" s="767"/>
      <c r="AT83" s="889"/>
      <c r="AU83" s="767"/>
      <c r="AV83" s="767"/>
      <c r="AW83" s="889"/>
      <c r="AX83" s="890"/>
      <c r="AY83" s="889"/>
      <c r="AZ83" s="889"/>
      <c r="BA83" s="889"/>
      <c r="BB83" s="767"/>
      <c r="BC83" s="889"/>
      <c r="BD83" s="767"/>
      <c r="BE83" s="767"/>
      <c r="BF83" s="889"/>
      <c r="BG83" s="890"/>
      <c r="BH83" s="889"/>
      <c r="BI83" s="889"/>
      <c r="BJ83" s="889"/>
      <c r="BK83" s="767"/>
      <c r="BL83" s="889"/>
      <c r="BM83" s="767"/>
      <c r="BN83" s="767"/>
      <c r="BO83" s="889"/>
      <c r="BP83" s="890"/>
      <c r="BQ83" s="889"/>
      <c r="BR83" s="889"/>
      <c r="BS83" s="889"/>
      <c r="BT83" s="767"/>
      <c r="BU83" s="889"/>
      <c r="BV83" s="767"/>
    </row>
    <row r="84">
      <c r="M84" s="887"/>
      <c r="N84" s="888"/>
      <c r="O84" s="887"/>
      <c r="P84" s="887"/>
      <c r="Q84" s="887"/>
      <c r="S84" s="887"/>
      <c r="V84" s="887"/>
      <c r="W84" s="888"/>
      <c r="X84" s="887"/>
      <c r="Y84" s="887"/>
      <c r="Z84" s="887"/>
      <c r="AB84" s="887"/>
      <c r="AD84" s="762"/>
      <c r="AE84" s="889"/>
      <c r="AF84" s="890"/>
      <c r="AG84" s="889"/>
      <c r="AH84" s="889"/>
      <c r="AI84" s="889"/>
      <c r="AJ84" s="767"/>
      <c r="AK84" s="889"/>
      <c r="AL84" s="767"/>
      <c r="AM84" s="767"/>
      <c r="AN84" s="889"/>
      <c r="AO84" s="890"/>
      <c r="AP84" s="889"/>
      <c r="AQ84" s="889"/>
      <c r="AR84" s="889"/>
      <c r="AS84" s="767"/>
      <c r="AT84" s="889"/>
      <c r="AU84" s="767"/>
      <c r="AV84" s="767"/>
      <c r="AW84" s="889"/>
      <c r="AX84" s="890"/>
      <c r="AY84" s="889"/>
      <c r="AZ84" s="889"/>
      <c r="BA84" s="889"/>
      <c r="BB84" s="767"/>
      <c r="BC84" s="889"/>
      <c r="BD84" s="767"/>
      <c r="BE84" s="767"/>
      <c r="BF84" s="889"/>
      <c r="BG84" s="890"/>
      <c r="BH84" s="889"/>
      <c r="BI84" s="889"/>
      <c r="BJ84" s="889"/>
      <c r="BK84" s="767"/>
      <c r="BL84" s="889"/>
      <c r="BM84" s="767"/>
      <c r="BN84" s="767"/>
      <c r="BO84" s="889"/>
      <c r="BP84" s="890"/>
      <c r="BQ84" s="889"/>
      <c r="BR84" s="889"/>
      <c r="BS84" s="889"/>
      <c r="BT84" s="767"/>
      <c r="BU84" s="889"/>
      <c r="BV84" s="767"/>
    </row>
    <row r="85">
      <c r="M85" s="887"/>
      <c r="N85" s="888"/>
      <c r="O85" s="887"/>
      <c r="P85" s="887"/>
      <c r="Q85" s="887"/>
      <c r="S85" s="887"/>
      <c r="V85" s="887"/>
      <c r="W85" s="888"/>
      <c r="X85" s="887"/>
      <c r="Y85" s="887"/>
      <c r="Z85" s="887"/>
      <c r="AB85" s="887"/>
      <c r="AD85" s="762"/>
      <c r="AE85" s="889"/>
      <c r="AF85" s="890"/>
      <c r="AG85" s="889"/>
      <c r="AH85" s="889"/>
      <c r="AI85" s="889"/>
      <c r="AJ85" s="767"/>
      <c r="AK85" s="889"/>
      <c r="AL85" s="767"/>
      <c r="AM85" s="767"/>
      <c r="AN85" s="889"/>
      <c r="AO85" s="890"/>
      <c r="AP85" s="889"/>
      <c r="AQ85" s="889"/>
      <c r="AR85" s="889"/>
      <c r="AS85" s="767"/>
      <c r="AT85" s="889"/>
      <c r="AU85" s="767"/>
      <c r="AV85" s="767"/>
      <c r="AW85" s="889"/>
      <c r="AX85" s="890"/>
      <c r="AY85" s="889"/>
      <c r="AZ85" s="889"/>
      <c r="BA85" s="889"/>
      <c r="BB85" s="767"/>
      <c r="BC85" s="889"/>
      <c r="BD85" s="767"/>
      <c r="BE85" s="767"/>
      <c r="BF85" s="889"/>
      <c r="BG85" s="890"/>
      <c r="BH85" s="889"/>
      <c r="BI85" s="889"/>
      <c r="BJ85" s="889"/>
      <c r="BK85" s="767"/>
      <c r="BL85" s="889"/>
      <c r="BM85" s="767"/>
      <c r="BN85" s="767"/>
      <c r="BO85" s="889"/>
      <c r="BP85" s="890"/>
      <c r="BQ85" s="889"/>
      <c r="BR85" s="889"/>
      <c r="BS85" s="889"/>
      <c r="BT85" s="767"/>
      <c r="BU85" s="889"/>
      <c r="BV85" s="767"/>
    </row>
    <row r="86">
      <c r="M86" s="887"/>
      <c r="N86" s="888"/>
      <c r="O86" s="887"/>
      <c r="P86" s="887"/>
      <c r="Q86" s="887"/>
      <c r="S86" s="887"/>
      <c r="V86" s="887"/>
      <c r="W86" s="888"/>
      <c r="X86" s="887"/>
      <c r="Y86" s="887"/>
      <c r="Z86" s="887"/>
      <c r="AB86" s="887"/>
      <c r="AD86" s="762"/>
      <c r="AE86" s="889"/>
      <c r="AF86" s="890"/>
      <c r="AG86" s="889"/>
      <c r="AH86" s="889"/>
      <c r="AI86" s="889"/>
      <c r="AJ86" s="767"/>
      <c r="AK86" s="889"/>
      <c r="AL86" s="767"/>
      <c r="AM86" s="767"/>
      <c r="AN86" s="889"/>
      <c r="AO86" s="890"/>
      <c r="AP86" s="889"/>
      <c r="AQ86" s="889"/>
      <c r="AR86" s="889"/>
      <c r="AS86" s="767"/>
      <c r="AT86" s="889"/>
      <c r="AU86" s="767"/>
      <c r="AV86" s="767"/>
      <c r="AW86" s="889"/>
      <c r="AX86" s="890"/>
      <c r="AY86" s="889"/>
      <c r="AZ86" s="889"/>
      <c r="BA86" s="889"/>
      <c r="BB86" s="767"/>
      <c r="BC86" s="889"/>
      <c r="BD86" s="767"/>
      <c r="BE86" s="767"/>
      <c r="BF86" s="889"/>
      <c r="BG86" s="890"/>
      <c r="BH86" s="889"/>
      <c r="BI86" s="889"/>
      <c r="BJ86" s="889"/>
      <c r="BK86" s="767"/>
      <c r="BL86" s="889"/>
      <c r="BM86" s="767"/>
      <c r="BN86" s="767"/>
      <c r="BO86" s="889"/>
      <c r="BP86" s="890"/>
      <c r="BQ86" s="889"/>
      <c r="BR86" s="889"/>
      <c r="BS86" s="889"/>
      <c r="BT86" s="767"/>
      <c r="BU86" s="889"/>
      <c r="BV86" s="767"/>
    </row>
    <row r="87">
      <c r="M87" s="887"/>
      <c r="N87" s="888"/>
      <c r="O87" s="887"/>
      <c r="P87" s="887"/>
      <c r="Q87" s="887"/>
      <c r="S87" s="887"/>
      <c r="V87" s="887"/>
      <c r="W87" s="888"/>
      <c r="X87" s="887"/>
      <c r="Y87" s="887"/>
      <c r="Z87" s="887"/>
      <c r="AB87" s="887"/>
      <c r="AD87" s="762"/>
      <c r="AE87" s="889"/>
      <c r="AF87" s="890"/>
      <c r="AG87" s="889"/>
      <c r="AH87" s="889"/>
      <c r="AI87" s="889"/>
      <c r="AJ87" s="767"/>
      <c r="AK87" s="889"/>
      <c r="AL87" s="767"/>
      <c r="AM87" s="767"/>
      <c r="AN87" s="889"/>
      <c r="AO87" s="890"/>
      <c r="AP87" s="889"/>
      <c r="AQ87" s="889"/>
      <c r="AR87" s="889"/>
      <c r="AS87" s="767"/>
      <c r="AT87" s="889"/>
      <c r="AU87" s="767"/>
      <c r="AV87" s="767"/>
      <c r="AW87" s="889"/>
      <c r="AX87" s="890"/>
      <c r="AY87" s="889"/>
      <c r="AZ87" s="889"/>
      <c r="BA87" s="889"/>
      <c r="BB87" s="767"/>
      <c r="BC87" s="889"/>
      <c r="BD87" s="767"/>
      <c r="BE87" s="767"/>
      <c r="BF87" s="889"/>
      <c r="BG87" s="890"/>
      <c r="BH87" s="889"/>
      <c r="BI87" s="889"/>
      <c r="BJ87" s="889"/>
      <c r="BK87" s="767"/>
      <c r="BL87" s="889"/>
      <c r="BM87" s="767"/>
      <c r="BN87" s="767"/>
      <c r="BO87" s="889"/>
      <c r="BP87" s="890"/>
      <c r="BQ87" s="889"/>
      <c r="BR87" s="889"/>
      <c r="BS87" s="889"/>
      <c r="BT87" s="767"/>
      <c r="BU87" s="889"/>
      <c r="BV87" s="767"/>
    </row>
    <row r="88">
      <c r="M88" s="887"/>
      <c r="N88" s="888"/>
      <c r="O88" s="887"/>
      <c r="P88" s="887"/>
      <c r="Q88" s="887"/>
      <c r="S88" s="887"/>
      <c r="V88" s="887"/>
      <c r="W88" s="888"/>
      <c r="X88" s="887"/>
      <c r="Y88" s="887"/>
      <c r="Z88" s="887"/>
      <c r="AB88" s="887"/>
      <c r="AD88" s="762"/>
      <c r="AE88" s="889"/>
      <c r="AF88" s="890"/>
      <c r="AG88" s="889"/>
      <c r="AH88" s="889"/>
      <c r="AI88" s="889"/>
      <c r="AJ88" s="767"/>
      <c r="AK88" s="889"/>
      <c r="AL88" s="767"/>
      <c r="AM88" s="767"/>
      <c r="AN88" s="889"/>
      <c r="AO88" s="890"/>
      <c r="AP88" s="889"/>
      <c r="AQ88" s="889"/>
      <c r="AR88" s="889"/>
      <c r="AS88" s="767"/>
      <c r="AT88" s="889"/>
      <c r="AU88" s="767"/>
      <c r="AV88" s="767"/>
      <c r="AW88" s="889"/>
      <c r="AX88" s="890"/>
      <c r="AY88" s="889"/>
      <c r="AZ88" s="889"/>
      <c r="BA88" s="889"/>
      <c r="BB88" s="767"/>
      <c r="BC88" s="889"/>
      <c r="BD88" s="767"/>
      <c r="BE88" s="767"/>
      <c r="BF88" s="889"/>
      <c r="BG88" s="890"/>
      <c r="BH88" s="889"/>
      <c r="BI88" s="889"/>
      <c r="BJ88" s="889"/>
      <c r="BK88" s="767"/>
      <c r="BL88" s="889"/>
      <c r="BM88" s="767"/>
      <c r="BN88" s="767"/>
      <c r="BO88" s="889"/>
      <c r="BP88" s="890"/>
      <c r="BQ88" s="889"/>
      <c r="BR88" s="889"/>
      <c r="BS88" s="889"/>
      <c r="BT88" s="767"/>
      <c r="BU88" s="889"/>
      <c r="BV88" s="767"/>
    </row>
    <row r="89">
      <c r="M89" s="887"/>
      <c r="N89" s="888"/>
      <c r="O89" s="887"/>
      <c r="P89" s="887"/>
      <c r="Q89" s="887"/>
      <c r="S89" s="887"/>
      <c r="V89" s="887"/>
      <c r="W89" s="888"/>
      <c r="X89" s="887"/>
      <c r="Y89" s="887"/>
      <c r="Z89" s="887"/>
      <c r="AB89" s="887"/>
      <c r="AD89" s="762"/>
      <c r="AE89" s="889"/>
      <c r="AF89" s="890"/>
      <c r="AG89" s="889"/>
      <c r="AH89" s="889"/>
      <c r="AI89" s="889"/>
      <c r="AJ89" s="767"/>
      <c r="AK89" s="889"/>
      <c r="AL89" s="767"/>
      <c r="AM89" s="767"/>
      <c r="AN89" s="889"/>
      <c r="AO89" s="890"/>
      <c r="AP89" s="889"/>
      <c r="AQ89" s="889"/>
      <c r="AR89" s="889"/>
      <c r="AS89" s="767"/>
      <c r="AT89" s="889"/>
      <c r="AU89" s="767"/>
      <c r="AV89" s="767"/>
      <c r="AW89" s="889"/>
      <c r="AX89" s="890"/>
      <c r="AY89" s="889"/>
      <c r="AZ89" s="889"/>
      <c r="BA89" s="889"/>
      <c r="BB89" s="767"/>
      <c r="BC89" s="889"/>
      <c r="BD89" s="767"/>
      <c r="BE89" s="767"/>
      <c r="BF89" s="889"/>
      <c r="BG89" s="890"/>
      <c r="BH89" s="889"/>
      <c r="BI89" s="889"/>
      <c r="BJ89" s="889"/>
      <c r="BK89" s="767"/>
      <c r="BL89" s="889"/>
      <c r="BM89" s="767"/>
      <c r="BN89" s="767"/>
      <c r="BO89" s="889"/>
      <c r="BP89" s="890"/>
      <c r="BQ89" s="889"/>
      <c r="BR89" s="889"/>
      <c r="BS89" s="889"/>
      <c r="BT89" s="767"/>
      <c r="BU89" s="889"/>
      <c r="BV89" s="767"/>
    </row>
  </sheetData>
  <autoFilter ref="A8:V89"/>
  <mergeCells>
    <mergeCell ref="AW7:BD7"/>
    <mergeCell ref="BO7:BV7"/>
    <mergeCell ref="BF7:BM7"/>
    <mergeCell ref="AN7:AU7"/>
    <mergeCell ref="AE7:AL7"/>
    <mergeCell ref="V7:AC7"/>
    <mergeCell ref="B1:D1"/>
    <mergeCell ref="C2:F2"/>
    <mergeCell ref="M7:T7"/>
    <mergeCell ref="B7:G7"/>
    <mergeCell ref="C6:G6"/>
  </mergeCells>
  <conditionalFormatting sqref="C1:C1048576">
    <cfRule dxfId="2" priority="1" stopIfTrue="true" type="duplicateValues"/>
  </conditionalFormatting>
  <hyperlinks>
    <hyperlink ref="A1" location="'2. 0 DWM层目录'!A1" display="返回"/>
    <hyperlink ref="A2" location="'规则库'!A1" display="规则库"/>
  </hyperlinks>
  <picture r:id="rId1"/>
</worksheet>
</file>

<file path=xl/worksheets/sheet1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8f959e"/>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2" min="2" style="0" width="21.014084507042252"/>
    <col collapsed="false" customWidth="true" hidden="false" max="7" min="7" style="0" width="8.732394366197184"/>
    <col collapsed="false" customWidth="true" hidden="false" max="11" min="11" style="0" width="8.732394366197184"/>
    <col collapsed="false" customWidth="true" hidden="true" max="11" min="11" style="0" width="8.732394366197184"/>
    <col collapsed="false" customWidth="true" hidden="false" max="15" min="15" style="0" width="23.868590568332493"/>
    <col collapsed="false" customWidth="true" hidden="false" max="19" min="19" style="0" width="56.137537213391525"/>
    <col collapsed="false" customWidth="true" hidden="false" max="1" min="1" style="0" width="5.23943661971831"/>
    <col collapsed="false" customWidth="true" hidden="false" max="6" min="6" style="0" width="17.070422535211268"/>
    <col collapsed="false" customWidth="true" hidden="false" max="10" min="10" style="0" width="13.80281690140845"/>
    <col collapsed="false" customWidth="true" hidden="true" max="10" min="10" style="0" width="13.80281690140845"/>
    <col collapsed="false" customWidth="true" hidden="false" max="14" min="14" style="0" width="7.154929577464789"/>
    <col collapsed="false" customWidth="true" hidden="false" max="18" min="18" style="0" width="20.450704225352112"/>
    <col collapsed="false" customWidth="true" hidden="false" max="5" min="5" style="0" width="10.647887323943662"/>
    <col collapsed="false" customWidth="true" hidden="false" max="9" min="9" style="0" width="8.732394366197184"/>
    <col collapsed="false" customWidth="true" hidden="true" max="9" min="9" style="0" width="8.732394366197184"/>
    <col collapsed="false" customWidth="true" hidden="false" max="13" min="13" style="0" width="39.5680792738386"/>
    <col collapsed="false" customWidth="true" hidden="false" max="17" min="17" style="0" width="26.422535076947355"/>
    <col collapsed="false" customWidth="true" hidden="false" max="21" min="21" style="0" width="4.206582325351429"/>
    <col collapsed="false" customWidth="true" hidden="false" max="3" min="3" style="0" width="19.774647887323944"/>
    <col collapsed="false" customWidth="true" hidden="false" max="4" min="4" style="0" width="12.56338028169014"/>
    <col collapsed="false" customWidth="true" hidden="false" max="8" min="8" style="0" width="7.154929577464789"/>
    <col collapsed="false" customWidth="true" hidden="true" max="8" min="8" style="0" width="7.154929577464789"/>
    <col collapsed="false" customWidth="true" hidden="false" max="12" min="12" style="0" width="9.746478873239436"/>
    <col collapsed="false" customWidth="true" hidden="true" max="12" min="12" style="0" width="9.746478873239436"/>
    <col collapsed="false" customWidth="true" hidden="false" max="16" min="16" style="0" width="16.09394268100855"/>
    <col collapsed="false" customWidth="true" hidden="false" max="20" min="20" style="0" width="5.577464788732394"/>
  </cols>
  <sheetData>
    <row r="1">
      <c r="A1" s="891" t="s">
        <v>2788</v>
      </c>
      <c r="B1" s="892" t="s">
        <v>2789</v>
      </c>
      <c r="C1" s="893"/>
      <c r="D1" s="893"/>
      <c r="E1" s="894"/>
      <c r="F1" s="894"/>
      <c r="G1" s="894"/>
      <c r="H1" s="895"/>
      <c r="I1" s="895"/>
      <c r="J1" s="895"/>
      <c r="K1" s="895"/>
      <c r="L1" s="895"/>
      <c r="M1" s="896"/>
      <c r="N1" s="897"/>
      <c r="O1" s="898"/>
      <c r="P1" s="898"/>
      <c r="Q1" s="898"/>
      <c r="R1" s="894"/>
      <c r="S1" s="898"/>
      <c r="T1" s="894"/>
    </row>
    <row r="2">
      <c r="A2" s="899" t="s">
        <v>2790</v>
      </c>
      <c r="B2" s="900" t="s">
        <v>2791</v>
      </c>
      <c r="C2" s="901" t="s">
        <v>2792</v>
      </c>
      <c r="D2" s="902"/>
      <c r="E2" s="902"/>
      <c r="F2" s="902"/>
      <c r="G2" s="902"/>
      <c r="H2" s="895"/>
      <c r="I2" s="895"/>
      <c r="J2" s="895"/>
      <c r="K2" s="895"/>
      <c r="L2" s="895"/>
      <c r="M2" s="896"/>
      <c r="N2" s="897"/>
      <c r="O2" s="898"/>
      <c r="P2" s="898"/>
      <c r="Q2" s="898"/>
      <c r="R2" s="894"/>
      <c r="S2" s="898"/>
      <c r="T2" s="894"/>
    </row>
    <row r="3">
      <c r="A3" s="903"/>
      <c r="B3" s="904" t="s">
        <v>2793</v>
      </c>
      <c r="C3" s="905" t="s">
        <v>2794</v>
      </c>
      <c r="D3" s="906" t="s">
        <v>2795</v>
      </c>
      <c r="E3" s="907" t="s">
        <v>2796</v>
      </c>
      <c r="F3" s="904" t="s">
        <v>2797</v>
      </c>
      <c r="G3" s="905" t="s">
        <v>2798</v>
      </c>
      <c r="H3" s="895"/>
      <c r="I3" s="895"/>
      <c r="J3" s="895"/>
      <c r="K3" s="895"/>
      <c r="L3" s="895"/>
      <c r="M3" s="896"/>
      <c r="N3" s="897"/>
      <c r="O3" s="898"/>
      <c r="P3" s="898"/>
      <c r="Q3" s="898"/>
      <c r="R3" s="894"/>
      <c r="S3" s="898"/>
      <c r="T3" s="894"/>
    </row>
    <row r="4">
      <c r="A4" s="903"/>
      <c r="B4" s="904" t="s">
        <v>2799</v>
      </c>
      <c r="C4" s="908" t="s">
        <v>2800</v>
      </c>
      <c r="D4" s="909" t="s">
        <v>2801</v>
      </c>
      <c r="E4" s="910" t="s">
        <v>2802</v>
      </c>
      <c r="F4" s="909" t="s">
        <v>2803</v>
      </c>
      <c r="G4" s="905" t="s">
        <v>2804</v>
      </c>
      <c r="H4" s="895"/>
      <c r="I4" s="895"/>
      <c r="J4" s="895"/>
      <c r="K4" s="895"/>
      <c r="L4" s="895"/>
      <c r="M4" s="896"/>
      <c r="N4" s="897"/>
      <c r="O4" s="898"/>
      <c r="P4" s="898"/>
      <c r="Q4" s="898"/>
      <c r="R4" s="894"/>
      <c r="S4" s="898"/>
      <c r="T4" s="894"/>
    </row>
    <row r="5">
      <c r="A5" s="903"/>
      <c r="B5" s="904" t="s">
        <v>2805</v>
      </c>
      <c r="C5" s="905" t="s">
        <v>2806</v>
      </c>
      <c r="D5" s="906" t="s">
        <v>2807</v>
      </c>
      <c r="E5" s="911"/>
      <c r="F5" s="906" t="s">
        <v>2808</v>
      </c>
      <c r="G5" s="912"/>
      <c r="H5" s="895"/>
      <c r="I5" s="895"/>
      <c r="J5" s="895"/>
      <c r="K5" s="895"/>
      <c r="L5" s="895"/>
      <c r="M5" s="896"/>
      <c r="N5" s="897"/>
      <c r="O5" s="898"/>
      <c r="P5" s="898"/>
      <c r="Q5" s="898"/>
      <c r="R5" s="894"/>
      <c r="S5" s="898"/>
      <c r="T5" s="894"/>
    </row>
    <row r="6">
      <c r="A6" s="903"/>
      <c r="B6" s="913" t="s">
        <v>2809</v>
      </c>
      <c r="C6" s="914" t="s">
        <v>2810</v>
      </c>
      <c r="D6" s="915"/>
      <c r="E6" s="915"/>
      <c r="F6" s="915"/>
      <c r="G6" s="915"/>
      <c r="H6" s="895"/>
      <c r="I6" s="895"/>
      <c r="J6" s="895"/>
      <c r="K6" s="895"/>
      <c r="L6" s="895"/>
      <c r="M6" s="896"/>
      <c r="N6" s="897"/>
      <c r="O6" s="898"/>
      <c r="P6" s="898"/>
      <c r="Q6" s="898"/>
      <c r="R6" s="894"/>
      <c r="S6" s="898"/>
      <c r="T6" s="894"/>
    </row>
    <row r="7">
      <c r="A7" s="916"/>
      <c r="B7" s="917" t="s">
        <v>2811</v>
      </c>
      <c r="C7" s="917"/>
      <c r="D7" s="917"/>
      <c r="E7" s="917"/>
      <c r="F7" s="917"/>
      <c r="G7" s="917"/>
      <c r="H7" s="917"/>
      <c r="I7" s="917"/>
      <c r="J7" s="917"/>
      <c r="K7" s="917"/>
      <c r="L7" s="917"/>
      <c r="M7" s="918" t="s">
        <v>2812</v>
      </c>
      <c r="N7" s="918"/>
      <c r="O7" s="918"/>
      <c r="P7" s="918"/>
      <c r="Q7" s="918"/>
      <c r="R7" s="918"/>
      <c r="S7" s="918"/>
      <c r="T7" s="918"/>
      <c r="U7" s="919"/>
    </row>
    <row r="8">
      <c r="A8" s="916"/>
      <c r="B8" s="920" t="s">
        <v>2813</v>
      </c>
      <c r="C8" s="920" t="s">
        <v>2814</v>
      </c>
      <c r="D8" s="920" t="s">
        <v>2815</v>
      </c>
      <c r="E8" s="920" t="s">
        <v>2816</v>
      </c>
      <c r="F8" s="920" t="s">
        <v>2817</v>
      </c>
      <c r="G8" s="920" t="s">
        <v>2818</v>
      </c>
      <c r="H8" s="920" t="s">
        <v>2819</v>
      </c>
      <c r="I8" s="920" t="s">
        <v>2820</v>
      </c>
      <c r="J8" s="920" t="s">
        <v>2821</v>
      </c>
      <c r="K8" s="920" t="s">
        <v>2822</v>
      </c>
      <c r="L8" s="920" t="s">
        <v>2823</v>
      </c>
      <c r="M8" s="921" t="s">
        <v>2824</v>
      </c>
      <c r="N8" s="922" t="s">
        <v>2825</v>
      </c>
      <c r="O8" s="921" t="s">
        <v>2826</v>
      </c>
      <c r="P8" s="923" t="s">
        <v>2827</v>
      </c>
      <c r="Q8" s="923" t="s">
        <v>2828</v>
      </c>
      <c r="R8" s="920" t="s">
        <v>2829</v>
      </c>
      <c r="S8" s="923" t="s">
        <v>2830</v>
      </c>
      <c r="T8" s="920" t="s">
        <v>2831</v>
      </c>
      <c r="U8" s="919"/>
    </row>
    <row r="9">
      <c r="A9" s="895"/>
      <c r="B9" s="924">
        <f>IFERROR(VLOOKUP(C9,'字段信息'!A:C,3,),"")</f>
      </c>
      <c r="C9" s="925" t="s">
        <v>2832</v>
      </c>
      <c r="D9" s="926">
        <f>IFERROR(VLOOKUP(C9,'字段信息'!A:C,2,),"")</f>
      </c>
      <c r="E9" s="927"/>
      <c r="F9" s="927">
        <f t="shared" ref="F9:F16" si="0">B9</f>
      </c>
      <c r="G9" s="927"/>
      <c r="H9" s="928"/>
      <c r="I9" s="928"/>
      <c r="J9" s="928"/>
      <c r="K9" s="928"/>
      <c r="L9" s="929"/>
      <c r="M9" s="930" t="s">
        <v>2833</v>
      </c>
      <c r="N9" s="931" t="s">
        <v>2834</v>
      </c>
      <c r="O9" s="932" t="s">
        <v>2835</v>
      </c>
      <c r="P9" s="933" t="s">
        <v>2836</v>
      </c>
      <c r="Q9" s="934"/>
      <c r="R9" s="935"/>
      <c r="S9" s="934"/>
      <c r="T9" s="935"/>
      <c r="U9" s="919"/>
    </row>
    <row r="10">
      <c r="A10" s="895"/>
      <c r="B10" s="924">
        <f>IFERROR(VLOOKUP(C10,'字段信息'!A:C,3,),"")</f>
      </c>
      <c r="C10" s="925" t="s">
        <v>2837</v>
      </c>
      <c r="D10" s="926">
        <f>IFERROR(VLOOKUP(C10,'字段信息'!A:C,2,),"")</f>
      </c>
      <c r="E10" s="927"/>
      <c r="F10" s="927">
        <f t="shared" si="0"/>
      </c>
      <c r="G10" s="927" t="s">
        <v>2838</v>
      </c>
      <c r="H10" s="928"/>
      <c r="I10" s="928"/>
      <c r="J10" s="928"/>
      <c r="K10" s="928"/>
      <c r="L10" s="929" t="s">
        <v>2839</v>
      </c>
      <c r="M10" s="930" t="s">
        <v>2833</v>
      </c>
      <c r="N10" s="931" t="s">
        <v>2834</v>
      </c>
      <c r="O10" s="932" t="s">
        <v>2835</v>
      </c>
      <c r="P10" s="930" t="s">
        <v>2840</v>
      </c>
      <c r="Q10" s="934"/>
      <c r="R10" s="935"/>
      <c r="S10" s="934"/>
      <c r="T10" s="935"/>
      <c r="U10" s="919"/>
    </row>
    <row r="11">
      <c r="A11" s="895"/>
      <c r="B11" s="924">
        <f>IFERROR(VLOOKUP(C11,'字段信息'!A:C,3,),"")</f>
      </c>
      <c r="C11" s="925" t="s">
        <v>2841</v>
      </c>
      <c r="D11" s="926">
        <f>IFERROR(VLOOKUP(C11,'字段信息'!A:C,2,),"")</f>
      </c>
      <c r="E11" s="927"/>
      <c r="F11" s="927">
        <f t="shared" si="0"/>
      </c>
      <c r="G11" s="927" t="s">
        <v>2838</v>
      </c>
      <c r="H11" s="928"/>
      <c r="I11" s="928"/>
      <c r="J11" s="928"/>
      <c r="K11" s="928"/>
      <c r="L11" s="929" t="s">
        <v>2839</v>
      </c>
      <c r="M11" s="930" t="s">
        <v>2842</v>
      </c>
      <c r="N11" s="931" t="s">
        <v>2834</v>
      </c>
      <c r="O11" s="932" t="s">
        <v>2835</v>
      </c>
      <c r="P11" s="930" t="s">
        <v>2843</v>
      </c>
      <c r="Q11" s="934"/>
      <c r="R11" s="936" t="s">
        <v>2844</v>
      </c>
      <c r="S11" s="936" t="s">
        <v>2845</v>
      </c>
      <c r="T11" s="935"/>
      <c r="U11" s="919"/>
    </row>
    <row r="12">
      <c r="A12" s="895"/>
      <c r="B12" s="924">
        <f>IFERROR(VLOOKUP(C12,'字段信息'!A:C,3,),"")</f>
      </c>
      <c r="C12" s="925" t="s">
        <v>2846</v>
      </c>
      <c r="D12" s="926">
        <f>IFERROR(VLOOKUP(C12,'字段信息'!A:C,2,),"")</f>
      </c>
      <c r="E12" s="927"/>
      <c r="F12" s="927">
        <f t="shared" si="0"/>
      </c>
      <c r="G12" s="927" t="s">
        <v>2838</v>
      </c>
      <c r="H12" s="928"/>
      <c r="I12" s="928"/>
      <c r="J12" s="928"/>
      <c r="K12" s="928"/>
      <c r="L12" s="929" t="s">
        <v>2839</v>
      </c>
      <c r="M12" s="930"/>
      <c r="N12" s="931" t="s">
        <v>2834</v>
      </c>
      <c r="O12" s="932" t="s">
        <v>2835</v>
      </c>
      <c r="P12" s="930" t="s">
        <v>2847</v>
      </c>
      <c r="Q12" s="934"/>
      <c r="R12" s="935"/>
      <c r="S12" s="934"/>
      <c r="T12" s="935"/>
      <c r="U12" s="919"/>
    </row>
    <row customHeight="true" ht="23.80952380952381" r="13">
      <c r="A13" s="895"/>
      <c r="B13" s="924">
        <f>IFERROR(VLOOKUP(C13,'字段信息'!A:C,3,),"")</f>
      </c>
      <c r="C13" s="925" t="s">
        <v>2848</v>
      </c>
      <c r="D13" s="926">
        <f>IFERROR(VLOOKUP(C13,'字段信息'!A:C,2,),"")</f>
      </c>
      <c r="E13" s="927"/>
      <c r="F13" s="927">
        <f t="shared" si="0"/>
      </c>
      <c r="G13" s="927" t="s">
        <v>2838</v>
      </c>
      <c r="H13" s="928"/>
      <c r="I13" s="928"/>
      <c r="J13" s="928"/>
      <c r="K13" s="928"/>
      <c r="L13" s="937"/>
      <c r="M13" s="930"/>
      <c r="N13" s="931" t="s">
        <v>2834</v>
      </c>
      <c r="O13" s="932" t="s">
        <v>2835</v>
      </c>
      <c r="P13" s="930" t="s">
        <v>2849</v>
      </c>
      <c r="Q13" s="934"/>
      <c r="R13" s="935"/>
      <c r="S13" s="934"/>
      <c r="T13" s="935"/>
      <c r="U13" s="919"/>
    </row>
    <row r="14">
      <c r="A14" s="895"/>
      <c r="B14" s="924">
        <f>IFERROR(VLOOKUP(C14,'字段信息'!A:C,3,),"")</f>
      </c>
      <c r="C14" s="925" t="s">
        <v>2850</v>
      </c>
      <c r="D14" s="926">
        <f>IFERROR(VLOOKUP(C14,'字段信息'!A:C,2,),"")</f>
      </c>
      <c r="E14" s="927"/>
      <c r="F14" s="927">
        <f t="shared" si="0"/>
      </c>
      <c r="G14" s="927" t="s">
        <v>2838</v>
      </c>
      <c r="H14" s="928"/>
      <c r="I14" s="928"/>
      <c r="J14" s="928"/>
      <c r="K14" s="928"/>
      <c r="L14" s="937" t="s">
        <v>2839</v>
      </c>
      <c r="M14" s="930"/>
      <c r="N14" s="931" t="s">
        <v>2834</v>
      </c>
      <c r="O14" s="932" t="s">
        <v>2835</v>
      </c>
      <c r="P14" s="930" t="s">
        <v>2851</v>
      </c>
      <c r="Q14" s="934"/>
      <c r="R14" s="935"/>
      <c r="S14" s="934"/>
      <c r="T14" s="935"/>
      <c r="U14" s="919"/>
    </row>
    <row r="15">
      <c r="A15" s="895"/>
      <c r="B15" s="924">
        <f>IFERROR(VLOOKUP(C15,'字段信息'!A:C,3,),"")</f>
      </c>
      <c r="C15" s="925" t="s">
        <v>2852</v>
      </c>
      <c r="D15" s="926">
        <f>IFERROR(VLOOKUP(C15,'字段信息'!A:C,2,),"")</f>
      </c>
      <c r="E15" s="927"/>
      <c r="F15" s="927">
        <f t="shared" si="0"/>
      </c>
      <c r="G15" s="927" t="s">
        <v>2838</v>
      </c>
      <c r="H15" s="928"/>
      <c r="I15" s="928"/>
      <c r="J15" s="928"/>
      <c r="K15" s="928"/>
      <c r="L15" s="937" t="s">
        <v>2839</v>
      </c>
      <c r="M15" s="930" t="s">
        <v>2833</v>
      </c>
      <c r="N15" s="931" t="s">
        <v>2834</v>
      </c>
      <c r="O15" s="932" t="s">
        <v>2835</v>
      </c>
      <c r="P15" s="930" t="s">
        <v>2853</v>
      </c>
      <c r="Q15" s="934"/>
      <c r="R15" s="935"/>
      <c r="S15" s="934"/>
      <c r="T15" s="935"/>
      <c r="U15" s="919"/>
    </row>
    <row r="16">
      <c r="A16" s="895"/>
      <c r="B16" s="924">
        <f>IFERROR(VLOOKUP(C16,'字段信息'!A:C,3,),"")</f>
      </c>
      <c r="C16" s="925" t="s">
        <v>2854</v>
      </c>
      <c r="D16" s="926">
        <f>IFERROR(VLOOKUP(C16,'字段信息'!A:C,2,),"")</f>
      </c>
      <c r="E16" s="927"/>
      <c r="F16" s="927">
        <f t="shared" si="0"/>
      </c>
      <c r="G16" s="927" t="s">
        <v>2838</v>
      </c>
      <c r="H16" s="928"/>
      <c r="I16" s="928"/>
      <c r="J16" s="928"/>
      <c r="K16" s="928"/>
      <c r="L16" s="937"/>
      <c r="M16" s="938" t="s">
        <v>2833</v>
      </c>
      <c r="N16" s="931" t="s">
        <v>2834</v>
      </c>
      <c r="O16" s="932" t="s">
        <v>2835</v>
      </c>
      <c r="P16" s="930" t="s">
        <v>2855</v>
      </c>
      <c r="Q16" s="934"/>
      <c r="R16" s="935"/>
      <c r="S16" s="934"/>
      <c r="T16" s="935"/>
      <c r="U16" s="919"/>
    </row>
    <row r="17">
      <c r="M17" s="939"/>
      <c r="N17" s="940"/>
      <c r="O17" s="939"/>
      <c r="P17" s="939"/>
      <c r="Q17" s="939"/>
      <c r="S17" s="939"/>
    </row>
    <row r="18">
      <c r="M18" s="939"/>
      <c r="N18" s="940"/>
      <c r="O18" s="939"/>
      <c r="P18" s="939"/>
      <c r="Q18" s="939"/>
      <c r="S18" s="939"/>
    </row>
    <row r="19">
      <c r="M19" s="939"/>
      <c r="N19" s="940"/>
      <c r="O19" s="939"/>
      <c r="P19" s="939"/>
      <c r="Q19" s="939"/>
      <c r="S19" s="939"/>
    </row>
    <row r="20">
      <c r="M20" s="939"/>
      <c r="N20" s="940"/>
      <c r="O20" s="939"/>
      <c r="P20" s="939"/>
      <c r="Q20" s="939"/>
      <c r="S20" s="939"/>
    </row>
    <row r="21">
      <c r="M21" s="939"/>
      <c r="N21" s="940"/>
      <c r="O21" s="939"/>
      <c r="P21" s="939"/>
      <c r="Q21" s="939"/>
      <c r="S21" s="939"/>
    </row>
    <row r="22">
      <c r="M22" s="939"/>
      <c r="N22" s="940"/>
      <c r="O22" s="939"/>
      <c r="P22" s="939"/>
      <c r="Q22" s="939"/>
      <c r="S22" s="939"/>
    </row>
    <row r="23">
      <c r="M23" s="939"/>
      <c r="N23" s="940"/>
      <c r="O23" s="939"/>
      <c r="P23" s="939"/>
      <c r="Q23" s="939"/>
      <c r="S23" s="939"/>
    </row>
    <row r="24">
      <c r="M24" s="939"/>
      <c r="N24" s="940"/>
      <c r="O24" s="939"/>
      <c r="P24" s="939"/>
      <c r="Q24" s="939"/>
      <c r="S24" s="939"/>
    </row>
    <row r="25">
      <c r="M25" s="939"/>
      <c r="N25" s="940"/>
      <c r="O25" s="939"/>
      <c r="P25" s="939"/>
      <c r="Q25" s="939"/>
      <c r="S25" s="939"/>
    </row>
    <row r="26">
      <c r="M26" s="939"/>
      <c r="N26" s="940"/>
      <c r="O26" s="939"/>
      <c r="P26" s="939"/>
      <c r="Q26" s="939"/>
      <c r="S26" s="939"/>
    </row>
    <row r="27">
      <c r="M27" s="939"/>
      <c r="N27" s="940"/>
      <c r="O27" s="939"/>
      <c r="P27" s="939"/>
      <c r="Q27" s="939"/>
      <c r="S27" s="939"/>
    </row>
    <row r="28">
      <c r="M28" s="939"/>
      <c r="N28" s="940"/>
      <c r="O28" s="939"/>
      <c r="P28" s="939"/>
      <c r="Q28" s="939"/>
      <c r="S28" s="939"/>
    </row>
    <row r="29">
      <c r="M29" s="939"/>
      <c r="N29" s="940"/>
      <c r="O29" s="939"/>
      <c r="P29" s="939"/>
      <c r="Q29" s="939"/>
      <c r="S29" s="939"/>
    </row>
    <row r="30">
      <c r="M30" s="939"/>
      <c r="N30" s="940"/>
      <c r="O30" s="939"/>
      <c r="P30" s="939"/>
      <c r="Q30" s="939"/>
      <c r="S30" s="939"/>
    </row>
    <row r="31">
      <c r="M31" s="939"/>
      <c r="N31" s="940"/>
      <c r="O31" s="939"/>
      <c r="P31" s="939"/>
      <c r="Q31" s="939"/>
      <c r="S31" s="939"/>
    </row>
    <row r="32">
      <c r="M32" s="939"/>
      <c r="N32" s="940"/>
      <c r="O32" s="939"/>
      <c r="P32" s="939"/>
      <c r="Q32" s="939"/>
      <c r="S32" s="939"/>
    </row>
    <row r="33">
      <c r="M33" s="939"/>
      <c r="N33" s="940"/>
      <c r="O33" s="939"/>
      <c r="P33" s="939"/>
      <c r="Q33" s="939"/>
      <c r="S33" s="939"/>
    </row>
    <row r="34">
      <c r="M34" s="939"/>
      <c r="N34" s="940"/>
      <c r="O34" s="939"/>
      <c r="P34" s="939"/>
      <c r="Q34" s="939"/>
      <c r="S34" s="939"/>
    </row>
  </sheetData>
  <autoFilter ref="A8:U34"/>
  <mergeCells>
    <mergeCell ref="C6:G6"/>
    <mergeCell ref="B7:G7"/>
    <mergeCell ref="C2:F2"/>
    <mergeCell ref="B1:D1"/>
    <mergeCell ref="M7:T7"/>
  </mergeCells>
  <hyperlinks>
    <hyperlink ref="A1" location="'2. 0 DWM层目录'!A1" display="返回"/>
    <hyperlink ref="A2" location="'规则库'!A1" display="规则库"/>
  </hyperlinks>
  <picture r:id="rId1"/>
</worksheet>
</file>

<file path=xl/worksheets/sheet1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20" min="20" style="0" width="5.577464788732394"/>
    <col collapsed="false" customWidth="true" hidden="false" max="4" min="4" style="0" width="12.56338028169014"/>
    <col collapsed="false" customWidth="true" hidden="false" max="8" min="8" style="0" width="7.154929577464789"/>
    <col collapsed="false" customWidth="true" hidden="true" max="8" min="8" style="0" width="7.154929577464789"/>
    <col collapsed="false" customWidth="true" hidden="false" max="12" min="12" style="0" width="9.746478873239436"/>
    <col collapsed="false" customWidth="true" hidden="true" max="12" min="12" style="0" width="9.746478873239436"/>
    <col collapsed="false" customWidth="true" hidden="false" max="16" min="16" style="0" width="16.09394268100855"/>
    <col collapsed="false" customWidth="true" hidden="false" max="17" min="17" style="0" width="26.422535076947355"/>
    <col collapsed="false" customWidth="true" hidden="false" max="21" min="21" style="0" width="4.206582325351429"/>
    <col collapsed="false" customWidth="true" hidden="false" max="1" min="1" style="0" width="5.23943661971831"/>
    <col collapsed="false" customWidth="true" hidden="false" max="5" min="5" style="0" width="10.647887323943662"/>
    <col collapsed="false" customWidth="true" hidden="false" max="9" min="9" style="0" width="8.732394366197184"/>
    <col collapsed="false" customWidth="true" hidden="true" max="9" min="9" style="0" width="8.732394366197184"/>
    <col collapsed="false" customWidth="true" hidden="false" max="13" min="13" style="0" width="42.046952513275215"/>
    <col collapsed="false" customWidth="true" hidden="false" max="18" min="18" style="0" width="8.732394366197184"/>
    <col collapsed="false" customWidth="true" hidden="false" max="2" min="2" style="0" width="21.014084507042252"/>
    <col collapsed="false" customWidth="true" hidden="false" max="6" min="6" style="0" width="17.070422535211268"/>
    <col collapsed="false" customWidth="true" hidden="false" max="10" min="10" style="0" width="13.80281690140845"/>
    <col collapsed="false" customWidth="true" hidden="true" max="10" min="10" style="0" width="13.80281690140845"/>
    <col collapsed="false" customWidth="true" hidden="false" max="14" min="14" style="0" width="7.154929577464789"/>
    <col collapsed="false" customWidth="true" hidden="false" max="19" min="19" style="0" width="29.014081887796095"/>
    <col collapsed="false" customWidth="true" hidden="false" max="3" min="3" style="0" width="19.774647887323944"/>
    <col collapsed="false" customWidth="true" hidden="false" max="7" min="7" style="0" width="8.732394366197184"/>
    <col collapsed="false" customWidth="true" hidden="false" max="11" min="11" style="0" width="8.732394366197184"/>
    <col collapsed="false" customWidth="true" hidden="true" max="11" min="11" style="0" width="8.732394366197184"/>
    <col collapsed="false" customWidth="true" hidden="false" max="15" min="15" style="0" width="23.868590568332493"/>
  </cols>
  <sheetData>
    <row r="1">
      <c r="A1" s="941" t="s">
        <v>2856</v>
      </c>
      <c r="B1" s="942" t="s">
        <v>2857</v>
      </c>
      <c r="C1" s="943"/>
      <c r="D1" s="943"/>
      <c r="E1" s="944"/>
      <c r="F1" s="944"/>
      <c r="G1" s="944"/>
      <c r="H1" s="945"/>
      <c r="I1" s="945"/>
      <c r="J1" s="945"/>
      <c r="K1" s="945"/>
      <c r="L1" s="945"/>
      <c r="M1" s="946"/>
      <c r="N1" s="947"/>
      <c r="O1" s="948"/>
      <c r="P1" s="948"/>
      <c r="Q1" s="948"/>
      <c r="R1" s="944"/>
      <c r="S1" s="948"/>
      <c r="T1" s="944"/>
    </row>
    <row r="2">
      <c r="A2" s="941" t="s">
        <v>2858</v>
      </c>
      <c r="B2" s="949" t="s">
        <v>2859</v>
      </c>
      <c r="C2" s="950" t="s">
        <v>2860</v>
      </c>
      <c r="D2" s="951"/>
      <c r="E2" s="951"/>
      <c r="F2" s="951"/>
      <c r="G2" s="951"/>
      <c r="H2" s="945"/>
      <c r="I2" s="945"/>
      <c r="J2" s="945"/>
      <c r="K2" s="945"/>
      <c r="L2" s="945"/>
      <c r="M2" s="952" t="s">
        <v>2861</v>
      </c>
      <c r="N2" s="947"/>
      <c r="O2" s="948"/>
      <c r="P2" s="948"/>
      <c r="Q2" s="948"/>
      <c r="R2" s="944"/>
      <c r="S2" s="948"/>
      <c r="T2" s="944"/>
    </row>
    <row r="3">
      <c r="A3" s="953"/>
      <c r="B3" s="954" t="s">
        <v>2862</v>
      </c>
      <c r="C3" s="955" t="s">
        <v>2863</v>
      </c>
      <c r="D3" s="956" t="s">
        <v>2864</v>
      </c>
      <c r="E3" s="957" t="s">
        <v>2865</v>
      </c>
      <c r="F3" s="954" t="s">
        <v>2866</v>
      </c>
      <c r="G3" s="955" t="s">
        <v>2867</v>
      </c>
      <c r="H3" s="945"/>
      <c r="I3" s="945"/>
      <c r="J3" s="945"/>
      <c r="K3" s="945"/>
      <c r="L3" s="945"/>
      <c r="M3" s="958" t="s">
        <v>2868</v>
      </c>
      <c r="N3" s="947"/>
      <c r="O3" s="948"/>
      <c r="P3" s="948"/>
      <c r="Q3" s="948"/>
      <c r="R3" s="944"/>
      <c r="S3" s="948"/>
      <c r="T3" s="944"/>
    </row>
    <row r="4">
      <c r="A4" s="953"/>
      <c r="B4" s="954" t="s">
        <v>2869</v>
      </c>
      <c r="C4" s="959" t="s">
        <v>2870</v>
      </c>
      <c r="D4" s="960" t="s">
        <v>2871</v>
      </c>
      <c r="E4" s="961" t="s">
        <v>2872</v>
      </c>
      <c r="F4" s="960" t="s">
        <v>2873</v>
      </c>
      <c r="G4" s="955" t="s">
        <v>2874</v>
      </c>
      <c r="H4" s="945"/>
      <c r="I4" s="945"/>
      <c r="J4" s="945"/>
      <c r="K4" s="945"/>
      <c r="L4" s="945"/>
      <c r="M4" s="958" t="s">
        <v>2875</v>
      </c>
      <c r="N4" s="947"/>
      <c r="O4" s="948"/>
      <c r="P4" s="948"/>
      <c r="Q4" s="948"/>
      <c r="R4" s="944"/>
      <c r="S4" s="948"/>
      <c r="T4" s="944"/>
    </row>
    <row r="5">
      <c r="A5" s="953"/>
      <c r="B5" s="954" t="s">
        <v>2876</v>
      </c>
      <c r="C5" s="955" t="s">
        <v>2877</v>
      </c>
      <c r="D5" s="956" t="s">
        <v>2878</v>
      </c>
      <c r="E5" s="962"/>
      <c r="F5" s="956" t="s">
        <v>2879</v>
      </c>
      <c r="G5" s="963"/>
      <c r="H5" s="945"/>
      <c r="I5" s="945"/>
      <c r="J5" s="945"/>
      <c r="K5" s="945"/>
      <c r="L5" s="945"/>
      <c r="M5" s="958" t="s">
        <v>2880</v>
      </c>
      <c r="N5" s="947"/>
      <c r="O5" s="948"/>
      <c r="P5" s="948"/>
      <c r="Q5" s="948"/>
      <c r="R5" s="944"/>
      <c r="S5" s="948"/>
      <c r="T5" s="944"/>
    </row>
    <row r="6">
      <c r="A6" s="953"/>
      <c r="B6" s="964" t="s">
        <v>2881</v>
      </c>
      <c r="C6" s="965" t="s">
        <v>2882</v>
      </c>
      <c r="D6" s="966"/>
      <c r="E6" s="966"/>
      <c r="F6" s="966"/>
      <c r="G6" s="966"/>
      <c r="H6" s="945"/>
      <c r="I6" s="945"/>
      <c r="J6" s="945"/>
      <c r="K6" s="945"/>
      <c r="L6" s="945"/>
      <c r="M6" s="958" t="s">
        <v>2883</v>
      </c>
      <c r="N6" s="947"/>
      <c r="O6" s="948"/>
      <c r="P6" s="948"/>
      <c r="Q6" s="948"/>
      <c r="R6" s="944"/>
      <c r="S6" s="948"/>
      <c r="T6" s="944"/>
    </row>
    <row r="7">
      <c r="A7" s="967"/>
      <c r="B7" s="968" t="s">
        <v>2884</v>
      </c>
      <c r="C7" s="968"/>
      <c r="D7" s="968"/>
      <c r="E7" s="968"/>
      <c r="F7" s="968"/>
      <c r="G7" s="968"/>
      <c r="H7" s="968"/>
      <c r="I7" s="968"/>
      <c r="J7" s="968"/>
      <c r="K7" s="968"/>
      <c r="L7" s="968"/>
      <c r="M7" s="969" t="s">
        <v>2885</v>
      </c>
      <c r="N7" s="968"/>
      <c r="O7" s="970"/>
      <c r="P7" s="970"/>
      <c r="Q7" s="970"/>
      <c r="R7" s="968"/>
      <c r="S7" s="970"/>
      <c r="T7" s="968"/>
      <c r="U7" s="971"/>
    </row>
    <row r="8">
      <c r="A8" s="967"/>
      <c r="B8" s="972" t="s">
        <v>2886</v>
      </c>
      <c r="C8" s="972" t="s">
        <v>2887</v>
      </c>
      <c r="D8" s="972" t="s">
        <v>2888</v>
      </c>
      <c r="E8" s="972" t="s">
        <v>2889</v>
      </c>
      <c r="F8" s="972" t="s">
        <v>2890</v>
      </c>
      <c r="G8" s="972" t="s">
        <v>2891</v>
      </c>
      <c r="H8" s="972" t="s">
        <v>2892</v>
      </c>
      <c r="I8" s="972" t="s">
        <v>2893</v>
      </c>
      <c r="J8" s="972" t="s">
        <v>2894</v>
      </c>
      <c r="K8" s="972" t="s">
        <v>2895</v>
      </c>
      <c r="L8" s="972" t="s">
        <v>2896</v>
      </c>
      <c r="M8" s="973" t="s">
        <v>2897</v>
      </c>
      <c r="N8" s="974" t="s">
        <v>2898</v>
      </c>
      <c r="O8" s="973" t="s">
        <v>2899</v>
      </c>
      <c r="P8" s="975" t="s">
        <v>2900</v>
      </c>
      <c r="Q8" s="975" t="s">
        <v>2901</v>
      </c>
      <c r="R8" s="972" t="s">
        <v>2902</v>
      </c>
      <c r="S8" s="975" t="s">
        <v>2903</v>
      </c>
      <c r="T8" s="972" t="s">
        <v>2904</v>
      </c>
      <c r="U8" s="971"/>
    </row>
    <row r="9">
      <c r="A9" s="945"/>
      <c r="B9" s="976">
        <f>IFERROR(VLOOKUP(C9,'字段信息'!A:C,3,),"")</f>
      </c>
      <c r="C9" s="977" t="s">
        <v>2905</v>
      </c>
      <c r="D9" s="978">
        <f>IFERROR(VLOOKUP(C9,'字段信息'!A:C,2,),"")</f>
      </c>
      <c r="E9" s="979"/>
      <c r="F9" s="979">
        <f t="shared" ref="F9:F16" si="0">B9</f>
      </c>
      <c r="G9" s="979" t="s">
        <v>2906</v>
      </c>
      <c r="H9" s="980"/>
      <c r="I9" s="980"/>
      <c r="J9" s="980"/>
      <c r="K9" s="980"/>
      <c r="L9" s="981"/>
      <c r="M9" s="982" t="s">
        <v>2907</v>
      </c>
      <c r="N9" s="983"/>
      <c r="O9" s="984"/>
      <c r="P9" s="978"/>
      <c r="Q9" s="985"/>
      <c r="R9" s="986"/>
      <c r="S9" s="985"/>
      <c r="T9" s="986"/>
      <c r="U9" s="971"/>
    </row>
    <row r="10">
      <c r="A10" s="945"/>
      <c r="B10" s="976">
        <f>IFERROR(VLOOKUP(C10,'字段信息'!A:C,3,),"")</f>
      </c>
      <c r="C10" s="977" t="s">
        <v>2908</v>
      </c>
      <c r="D10" s="978">
        <f>IFERROR(VLOOKUP(C10,'字段信息'!A:C,2,),"")</f>
      </c>
      <c r="E10" s="979"/>
      <c r="F10" s="979">
        <f t="shared" si="0"/>
      </c>
      <c r="G10" s="979" t="s">
        <v>2906</v>
      </c>
      <c r="H10" s="980"/>
      <c r="I10" s="980"/>
      <c r="J10" s="980"/>
      <c r="K10" s="980"/>
      <c r="L10" s="981" t="s">
        <v>2909</v>
      </c>
      <c r="M10" s="982" t="s">
        <v>2910</v>
      </c>
      <c r="N10" s="983" t="s">
        <v>2911</v>
      </c>
      <c r="O10" s="984" t="s">
        <v>2860</v>
      </c>
      <c r="P10" s="978"/>
      <c r="Q10" s="985"/>
      <c r="R10" s="986"/>
      <c r="S10" s="985"/>
      <c r="T10" s="986"/>
      <c r="U10" s="971"/>
    </row>
    <row customHeight="true" ht="47.61904761904762" r="11">
      <c r="A11" s="945"/>
      <c r="B11" s="976">
        <f>IFERROR(VLOOKUP(C11,'字段信息'!A:C,3,),"")</f>
      </c>
      <c r="C11" s="977" t="s">
        <v>2912</v>
      </c>
      <c r="D11" s="978">
        <f>IFERROR(VLOOKUP(C11,'字段信息'!A:C,2,),"")</f>
      </c>
      <c r="E11" s="979"/>
      <c r="F11" s="979">
        <f t="shared" si="0"/>
      </c>
      <c r="G11" s="979" t="s">
        <v>2906</v>
      </c>
      <c r="H11" s="980"/>
      <c r="I11" s="980"/>
      <c r="J11" s="980"/>
      <c r="K11" s="980"/>
      <c r="L11" s="981"/>
      <c r="M11" s="982" t="s">
        <v>2913</v>
      </c>
      <c r="N11" s="983" t="s">
        <v>2911</v>
      </c>
      <c r="O11" s="984" t="s">
        <v>2860</v>
      </c>
      <c r="P11" s="987"/>
      <c r="Q11" s="985"/>
      <c r="R11" s="988"/>
      <c r="S11" s="985"/>
      <c r="T11" s="986"/>
      <c r="U11" s="971"/>
    </row>
    <row r="12">
      <c r="A12" s="945"/>
      <c r="B12" s="976">
        <f>IFERROR(VLOOKUP(C12,'字段信息'!A:C,3,),"")</f>
      </c>
      <c r="C12" s="977" t="s">
        <v>2914</v>
      </c>
      <c r="D12" s="978">
        <f>IFERROR(VLOOKUP(C12,'字段信息'!A:C,2,),"")</f>
      </c>
      <c r="E12" s="979"/>
      <c r="F12" s="979">
        <f t="shared" si="0"/>
      </c>
      <c r="G12" s="979" t="s">
        <v>2906</v>
      </c>
      <c r="H12" s="980"/>
      <c r="I12" s="980"/>
      <c r="J12" s="980"/>
      <c r="K12" s="980"/>
      <c r="L12" s="981" t="s">
        <v>2909</v>
      </c>
      <c r="M12" s="989" t="s">
        <v>2915</v>
      </c>
      <c r="N12" s="983" t="s">
        <v>2911</v>
      </c>
      <c r="O12" s="984" t="s">
        <v>2860</v>
      </c>
      <c r="P12" s="987"/>
      <c r="Q12" s="985"/>
      <c r="R12" s="988"/>
      <c r="S12" s="985"/>
      <c r="T12" s="986"/>
      <c r="U12" s="971"/>
    </row>
    <row customHeight="true" ht="47.61904761904762" r="13">
      <c r="A13" s="945"/>
      <c r="B13" s="976">
        <f>IFERROR(VLOOKUP(C13,'字段信息'!A:C,3,),"")</f>
      </c>
      <c r="C13" s="977" t="s">
        <v>2916</v>
      </c>
      <c r="D13" s="978">
        <f>IFERROR(VLOOKUP(C13,'字段信息'!A:C,2,),"")</f>
      </c>
      <c r="E13" s="979"/>
      <c r="F13" s="979">
        <f t="shared" si="0"/>
      </c>
      <c r="G13" s="979" t="s">
        <v>2906</v>
      </c>
      <c r="H13" s="980"/>
      <c r="I13" s="980"/>
      <c r="J13" s="980"/>
      <c r="K13" s="980"/>
      <c r="L13" s="981"/>
      <c r="M13" s="989" t="s">
        <v>2917</v>
      </c>
      <c r="N13" s="983" t="s">
        <v>2911</v>
      </c>
      <c r="O13" s="984" t="s">
        <v>2860</v>
      </c>
      <c r="P13" s="987"/>
      <c r="Q13" s="990"/>
      <c r="R13" s="988"/>
      <c r="S13" s="985"/>
      <c r="T13" s="986"/>
      <c r="U13" s="971"/>
    </row>
    <row r="14">
      <c r="A14" s="945"/>
      <c r="B14" s="976">
        <f>IFERROR(VLOOKUP(C14,'字段信息'!A:C,3,),"")</f>
      </c>
      <c r="C14" s="977" t="s">
        <v>2918</v>
      </c>
      <c r="D14" s="978">
        <f>IFERROR(VLOOKUP(C14,'字段信息'!A:C,2,),"")</f>
      </c>
      <c r="E14" s="979"/>
      <c r="F14" s="979">
        <f t="shared" si="0"/>
      </c>
      <c r="G14" s="979" t="s">
        <v>2906</v>
      </c>
      <c r="H14" s="980"/>
      <c r="I14" s="980"/>
      <c r="J14" s="980"/>
      <c r="K14" s="980"/>
      <c r="L14" s="981" t="s">
        <v>2909</v>
      </c>
      <c r="M14" s="991" t="s">
        <v>2919</v>
      </c>
      <c r="N14" s="983" t="s">
        <v>2911</v>
      </c>
      <c r="O14" s="984" t="s">
        <v>2860</v>
      </c>
      <c r="P14" s="987"/>
      <c r="Q14" s="990"/>
      <c r="R14" s="988"/>
      <c r="S14" s="985"/>
      <c r="T14" s="986"/>
      <c r="U14" s="971"/>
    </row>
    <row customHeight="true" ht="59.523809523809526" r="15">
      <c r="A15" s="945"/>
      <c r="B15" s="976">
        <f>IFERROR(VLOOKUP(C15,'字段信息'!A:C,3,),"")</f>
      </c>
      <c r="C15" s="977" t="s">
        <v>2920</v>
      </c>
      <c r="D15" s="978">
        <f>IFERROR(VLOOKUP(C15,'字段信息'!A:C,2,),"")</f>
      </c>
      <c r="E15" s="979"/>
      <c r="F15" s="979">
        <f t="shared" si="0"/>
      </c>
      <c r="G15" s="979" t="s">
        <v>2906</v>
      </c>
      <c r="H15" s="980"/>
      <c r="I15" s="980"/>
      <c r="J15" s="980"/>
      <c r="K15" s="980"/>
      <c r="L15" s="992"/>
      <c r="M15" s="993" t="s">
        <v>2921</v>
      </c>
      <c r="N15" s="994" t="s">
        <v>2911</v>
      </c>
      <c r="O15" s="995" t="s">
        <v>2860</v>
      </c>
      <c r="P15" s="996"/>
      <c r="Q15" s="990"/>
      <c r="R15" s="988"/>
      <c r="S15" s="985"/>
      <c r="T15" s="986"/>
      <c r="U15" s="971"/>
    </row>
    <row r="16">
      <c r="A16" s="945"/>
      <c r="B16" s="976">
        <f>IFERROR(VLOOKUP(C16,'字段信息'!A:C,3,),"")</f>
      </c>
      <c r="C16" s="977" t="s">
        <v>2922</v>
      </c>
      <c r="D16" s="978">
        <f>IFERROR(VLOOKUP(C16,'字段信息'!A:C,2,),"")</f>
      </c>
      <c r="E16" s="979"/>
      <c r="F16" s="979">
        <f t="shared" si="0"/>
      </c>
      <c r="G16" s="979" t="s">
        <v>2906</v>
      </c>
      <c r="H16" s="980"/>
      <c r="I16" s="980"/>
      <c r="J16" s="980"/>
      <c r="K16" s="980"/>
      <c r="L16" s="992" t="s">
        <v>2909</v>
      </c>
      <c r="M16" s="993" t="s">
        <v>2923</v>
      </c>
      <c r="N16" s="994" t="s">
        <v>2911</v>
      </c>
      <c r="O16" s="995" t="s">
        <v>2860</v>
      </c>
      <c r="P16" s="996"/>
      <c r="Q16" s="990"/>
      <c r="R16" s="988"/>
      <c r="S16" s="985"/>
      <c r="T16" s="986"/>
      <c r="U16" s="971"/>
    </row>
    <row r="17">
      <c r="M17" s="997"/>
      <c r="N17" s="998"/>
      <c r="O17" s="997"/>
      <c r="P17" s="997"/>
      <c r="Q17" s="997"/>
      <c r="S17" s="997"/>
    </row>
    <row r="18">
      <c r="M18" s="997"/>
      <c r="N18" s="998"/>
      <c r="O18" s="997"/>
      <c r="P18" s="997"/>
      <c r="Q18" s="997"/>
      <c r="S18" s="997"/>
    </row>
    <row r="19">
      <c r="M19" s="997"/>
      <c r="N19" s="998"/>
      <c r="O19" s="997"/>
      <c r="P19" s="997"/>
      <c r="Q19" s="997"/>
      <c r="S19" s="997"/>
    </row>
    <row r="20">
      <c r="M20" s="997"/>
      <c r="N20" s="998"/>
      <c r="O20" s="997"/>
      <c r="P20" s="997"/>
      <c r="Q20" s="997"/>
      <c r="S20" s="997"/>
    </row>
    <row r="21">
      <c r="M21" s="997"/>
      <c r="N21" s="998"/>
      <c r="O21" s="997"/>
      <c r="P21" s="997"/>
      <c r="Q21" s="997"/>
      <c r="S21" s="997"/>
    </row>
    <row r="22">
      <c r="M22" s="997"/>
      <c r="N22" s="998"/>
      <c r="O22" s="997"/>
      <c r="P22" s="997"/>
      <c r="Q22" s="997"/>
      <c r="S22" s="997"/>
    </row>
    <row r="23">
      <c r="M23" s="997"/>
      <c r="N23" s="998"/>
      <c r="O23" s="997"/>
      <c r="P23" s="997"/>
      <c r="Q23" s="997"/>
      <c r="S23" s="997"/>
    </row>
    <row r="24">
      <c r="M24" s="997"/>
      <c r="N24" s="998"/>
      <c r="O24" s="997"/>
      <c r="P24" s="997"/>
      <c r="Q24" s="997"/>
      <c r="S24" s="997"/>
    </row>
    <row r="25">
      <c r="M25" s="997"/>
      <c r="N25" s="998"/>
      <c r="O25" s="997"/>
      <c r="P25" s="997"/>
      <c r="Q25" s="997"/>
      <c r="S25" s="997"/>
    </row>
    <row r="26">
      <c r="M26" s="997"/>
      <c r="N26" s="998"/>
      <c r="O26" s="997"/>
      <c r="P26" s="997"/>
      <c r="Q26" s="997"/>
      <c r="S26" s="997"/>
    </row>
    <row r="27">
      <c r="M27" s="997"/>
      <c r="N27" s="998"/>
      <c r="O27" s="997"/>
      <c r="P27" s="997"/>
      <c r="Q27" s="997"/>
      <c r="S27" s="997"/>
    </row>
    <row r="28">
      <c r="M28" s="997"/>
      <c r="N28" s="998"/>
      <c r="O28" s="997"/>
      <c r="P28" s="997"/>
      <c r="Q28" s="997"/>
      <c r="S28" s="997"/>
    </row>
    <row r="29">
      <c r="M29" s="997"/>
      <c r="N29" s="998"/>
      <c r="O29" s="997"/>
      <c r="P29" s="997"/>
      <c r="Q29" s="997"/>
      <c r="S29" s="997"/>
    </row>
    <row r="30">
      <c r="M30" s="997"/>
      <c r="N30" s="998"/>
      <c r="O30" s="997"/>
      <c r="P30" s="997"/>
      <c r="Q30" s="997"/>
      <c r="S30" s="997"/>
    </row>
    <row r="31">
      <c r="M31" s="997"/>
      <c r="N31" s="998"/>
      <c r="O31" s="997"/>
      <c r="P31" s="997"/>
      <c r="Q31" s="997"/>
      <c r="S31" s="997"/>
    </row>
    <row r="32">
      <c r="M32" s="997"/>
      <c r="N32" s="998"/>
      <c r="O32" s="997"/>
      <c r="P32" s="997"/>
      <c r="Q32" s="997"/>
      <c r="S32" s="997"/>
    </row>
    <row r="33">
      <c r="M33" s="997"/>
      <c r="N33" s="998"/>
      <c r="O33" s="997"/>
      <c r="P33" s="997"/>
      <c r="Q33" s="997"/>
      <c r="S33" s="997"/>
    </row>
    <row r="34">
      <c r="M34" s="997"/>
      <c r="N34" s="998"/>
      <c r="O34" s="997"/>
      <c r="P34" s="997"/>
      <c r="Q34" s="997"/>
      <c r="S34" s="997"/>
    </row>
  </sheetData>
  <autoFilter ref="A8:U34"/>
  <mergeCells>
    <mergeCell ref="B1:D1"/>
    <mergeCell ref="C2:F2"/>
    <mergeCell ref="M7:T7"/>
    <mergeCell ref="B7:G7"/>
    <mergeCell ref="C6:G6"/>
  </mergeCells>
  <hyperlinks>
    <hyperlink ref="A1" location="'2. 0 DWM层目录'!A1" display="返回"/>
    <hyperlink ref="A2" location="'规则库'!A1" display="规则库"/>
  </hyperlinks>
  <picture r:id="rId1"/>
</worksheet>
</file>

<file path=xl/worksheets/sheet2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12" min="12" style="0" width="9.746478873239436"/>
    <col collapsed="false" customWidth="true" hidden="true" max="12" min="12" style="0" width="9.746478873239436"/>
    <col collapsed="false" customWidth="true" hidden="false" max="16" min="16" style="0" width="24.5446051999062"/>
    <col collapsed="false" customWidth="true" hidden="false" max="20" min="20" style="0" width="5.577464788732394"/>
    <col collapsed="false" customWidth="true" hidden="false" max="4" min="4" style="0" width="12.56338028169014"/>
    <col collapsed="false" customWidth="true" hidden="false" max="8" min="8" style="0" width="7.154929577464789"/>
    <col collapsed="false" customWidth="true" hidden="true" max="8" min="8" style="0" width="7.154929577464789"/>
    <col collapsed="false" customWidth="true" hidden="false" max="11" min="11" style="0" width="8.732394366197184"/>
    <col collapsed="false" customWidth="true" hidden="true" max="11" min="11" style="0" width="8.732394366197184"/>
    <col collapsed="false" customWidth="true" hidden="false" max="15" min="15" style="0" width="23.868590568332493"/>
    <col collapsed="false" customWidth="true" hidden="false" max="19" min="19" style="0" width="81.16432880422467"/>
    <col collapsed="false" customWidth="true" hidden="false" max="3" min="3" style="0" width="19.774647887323944"/>
    <col collapsed="false" customWidth="true" hidden="false" max="7" min="7" style="0" width="8.732394366197184"/>
    <col collapsed="false" customWidth="true" hidden="false" max="10" min="10" style="0" width="13.80281690140845"/>
    <col collapsed="false" customWidth="true" hidden="true" max="10" min="10" style="0" width="13.80281690140845"/>
    <col collapsed="false" customWidth="true" hidden="false" max="14" min="14" style="0" width="7.530520692863948"/>
    <col collapsed="false" customWidth="true" hidden="false" max="18" min="18" style="0" width="31.680755330176627"/>
    <col collapsed="false" customWidth="true" hidden="false" max="2" min="2" style="0" width="23.718309859154928"/>
    <col collapsed="false" customWidth="true" hidden="false" max="6" min="6" style="0" width="17.070422535211268"/>
    <col collapsed="false" customWidth="true" hidden="false" max="9" min="9" style="0" width="8.732394366197184"/>
    <col collapsed="false" customWidth="true" hidden="true" max="9" min="9" style="0" width="8.732394366197184"/>
    <col collapsed="false" customWidth="true" hidden="false" max="13" min="13" style="0" width="41.070422535211264"/>
    <col collapsed="false" customWidth="true" hidden="false" max="17" min="17" style="0" width="26.422535076947355"/>
    <col collapsed="false" customWidth="true" hidden="false" max="21" min="21" style="0" width="4.206582325351429"/>
    <col collapsed="false" customWidth="true" hidden="false" max="1" min="1" style="0" width="5.23943661971831"/>
    <col collapsed="false" customWidth="true" hidden="false" max="5" min="5" style="0" width="10.647887323943662"/>
  </cols>
  <sheetData>
    <row r="1">
      <c r="A1" s="999" t="s">
        <v>2924</v>
      </c>
      <c r="B1" s="1000" t="s">
        <v>2925</v>
      </c>
      <c r="C1" s="1001"/>
      <c r="D1" s="1001"/>
      <c r="E1" s="1002"/>
      <c r="F1" s="1003"/>
      <c r="G1" s="1002"/>
      <c r="H1" s="1004"/>
      <c r="I1" s="1004"/>
      <c r="J1" s="1004"/>
      <c r="K1" s="1004"/>
      <c r="L1" s="1004"/>
      <c r="M1" s="1005"/>
      <c r="N1" s="1006"/>
      <c r="O1" s="1003"/>
      <c r="P1" s="1003"/>
      <c r="Q1" s="1003"/>
      <c r="R1" s="1002"/>
      <c r="S1" s="1003"/>
      <c r="T1" s="1002"/>
    </row>
    <row r="2">
      <c r="A2" s="999" t="s">
        <v>2926</v>
      </c>
      <c r="B2" s="1007" t="s">
        <v>2927</v>
      </c>
      <c r="C2" s="1008" t="s">
        <v>2928</v>
      </c>
      <c r="D2" s="1009"/>
      <c r="E2" s="1009"/>
      <c r="F2" s="1010"/>
      <c r="G2" s="1009"/>
      <c r="H2" s="1004"/>
      <c r="I2" s="1004"/>
      <c r="J2" s="1004"/>
      <c r="K2" s="1004"/>
      <c r="L2" s="1004"/>
      <c r="M2" s="1011" t="s">
        <v>2929</v>
      </c>
      <c r="N2" s="1006"/>
      <c r="O2" s="1003"/>
      <c r="P2" s="1003"/>
      <c r="Q2" s="1003"/>
      <c r="R2" s="1002"/>
      <c r="S2" s="1003"/>
      <c r="T2" s="1002"/>
    </row>
    <row r="3">
      <c r="A3" s="1012"/>
      <c r="B3" s="1013" t="s">
        <v>2930</v>
      </c>
      <c r="C3" s="1014" t="s">
        <v>2931</v>
      </c>
      <c r="D3" s="1015" t="s">
        <v>2932</v>
      </c>
      <c r="E3" s="1016" t="s">
        <v>2933</v>
      </c>
      <c r="F3" s="1013" t="s">
        <v>2934</v>
      </c>
      <c r="G3" s="1014" t="s">
        <v>2935</v>
      </c>
      <c r="H3" s="1004"/>
      <c r="I3" s="1004"/>
      <c r="J3" s="1004"/>
      <c r="K3" s="1004"/>
      <c r="L3" s="1004"/>
      <c r="M3" s="1017" t="s">
        <v>2936</v>
      </c>
      <c r="N3" s="1006"/>
      <c r="O3" s="1003"/>
      <c r="P3" s="1003"/>
      <c r="Q3" s="1003"/>
      <c r="R3" s="1002"/>
      <c r="S3" s="1003"/>
      <c r="T3" s="1002"/>
    </row>
    <row r="4">
      <c r="A4" s="1012"/>
      <c r="B4" s="1013" t="s">
        <v>2937</v>
      </c>
      <c r="C4" s="1018" t="s">
        <v>2938</v>
      </c>
      <c r="D4" s="1019" t="s">
        <v>2939</v>
      </c>
      <c r="E4" s="1020" t="s">
        <v>2940</v>
      </c>
      <c r="F4" s="1021" t="s">
        <v>2941</v>
      </c>
      <c r="G4" s="1014" t="s">
        <v>2942</v>
      </c>
      <c r="H4" s="1004"/>
      <c r="I4" s="1004"/>
      <c r="J4" s="1004"/>
      <c r="K4" s="1004"/>
      <c r="L4" s="1004"/>
      <c r="M4" s="1017" t="s">
        <v>2943</v>
      </c>
      <c r="N4" s="1006"/>
      <c r="O4" s="1003"/>
      <c r="P4" s="1003"/>
      <c r="Q4" s="1003"/>
      <c r="R4" s="1002"/>
      <c r="S4" s="1003"/>
      <c r="T4" s="1002"/>
    </row>
    <row r="5">
      <c r="A5" s="1012"/>
      <c r="B5" s="1013" t="s">
        <v>2944</v>
      </c>
      <c r="C5" s="1014" t="s">
        <v>2945</v>
      </c>
      <c r="D5" s="1015" t="s">
        <v>2946</v>
      </c>
      <c r="E5" s="1022"/>
      <c r="F5" s="1023" t="s">
        <v>2947</v>
      </c>
      <c r="G5" s="1024"/>
      <c r="H5" s="1004"/>
      <c r="I5" s="1004"/>
      <c r="J5" s="1004"/>
      <c r="K5" s="1004"/>
      <c r="L5" s="1004"/>
      <c r="M5" s="1017" t="s">
        <v>2948</v>
      </c>
      <c r="N5" s="1006"/>
      <c r="O5" s="1003"/>
      <c r="P5" s="1003"/>
      <c r="Q5" s="1003"/>
      <c r="R5" s="1002"/>
      <c r="S5" s="1003"/>
      <c r="T5" s="1002"/>
    </row>
    <row r="6">
      <c r="A6" s="1012"/>
      <c r="B6" s="1025" t="s">
        <v>2949</v>
      </c>
      <c r="C6" s="1026" t="s">
        <v>2950</v>
      </c>
      <c r="D6" s="1027"/>
      <c r="E6" s="1027"/>
      <c r="F6" s="1027"/>
      <c r="G6" s="1027"/>
      <c r="H6" s="1004"/>
      <c r="I6" s="1004"/>
      <c r="J6" s="1004"/>
      <c r="K6" s="1004"/>
      <c r="L6" s="1004"/>
      <c r="M6" s="1017" t="s">
        <v>2951</v>
      </c>
      <c r="O6" s="1028" t="s">
        <v>2952</v>
      </c>
      <c r="P6" s="1003"/>
      <c r="Q6" s="1003"/>
      <c r="R6" s="1002"/>
      <c r="S6" s="1003"/>
      <c r="T6" s="1002"/>
    </row>
    <row r="7">
      <c r="A7" s="1029"/>
      <c r="B7" s="1030" t="s">
        <v>2953</v>
      </c>
      <c r="C7" s="1031"/>
      <c r="D7" s="1031"/>
      <c r="E7" s="1031"/>
      <c r="F7" s="1030"/>
      <c r="G7" s="1031"/>
      <c r="H7" s="1031"/>
      <c r="I7" s="1031"/>
      <c r="J7" s="1031"/>
      <c r="K7" s="1031"/>
      <c r="L7" s="1031"/>
      <c r="M7" s="1032" t="s">
        <v>2954</v>
      </c>
      <c r="N7" s="1030"/>
      <c r="O7" s="1030"/>
      <c r="P7" s="1030"/>
      <c r="Q7" s="1030"/>
      <c r="R7" s="1031"/>
      <c r="S7" s="1030"/>
      <c r="T7" s="1031"/>
      <c r="U7" s="1028"/>
    </row>
    <row r="8">
      <c r="A8" s="1029"/>
      <c r="B8" s="1033" t="s">
        <v>2955</v>
      </c>
      <c r="C8" s="1034" t="s">
        <v>2956</v>
      </c>
      <c r="D8" s="1034" t="s">
        <v>2957</v>
      </c>
      <c r="E8" s="1034" t="s">
        <v>2958</v>
      </c>
      <c r="F8" s="1033" t="s">
        <v>2959</v>
      </c>
      <c r="G8" s="1034" t="s">
        <v>2960</v>
      </c>
      <c r="H8" s="1034" t="s">
        <v>2961</v>
      </c>
      <c r="I8" s="1034" t="s">
        <v>2962</v>
      </c>
      <c r="J8" s="1034" t="s">
        <v>2963</v>
      </c>
      <c r="K8" s="1034" t="s">
        <v>2964</v>
      </c>
      <c r="L8" s="1034" t="s">
        <v>2965</v>
      </c>
      <c r="M8" s="1035" t="s">
        <v>2966</v>
      </c>
      <c r="N8" s="1035" t="s">
        <v>2967</v>
      </c>
      <c r="O8" s="1035" t="s">
        <v>2968</v>
      </c>
      <c r="P8" s="1033" t="s">
        <v>2969</v>
      </c>
      <c r="Q8" s="1033" t="s">
        <v>2970</v>
      </c>
      <c r="R8" s="1034" t="s">
        <v>2971</v>
      </c>
      <c r="S8" s="1033" t="s">
        <v>2972</v>
      </c>
      <c r="T8" s="1034" t="s">
        <v>2973</v>
      </c>
      <c r="U8" s="1028"/>
    </row>
    <row r="9">
      <c r="A9" s="1004"/>
      <c r="B9" s="1036">
        <f>IFERROR(VLOOKUP(C9,'字段信息'!A:C,3,),"")</f>
      </c>
      <c r="C9" s="1037" t="s">
        <v>2974</v>
      </c>
      <c r="D9" s="1038">
        <f>IFERROR(VLOOKUP(C9,'字段信息'!A:C,2,),"")</f>
      </c>
      <c r="E9" s="1039"/>
      <c r="F9" s="1040">
        <f t="shared" ref="F9:F118" si="0">B9</f>
      </c>
      <c r="G9" s="1039"/>
      <c r="H9" s="1041"/>
      <c r="I9" s="1041"/>
      <c r="J9" s="1041"/>
      <c r="K9" s="1041"/>
      <c r="L9" s="1042"/>
      <c r="M9" s="1043" t="s">
        <v>2975</v>
      </c>
      <c r="N9" s="1044" t="s">
        <v>2976</v>
      </c>
      <c r="O9" s="1045" t="s">
        <v>2977</v>
      </c>
      <c r="P9" s="1043" t="s">
        <v>2974</v>
      </c>
      <c r="Q9" s="1046"/>
      <c r="R9" s="1047"/>
      <c r="S9" s="1046"/>
      <c r="T9" s="1047"/>
      <c r="U9" s="1028"/>
    </row>
    <row r="10">
      <c r="A10" s="1004"/>
      <c r="B10" s="1036">
        <f>IFERROR(VLOOKUP(C10,'字段信息'!A:C,3,),"")</f>
      </c>
      <c r="C10" s="1037" t="s">
        <v>2978</v>
      </c>
      <c r="D10" s="1038">
        <f>IFERROR(VLOOKUP(C10,'字段信息'!A:C,2,),"")</f>
      </c>
      <c r="E10" s="1039"/>
      <c r="F10" s="1040">
        <f t="shared" si="0"/>
      </c>
      <c r="G10" s="1039" t="s">
        <v>2979</v>
      </c>
      <c r="H10" s="1041"/>
      <c r="I10" s="1041"/>
      <c r="J10" s="1041"/>
      <c r="K10" s="1041"/>
      <c r="L10" s="1042" t="s">
        <v>2980</v>
      </c>
      <c r="M10" s="1043" t="s">
        <v>2975</v>
      </c>
      <c r="N10" s="1044" t="s">
        <v>2976</v>
      </c>
      <c r="O10" s="1045" t="s">
        <v>2977</v>
      </c>
      <c r="P10" s="1043" t="s">
        <v>2978</v>
      </c>
      <c r="Q10" s="1046"/>
      <c r="R10" s="1047"/>
      <c r="S10" s="1046"/>
      <c r="T10" s="1047"/>
      <c r="U10" s="1028"/>
    </row>
    <row r="11">
      <c r="A11" s="1004"/>
      <c r="B11" s="1036">
        <f>IFERROR(VLOOKUP(C11,'字段信息'!A:C,3,),"")</f>
      </c>
      <c r="C11" s="1037" t="s">
        <v>2981</v>
      </c>
      <c r="D11" s="1038">
        <f>IFERROR(VLOOKUP(C11,'字段信息'!A:C,2,),"")</f>
      </c>
      <c r="E11" s="1039"/>
      <c r="F11" s="1040">
        <f t="shared" si="0"/>
      </c>
      <c r="G11" s="1039" t="s">
        <v>2979</v>
      </c>
      <c r="H11" s="1041"/>
      <c r="I11" s="1041"/>
      <c r="J11" s="1041"/>
      <c r="K11" s="1041"/>
      <c r="L11" s="1042" t="s">
        <v>2980</v>
      </c>
      <c r="M11" s="1043" t="s">
        <v>2975</v>
      </c>
      <c r="N11" s="1044" t="s">
        <v>2976</v>
      </c>
      <c r="O11" s="1045" t="s">
        <v>2977</v>
      </c>
      <c r="P11" s="1043" t="s">
        <v>2981</v>
      </c>
      <c r="Q11" s="1046"/>
      <c r="R11" s="1047"/>
      <c r="S11" s="1046"/>
      <c r="T11" s="1047"/>
      <c r="U11" s="1028"/>
    </row>
    <row r="12">
      <c r="A12" s="1004"/>
      <c r="B12" s="1036">
        <f>IFERROR(VLOOKUP(C12,'字段信息'!A:C,3,),"")</f>
      </c>
      <c r="C12" s="1037" t="s">
        <v>2982</v>
      </c>
      <c r="D12" s="1038">
        <f>IFERROR(VLOOKUP(C12,'字段信息'!A:C,2,),"")</f>
      </c>
      <c r="E12" s="1039"/>
      <c r="F12" s="1040">
        <f t="shared" si="0"/>
      </c>
      <c r="G12" s="1039" t="s">
        <v>2979</v>
      </c>
      <c r="H12" s="1041"/>
      <c r="I12" s="1041"/>
      <c r="J12" s="1041"/>
      <c r="K12" s="1041"/>
      <c r="L12" s="1042" t="s">
        <v>2980</v>
      </c>
      <c r="M12" s="1043" t="s">
        <v>2975</v>
      </c>
      <c r="N12" s="1044" t="s">
        <v>2976</v>
      </c>
      <c r="O12" s="1045" t="s">
        <v>2977</v>
      </c>
      <c r="P12" s="1043" t="s">
        <v>2982</v>
      </c>
      <c r="Q12" s="1046"/>
      <c r="R12" s="1047"/>
      <c r="S12" s="1046"/>
      <c r="T12" s="1047"/>
      <c r="U12" s="1028"/>
    </row>
    <row r="13">
      <c r="A13" s="1004"/>
      <c r="B13" s="1036">
        <f>IFERROR(VLOOKUP(C13,'字段信息'!A:C,3,),"")</f>
      </c>
      <c r="C13" s="1037" t="s">
        <v>2983</v>
      </c>
      <c r="D13" s="1038">
        <f>IFERROR(VLOOKUP(C13,'字段信息'!A:C,2,),"")</f>
      </c>
      <c r="E13" s="1039"/>
      <c r="F13" s="1040">
        <f t="shared" si="0"/>
      </c>
      <c r="G13" s="1039" t="s">
        <v>2979</v>
      </c>
      <c r="H13" s="1041"/>
      <c r="I13" s="1041"/>
      <c r="J13" s="1041"/>
      <c r="K13" s="1041"/>
      <c r="L13" s="1042" t="s">
        <v>2980</v>
      </c>
      <c r="M13" s="1043" t="s">
        <v>2984</v>
      </c>
      <c r="N13" s="1048"/>
      <c r="O13" s="1049"/>
      <c r="P13" s="1043" t="s">
        <v>2985</v>
      </c>
      <c r="Q13" s="1046"/>
      <c r="R13" s="1047"/>
      <c r="S13" s="1046"/>
      <c r="T13" s="1047"/>
      <c r="U13" s="1028"/>
    </row>
    <row r="14">
      <c r="A14" s="1004"/>
      <c r="B14" s="1036">
        <f>IFERROR(VLOOKUP(C14,'字段信息'!A:C,3,),"")</f>
      </c>
      <c r="C14" s="1037" t="s">
        <v>2986</v>
      </c>
      <c r="D14" s="1038">
        <f>IFERROR(VLOOKUP(C14,'字段信息'!A:C,2,),"")</f>
      </c>
      <c r="E14" s="1039"/>
      <c r="F14" s="1040">
        <f t="shared" si="0"/>
      </c>
      <c r="G14" s="1039" t="s">
        <v>2979</v>
      </c>
      <c r="H14" s="1041"/>
      <c r="I14" s="1041"/>
      <c r="J14" s="1041"/>
      <c r="K14" s="1041"/>
      <c r="L14" s="1050" t="s">
        <v>2980</v>
      </c>
      <c r="M14" s="1043" t="s">
        <v>2975</v>
      </c>
      <c r="N14" s="1044" t="s">
        <v>2976</v>
      </c>
      <c r="O14" s="1045" t="s">
        <v>2977</v>
      </c>
      <c r="P14" s="1043" t="s">
        <v>2986</v>
      </c>
      <c r="Q14" s="1046"/>
      <c r="R14" s="1051"/>
      <c r="S14" s="1051"/>
      <c r="T14" s="1047"/>
      <c r="U14" s="1028"/>
    </row>
    <row r="15">
      <c r="A15" s="1004"/>
      <c r="B15" s="1036">
        <f>IFERROR(VLOOKUP(C15,'字段信息'!A:C,3,),"")</f>
      </c>
      <c r="C15" s="1037" t="s">
        <v>2987</v>
      </c>
      <c r="D15" s="1038">
        <f>IFERROR(VLOOKUP(C15,'字段信息'!A:C,2,),"")</f>
      </c>
      <c r="E15" s="1039"/>
      <c r="F15" s="1040">
        <f t="shared" si="0"/>
      </c>
      <c r="G15" s="1039" t="s">
        <v>2979</v>
      </c>
      <c r="H15" s="1041"/>
      <c r="I15" s="1041"/>
      <c r="J15" s="1041"/>
      <c r="K15" s="1041"/>
      <c r="L15" s="1050" t="s">
        <v>2980</v>
      </c>
      <c r="M15" s="1043" t="s">
        <v>2975</v>
      </c>
      <c r="N15" s="1044" t="s">
        <v>2976</v>
      </c>
      <c r="O15" s="1045" t="s">
        <v>2977</v>
      </c>
      <c r="P15" s="1043" t="s">
        <v>2987</v>
      </c>
      <c r="Q15" s="1046"/>
      <c r="R15" s="1047"/>
      <c r="S15" s="1046"/>
      <c r="T15" s="1047"/>
      <c r="U15" s="1028"/>
    </row>
    <row r="16">
      <c r="A16" s="1004"/>
      <c r="B16" s="1036">
        <f>IFERROR(VLOOKUP(C16,'字段信息'!A:C,3,),"")</f>
      </c>
      <c r="C16" s="1037" t="s">
        <v>2988</v>
      </c>
      <c r="D16" s="1038">
        <f>IFERROR(VLOOKUP(C16,'字段信息'!A:C,2,),"")</f>
      </c>
      <c r="E16" s="1039"/>
      <c r="F16" s="1040">
        <f t="shared" si="0"/>
      </c>
      <c r="G16" s="1039" t="s">
        <v>2979</v>
      </c>
      <c r="H16" s="1041"/>
      <c r="I16" s="1041"/>
      <c r="J16" s="1041"/>
      <c r="K16" s="1041"/>
      <c r="L16" s="1050" t="s">
        <v>2980</v>
      </c>
      <c r="M16" s="1043" t="s">
        <v>2975</v>
      </c>
      <c r="N16" s="1044" t="s">
        <v>2976</v>
      </c>
      <c r="O16" s="1045" t="s">
        <v>2977</v>
      </c>
      <c r="P16" s="1043" t="s">
        <v>2988</v>
      </c>
      <c r="Q16" s="1046"/>
      <c r="R16" s="1047"/>
      <c r="S16" s="1046"/>
      <c r="T16" s="1047"/>
      <c r="U16" s="1028"/>
    </row>
    <row customHeight="true" ht="47.61904761904762" r="17">
      <c r="A17" s="1004"/>
      <c r="B17" s="1036">
        <f>IFERROR(VLOOKUP(C17,'字段信息'!A:C,3,),"")</f>
      </c>
      <c r="C17" s="1037" t="s">
        <v>2989</v>
      </c>
      <c r="D17" s="1038">
        <f>IFERROR(VLOOKUP(C17,'字段信息'!A:C,2,),"")</f>
      </c>
      <c r="E17" s="1039"/>
      <c r="F17" s="1040">
        <f t="shared" si="0"/>
      </c>
      <c r="G17" s="1039" t="s">
        <v>2979</v>
      </c>
      <c r="H17" s="1041"/>
      <c r="I17" s="1041"/>
      <c r="J17" s="1041"/>
      <c r="K17" s="1041"/>
      <c r="L17" s="1050"/>
      <c r="M17" s="1043" t="s">
        <v>2975</v>
      </c>
      <c r="N17" s="1044" t="s">
        <v>2976</v>
      </c>
      <c r="O17" s="1045" t="s">
        <v>2977</v>
      </c>
      <c r="P17" s="1043" t="s">
        <v>2989</v>
      </c>
      <c r="Q17" s="1046"/>
      <c r="R17" s="1047"/>
      <c r="S17" s="1046"/>
      <c r="T17" s="1047"/>
      <c r="U17" s="1028"/>
    </row>
    <row customHeight="true" ht="47.61904761904762" r="18">
      <c r="A18" s="1004"/>
      <c r="B18" s="1036">
        <f>IFERROR(VLOOKUP(C18,'字段信息'!A:C,3,),"")</f>
      </c>
      <c r="C18" s="1037" t="s">
        <v>2990</v>
      </c>
      <c r="D18" s="1038">
        <f>IFERROR(VLOOKUP(C18,'字段信息'!A:C,2,),"")</f>
      </c>
      <c r="E18" s="1039"/>
      <c r="F18" s="1040">
        <f t="shared" si="0"/>
      </c>
      <c r="G18" s="1039" t="s">
        <v>2979</v>
      </c>
      <c r="H18" s="1041"/>
      <c r="I18" s="1041"/>
      <c r="J18" s="1041"/>
      <c r="K18" s="1041"/>
      <c r="L18" s="1050"/>
      <c r="M18" s="1043" t="s">
        <v>2975</v>
      </c>
      <c r="N18" s="1044" t="s">
        <v>2976</v>
      </c>
      <c r="O18" s="1045" t="s">
        <v>2977</v>
      </c>
      <c r="P18" s="1043" t="s">
        <v>2990</v>
      </c>
      <c r="Q18" s="1046"/>
      <c r="R18" s="1047"/>
      <c r="S18" s="1046"/>
      <c r="T18" s="1047"/>
      <c r="U18" s="1028"/>
    </row>
    <row r="19">
      <c r="A19" s="1004"/>
      <c r="B19" s="1036">
        <f>IFERROR(VLOOKUP(C19,'字段信息'!A:C,3,),"")</f>
      </c>
      <c r="C19" s="1037" t="s">
        <v>2991</v>
      </c>
      <c r="D19" s="1038">
        <f>IFERROR(VLOOKUP(C19,'字段信息'!A:C,2,),"")</f>
      </c>
      <c r="E19" s="1039"/>
      <c r="F19" s="1040">
        <f t="shared" si="0"/>
      </c>
      <c r="G19" s="1039" t="s">
        <v>2979</v>
      </c>
      <c r="H19" s="1041"/>
      <c r="I19" s="1041"/>
      <c r="J19" s="1041"/>
      <c r="K19" s="1041"/>
      <c r="L19" s="1050" t="s">
        <v>2980</v>
      </c>
      <c r="M19" s="1043" t="s">
        <v>2975</v>
      </c>
      <c r="N19" s="1044" t="s">
        <v>2976</v>
      </c>
      <c r="O19" s="1045" t="s">
        <v>2977</v>
      </c>
      <c r="P19" s="1043" t="s">
        <v>2991</v>
      </c>
      <c r="Q19" s="1046"/>
      <c r="R19" s="1047"/>
      <c r="S19" s="1046"/>
      <c r="T19" s="1047"/>
      <c r="U19" s="1028"/>
    </row>
    <row customHeight="true" ht="16.071428571428573" r="20">
      <c r="A20" s="1004"/>
      <c r="B20" s="1036">
        <f>IFERROR(VLOOKUP(C20,'字段信息'!A:C,3,),"")</f>
      </c>
      <c r="C20" s="1037" t="s">
        <v>2992</v>
      </c>
      <c r="D20" s="1038">
        <f>IFERROR(VLOOKUP(C20,'字段信息'!A:C,2,),"")</f>
      </c>
      <c r="E20" s="1039"/>
      <c r="F20" s="1040">
        <f t="shared" si="0"/>
      </c>
      <c r="G20" s="1039" t="s">
        <v>2979</v>
      </c>
      <c r="H20" s="1041"/>
      <c r="I20" s="1041"/>
      <c r="J20" s="1041"/>
      <c r="K20" s="1041"/>
      <c r="L20" s="1050"/>
      <c r="M20" s="1043" t="s">
        <v>2975</v>
      </c>
      <c r="N20" s="1044" t="s">
        <v>2976</v>
      </c>
      <c r="O20" s="1045" t="s">
        <v>2977</v>
      </c>
      <c r="P20" s="1043" t="s">
        <v>2992</v>
      </c>
      <c r="Q20" s="1046"/>
      <c r="R20" s="1047"/>
      <c r="S20" s="1046"/>
      <c r="T20" s="1047"/>
      <c r="U20" s="1028"/>
    </row>
    <row customHeight="true" ht="16.071428571428573" r="21">
      <c r="A21" s="1004"/>
      <c r="B21" s="1036">
        <f>IFERROR(VLOOKUP(C21,'字段信息'!A:C,3,),"")</f>
      </c>
      <c r="C21" s="1037" t="s">
        <v>2993</v>
      </c>
      <c r="D21" s="1038">
        <f>IFERROR(VLOOKUP(C21,'字段信息'!A:C,2,),"")</f>
      </c>
      <c r="E21" s="1039"/>
      <c r="F21" s="1040">
        <f t="shared" si="0"/>
      </c>
      <c r="G21" s="1039" t="s">
        <v>2979</v>
      </c>
      <c r="H21" s="1041"/>
      <c r="I21" s="1041"/>
      <c r="J21" s="1041"/>
      <c r="K21" s="1041"/>
      <c r="L21" s="1050"/>
      <c r="M21" s="1043" t="s">
        <v>2975</v>
      </c>
      <c r="N21" s="1044" t="s">
        <v>2976</v>
      </c>
      <c r="O21" s="1045" t="s">
        <v>2977</v>
      </c>
      <c r="P21" s="1043" t="s">
        <v>2993</v>
      </c>
      <c r="Q21" s="1046"/>
      <c r="R21" s="1047"/>
      <c r="S21" s="1046"/>
      <c r="T21" s="1047"/>
      <c r="U21" s="1028"/>
    </row>
    <row customHeight="true" ht="16.071428571428573" r="22">
      <c r="A22" s="1004"/>
      <c r="B22" s="1036">
        <f>IFERROR(VLOOKUP(C22,'字段信息'!A:C,3,),"")</f>
      </c>
      <c r="C22" s="1037" t="s">
        <v>2994</v>
      </c>
      <c r="D22" s="1038">
        <f>IFERROR(VLOOKUP(C22,'字段信息'!A:C,2,),"")</f>
      </c>
      <c r="E22" s="1039"/>
      <c r="F22" s="1040">
        <f t="shared" si="0"/>
      </c>
      <c r="G22" s="1039" t="s">
        <v>2979</v>
      </c>
      <c r="H22" s="1041"/>
      <c r="I22" s="1041"/>
      <c r="J22" s="1041"/>
      <c r="K22" s="1041"/>
      <c r="L22" s="1050"/>
      <c r="M22" s="1043" t="s">
        <v>2975</v>
      </c>
      <c r="N22" s="1044" t="s">
        <v>2976</v>
      </c>
      <c r="O22" s="1045" t="s">
        <v>2977</v>
      </c>
      <c r="P22" s="1043" t="s">
        <v>2994</v>
      </c>
      <c r="Q22" s="1046"/>
      <c r="R22" s="1047"/>
      <c r="S22" s="1046"/>
      <c r="T22" s="1047"/>
      <c r="U22" s="1028"/>
    </row>
    <row customHeight="true" ht="16.071428571428573" r="23">
      <c r="A23" s="1004"/>
      <c r="B23" s="1036">
        <f>IFERROR(VLOOKUP(C23,'字段信息'!A:C,3,),"")</f>
      </c>
      <c r="C23" s="1037" t="s">
        <v>2995</v>
      </c>
      <c r="D23" s="1038">
        <f>IFERROR(VLOOKUP(C23,'字段信息'!A:C,2,),"")</f>
      </c>
      <c r="E23" s="1039"/>
      <c r="F23" s="1040">
        <f t="shared" si="0"/>
      </c>
      <c r="G23" s="1039" t="s">
        <v>2979</v>
      </c>
      <c r="H23" s="1041"/>
      <c r="I23" s="1041"/>
      <c r="J23" s="1041"/>
      <c r="K23" s="1041"/>
      <c r="L23" s="1050"/>
      <c r="M23" s="1043" t="s">
        <v>2975</v>
      </c>
      <c r="N23" s="1044" t="s">
        <v>2976</v>
      </c>
      <c r="O23" s="1045" t="s">
        <v>2977</v>
      </c>
      <c r="P23" s="1043" t="s">
        <v>2995</v>
      </c>
      <c r="Q23" s="1046"/>
      <c r="R23" s="1047"/>
      <c r="S23" s="1046"/>
      <c r="T23" s="1047"/>
      <c r="U23" s="1028"/>
    </row>
    <row r="24">
      <c r="A24" s="1004"/>
      <c r="B24" s="1036">
        <f>IFERROR(VLOOKUP(C24,'字段信息'!A:C,3,),"")</f>
      </c>
      <c r="C24" s="1037" t="s">
        <v>2996</v>
      </c>
      <c r="D24" s="1038">
        <f>IFERROR(VLOOKUP(C24,'字段信息'!A:C,2,),"")</f>
      </c>
      <c r="E24" s="1039"/>
      <c r="F24" s="1040">
        <f t="shared" si="0"/>
      </c>
      <c r="G24" s="1039" t="s">
        <v>2979</v>
      </c>
      <c r="H24" s="1041"/>
      <c r="I24" s="1041"/>
      <c r="J24" s="1041"/>
      <c r="K24" s="1041"/>
      <c r="L24" s="1050" t="s">
        <v>2980</v>
      </c>
      <c r="M24" s="1043" t="s">
        <v>2975</v>
      </c>
      <c r="N24" s="1044" t="s">
        <v>2976</v>
      </c>
      <c r="O24" s="1045" t="s">
        <v>2977</v>
      </c>
      <c r="P24" s="1037" t="s">
        <v>2997</v>
      </c>
      <c r="Q24" s="1046"/>
      <c r="R24" s="1047"/>
      <c r="S24" s="1046"/>
      <c r="T24" s="1047"/>
      <c r="U24" s="1028"/>
    </row>
    <row customHeight="true" ht="16.071428571428573" r="25">
      <c r="A25" s="1004"/>
      <c r="B25" s="1036">
        <f>IFERROR(VLOOKUP(C25,'字段信息'!A:C,3,),"")</f>
      </c>
      <c r="C25" s="1037" t="s">
        <v>2998</v>
      </c>
      <c r="D25" s="1038">
        <f>IFERROR(VLOOKUP(C25,'字段信息'!A:C,2,),"")</f>
      </c>
      <c r="E25" s="1039"/>
      <c r="F25" s="1040">
        <f t="shared" si="0"/>
      </c>
      <c r="G25" s="1039" t="s">
        <v>2979</v>
      </c>
      <c r="H25" s="1041"/>
      <c r="I25" s="1041"/>
      <c r="J25" s="1041"/>
      <c r="K25" s="1041"/>
      <c r="L25" s="1050"/>
      <c r="M25" s="1043" t="s">
        <v>2975</v>
      </c>
      <c r="N25" s="1044" t="s">
        <v>2976</v>
      </c>
      <c r="O25" s="1045" t="s">
        <v>2977</v>
      </c>
      <c r="P25" s="1037" t="s">
        <v>2998</v>
      </c>
      <c r="Q25" s="1046"/>
      <c r="R25" s="1052"/>
      <c r="S25" s="1046"/>
      <c r="T25" s="1047"/>
      <c r="U25" s="1028"/>
    </row>
    <row r="26">
      <c r="A26" s="1004"/>
      <c r="B26" s="1036">
        <f>IFERROR(VLOOKUP(C26,'字段信息'!A:C,3,),"")</f>
      </c>
      <c r="C26" s="1037" t="s">
        <v>2999</v>
      </c>
      <c r="D26" s="1038">
        <f>IFERROR(VLOOKUP(C26,'字段信息'!A:C,2,),"")</f>
      </c>
      <c r="E26" s="1039"/>
      <c r="F26" s="1040">
        <f t="shared" si="0"/>
      </c>
      <c r="G26" s="1039" t="s">
        <v>2979</v>
      </c>
      <c r="H26" s="1041"/>
      <c r="I26" s="1041"/>
      <c r="J26" s="1041"/>
      <c r="K26" s="1041"/>
      <c r="L26" s="1050" t="s">
        <v>2980</v>
      </c>
      <c r="M26" s="1043" t="s">
        <v>2975</v>
      </c>
      <c r="N26" s="1044" t="s">
        <v>2976</v>
      </c>
      <c r="O26" s="1045" t="s">
        <v>2977</v>
      </c>
      <c r="P26" s="1037" t="s">
        <v>3000</v>
      </c>
      <c r="Q26" s="1046"/>
      <c r="R26" s="1052"/>
      <c r="S26" s="1046"/>
      <c r="T26" s="1047"/>
      <c r="U26" s="1028"/>
    </row>
    <row customHeight="true" ht="16.071428571428573" r="27">
      <c r="A27" s="1004"/>
      <c r="B27" s="1036">
        <f>IFERROR(VLOOKUP(C27,'字段信息'!A:C,3,),"")</f>
      </c>
      <c r="C27" s="1037" t="s">
        <v>3001</v>
      </c>
      <c r="D27" s="1038">
        <f>IFERROR(VLOOKUP(C27,'字段信息'!A:C,2,),"")</f>
      </c>
      <c r="E27" s="1039"/>
      <c r="F27" s="1040">
        <f t="shared" si="0"/>
      </c>
      <c r="G27" s="1039" t="s">
        <v>2979</v>
      </c>
      <c r="H27" s="1041"/>
      <c r="I27" s="1041"/>
      <c r="J27" s="1041"/>
      <c r="K27" s="1041"/>
      <c r="L27" s="1050"/>
      <c r="M27" s="1043" t="s">
        <v>2975</v>
      </c>
      <c r="N27" s="1044" t="s">
        <v>2976</v>
      </c>
      <c r="O27" s="1045" t="s">
        <v>2977</v>
      </c>
      <c r="P27" s="1037" t="s">
        <v>3001</v>
      </c>
      <c r="Q27" s="1053"/>
      <c r="R27" s="1052"/>
      <c r="S27" s="1046"/>
      <c r="T27" s="1047"/>
      <c r="U27" s="1028"/>
    </row>
    <row r="28">
      <c r="A28" s="1004"/>
      <c r="B28" s="1036">
        <f>IFERROR(VLOOKUP(C28,'字段信息'!A:C,3,),"")</f>
      </c>
      <c r="C28" s="1037" t="s">
        <v>3002</v>
      </c>
      <c r="D28" s="1038">
        <f>IFERROR(VLOOKUP(C28,'字段信息'!A:C,2,),"")</f>
      </c>
      <c r="E28" s="1039"/>
      <c r="F28" s="1040">
        <f t="shared" si="0"/>
      </c>
      <c r="G28" s="1039" t="s">
        <v>2979</v>
      </c>
      <c r="H28" s="1041"/>
      <c r="I28" s="1041"/>
      <c r="J28" s="1041"/>
      <c r="K28" s="1041"/>
      <c r="L28" s="1050" t="s">
        <v>2980</v>
      </c>
      <c r="M28" s="1043" t="s">
        <v>2975</v>
      </c>
      <c r="N28" s="1044" t="s">
        <v>2976</v>
      </c>
      <c r="O28" s="1045" t="s">
        <v>2977</v>
      </c>
      <c r="P28" s="1037" t="s">
        <v>3003</v>
      </c>
      <c r="Q28" s="1053"/>
      <c r="R28" s="1052"/>
      <c r="S28" s="1046"/>
      <c r="T28" s="1047"/>
      <c r="U28" s="1028"/>
    </row>
    <row customHeight="true" ht="22.61904761904762" r="29">
      <c r="A29" s="1004"/>
      <c r="B29" s="1036">
        <f>IFERROR(VLOOKUP(C29,'字段信息'!A:C,3,),"")</f>
      </c>
      <c r="C29" s="1037" t="s">
        <v>3004</v>
      </c>
      <c r="D29" s="1038">
        <f>IFERROR(VLOOKUP(C29,'字段信息'!A:C,2,),"")</f>
      </c>
      <c r="E29" s="1039"/>
      <c r="F29" s="1040">
        <f t="shared" si="0"/>
      </c>
      <c r="G29" s="1039" t="s">
        <v>2979</v>
      </c>
      <c r="H29" s="1041"/>
      <c r="I29" s="1041"/>
      <c r="J29" s="1041"/>
      <c r="K29" s="1041"/>
      <c r="L29" s="1050"/>
      <c r="M29" s="1043" t="s">
        <v>2975</v>
      </c>
      <c r="N29" s="1044" t="s">
        <v>2976</v>
      </c>
      <c r="O29" s="1045" t="s">
        <v>2977</v>
      </c>
      <c r="P29" s="1037" t="s">
        <v>3004</v>
      </c>
      <c r="Q29" s="1053"/>
      <c r="R29" s="1052"/>
      <c r="S29" s="1046"/>
      <c r="T29" s="1047"/>
      <c r="U29" s="1028"/>
    </row>
    <row r="30">
      <c r="A30" s="1004"/>
      <c r="B30" s="1036">
        <f>IFERROR(VLOOKUP(C30,'字段信息'!A:C,3,),"")</f>
      </c>
      <c r="C30" s="1037" t="s">
        <v>3005</v>
      </c>
      <c r="D30" s="1038">
        <f>IFERROR(VLOOKUP(C30,'字段信息'!A:C,2,),"")</f>
      </c>
      <c r="E30" s="1039"/>
      <c r="F30" s="1040">
        <f t="shared" si="0"/>
      </c>
      <c r="G30" s="1039" t="s">
        <v>2979</v>
      </c>
      <c r="H30" s="1041"/>
      <c r="I30" s="1041"/>
      <c r="J30" s="1041"/>
      <c r="K30" s="1041"/>
      <c r="L30" s="1050" t="s">
        <v>2980</v>
      </c>
      <c r="M30" s="1043" t="s">
        <v>2975</v>
      </c>
      <c r="N30" s="1044" t="s">
        <v>2976</v>
      </c>
      <c r="O30" s="1045" t="s">
        <v>2977</v>
      </c>
      <c r="P30" s="1043" t="s">
        <v>3005</v>
      </c>
      <c r="Q30" s="1053"/>
      <c r="R30" s="1052"/>
      <c r="S30" s="1046"/>
      <c r="T30" s="1047"/>
      <c r="U30" s="1028"/>
    </row>
    <row r="31">
      <c r="A31" s="1004"/>
      <c r="B31" s="1036">
        <f>IFERROR(VLOOKUP(C31,'字段信息'!A:C,3,),"")</f>
      </c>
      <c r="C31" s="1037" t="s">
        <v>3006</v>
      </c>
      <c r="D31" s="1054" t="s">
        <v>3007</v>
      </c>
      <c r="E31" s="1039"/>
      <c r="F31" s="1040">
        <f t="shared" si="0"/>
      </c>
      <c r="G31" s="1039" t="s">
        <v>2979</v>
      </c>
      <c r="H31" s="1041"/>
      <c r="I31" s="1041"/>
      <c r="J31" s="1041"/>
      <c r="K31" s="1041"/>
      <c r="L31" s="1050"/>
      <c r="M31" s="1043" t="s">
        <v>2975</v>
      </c>
      <c r="N31" s="1044" t="s">
        <v>2976</v>
      </c>
      <c r="O31" s="1045" t="s">
        <v>2977</v>
      </c>
      <c r="P31" s="1037" t="s">
        <v>3006</v>
      </c>
      <c r="Q31" s="1045"/>
      <c r="R31" s="1052"/>
      <c r="S31" s="1046"/>
      <c r="T31" s="1047"/>
      <c r="U31" s="1028"/>
    </row>
    <row r="32">
      <c r="A32" s="1004"/>
      <c r="B32" s="1036">
        <f>IFERROR(VLOOKUP(C32,'字段信息'!A:C,3,),"")</f>
      </c>
      <c r="C32" s="1037" t="s">
        <v>3008</v>
      </c>
      <c r="D32" s="1054" t="s">
        <v>3007</v>
      </c>
      <c r="E32" s="1039"/>
      <c r="F32" s="1040">
        <f t="shared" si="0"/>
      </c>
      <c r="G32" s="1039" t="s">
        <v>2979</v>
      </c>
      <c r="H32" s="1041"/>
      <c r="I32" s="1041"/>
      <c r="J32" s="1041"/>
      <c r="K32" s="1041"/>
      <c r="L32" s="1050"/>
      <c r="M32" s="1043" t="s">
        <v>2975</v>
      </c>
      <c r="N32" s="1044" t="s">
        <v>2976</v>
      </c>
      <c r="O32" s="1045" t="s">
        <v>2977</v>
      </c>
      <c r="P32" s="1037" t="s">
        <v>3008</v>
      </c>
      <c r="Q32" s="1045"/>
      <c r="R32" s="1052"/>
      <c r="S32" s="1046"/>
      <c r="T32" s="1047"/>
      <c r="U32" s="1028"/>
    </row>
    <row r="33">
      <c r="A33" s="1004"/>
      <c r="B33" s="1036">
        <f>IFERROR(VLOOKUP(C33,'字段信息'!A:C,3,),"")</f>
      </c>
      <c r="C33" s="1037" t="s">
        <v>3009</v>
      </c>
      <c r="D33" s="1054" t="s">
        <v>3007</v>
      </c>
      <c r="E33" s="1039"/>
      <c r="F33" s="1040">
        <f t="shared" si="0"/>
      </c>
      <c r="G33" s="1039" t="s">
        <v>2979</v>
      </c>
      <c r="H33" s="1041"/>
      <c r="I33" s="1041"/>
      <c r="J33" s="1041"/>
      <c r="K33" s="1041"/>
      <c r="L33" s="1050"/>
      <c r="M33" s="1043" t="s">
        <v>2975</v>
      </c>
      <c r="N33" s="1044" t="s">
        <v>2976</v>
      </c>
      <c r="O33" s="1045" t="s">
        <v>2977</v>
      </c>
      <c r="P33" s="1037" t="s">
        <v>3009</v>
      </c>
      <c r="Q33" s="1045"/>
      <c r="R33" s="1052"/>
      <c r="S33" s="1046"/>
      <c r="T33" s="1047"/>
      <c r="U33" s="1028"/>
    </row>
    <row r="34">
      <c r="A34" s="1004"/>
      <c r="B34" s="1036">
        <f>IFERROR(VLOOKUP(C34,'字段信息'!A:C,3,),"")</f>
      </c>
      <c r="C34" s="1037" t="s">
        <v>3010</v>
      </c>
      <c r="D34" s="1038">
        <f>IFERROR(VLOOKUP(C34,'字段信息'!A:C,2,),"")</f>
      </c>
      <c r="E34" s="1039"/>
      <c r="F34" s="1040">
        <f t="shared" si="0"/>
      </c>
      <c r="G34" s="1039" t="s">
        <v>2979</v>
      </c>
      <c r="H34" s="1041"/>
      <c r="I34" s="1041"/>
      <c r="J34" s="1041"/>
      <c r="K34" s="1041"/>
      <c r="L34" s="1050" t="s">
        <v>2980</v>
      </c>
      <c r="M34" s="1043" t="s">
        <v>2975</v>
      </c>
      <c r="N34" s="1044" t="s">
        <v>2976</v>
      </c>
      <c r="O34" s="1045" t="s">
        <v>2977</v>
      </c>
      <c r="P34" s="1043" t="s">
        <v>3010</v>
      </c>
      <c r="Q34" s="1045"/>
      <c r="R34" s="1052"/>
      <c r="S34" s="1046"/>
      <c r="T34" s="1047"/>
      <c r="U34" s="1028"/>
    </row>
    <row r="35">
      <c r="A35" s="1004"/>
      <c r="B35" s="1036">
        <f>IFERROR(VLOOKUP(C35,'字段信息'!A:C,3,),"")</f>
      </c>
      <c r="C35" s="1037" t="s">
        <v>3011</v>
      </c>
      <c r="D35" s="1038">
        <f>IFERROR(VLOOKUP(C35,'字段信息'!A:C,2,),"")</f>
      </c>
      <c r="E35" s="1039"/>
      <c r="F35" s="1040">
        <f t="shared" si="0"/>
      </c>
      <c r="G35" s="1039" t="s">
        <v>2979</v>
      </c>
      <c r="H35" s="1041"/>
      <c r="I35" s="1041"/>
      <c r="J35" s="1041"/>
      <c r="K35" s="1041"/>
      <c r="L35" s="1050"/>
      <c r="M35" s="1043" t="s">
        <v>2975</v>
      </c>
      <c r="N35" s="1044" t="s">
        <v>2976</v>
      </c>
      <c r="O35" s="1045" t="s">
        <v>2977</v>
      </c>
      <c r="P35" s="1043" t="s">
        <v>3011</v>
      </c>
      <c r="Q35" s="1055"/>
      <c r="R35" s="1047"/>
      <c r="S35" s="1046"/>
      <c r="T35" s="1047"/>
      <c r="U35" s="1028"/>
    </row>
    <row r="36">
      <c r="A36" s="1004"/>
      <c r="B36" s="1036">
        <f>IFERROR(VLOOKUP(C36,'字段信息'!A:C,3,),"")</f>
      </c>
      <c r="C36" s="1037" t="s">
        <v>3012</v>
      </c>
      <c r="D36" s="1038">
        <f>IFERROR(VLOOKUP(C36,'字段信息'!A:C,2,),"")</f>
      </c>
      <c r="E36" s="1039"/>
      <c r="F36" s="1040">
        <f t="shared" si="0"/>
      </c>
      <c r="G36" s="1039" t="s">
        <v>2979</v>
      </c>
      <c r="H36" s="1041"/>
      <c r="I36" s="1041"/>
      <c r="J36" s="1041"/>
      <c r="K36" s="1041"/>
      <c r="L36" s="1050" t="s">
        <v>2980</v>
      </c>
      <c r="M36" s="1043" t="s">
        <v>2975</v>
      </c>
      <c r="N36" s="1044" t="s">
        <v>2976</v>
      </c>
      <c r="O36" s="1045" t="s">
        <v>2977</v>
      </c>
      <c r="P36" s="1043" t="s">
        <v>3012</v>
      </c>
      <c r="Q36" s="1046"/>
      <c r="R36" s="1047"/>
      <c r="S36" s="1046"/>
      <c r="T36" s="1047"/>
      <c r="U36" s="1028"/>
    </row>
    <row r="37">
      <c r="A37" s="1004"/>
      <c r="B37" s="1036">
        <f>IFERROR(VLOOKUP(C37,'字段信息'!A:C,3,),"")</f>
      </c>
      <c r="C37" s="1037" t="s">
        <v>3013</v>
      </c>
      <c r="D37" s="1038">
        <f>IFERROR(VLOOKUP(C37,'字段信息'!A:C,2,),"")</f>
      </c>
      <c r="E37" s="1039"/>
      <c r="F37" s="1040">
        <f t="shared" si="0"/>
      </c>
      <c r="G37" s="1039" t="s">
        <v>2979</v>
      </c>
      <c r="H37" s="1041"/>
      <c r="I37" s="1041"/>
      <c r="J37" s="1041"/>
      <c r="K37" s="1041"/>
      <c r="L37" s="1050" t="s">
        <v>2980</v>
      </c>
      <c r="M37" s="1043" t="s">
        <v>2975</v>
      </c>
      <c r="N37" s="1044" t="s">
        <v>2976</v>
      </c>
      <c r="O37" s="1045" t="s">
        <v>2977</v>
      </c>
      <c r="P37" s="1043" t="s">
        <v>3013</v>
      </c>
      <c r="Q37" s="1046"/>
      <c r="R37" s="1047"/>
      <c r="S37" s="1046"/>
      <c r="T37" s="1047"/>
      <c r="U37" s="1028"/>
    </row>
    <row r="38">
      <c r="A38" s="1004"/>
      <c r="B38" s="1036">
        <f>IFERROR(VLOOKUP(C38,'字段信息'!A:C,3,),"")</f>
      </c>
      <c r="C38" s="1037" t="s">
        <v>3014</v>
      </c>
      <c r="D38" s="1038">
        <f>IFERROR(VLOOKUP(C37,'字段信息'!A:C,2,),"")</f>
      </c>
      <c r="E38" s="1039"/>
      <c r="F38" s="1040">
        <f t="shared" si="0"/>
      </c>
      <c r="G38" s="1039" t="s">
        <v>2979</v>
      </c>
      <c r="H38" s="1041"/>
      <c r="I38" s="1041"/>
      <c r="J38" s="1041"/>
      <c r="K38" s="1041"/>
      <c r="L38" s="1050" t="s">
        <v>2980</v>
      </c>
      <c r="M38" s="1056" t="s">
        <v>2975</v>
      </c>
      <c r="N38" s="1057" t="s">
        <v>2976</v>
      </c>
      <c r="O38" s="1058" t="s">
        <v>2977</v>
      </c>
      <c r="P38" s="1056" t="s">
        <v>3014</v>
      </c>
      <c r="Q38" s="1051"/>
      <c r="R38" s="1047"/>
      <c r="S38" s="1046"/>
      <c r="T38" s="1047"/>
      <c r="U38" s="1028"/>
    </row>
    <row r="39">
      <c r="A39" s="1059"/>
      <c r="B39" s="1036">
        <f>IFERROR(VLOOKUP(C39,'字段信息'!A:C,3,),"")</f>
      </c>
      <c r="C39" s="1037" t="s">
        <v>3015</v>
      </c>
      <c r="D39" s="1038">
        <f>IFERROR(VLOOKUP(C38,'字段信息'!A:C,2,),"")</f>
      </c>
      <c r="E39" s="1039"/>
      <c r="F39" s="1040">
        <f t="shared" si="0"/>
      </c>
      <c r="G39" s="1039" t="s">
        <v>2979</v>
      </c>
      <c r="H39" s="1041"/>
      <c r="I39" s="1041"/>
      <c r="J39" s="1041"/>
      <c r="K39" s="1041"/>
      <c r="L39" s="1042"/>
      <c r="M39" s="1056" t="s">
        <v>2975</v>
      </c>
      <c r="N39" s="1057" t="s">
        <v>2976</v>
      </c>
      <c r="O39" s="1058" t="s">
        <v>2977</v>
      </c>
      <c r="P39" s="1037" t="s">
        <v>3015</v>
      </c>
      <c r="Q39" s="1060"/>
      <c r="R39" s="1047"/>
      <c r="S39" s="1046"/>
      <c r="T39" s="1047"/>
      <c r="U39" s="1028"/>
    </row>
    <row r="40">
      <c r="A40" s="1059"/>
      <c r="B40" s="1036">
        <f>IFERROR(VLOOKUP(C40,'字段信息'!A:C,3,),"")</f>
      </c>
      <c r="C40" s="1037" t="s">
        <v>3016</v>
      </c>
      <c r="D40" s="1038">
        <f>IFERROR(VLOOKUP(C38,'字段信息'!A:C,2,),"")</f>
      </c>
      <c r="E40" s="1039"/>
      <c r="F40" s="1040">
        <f t="shared" si="0"/>
      </c>
      <c r="G40" s="1039" t="s">
        <v>2979</v>
      </c>
      <c r="H40" s="1041"/>
      <c r="I40" s="1041"/>
      <c r="J40" s="1041"/>
      <c r="K40" s="1041"/>
      <c r="L40" s="1042" t="s">
        <v>2980</v>
      </c>
      <c r="M40" s="1043" t="s">
        <v>2975</v>
      </c>
      <c r="N40" s="1057" t="s">
        <v>2976</v>
      </c>
      <c r="O40" s="1058" t="s">
        <v>2977</v>
      </c>
      <c r="P40" s="1043" t="s">
        <v>3016</v>
      </c>
      <c r="Q40" s="1060"/>
      <c r="R40" s="1047"/>
      <c r="S40" s="1046"/>
      <c r="T40" s="1047"/>
      <c r="U40" s="1028"/>
    </row>
    <row r="41">
      <c r="A41" s="1004"/>
      <c r="B41" s="1036">
        <f>IFERROR(VLOOKUP(C41,'字段信息'!A:C,3,),"")</f>
      </c>
      <c r="C41" s="1037" t="s">
        <v>3017</v>
      </c>
      <c r="D41" s="1038">
        <f>IFERROR(VLOOKUP(C41,'字段信息'!A:C,2,),"")</f>
      </c>
      <c r="E41" s="1039"/>
      <c r="F41" s="1040">
        <f t="shared" si="0"/>
      </c>
      <c r="G41" s="1039" t="s">
        <v>2979</v>
      </c>
      <c r="H41" s="1041"/>
      <c r="I41" s="1041"/>
      <c r="J41" s="1041"/>
      <c r="K41" s="1041"/>
      <c r="L41" s="1042" t="s">
        <v>2980</v>
      </c>
      <c r="M41" s="1043" t="s">
        <v>2975</v>
      </c>
      <c r="N41" s="1061" t="s">
        <v>2976</v>
      </c>
      <c r="O41" s="1045" t="s">
        <v>2977</v>
      </c>
      <c r="P41" s="1043" t="s">
        <v>3017</v>
      </c>
      <c r="Q41" s="1060"/>
      <c r="R41" s="1047"/>
      <c r="S41" s="1046"/>
      <c r="T41" s="1047"/>
      <c r="U41" s="1028"/>
    </row>
    <row r="42">
      <c r="A42" s="1004"/>
      <c r="B42" s="1062">
        <f>IFERROR(VLOOKUP(C42,'字段信息'!A:C,3,),"")</f>
      </c>
      <c r="C42" s="1063" t="s">
        <v>3018</v>
      </c>
      <c r="D42" s="1064">
        <f>IFERROR(VLOOKUP(C42,'字段信息'!A:C,2,),"")</f>
      </c>
      <c r="E42" s="1065"/>
      <c r="F42" s="1062">
        <f t="shared" si="0"/>
      </c>
      <c r="G42" s="1039" t="s">
        <v>2979</v>
      </c>
      <c r="H42" s="1041"/>
      <c r="I42" s="1041"/>
      <c r="J42" s="1041"/>
      <c r="K42" s="1041"/>
      <c r="L42" s="1042"/>
      <c r="M42" s="1064" t="s">
        <v>3019</v>
      </c>
      <c r="N42" s="1061"/>
      <c r="O42" s="1045"/>
      <c r="P42" s="1043"/>
      <c r="Q42" s="1060"/>
      <c r="R42" s="1047"/>
      <c r="S42" s="1046"/>
      <c r="T42" s="1047"/>
      <c r="U42" s="1028"/>
    </row>
    <row r="43">
      <c r="A43" s="1004"/>
      <c r="B43" s="1062">
        <f>IFERROR(VLOOKUP(C43,'字段信息'!A:C,3,),"")</f>
      </c>
      <c r="C43" s="1063" t="s">
        <v>3020</v>
      </c>
      <c r="D43" s="1064">
        <f>IFERROR(VLOOKUP(C43,'字段信息'!A:C,2,),"")</f>
      </c>
      <c r="E43" s="1065"/>
      <c r="F43" s="1062">
        <f t="shared" si="0"/>
      </c>
      <c r="G43" s="1039" t="s">
        <v>2979</v>
      </c>
      <c r="H43" s="1041"/>
      <c r="I43" s="1041"/>
      <c r="J43" s="1041"/>
      <c r="K43" s="1041"/>
      <c r="L43" s="1042"/>
      <c r="M43" s="1064" t="s">
        <v>3021</v>
      </c>
      <c r="N43" s="1061"/>
      <c r="O43" s="1045"/>
      <c r="P43" s="1043"/>
      <c r="Q43" s="1060"/>
      <c r="R43" s="1047"/>
      <c r="S43" s="1046"/>
      <c r="T43" s="1047"/>
      <c r="U43" s="1028"/>
    </row>
    <row r="44">
      <c r="A44" s="1004"/>
      <c r="B44" s="1036">
        <f>IFERROR(VLOOKUP(C44,'字段信息'!A:C,3,),"")</f>
      </c>
      <c r="C44" s="1037" t="s">
        <v>3022</v>
      </c>
      <c r="D44" s="1038">
        <f>IFERROR(VLOOKUP(C44,'字段信息'!A:C,2,),"")</f>
      </c>
      <c r="E44" s="1039"/>
      <c r="F44" s="1040">
        <f t="shared" si="0"/>
      </c>
      <c r="G44" s="1039" t="s">
        <v>2979</v>
      </c>
      <c r="H44" s="1041"/>
      <c r="I44" s="1041"/>
      <c r="J44" s="1041"/>
      <c r="K44" s="1041"/>
      <c r="L44" s="1042" t="s">
        <v>2980</v>
      </c>
      <c r="M44" s="1066" t="s">
        <v>3023</v>
      </c>
      <c r="N44" s="1061" t="s">
        <v>2976</v>
      </c>
      <c r="O44" s="1045" t="s">
        <v>2977</v>
      </c>
      <c r="P44" s="1043" t="s">
        <v>3024</v>
      </c>
      <c r="Q44" s="1060"/>
      <c r="R44" s="1047"/>
      <c r="S44" s="1046"/>
      <c r="T44" s="1047"/>
      <c r="U44" s="1028"/>
    </row>
    <row r="45">
      <c r="A45" s="1004"/>
      <c r="B45" s="1036">
        <f>IFERROR(VLOOKUP(C45,'字段信息'!A:C,3,),"")</f>
      </c>
      <c r="C45" s="1037" t="s">
        <v>3025</v>
      </c>
      <c r="D45" s="1038">
        <f>IFERROR(VLOOKUP(C45,'字段信息'!A:C,2,),"")</f>
      </c>
      <c r="E45" s="1039"/>
      <c r="F45" s="1040">
        <f t="shared" si="0"/>
      </c>
      <c r="G45" s="1039" t="s">
        <v>2979</v>
      </c>
      <c r="H45" s="1041"/>
      <c r="I45" s="1041"/>
      <c r="J45" s="1041"/>
      <c r="K45" s="1041"/>
      <c r="L45" s="1042" t="s">
        <v>2980</v>
      </c>
      <c r="M45" s="1066" t="s">
        <v>3026</v>
      </c>
      <c r="N45" s="1061" t="s">
        <v>2976</v>
      </c>
      <c r="O45" s="1045" t="s">
        <v>2977</v>
      </c>
      <c r="P45" s="1043" t="s">
        <v>3027</v>
      </c>
      <c r="Q45" s="1060"/>
      <c r="R45" s="1047"/>
      <c r="S45" s="1046"/>
      <c r="T45" s="1047"/>
      <c r="U45" s="1028"/>
    </row>
    <row r="46">
      <c r="A46" s="1004"/>
      <c r="B46" s="1036">
        <f>IFERROR(VLOOKUP(C46,'字段信息'!A:C,3,),"")</f>
      </c>
      <c r="C46" s="1037" t="s">
        <v>3028</v>
      </c>
      <c r="D46" s="1038">
        <f>IFERROR(VLOOKUP(C46,'字段信息'!A:C,2,),"")</f>
      </c>
      <c r="E46" s="1039"/>
      <c r="F46" s="1040">
        <f t="shared" si="0"/>
      </c>
      <c r="G46" s="1039" t="s">
        <v>2979</v>
      </c>
      <c r="H46" s="1041"/>
      <c r="I46" s="1041"/>
      <c r="J46" s="1041"/>
      <c r="K46" s="1041"/>
      <c r="L46" s="1042" t="s">
        <v>2980</v>
      </c>
      <c r="M46" s="1066" t="s">
        <v>3026</v>
      </c>
      <c r="N46" s="1061" t="s">
        <v>2976</v>
      </c>
      <c r="O46" s="1045" t="s">
        <v>2977</v>
      </c>
      <c r="P46" s="1043" t="s">
        <v>3029</v>
      </c>
      <c r="Q46" s="1060"/>
      <c r="R46" s="1047"/>
      <c r="S46" s="1046"/>
      <c r="T46" s="1047"/>
      <c r="U46" s="1028"/>
    </row>
    <row r="47">
      <c r="A47" s="1004"/>
      <c r="B47" s="1036">
        <f>IFERROR(VLOOKUP(C47,'字段信息'!A:C,3,),"")</f>
      </c>
      <c r="C47" s="1037" t="s">
        <v>3030</v>
      </c>
      <c r="D47" s="1038">
        <f>IFERROR(VLOOKUP(C47,'字段信息'!A:C,2,),"")</f>
      </c>
      <c r="E47" s="1039"/>
      <c r="F47" s="1040">
        <f t="shared" si="0"/>
      </c>
      <c r="G47" s="1039" t="s">
        <v>2979</v>
      </c>
      <c r="H47" s="1041"/>
      <c r="I47" s="1041"/>
      <c r="J47" s="1041"/>
      <c r="K47" s="1041"/>
      <c r="L47" s="1042" t="s">
        <v>2980</v>
      </c>
      <c r="M47" s="1066" t="s">
        <v>3026</v>
      </c>
      <c r="N47" s="1061" t="s">
        <v>2976</v>
      </c>
      <c r="O47" s="1045" t="s">
        <v>2977</v>
      </c>
      <c r="P47" s="1043" t="s">
        <v>3031</v>
      </c>
      <c r="Q47" s="1060"/>
      <c r="R47" s="1047"/>
      <c r="S47" s="1046"/>
      <c r="T47" s="1047"/>
      <c r="U47" s="1028"/>
    </row>
    <row r="48">
      <c r="A48" s="1059"/>
      <c r="B48" s="1036">
        <f>IFERROR(VLOOKUP(C48,'字段信息'!A:C,3,),"")</f>
      </c>
      <c r="C48" s="1037" t="s">
        <v>3032</v>
      </c>
      <c r="D48" s="1038">
        <f>IFERROR(VLOOKUP(C48,'字段信息'!A:C,2,),"")</f>
      </c>
      <c r="E48" s="1039"/>
      <c r="F48" s="1040">
        <f t="shared" si="0"/>
      </c>
      <c r="G48" s="1039" t="s">
        <v>2979</v>
      </c>
      <c r="H48" s="1041"/>
      <c r="I48" s="1041"/>
      <c r="J48" s="1041"/>
      <c r="K48" s="1041"/>
      <c r="L48" s="1050" t="s">
        <v>2980</v>
      </c>
      <c r="M48" s="1066" t="s">
        <v>3026</v>
      </c>
      <c r="N48" s="1067" t="s">
        <v>2976</v>
      </c>
      <c r="O48" s="1068" t="s">
        <v>2977</v>
      </c>
      <c r="P48" s="1069" t="s">
        <v>3033</v>
      </c>
      <c r="Q48" s="1046"/>
      <c r="R48" s="1047"/>
      <c r="S48" s="1046"/>
      <c r="T48" s="1047"/>
      <c r="U48" s="1028"/>
    </row>
    <row r="49">
      <c r="A49" s="1059"/>
      <c r="B49" s="1036">
        <f>IFERROR(VLOOKUP(C49,'字段信息'!A:C,3,),"")</f>
      </c>
      <c r="C49" s="1037" t="s">
        <v>3034</v>
      </c>
      <c r="D49" s="1038">
        <f>IFERROR(VLOOKUP(C49,'字段信息'!A:C,2,),"")</f>
      </c>
      <c r="E49" s="1039"/>
      <c r="F49" s="1040">
        <f t="shared" si="0"/>
      </c>
      <c r="G49" s="1039" t="s">
        <v>2979</v>
      </c>
      <c r="H49" s="1041"/>
      <c r="I49" s="1041"/>
      <c r="J49" s="1041"/>
      <c r="K49" s="1041"/>
      <c r="L49" s="1050" t="s">
        <v>2980</v>
      </c>
      <c r="M49" s="1066" t="s">
        <v>3026</v>
      </c>
      <c r="N49" s="1044" t="s">
        <v>2976</v>
      </c>
      <c r="O49" s="1045" t="s">
        <v>2977</v>
      </c>
      <c r="P49" s="1043" t="s">
        <v>3035</v>
      </c>
      <c r="Q49" s="1046"/>
      <c r="R49" s="1047"/>
      <c r="S49" s="1046"/>
      <c r="T49" s="1047"/>
      <c r="U49" s="1028"/>
    </row>
    <row r="50">
      <c r="A50" s="1004"/>
      <c r="B50" s="1036">
        <f>IFERROR(VLOOKUP(C50,'字段信息'!A:C,3,),"")</f>
      </c>
      <c r="C50" s="1037" t="s">
        <v>3036</v>
      </c>
      <c r="D50" s="1038">
        <f>IFERROR(VLOOKUP(C50,'字段信息'!A:C,2,),"")</f>
      </c>
      <c r="E50" s="1039"/>
      <c r="F50" s="1040">
        <f t="shared" si="0"/>
      </c>
      <c r="G50" s="1039" t="s">
        <v>2979</v>
      </c>
      <c r="H50" s="1041"/>
      <c r="I50" s="1041"/>
      <c r="J50" s="1041"/>
      <c r="K50" s="1041"/>
      <c r="L50" s="1050" t="s">
        <v>2980</v>
      </c>
      <c r="M50" s="1066" t="s">
        <v>3026</v>
      </c>
      <c r="N50" s="1044" t="s">
        <v>2976</v>
      </c>
      <c r="O50" s="1045" t="s">
        <v>2977</v>
      </c>
      <c r="P50" s="1043" t="s">
        <v>3037</v>
      </c>
      <c r="Q50" s="1046"/>
      <c r="R50" s="1047"/>
      <c r="S50" s="1046"/>
      <c r="T50" s="1047"/>
      <c r="U50" s="1028"/>
    </row>
    <row r="51">
      <c r="A51" s="1004"/>
      <c r="B51" s="1036">
        <f>IFERROR(VLOOKUP(C51,'字段信息'!A:C,3,),"")</f>
      </c>
      <c r="C51" s="1037" t="s">
        <v>3038</v>
      </c>
      <c r="D51" s="1038">
        <f>IFERROR(VLOOKUP(C51,'字段信息'!A:C,2,),"")</f>
      </c>
      <c r="E51" s="1039"/>
      <c r="F51" s="1040">
        <f t="shared" si="0"/>
      </c>
      <c r="G51" s="1039" t="s">
        <v>2979</v>
      </c>
      <c r="H51" s="1041"/>
      <c r="I51" s="1041"/>
      <c r="J51" s="1041"/>
      <c r="K51" s="1041"/>
      <c r="L51" s="1050" t="s">
        <v>2980</v>
      </c>
      <c r="M51" s="1066" t="s">
        <v>3026</v>
      </c>
      <c r="N51" s="1044" t="s">
        <v>2976</v>
      </c>
      <c r="O51" s="1045" t="s">
        <v>2977</v>
      </c>
      <c r="P51" s="1043" t="s">
        <v>3039</v>
      </c>
      <c r="Q51" s="1046"/>
      <c r="R51" s="1047"/>
      <c r="S51" s="1046"/>
      <c r="T51" s="1047"/>
      <c r="U51" s="1028"/>
    </row>
    <row r="52">
      <c r="A52" s="1004"/>
      <c r="B52" s="1036">
        <f>IFERROR(VLOOKUP(C52,'字段信息'!A:C,3,),"")</f>
      </c>
      <c r="C52" s="1037" t="s">
        <v>3040</v>
      </c>
      <c r="D52" s="1038">
        <f>IFERROR(VLOOKUP(C52,'字段信息'!A:C,2,),"")</f>
      </c>
      <c r="E52" s="1039"/>
      <c r="F52" s="1040">
        <f t="shared" si="0"/>
      </c>
      <c r="G52" s="1039" t="s">
        <v>2979</v>
      </c>
      <c r="H52" s="1041"/>
      <c r="I52" s="1041"/>
      <c r="J52" s="1041"/>
      <c r="K52" s="1041"/>
      <c r="L52" s="1050" t="s">
        <v>2980</v>
      </c>
      <c r="M52" s="1066" t="s">
        <v>3026</v>
      </c>
      <c r="N52" s="1044" t="s">
        <v>2976</v>
      </c>
      <c r="O52" s="1045" t="s">
        <v>2977</v>
      </c>
      <c r="P52" s="1043" t="s">
        <v>3041</v>
      </c>
      <c r="Q52" s="1046"/>
      <c r="R52" s="1047"/>
      <c r="S52" s="1046"/>
      <c r="T52" s="1047"/>
      <c r="U52" s="1028"/>
    </row>
    <row r="53">
      <c r="A53" s="1004"/>
      <c r="B53" s="1036">
        <f>IFERROR(VLOOKUP(C53,'字段信息'!A:C,3,),"")</f>
      </c>
      <c r="C53" s="1037" t="s">
        <v>3042</v>
      </c>
      <c r="D53" s="1038">
        <f>IFERROR(VLOOKUP(C53,'字段信息'!A:C,2,),"")</f>
      </c>
      <c r="E53" s="1039"/>
      <c r="F53" s="1040">
        <f t="shared" si="0"/>
      </c>
      <c r="G53" s="1039" t="s">
        <v>2979</v>
      </c>
      <c r="H53" s="1041"/>
      <c r="I53" s="1041"/>
      <c r="J53" s="1041"/>
      <c r="K53" s="1041"/>
      <c r="L53" s="1050" t="s">
        <v>2980</v>
      </c>
      <c r="M53" s="1066" t="s">
        <v>3026</v>
      </c>
      <c r="N53" s="1044" t="s">
        <v>2976</v>
      </c>
      <c r="O53" s="1045" t="s">
        <v>2977</v>
      </c>
      <c r="P53" s="1043" t="s">
        <v>3043</v>
      </c>
      <c r="Q53" s="1046"/>
      <c r="R53" s="1047"/>
      <c r="S53" s="1046"/>
      <c r="T53" s="1047"/>
      <c r="U53" s="1028"/>
    </row>
    <row r="54">
      <c r="A54" s="1059"/>
      <c r="B54" s="1036">
        <f>IFERROR(VLOOKUP(C54,'字段信息'!A:C,3,),"")</f>
      </c>
      <c r="C54" s="1037" t="s">
        <v>3044</v>
      </c>
      <c r="D54" s="1038">
        <f>IFERROR(VLOOKUP(C54,'字段信息'!A:C,2,),"")</f>
      </c>
      <c r="E54" s="1039"/>
      <c r="F54" s="1040">
        <f t="shared" si="0"/>
      </c>
      <c r="G54" s="1039" t="s">
        <v>2979</v>
      </c>
      <c r="H54" s="1041"/>
      <c r="I54" s="1041"/>
      <c r="J54" s="1041"/>
      <c r="K54" s="1041"/>
      <c r="L54" s="1050" t="s">
        <v>2980</v>
      </c>
      <c r="M54" s="1066" t="s">
        <v>3026</v>
      </c>
      <c r="N54" s="1044" t="s">
        <v>2976</v>
      </c>
      <c r="O54" s="1045" t="s">
        <v>2977</v>
      </c>
      <c r="P54" s="1043" t="s">
        <v>3045</v>
      </c>
      <c r="Q54" s="1051"/>
      <c r="R54" s="1047"/>
      <c r="S54" s="1046"/>
      <c r="T54" s="1047"/>
      <c r="U54" s="1028"/>
    </row>
    <row r="55">
      <c r="A55" s="1059"/>
      <c r="B55" s="1036">
        <f>IFERROR(VLOOKUP(C55,'字段信息'!A:C,3,),"")</f>
      </c>
      <c r="C55" s="1037" t="s">
        <v>3046</v>
      </c>
      <c r="D55" s="1038">
        <f>IFERROR(VLOOKUP(C55,'字段信息'!A:C,2,),"")</f>
      </c>
      <c r="E55" s="1039"/>
      <c r="F55" s="1040">
        <f t="shared" si="0"/>
      </c>
      <c r="G55" s="1039" t="s">
        <v>2979</v>
      </c>
      <c r="H55" s="1041"/>
      <c r="I55" s="1041"/>
      <c r="J55" s="1041"/>
      <c r="K55" s="1041"/>
      <c r="L55" s="1050" t="s">
        <v>2980</v>
      </c>
      <c r="M55" s="1066" t="s">
        <v>3026</v>
      </c>
      <c r="N55" s="1044" t="s">
        <v>2976</v>
      </c>
      <c r="O55" s="1045" t="s">
        <v>2977</v>
      </c>
      <c r="P55" s="1043" t="s">
        <v>3047</v>
      </c>
      <c r="Q55" s="1046"/>
      <c r="R55" s="1047"/>
      <c r="S55" s="1046"/>
      <c r="T55" s="1047"/>
      <c r="U55" s="1028"/>
    </row>
    <row r="56">
      <c r="A56" s="1059"/>
      <c r="B56" s="1036">
        <f>IFERROR(VLOOKUP(C56,'字段信息'!A:C,3,),"")</f>
      </c>
      <c r="C56" s="1037" t="s">
        <v>3048</v>
      </c>
      <c r="D56" s="1038">
        <f>IFERROR(VLOOKUP(C56,'字段信息'!A:C,2,),"")</f>
      </c>
      <c r="E56" s="1039"/>
      <c r="F56" s="1040">
        <f t="shared" si="0"/>
      </c>
      <c r="G56" s="1039" t="s">
        <v>2979</v>
      </c>
      <c r="H56" s="1041"/>
      <c r="I56" s="1041"/>
      <c r="J56" s="1041"/>
      <c r="K56" s="1041"/>
      <c r="L56" s="1050" t="s">
        <v>2980</v>
      </c>
      <c r="M56" s="1066" t="s">
        <v>3026</v>
      </c>
      <c r="N56" s="1044" t="s">
        <v>2976</v>
      </c>
      <c r="O56" s="1045" t="s">
        <v>2977</v>
      </c>
      <c r="P56" s="1043" t="s">
        <v>3049</v>
      </c>
      <c r="Q56" s="1046"/>
      <c r="R56" s="1047"/>
      <c r="S56" s="1046"/>
      <c r="T56" s="1047"/>
      <c r="U56" s="1028"/>
    </row>
    <row r="57">
      <c r="A57" s="1059"/>
      <c r="B57" s="1036">
        <f>IFERROR(VLOOKUP(C57,'字段信息'!A:C,3,),"")</f>
      </c>
      <c r="C57" s="1037" t="s">
        <v>3050</v>
      </c>
      <c r="D57" s="1038">
        <f>IFERROR(VLOOKUP(C57,'字段信息'!A:C,2,),"")</f>
      </c>
      <c r="E57" s="1039"/>
      <c r="F57" s="1040">
        <f t="shared" si="0"/>
      </c>
      <c r="G57" s="1039" t="s">
        <v>2979</v>
      </c>
      <c r="H57" s="1041"/>
      <c r="I57" s="1041"/>
      <c r="J57" s="1041"/>
      <c r="K57" s="1041"/>
      <c r="L57" s="1050" t="s">
        <v>2980</v>
      </c>
      <c r="M57" s="1066" t="s">
        <v>3026</v>
      </c>
      <c r="N57" s="1044" t="s">
        <v>2976</v>
      </c>
      <c r="O57" s="1045" t="s">
        <v>2977</v>
      </c>
      <c r="P57" s="1043" t="s">
        <v>3051</v>
      </c>
      <c r="Q57" s="1046"/>
      <c r="R57" s="1047"/>
      <c r="S57" s="1046"/>
      <c r="T57" s="1047"/>
      <c r="U57" s="1028"/>
    </row>
    <row r="58">
      <c r="A58" s="1004"/>
      <c r="B58" s="1036">
        <f>IFERROR(VLOOKUP(C58,'字段信息'!A:C,3,),"")</f>
      </c>
      <c r="C58" s="1037" t="s">
        <v>3052</v>
      </c>
      <c r="D58" s="1038">
        <f>IFERROR(VLOOKUP(C58,'字段信息'!A:C,2,),"")</f>
      </c>
      <c r="E58" s="1039"/>
      <c r="F58" s="1040">
        <f t="shared" si="0"/>
      </c>
      <c r="G58" s="1039" t="s">
        <v>2979</v>
      </c>
      <c r="H58" s="1041"/>
      <c r="I58" s="1041"/>
      <c r="J58" s="1041"/>
      <c r="K58" s="1041"/>
      <c r="L58" s="1050" t="s">
        <v>2980</v>
      </c>
      <c r="M58" s="1066" t="s">
        <v>3026</v>
      </c>
      <c r="N58" s="1044" t="s">
        <v>2976</v>
      </c>
      <c r="O58" s="1045" t="s">
        <v>2977</v>
      </c>
      <c r="P58" s="1043" t="s">
        <v>3053</v>
      </c>
      <c r="Q58" s="1070"/>
      <c r="R58" s="1047"/>
      <c r="S58" s="1046"/>
      <c r="T58" s="1047"/>
      <c r="U58" s="1028"/>
    </row>
    <row r="59">
      <c r="A59" s="1004"/>
      <c r="B59" s="1036">
        <f>IFERROR(VLOOKUP(C59,'字段信息'!A:C,3,),"")</f>
      </c>
      <c r="C59" s="1037" t="s">
        <v>3054</v>
      </c>
      <c r="D59" s="1038">
        <f>IFERROR(VLOOKUP(C59,'字段信息'!A:C,2,),"")</f>
      </c>
      <c r="E59" s="1039"/>
      <c r="F59" s="1040">
        <f t="shared" si="0"/>
      </c>
      <c r="G59" s="1039" t="s">
        <v>2979</v>
      </c>
      <c r="H59" s="1041"/>
      <c r="I59" s="1041"/>
      <c r="J59" s="1041"/>
      <c r="K59" s="1041"/>
      <c r="L59" s="1050" t="s">
        <v>2980</v>
      </c>
      <c r="M59" s="1066" t="s">
        <v>3026</v>
      </c>
      <c r="N59" s="1044" t="s">
        <v>2976</v>
      </c>
      <c r="O59" s="1045" t="s">
        <v>2977</v>
      </c>
      <c r="P59" s="1043" t="s">
        <v>3055</v>
      </c>
      <c r="Q59" s="1071"/>
      <c r="R59" s="1052"/>
      <c r="S59" s="1046"/>
      <c r="T59" s="1047"/>
      <c r="U59" s="1028"/>
    </row>
    <row r="60">
      <c r="A60" s="1004"/>
      <c r="B60" s="1036">
        <f>IFERROR(VLOOKUP(C60,'字段信息'!A:C,3,),"")</f>
      </c>
      <c r="C60" s="1037" t="s">
        <v>3056</v>
      </c>
      <c r="D60" s="1038">
        <f>IFERROR(VLOOKUP(C60,'字段信息'!A:C,2,),"")</f>
      </c>
      <c r="E60" s="1039"/>
      <c r="F60" s="1040">
        <f t="shared" si="0"/>
      </c>
      <c r="G60" s="1039" t="s">
        <v>2979</v>
      </c>
      <c r="H60" s="1041"/>
      <c r="I60" s="1041"/>
      <c r="J60" s="1041"/>
      <c r="K60" s="1041"/>
      <c r="L60" s="1050" t="s">
        <v>2980</v>
      </c>
      <c r="M60" s="1066" t="s">
        <v>3026</v>
      </c>
      <c r="N60" s="1044" t="s">
        <v>2976</v>
      </c>
      <c r="O60" s="1045" t="s">
        <v>2977</v>
      </c>
      <c r="P60" s="1043" t="s">
        <v>3057</v>
      </c>
      <c r="Q60" s="1072"/>
      <c r="R60" s="1047"/>
      <c r="S60" s="1046"/>
      <c r="T60" s="1047"/>
      <c r="U60" s="1028"/>
    </row>
    <row r="61">
      <c r="A61" s="1004"/>
      <c r="B61" s="1036">
        <f>IFERROR(VLOOKUP(C61,'字段信息'!A:C,3,),"")</f>
      </c>
      <c r="C61" s="1037" t="s">
        <v>3058</v>
      </c>
      <c r="D61" s="1038">
        <f>IFERROR(VLOOKUP(C61,'字段信息'!A:C,2,),"")</f>
      </c>
      <c r="E61" s="1039"/>
      <c r="F61" s="1040">
        <f t="shared" si="0"/>
      </c>
      <c r="G61" s="1039" t="s">
        <v>2979</v>
      </c>
      <c r="H61" s="1041"/>
      <c r="I61" s="1041"/>
      <c r="J61" s="1041"/>
      <c r="K61" s="1041"/>
      <c r="L61" s="1050" t="s">
        <v>2980</v>
      </c>
      <c r="M61" s="1066" t="s">
        <v>3026</v>
      </c>
      <c r="N61" s="1044" t="s">
        <v>2976</v>
      </c>
      <c r="O61" s="1045" t="s">
        <v>2977</v>
      </c>
      <c r="P61" s="1043" t="s">
        <v>3059</v>
      </c>
      <c r="Q61" s="1046"/>
      <c r="R61" s="1047"/>
      <c r="S61" s="1046"/>
      <c r="T61" s="1047"/>
      <c r="U61" s="1028"/>
    </row>
    <row r="62">
      <c r="A62" s="1004"/>
      <c r="B62" s="1036">
        <f>IFERROR(VLOOKUP(C62,'字段信息'!A:C,3,),"")</f>
      </c>
      <c r="C62" s="1037" t="s">
        <v>3060</v>
      </c>
      <c r="D62" s="1038">
        <f>IFERROR(VLOOKUP(C62,'字段信息'!A:C,2,),"")</f>
      </c>
      <c r="E62" s="1039"/>
      <c r="F62" s="1040">
        <f t="shared" si="0"/>
      </c>
      <c r="G62" s="1039" t="s">
        <v>2979</v>
      </c>
      <c r="H62" s="1041"/>
      <c r="I62" s="1041"/>
      <c r="J62" s="1041"/>
      <c r="K62" s="1041"/>
      <c r="L62" s="1050" t="s">
        <v>2980</v>
      </c>
      <c r="M62" s="1066" t="s">
        <v>3026</v>
      </c>
      <c r="N62" s="1044" t="s">
        <v>2976</v>
      </c>
      <c r="O62" s="1045" t="s">
        <v>2977</v>
      </c>
      <c r="P62" s="1043" t="s">
        <v>3061</v>
      </c>
      <c r="Q62" s="1046"/>
      <c r="R62" s="1047"/>
      <c r="S62" s="1046"/>
      <c r="T62" s="1047"/>
      <c r="U62" s="1028"/>
    </row>
    <row r="63">
      <c r="A63" s="1004"/>
      <c r="B63" s="1036">
        <f>IFERROR(VLOOKUP(C63,'字段信息'!A:C,3,),"")</f>
      </c>
      <c r="C63" s="1037" t="s">
        <v>3062</v>
      </c>
      <c r="D63" s="1038">
        <f>IFERROR(VLOOKUP(C63,'字段信息'!A:C,2,),"")</f>
      </c>
      <c r="E63" s="1039"/>
      <c r="F63" s="1040">
        <f t="shared" si="0"/>
      </c>
      <c r="G63" s="1039" t="s">
        <v>2979</v>
      </c>
      <c r="H63" s="1041"/>
      <c r="I63" s="1041"/>
      <c r="J63" s="1041"/>
      <c r="K63" s="1041"/>
      <c r="L63" s="1050" t="s">
        <v>2980</v>
      </c>
      <c r="M63" s="1066" t="s">
        <v>3026</v>
      </c>
      <c r="N63" s="1044" t="s">
        <v>2976</v>
      </c>
      <c r="O63" s="1045" t="s">
        <v>2977</v>
      </c>
      <c r="P63" s="1043" t="s">
        <v>3063</v>
      </c>
      <c r="Q63" s="1046"/>
      <c r="R63" s="1047"/>
      <c r="S63" s="1046"/>
      <c r="T63" s="1047"/>
      <c r="U63" s="1028"/>
    </row>
    <row r="64">
      <c r="A64" s="1004"/>
      <c r="B64" s="1036">
        <f>IFERROR(VLOOKUP(C64,'字段信息'!A:C,3,),"")</f>
      </c>
      <c r="C64" s="1037" t="s">
        <v>3064</v>
      </c>
      <c r="D64" s="1038">
        <f>IFERROR(VLOOKUP(C64,'字段信息'!A:C,2,),"")</f>
      </c>
      <c r="E64" s="1039"/>
      <c r="F64" s="1040">
        <f t="shared" si="0"/>
      </c>
      <c r="G64" s="1039" t="s">
        <v>2979</v>
      </c>
      <c r="H64" s="1041"/>
      <c r="I64" s="1041"/>
      <c r="J64" s="1041"/>
      <c r="K64" s="1041"/>
      <c r="L64" s="1050" t="s">
        <v>2980</v>
      </c>
      <c r="M64" s="1066" t="s">
        <v>3026</v>
      </c>
      <c r="N64" s="1044" t="s">
        <v>2976</v>
      </c>
      <c r="O64" s="1045" t="s">
        <v>2977</v>
      </c>
      <c r="P64" s="1043" t="s">
        <v>3065</v>
      </c>
      <c r="Q64" s="1046"/>
      <c r="R64" s="1047"/>
      <c r="S64" s="1046"/>
      <c r="T64" s="1047"/>
      <c r="U64" s="1028"/>
    </row>
    <row r="65">
      <c r="A65" s="1004"/>
      <c r="B65" s="1036">
        <f>IFERROR(VLOOKUP(C65,'字段信息'!A:C,3,),"")</f>
      </c>
      <c r="C65" s="1037" t="s">
        <v>3066</v>
      </c>
      <c r="D65" s="1038">
        <f>IFERROR(VLOOKUP(C65,'字段信息'!A:C,2,),"")</f>
      </c>
      <c r="E65" s="1039"/>
      <c r="F65" s="1040">
        <f t="shared" si="0"/>
      </c>
      <c r="G65" s="1039" t="s">
        <v>2979</v>
      </c>
      <c r="H65" s="1041"/>
      <c r="I65" s="1041"/>
      <c r="J65" s="1041"/>
      <c r="K65" s="1041"/>
      <c r="L65" s="1050" t="s">
        <v>2980</v>
      </c>
      <c r="M65" s="1066" t="s">
        <v>3026</v>
      </c>
      <c r="N65" s="1044" t="s">
        <v>2976</v>
      </c>
      <c r="O65" s="1045" t="s">
        <v>2977</v>
      </c>
      <c r="P65" s="1043" t="s">
        <v>3067</v>
      </c>
      <c r="Q65" s="1046"/>
      <c r="R65" s="1047"/>
      <c r="S65" s="1046"/>
      <c r="T65" s="1047"/>
      <c r="U65" s="1028"/>
    </row>
    <row r="66">
      <c r="A66" s="1004"/>
      <c r="B66" s="1036">
        <f>IFERROR(VLOOKUP(C66,'字段信息'!A:C,3,),"")</f>
      </c>
      <c r="C66" s="1037" t="s">
        <v>3068</v>
      </c>
      <c r="D66" s="1038">
        <f>IFERROR(VLOOKUP(C66,'字段信息'!A:C,2,),"")</f>
      </c>
      <c r="E66" s="1039"/>
      <c r="F66" s="1040">
        <f t="shared" si="0"/>
      </c>
      <c r="G66" s="1039" t="s">
        <v>2979</v>
      </c>
      <c r="H66" s="1041"/>
      <c r="I66" s="1041"/>
      <c r="J66" s="1041"/>
      <c r="K66" s="1041"/>
      <c r="L66" s="1050" t="s">
        <v>2980</v>
      </c>
      <c r="M66" s="1066" t="s">
        <v>3026</v>
      </c>
      <c r="N66" s="1044" t="s">
        <v>2976</v>
      </c>
      <c r="O66" s="1045" t="s">
        <v>2977</v>
      </c>
      <c r="P66" s="1043" t="s">
        <v>3069</v>
      </c>
      <c r="Q66" s="1046"/>
      <c r="R66" s="1047"/>
      <c r="S66" s="1051"/>
      <c r="T66" s="1047"/>
      <c r="U66" s="1028"/>
    </row>
    <row r="67">
      <c r="A67" s="1004"/>
      <c r="B67" s="1036">
        <f>IFERROR(VLOOKUP(C67,'字段信息'!A:C,3,),"")</f>
      </c>
      <c r="C67" s="1037" t="s">
        <v>3070</v>
      </c>
      <c r="D67" s="1038">
        <f>IFERROR(VLOOKUP(C67,'字段信息'!A:C,2,),"")</f>
      </c>
      <c r="E67" s="1039"/>
      <c r="F67" s="1040">
        <f t="shared" si="0"/>
      </c>
      <c r="G67" s="1039" t="s">
        <v>2979</v>
      </c>
      <c r="H67" s="1041"/>
      <c r="I67" s="1041"/>
      <c r="J67" s="1041"/>
      <c r="K67" s="1041"/>
      <c r="L67" s="1050" t="s">
        <v>2980</v>
      </c>
      <c r="M67" s="1066" t="s">
        <v>3026</v>
      </c>
      <c r="N67" s="1044" t="s">
        <v>2976</v>
      </c>
      <c r="O67" s="1045" t="s">
        <v>2977</v>
      </c>
      <c r="P67" s="1043" t="s">
        <v>3071</v>
      </c>
      <c r="Q67" s="1046"/>
      <c r="R67" s="1047"/>
      <c r="S67" s="1046"/>
      <c r="T67" s="1047"/>
      <c r="U67" s="1028"/>
    </row>
    <row r="68">
      <c r="A68" s="1004"/>
      <c r="B68" s="1036">
        <f>IFERROR(VLOOKUP(C68,'字段信息'!A:C,3,),"")</f>
      </c>
      <c r="C68" s="1037" t="s">
        <v>3072</v>
      </c>
      <c r="D68" s="1038">
        <f>IFERROR(VLOOKUP(C68,'字段信息'!A:C,2,),"")</f>
      </c>
      <c r="E68" s="1039"/>
      <c r="F68" s="1040">
        <f t="shared" si="0"/>
      </c>
      <c r="G68" s="1039" t="s">
        <v>2979</v>
      </c>
      <c r="H68" s="1041"/>
      <c r="I68" s="1041"/>
      <c r="J68" s="1041"/>
      <c r="K68" s="1041"/>
      <c r="L68" s="1050" t="s">
        <v>2980</v>
      </c>
      <c r="M68" s="1066" t="s">
        <v>3026</v>
      </c>
      <c r="N68" s="1044" t="s">
        <v>2976</v>
      </c>
      <c r="O68" s="1045" t="s">
        <v>2977</v>
      </c>
      <c r="P68" s="1043" t="s">
        <v>3073</v>
      </c>
      <c r="Q68" s="1046"/>
      <c r="R68" s="1047"/>
      <c r="S68" s="1046"/>
      <c r="T68" s="1047"/>
      <c r="U68" s="1028"/>
    </row>
    <row r="69">
      <c r="A69" s="1004"/>
      <c r="B69" s="1036">
        <f>IFERROR(VLOOKUP(C69,'字段信息'!A:C,3,),"")</f>
      </c>
      <c r="C69" s="1037" t="s">
        <v>3074</v>
      </c>
      <c r="D69" s="1038">
        <f>IFERROR(VLOOKUP(C69,'字段信息'!A:C,2,),"")</f>
      </c>
      <c r="E69" s="1039"/>
      <c r="F69" s="1040">
        <f t="shared" si="0"/>
      </c>
      <c r="G69" s="1039" t="s">
        <v>2979</v>
      </c>
      <c r="H69" s="1041"/>
      <c r="I69" s="1041"/>
      <c r="J69" s="1041"/>
      <c r="K69" s="1041"/>
      <c r="L69" s="1050" t="s">
        <v>2980</v>
      </c>
      <c r="M69" s="1066" t="s">
        <v>3026</v>
      </c>
      <c r="N69" s="1044" t="s">
        <v>2976</v>
      </c>
      <c r="O69" s="1045" t="s">
        <v>2977</v>
      </c>
      <c r="P69" s="1043" t="s">
        <v>3075</v>
      </c>
      <c r="Q69" s="1046"/>
      <c r="R69" s="1047"/>
      <c r="S69" s="1046"/>
      <c r="T69" s="1047"/>
      <c r="U69" s="1028"/>
    </row>
    <row r="70">
      <c r="A70" s="1004"/>
      <c r="B70" s="1036">
        <f>IFERROR(VLOOKUP(C70,'字段信息'!A:C,3,),"")</f>
      </c>
      <c r="C70" s="1037" t="s">
        <v>3076</v>
      </c>
      <c r="D70" s="1038">
        <f>IFERROR(VLOOKUP(C70,'字段信息'!A:C,2,),"")</f>
      </c>
      <c r="E70" s="1039"/>
      <c r="F70" s="1040">
        <f t="shared" si="0"/>
      </c>
      <c r="G70" s="1039" t="s">
        <v>2979</v>
      </c>
      <c r="H70" s="1041"/>
      <c r="I70" s="1041"/>
      <c r="J70" s="1041"/>
      <c r="K70" s="1041"/>
      <c r="L70" s="1050" t="s">
        <v>2980</v>
      </c>
      <c r="M70" s="1066" t="s">
        <v>3026</v>
      </c>
      <c r="N70" s="1044" t="s">
        <v>2976</v>
      </c>
      <c r="O70" s="1045" t="s">
        <v>2977</v>
      </c>
      <c r="P70" s="1043" t="s">
        <v>3077</v>
      </c>
      <c r="Q70" s="1046"/>
      <c r="R70" s="1047"/>
      <c r="S70" s="1046"/>
      <c r="T70" s="1047"/>
      <c r="U70" s="1028"/>
    </row>
    <row r="71">
      <c r="A71" s="1004"/>
      <c r="B71" s="1036">
        <f>IFERROR(VLOOKUP(C71,'字段信息'!A:C,3,),"")</f>
      </c>
      <c r="C71" s="1037" t="s">
        <v>3078</v>
      </c>
      <c r="D71" s="1038">
        <f>IFERROR(VLOOKUP(C71,'字段信息'!A:C,2,),"")</f>
      </c>
      <c r="E71" s="1039"/>
      <c r="F71" s="1040">
        <f t="shared" si="0"/>
      </c>
      <c r="G71" s="1039" t="s">
        <v>2979</v>
      </c>
      <c r="H71" s="1041"/>
      <c r="I71" s="1041"/>
      <c r="J71" s="1041"/>
      <c r="K71" s="1041"/>
      <c r="L71" s="1050"/>
      <c r="M71" s="1066" t="s">
        <v>3026</v>
      </c>
      <c r="N71" s="1044" t="s">
        <v>2976</v>
      </c>
      <c r="O71" s="1045" t="s">
        <v>2977</v>
      </c>
      <c r="P71" s="1043" t="s">
        <v>3079</v>
      </c>
      <c r="Q71" s="1046"/>
      <c r="R71" s="1047"/>
      <c r="S71" s="1046"/>
      <c r="T71" s="1047"/>
      <c r="U71" s="1028"/>
    </row>
    <row r="72">
      <c r="A72" s="1004"/>
      <c r="B72" s="1036">
        <f>IFERROR(VLOOKUP(C72,'字段信息'!A:C,3,),"")</f>
      </c>
      <c r="C72" s="1037" t="s">
        <v>3080</v>
      </c>
      <c r="D72" s="1038">
        <f>IFERROR(VLOOKUP(C72,'字段信息'!A:C,2,),"")</f>
      </c>
      <c r="E72" s="1039"/>
      <c r="F72" s="1040">
        <f t="shared" si="0"/>
      </c>
      <c r="G72" s="1039" t="s">
        <v>2979</v>
      </c>
      <c r="H72" s="1041"/>
      <c r="I72" s="1041"/>
      <c r="J72" s="1041"/>
      <c r="K72" s="1041"/>
      <c r="L72" s="1050"/>
      <c r="M72" s="1066" t="s">
        <v>3026</v>
      </c>
      <c r="N72" s="1044" t="s">
        <v>2976</v>
      </c>
      <c r="O72" s="1045" t="s">
        <v>2977</v>
      </c>
      <c r="P72" s="1043" t="s">
        <v>3081</v>
      </c>
      <c r="Q72" s="1046"/>
      <c r="R72" s="1047"/>
      <c r="S72" s="1046"/>
      <c r="T72" s="1047"/>
      <c r="U72" s="1028"/>
    </row>
    <row r="73">
      <c r="A73" s="1004"/>
      <c r="B73" s="1036">
        <f>IFERROR(VLOOKUP(C73,'字段信息'!A:C,3,),"")</f>
      </c>
      <c r="C73" s="1037" t="s">
        <v>3082</v>
      </c>
      <c r="D73" s="1038">
        <f>IFERROR(VLOOKUP(C73,'字段信息'!A:C,2,),"")</f>
      </c>
      <c r="E73" s="1039"/>
      <c r="F73" s="1040">
        <f t="shared" si="0"/>
      </c>
      <c r="G73" s="1039" t="s">
        <v>2979</v>
      </c>
      <c r="H73" s="1041"/>
      <c r="I73" s="1041"/>
      <c r="J73" s="1041"/>
      <c r="K73" s="1041"/>
      <c r="L73" s="1050"/>
      <c r="M73" s="1066" t="s">
        <v>3026</v>
      </c>
      <c r="N73" s="1044" t="s">
        <v>2976</v>
      </c>
      <c r="O73" s="1045" t="s">
        <v>2977</v>
      </c>
      <c r="P73" s="1043" t="s">
        <v>3083</v>
      </c>
      <c r="Q73" s="1046"/>
      <c r="R73" s="1047"/>
      <c r="S73" s="1046"/>
      <c r="T73" s="1047"/>
      <c r="U73" s="1028"/>
    </row>
    <row r="74">
      <c r="A74" s="1004"/>
      <c r="B74" s="1036">
        <f>IFERROR(VLOOKUP(C74,'字段信息'!A:C,3,),"")</f>
      </c>
      <c r="C74" s="1037" t="s">
        <v>3084</v>
      </c>
      <c r="D74" s="1038">
        <f>IFERROR(VLOOKUP(C74,'字段信息'!A:C,2,),"")</f>
      </c>
      <c r="E74" s="1039"/>
      <c r="F74" s="1040">
        <f t="shared" si="0"/>
      </c>
      <c r="G74" s="1039" t="s">
        <v>2979</v>
      </c>
      <c r="H74" s="1041"/>
      <c r="I74" s="1041"/>
      <c r="J74" s="1041"/>
      <c r="K74" s="1041"/>
      <c r="L74" s="1050"/>
      <c r="M74" s="1066" t="s">
        <v>3026</v>
      </c>
      <c r="N74" s="1044" t="s">
        <v>2976</v>
      </c>
      <c r="O74" s="1045" t="s">
        <v>2977</v>
      </c>
      <c r="P74" s="1043" t="s">
        <v>3085</v>
      </c>
      <c r="Q74" s="1046"/>
      <c r="R74" s="1047"/>
      <c r="S74" s="1046"/>
      <c r="T74" s="1047"/>
      <c r="U74" s="1028"/>
    </row>
    <row r="75">
      <c r="A75" s="1004"/>
      <c r="B75" s="1036">
        <f>IFERROR(VLOOKUP(C75,'字段信息'!A:C,3,),"")</f>
      </c>
      <c r="C75" s="1037" t="s">
        <v>3086</v>
      </c>
      <c r="D75" s="1038">
        <f>IFERROR(VLOOKUP(C75,'字段信息'!A:C,2,),"")</f>
      </c>
      <c r="E75" s="1039"/>
      <c r="F75" s="1040">
        <f t="shared" si="0"/>
      </c>
      <c r="G75" s="1039" t="s">
        <v>2979</v>
      </c>
      <c r="H75" s="1041"/>
      <c r="I75" s="1041"/>
      <c r="J75" s="1041"/>
      <c r="K75" s="1041"/>
      <c r="L75" s="1050"/>
      <c r="M75" s="1066" t="s">
        <v>3026</v>
      </c>
      <c r="N75" s="1044" t="s">
        <v>2976</v>
      </c>
      <c r="O75" s="1045" t="s">
        <v>2977</v>
      </c>
      <c r="P75" s="1043" t="s">
        <v>3087</v>
      </c>
      <c r="Q75" s="1046"/>
      <c r="R75" s="1047"/>
      <c r="S75" s="1046"/>
      <c r="T75" s="1047"/>
      <c r="U75" s="1028"/>
    </row>
    <row r="76">
      <c r="A76" s="1004"/>
      <c r="B76" s="1036">
        <f>IFERROR(VLOOKUP(C76,'字段信息'!A:C,3,),"")</f>
      </c>
      <c r="C76" s="1037" t="s">
        <v>3088</v>
      </c>
      <c r="D76" s="1038">
        <f>IFERROR(VLOOKUP(C76,'字段信息'!A:C,2,),"")</f>
      </c>
      <c r="E76" s="1039"/>
      <c r="F76" s="1040">
        <f t="shared" si="0"/>
      </c>
      <c r="G76" s="1039" t="s">
        <v>2979</v>
      </c>
      <c r="H76" s="1041"/>
      <c r="I76" s="1041"/>
      <c r="J76" s="1041"/>
      <c r="K76" s="1041"/>
      <c r="L76" s="1050"/>
      <c r="M76" s="1054" t="s">
        <v>3089</v>
      </c>
      <c r="N76" s="1044" t="s">
        <v>2976</v>
      </c>
      <c r="O76" s="1045" t="s">
        <v>2977</v>
      </c>
      <c r="P76" s="1043" t="s">
        <v>3024</v>
      </c>
      <c r="Q76" s="1046"/>
      <c r="R76" s="1047"/>
      <c r="S76" s="1046"/>
      <c r="T76" s="1047"/>
      <c r="U76" s="1028"/>
    </row>
    <row r="77">
      <c r="A77" s="1004"/>
      <c r="B77" s="1036">
        <f>IFERROR(VLOOKUP(C77,'字段信息'!A:C,3,),"")</f>
      </c>
      <c r="C77" s="1037" t="s">
        <v>3090</v>
      </c>
      <c r="D77" s="1038">
        <f>IFERROR(VLOOKUP(C77,'字段信息'!A:C,2,),"")</f>
      </c>
      <c r="E77" s="1039"/>
      <c r="F77" s="1040">
        <f t="shared" si="0"/>
      </c>
      <c r="G77" s="1039" t="s">
        <v>2979</v>
      </c>
      <c r="H77" s="1041"/>
      <c r="I77" s="1041"/>
      <c r="J77" s="1041"/>
      <c r="K77" s="1041"/>
      <c r="L77" s="1050"/>
      <c r="M77" s="1054" t="s">
        <v>3091</v>
      </c>
      <c r="N77" s="1044" t="s">
        <v>2976</v>
      </c>
      <c r="O77" s="1045" t="s">
        <v>2977</v>
      </c>
      <c r="P77" s="1043" t="s">
        <v>3024</v>
      </c>
      <c r="Q77" s="1046"/>
      <c r="R77" s="1047"/>
      <c r="S77" s="1046"/>
      <c r="T77" s="1047"/>
      <c r="U77" s="1028"/>
    </row>
    <row r="78">
      <c r="A78" s="1004"/>
      <c r="B78" s="1036">
        <f>IFERROR(VLOOKUP(C78,'字段信息'!A:C,3,),"")</f>
      </c>
      <c r="C78" s="1073" t="s">
        <v>3092</v>
      </c>
      <c r="D78" s="1038">
        <f>IFERROR(VLOOKUP(C78,'字段信息'!A:C,2,),"")</f>
      </c>
      <c r="E78" s="1039"/>
      <c r="F78" s="1040">
        <f t="shared" si="0"/>
      </c>
      <c r="G78" s="1039" t="s">
        <v>2979</v>
      </c>
      <c r="H78" s="1041"/>
      <c r="I78" s="1041"/>
      <c r="J78" s="1041"/>
      <c r="K78" s="1041"/>
      <c r="L78" s="1050"/>
      <c r="M78" s="1054" t="s">
        <v>3093</v>
      </c>
      <c r="N78" s="1044" t="s">
        <v>2976</v>
      </c>
      <c r="O78" s="1045" t="s">
        <v>2977</v>
      </c>
      <c r="P78" s="1043" t="s">
        <v>3024</v>
      </c>
      <c r="Q78" s="1046"/>
      <c r="R78" s="1047"/>
      <c r="S78" s="1046"/>
      <c r="T78" s="1047"/>
      <c r="U78" s="1028"/>
    </row>
    <row r="79">
      <c r="A79" s="1004"/>
      <c r="B79" s="1036">
        <f>IFERROR(VLOOKUP(C79,'字段信息'!A:C,3,),"")</f>
      </c>
      <c r="C79" s="1073" t="s">
        <v>3094</v>
      </c>
      <c r="D79" s="1038">
        <f>IFERROR(VLOOKUP(C79,'字段信息'!A:C,2,),"")</f>
      </c>
      <c r="E79" s="1039"/>
      <c r="F79" s="1040">
        <f t="shared" si="0"/>
      </c>
      <c r="G79" s="1039" t="s">
        <v>2979</v>
      </c>
      <c r="H79" s="1041"/>
      <c r="I79" s="1041"/>
      <c r="J79" s="1041"/>
      <c r="K79" s="1041"/>
      <c r="L79" s="1050"/>
      <c r="M79" s="1054" t="s">
        <v>3026</v>
      </c>
      <c r="N79" s="1044" t="s">
        <v>2976</v>
      </c>
      <c r="O79" s="1045" t="s">
        <v>2977</v>
      </c>
      <c r="P79" s="1043" t="s">
        <v>3027</v>
      </c>
      <c r="Q79" s="1046"/>
      <c r="R79" s="1047"/>
      <c r="S79" s="1046"/>
      <c r="T79" s="1047"/>
      <c r="U79" s="1028"/>
    </row>
    <row r="80">
      <c r="A80" s="1004"/>
      <c r="B80" s="1036">
        <f>IFERROR(VLOOKUP(C80,'字段信息'!A:C,3,),"")</f>
      </c>
      <c r="C80" s="1073" t="s">
        <v>3095</v>
      </c>
      <c r="D80" s="1038">
        <f>IFERROR(VLOOKUP(C80,'字段信息'!A:C,2,),"")</f>
      </c>
      <c r="E80" s="1039"/>
      <c r="F80" s="1040">
        <f t="shared" si="0"/>
      </c>
      <c r="G80" s="1039" t="s">
        <v>2979</v>
      </c>
      <c r="H80" s="1041"/>
      <c r="I80" s="1041"/>
      <c r="J80" s="1041"/>
      <c r="K80" s="1041"/>
      <c r="L80" s="1050"/>
      <c r="M80" s="1054" t="s">
        <v>3026</v>
      </c>
      <c r="N80" s="1044" t="s">
        <v>2976</v>
      </c>
      <c r="O80" s="1045" t="s">
        <v>2977</v>
      </c>
      <c r="P80" s="1043" t="s">
        <v>3029</v>
      </c>
      <c r="Q80" s="1046"/>
      <c r="R80" s="1047"/>
      <c r="S80" s="1046"/>
      <c r="T80" s="1047"/>
      <c r="U80" s="1028"/>
    </row>
    <row r="81">
      <c r="A81" s="1004"/>
      <c r="B81" s="1036">
        <f>IFERROR(VLOOKUP(C81,'字段信息'!A:C,3,),"")</f>
      </c>
      <c r="C81" s="1073" t="s">
        <v>3096</v>
      </c>
      <c r="D81" s="1038">
        <f>IFERROR(VLOOKUP(C81,'字段信息'!A:C,2,),"")</f>
      </c>
      <c r="E81" s="1039"/>
      <c r="F81" s="1040">
        <f t="shared" si="0"/>
      </c>
      <c r="G81" s="1039" t="s">
        <v>2979</v>
      </c>
      <c r="H81" s="1041"/>
      <c r="I81" s="1041"/>
      <c r="J81" s="1041"/>
      <c r="K81" s="1041"/>
      <c r="L81" s="1050"/>
      <c r="M81" s="1054" t="s">
        <v>3026</v>
      </c>
      <c r="N81" s="1044" t="s">
        <v>2976</v>
      </c>
      <c r="O81" s="1045" t="s">
        <v>2977</v>
      </c>
      <c r="P81" s="1043" t="s">
        <v>3031</v>
      </c>
      <c r="Q81" s="1046"/>
      <c r="R81" s="1047"/>
      <c r="S81" s="1046"/>
      <c r="T81" s="1047"/>
      <c r="U81" s="1028"/>
    </row>
    <row r="82">
      <c r="A82" s="1004"/>
      <c r="B82" s="1036">
        <f>IFERROR(VLOOKUP(C82,'字段信息'!A:C,3,),"")</f>
      </c>
      <c r="C82" s="1073" t="s">
        <v>3097</v>
      </c>
      <c r="D82" s="1038">
        <f>IFERROR(VLOOKUP(C82,'字段信息'!A:C,2,),"")</f>
      </c>
      <c r="E82" s="1039"/>
      <c r="F82" s="1040">
        <f t="shared" si="0"/>
      </c>
      <c r="G82" s="1039" t="s">
        <v>2979</v>
      </c>
      <c r="H82" s="1041"/>
      <c r="I82" s="1041"/>
      <c r="J82" s="1041"/>
      <c r="K82" s="1041"/>
      <c r="L82" s="1050"/>
      <c r="M82" s="1054" t="s">
        <v>3026</v>
      </c>
      <c r="N82" s="1044" t="s">
        <v>2976</v>
      </c>
      <c r="O82" s="1045" t="s">
        <v>2977</v>
      </c>
      <c r="P82" s="1043" t="s">
        <v>3033</v>
      </c>
      <c r="Q82" s="1046"/>
      <c r="R82" s="1047"/>
      <c r="S82" s="1046"/>
      <c r="T82" s="1047"/>
      <c r="U82" s="1028"/>
    </row>
    <row r="83">
      <c r="A83" s="1004"/>
      <c r="B83" s="1036">
        <f>IFERROR(VLOOKUP(C83,'字段信息'!A:C,3,),"")</f>
      </c>
      <c r="C83" s="1073" t="s">
        <v>3098</v>
      </c>
      <c r="D83" s="1038">
        <f>IFERROR(VLOOKUP(C83,'字段信息'!A:C,2,),"")</f>
      </c>
      <c r="E83" s="1039"/>
      <c r="F83" s="1040">
        <f t="shared" si="0"/>
      </c>
      <c r="G83" s="1039" t="s">
        <v>2979</v>
      </c>
      <c r="H83" s="1041"/>
      <c r="I83" s="1041"/>
      <c r="J83" s="1041"/>
      <c r="K83" s="1041"/>
      <c r="L83" s="1050"/>
      <c r="M83" s="1054" t="s">
        <v>3026</v>
      </c>
      <c r="N83" s="1044" t="s">
        <v>2976</v>
      </c>
      <c r="O83" s="1045" t="s">
        <v>2977</v>
      </c>
      <c r="P83" s="1043" t="s">
        <v>3035</v>
      </c>
      <c r="Q83" s="1046"/>
      <c r="R83" s="1047"/>
      <c r="S83" s="1046"/>
      <c r="T83" s="1047"/>
      <c r="U83" s="1028"/>
    </row>
    <row r="84">
      <c r="A84" s="1004"/>
      <c r="B84" s="1036">
        <f>IFERROR(VLOOKUP(C84,'字段信息'!A:C,3,),"")</f>
      </c>
      <c r="C84" s="1073" t="s">
        <v>3099</v>
      </c>
      <c r="D84" s="1038">
        <f>IFERROR(VLOOKUP(C84,'字段信息'!A:C,2,),"")</f>
      </c>
      <c r="E84" s="1039"/>
      <c r="F84" s="1040">
        <f t="shared" si="0"/>
      </c>
      <c r="G84" s="1039" t="s">
        <v>2979</v>
      </c>
      <c r="H84" s="1041"/>
      <c r="I84" s="1041"/>
      <c r="J84" s="1041"/>
      <c r="K84" s="1041"/>
      <c r="L84" s="1050"/>
      <c r="M84" s="1054" t="s">
        <v>3026</v>
      </c>
      <c r="N84" s="1044" t="s">
        <v>2976</v>
      </c>
      <c r="O84" s="1045" t="s">
        <v>2977</v>
      </c>
      <c r="P84" s="1043" t="s">
        <v>3037</v>
      </c>
      <c r="Q84" s="1046"/>
      <c r="R84" s="1047"/>
      <c r="S84" s="1046"/>
      <c r="T84" s="1047"/>
      <c r="U84" s="1028"/>
    </row>
    <row r="85">
      <c r="A85" s="1004"/>
      <c r="B85" s="1036">
        <f>IFERROR(VLOOKUP(C85,'字段信息'!A:C,3,),"")</f>
      </c>
      <c r="C85" s="1073" t="s">
        <v>3100</v>
      </c>
      <c r="D85" s="1038">
        <f>IFERROR(VLOOKUP(C85,'字段信息'!A:C,2,),"")</f>
      </c>
      <c r="E85" s="1039"/>
      <c r="F85" s="1040">
        <f t="shared" si="0"/>
      </c>
      <c r="G85" s="1039" t="s">
        <v>2979</v>
      </c>
      <c r="H85" s="1041"/>
      <c r="I85" s="1041"/>
      <c r="J85" s="1041"/>
      <c r="K85" s="1041"/>
      <c r="L85" s="1050"/>
      <c r="M85" s="1054" t="s">
        <v>3026</v>
      </c>
      <c r="N85" s="1044" t="s">
        <v>2976</v>
      </c>
      <c r="O85" s="1045" t="s">
        <v>2977</v>
      </c>
      <c r="P85" s="1043" t="s">
        <v>3039</v>
      </c>
      <c r="Q85" s="1046"/>
      <c r="R85" s="1047"/>
      <c r="S85" s="1046"/>
      <c r="T85" s="1047"/>
      <c r="U85" s="1028"/>
    </row>
    <row r="86">
      <c r="A86" s="1004"/>
      <c r="B86" s="1036">
        <f>IFERROR(VLOOKUP(C86,'字段信息'!A:C,3,),"")</f>
      </c>
      <c r="C86" s="1073" t="s">
        <v>3101</v>
      </c>
      <c r="D86" s="1038">
        <f>IFERROR(VLOOKUP(C86,'字段信息'!A:C,2,),"")</f>
      </c>
      <c r="E86" s="1039"/>
      <c r="F86" s="1040">
        <f t="shared" si="0"/>
      </c>
      <c r="G86" s="1039" t="s">
        <v>2979</v>
      </c>
      <c r="H86" s="1041"/>
      <c r="I86" s="1041"/>
      <c r="J86" s="1041"/>
      <c r="K86" s="1041"/>
      <c r="L86" s="1050"/>
      <c r="M86" s="1054" t="s">
        <v>3026</v>
      </c>
      <c r="N86" s="1044" t="s">
        <v>2976</v>
      </c>
      <c r="O86" s="1045" t="s">
        <v>2977</v>
      </c>
      <c r="P86" s="1043" t="s">
        <v>3041</v>
      </c>
      <c r="Q86" s="1046"/>
      <c r="R86" s="1047"/>
      <c r="S86" s="1046"/>
      <c r="T86" s="1047"/>
      <c r="U86" s="1028"/>
    </row>
    <row r="87">
      <c r="A87" s="1004"/>
      <c r="B87" s="1036">
        <f>IFERROR(VLOOKUP(C87,'字段信息'!A:C,3,),"")</f>
      </c>
      <c r="C87" s="1073" t="s">
        <v>3102</v>
      </c>
      <c r="D87" s="1038">
        <f>IFERROR(VLOOKUP(C87,'字段信息'!A:C,2,),"")</f>
      </c>
      <c r="E87" s="1039"/>
      <c r="F87" s="1040">
        <f t="shared" si="0"/>
      </c>
      <c r="G87" s="1039" t="s">
        <v>2979</v>
      </c>
      <c r="H87" s="1041"/>
      <c r="I87" s="1041"/>
      <c r="J87" s="1041"/>
      <c r="K87" s="1041"/>
      <c r="L87" s="1050"/>
      <c r="M87" s="1054" t="s">
        <v>3026</v>
      </c>
      <c r="N87" s="1044" t="s">
        <v>2976</v>
      </c>
      <c r="O87" s="1045" t="s">
        <v>2977</v>
      </c>
      <c r="P87" s="1043" t="s">
        <v>3043</v>
      </c>
      <c r="Q87" s="1046"/>
      <c r="R87" s="1047"/>
      <c r="S87" s="1046"/>
      <c r="T87" s="1047"/>
      <c r="U87" s="1028"/>
    </row>
    <row r="88">
      <c r="A88" s="1004"/>
      <c r="B88" s="1036">
        <f>IFERROR(VLOOKUP(C88,'字段信息'!A:C,3,),"")</f>
      </c>
      <c r="C88" s="1073" t="s">
        <v>3103</v>
      </c>
      <c r="D88" s="1038">
        <f>IFERROR(VLOOKUP(C88,'字段信息'!A:C,2,),"")</f>
      </c>
      <c r="E88" s="1039"/>
      <c r="F88" s="1040">
        <f t="shared" si="0"/>
      </c>
      <c r="G88" s="1039" t="s">
        <v>2979</v>
      </c>
      <c r="H88" s="1041"/>
      <c r="I88" s="1041"/>
      <c r="J88" s="1041"/>
      <c r="K88" s="1041"/>
      <c r="L88" s="1050"/>
      <c r="M88" s="1054" t="s">
        <v>3026</v>
      </c>
      <c r="N88" s="1044" t="s">
        <v>2976</v>
      </c>
      <c r="O88" s="1045" t="s">
        <v>2977</v>
      </c>
      <c r="P88" s="1043" t="s">
        <v>3045</v>
      </c>
      <c r="Q88" s="1046"/>
      <c r="R88" s="1047"/>
      <c r="S88" s="1046"/>
      <c r="T88" s="1047"/>
      <c r="U88" s="1028"/>
    </row>
    <row r="89">
      <c r="A89" s="1004"/>
      <c r="B89" s="1036">
        <f>IFERROR(VLOOKUP(C89,'字段信息'!A:C,3,),"")</f>
      </c>
      <c r="C89" s="1073" t="s">
        <v>3104</v>
      </c>
      <c r="D89" s="1038">
        <f>IFERROR(VLOOKUP(C89,'字段信息'!A:C,2,),"")</f>
      </c>
      <c r="E89" s="1039"/>
      <c r="F89" s="1040">
        <f t="shared" si="0"/>
      </c>
      <c r="G89" s="1039" t="s">
        <v>2979</v>
      </c>
      <c r="H89" s="1041"/>
      <c r="I89" s="1041"/>
      <c r="J89" s="1041"/>
      <c r="K89" s="1041"/>
      <c r="L89" s="1050"/>
      <c r="M89" s="1054" t="s">
        <v>3026</v>
      </c>
      <c r="N89" s="1044" t="s">
        <v>2976</v>
      </c>
      <c r="O89" s="1045" t="s">
        <v>2977</v>
      </c>
      <c r="P89" s="1043" t="s">
        <v>3047</v>
      </c>
      <c r="Q89" s="1046"/>
      <c r="R89" s="1047"/>
      <c r="S89" s="1046"/>
      <c r="T89" s="1047"/>
      <c r="U89" s="1028"/>
    </row>
    <row r="90">
      <c r="A90" s="1004"/>
      <c r="B90" s="1036">
        <f>IFERROR(VLOOKUP(C90,'字段信息'!A:C,3,),"")</f>
      </c>
      <c r="C90" s="1073" t="s">
        <v>3105</v>
      </c>
      <c r="D90" s="1038">
        <f>IFERROR(VLOOKUP(C90,'字段信息'!A:C,2,),"")</f>
      </c>
      <c r="E90" s="1039"/>
      <c r="F90" s="1040">
        <f t="shared" si="0"/>
      </c>
      <c r="G90" s="1039" t="s">
        <v>2979</v>
      </c>
      <c r="H90" s="1041"/>
      <c r="I90" s="1041"/>
      <c r="J90" s="1041"/>
      <c r="K90" s="1041"/>
      <c r="L90" s="1050"/>
      <c r="M90" s="1054" t="s">
        <v>3026</v>
      </c>
      <c r="N90" s="1044" t="s">
        <v>2976</v>
      </c>
      <c r="O90" s="1045" t="s">
        <v>2977</v>
      </c>
      <c r="P90" s="1043" t="s">
        <v>3049</v>
      </c>
      <c r="Q90" s="1046"/>
      <c r="R90" s="1047"/>
      <c r="S90" s="1046"/>
      <c r="T90" s="1047"/>
      <c r="U90" s="1028"/>
    </row>
    <row r="91">
      <c r="A91" s="1004"/>
      <c r="B91" s="1036">
        <f>IFERROR(VLOOKUP(C91,'字段信息'!A:C,3,),"")</f>
      </c>
      <c r="C91" s="1073" t="s">
        <v>3106</v>
      </c>
      <c r="D91" s="1038">
        <f>IFERROR(VLOOKUP(C91,'字段信息'!A:C,2,),"")</f>
      </c>
      <c r="E91" s="1039"/>
      <c r="F91" s="1040">
        <f t="shared" si="0"/>
      </c>
      <c r="G91" s="1039" t="s">
        <v>2979</v>
      </c>
      <c r="H91" s="1041"/>
      <c r="I91" s="1041"/>
      <c r="J91" s="1041"/>
      <c r="K91" s="1041"/>
      <c r="L91" s="1050"/>
      <c r="M91" s="1054" t="s">
        <v>3026</v>
      </c>
      <c r="N91" s="1044" t="s">
        <v>2976</v>
      </c>
      <c r="O91" s="1045" t="s">
        <v>2977</v>
      </c>
      <c r="P91" s="1043" t="s">
        <v>3051</v>
      </c>
      <c r="Q91" s="1046"/>
      <c r="R91" s="1047"/>
      <c r="S91" s="1046"/>
      <c r="T91" s="1047"/>
      <c r="U91" s="1028"/>
    </row>
    <row r="92">
      <c r="A92" s="1004"/>
      <c r="B92" s="1036">
        <f>IFERROR(VLOOKUP(C92,'字段信息'!A:C,3,),"")</f>
      </c>
      <c r="C92" s="1073" t="s">
        <v>3107</v>
      </c>
      <c r="D92" s="1038">
        <f>IFERROR(VLOOKUP(C92,'字段信息'!A:C,2,),"")</f>
      </c>
      <c r="E92" s="1039"/>
      <c r="F92" s="1040">
        <f t="shared" si="0"/>
      </c>
      <c r="G92" s="1039" t="s">
        <v>2979</v>
      </c>
      <c r="H92" s="1041"/>
      <c r="I92" s="1041"/>
      <c r="J92" s="1041"/>
      <c r="K92" s="1041"/>
      <c r="L92" s="1050"/>
      <c r="M92" s="1054" t="s">
        <v>3026</v>
      </c>
      <c r="N92" s="1044" t="s">
        <v>2976</v>
      </c>
      <c r="O92" s="1045" t="s">
        <v>2977</v>
      </c>
      <c r="P92" s="1043" t="s">
        <v>3053</v>
      </c>
      <c r="Q92" s="1046"/>
      <c r="R92" s="1047"/>
      <c r="S92" s="1046"/>
      <c r="T92" s="1047"/>
      <c r="U92" s="1028"/>
    </row>
    <row r="93">
      <c r="A93" s="1004"/>
      <c r="B93" s="1036">
        <f>IFERROR(VLOOKUP(C93,'字段信息'!A:C,3,),"")</f>
      </c>
      <c r="C93" s="1073" t="s">
        <v>3108</v>
      </c>
      <c r="D93" s="1038">
        <f>IFERROR(VLOOKUP(C93,'字段信息'!A:C,2,),"")</f>
      </c>
      <c r="E93" s="1039"/>
      <c r="F93" s="1040">
        <f t="shared" si="0"/>
      </c>
      <c r="G93" s="1039" t="s">
        <v>2979</v>
      </c>
      <c r="H93" s="1041"/>
      <c r="I93" s="1041"/>
      <c r="J93" s="1041"/>
      <c r="K93" s="1041"/>
      <c r="L93" s="1050"/>
      <c r="M93" s="1054" t="s">
        <v>3026</v>
      </c>
      <c r="N93" s="1044" t="s">
        <v>2976</v>
      </c>
      <c r="O93" s="1045" t="s">
        <v>2977</v>
      </c>
      <c r="P93" s="1043" t="s">
        <v>3055</v>
      </c>
      <c r="Q93" s="1046"/>
      <c r="R93" s="1047"/>
      <c r="S93" s="1046"/>
      <c r="T93" s="1047"/>
      <c r="U93" s="1028"/>
    </row>
    <row r="94">
      <c r="A94" s="1004"/>
      <c r="B94" s="1036">
        <f>IFERROR(VLOOKUP(C94,'字段信息'!A:C,3,),"")</f>
      </c>
      <c r="C94" s="1073" t="s">
        <v>3109</v>
      </c>
      <c r="D94" s="1038">
        <f>IFERROR(VLOOKUP(C94,'字段信息'!A:C,2,),"")</f>
      </c>
      <c r="E94" s="1039"/>
      <c r="F94" s="1040">
        <f t="shared" si="0"/>
      </c>
      <c r="G94" s="1039" t="s">
        <v>2979</v>
      </c>
      <c r="H94" s="1041"/>
      <c r="I94" s="1041"/>
      <c r="J94" s="1041"/>
      <c r="K94" s="1041"/>
      <c r="L94" s="1050"/>
      <c r="M94" s="1054" t="s">
        <v>3110</v>
      </c>
      <c r="N94" s="1044" t="s">
        <v>2976</v>
      </c>
      <c r="O94" s="1045" t="s">
        <v>2977</v>
      </c>
      <c r="P94" s="1043" t="s">
        <v>3024</v>
      </c>
      <c r="Q94" s="1046"/>
      <c r="R94" s="1047"/>
      <c r="S94" s="1046"/>
      <c r="T94" s="1047"/>
      <c r="U94" s="1028"/>
    </row>
    <row customHeight="true" ht="47.61904761904762" r="95">
      <c r="A95" s="1004"/>
      <c r="B95" s="1036">
        <f>IFERROR(VLOOKUP(C95,'字段信息'!A:C,3,),"")</f>
      </c>
      <c r="C95" s="1049" t="s">
        <v>3111</v>
      </c>
      <c r="D95" s="1054" t="s">
        <v>3112</v>
      </c>
      <c r="E95" s="1039"/>
      <c r="F95" s="1040">
        <f t="shared" si="0"/>
      </c>
      <c r="G95" s="1039" t="s">
        <v>2979</v>
      </c>
      <c r="H95" s="1041"/>
      <c r="I95" s="1041"/>
      <c r="J95" s="1041"/>
      <c r="K95" s="1041"/>
      <c r="L95" s="1050"/>
      <c r="M95" s="1054" t="s">
        <v>3113</v>
      </c>
      <c r="N95" s="1044"/>
      <c r="O95" s="1045"/>
      <c r="P95" s="1043"/>
      <c r="Q95" s="1046"/>
      <c r="R95" s="1047"/>
      <c r="S95" s="1046"/>
      <c r="T95" s="1047"/>
      <c r="U95" s="1028"/>
    </row>
    <row customHeight="true" ht="47.61904761904762" r="96">
      <c r="A96" s="1004"/>
      <c r="B96" s="1036">
        <f>IFERROR(VLOOKUP(C96,'字段信息'!A:C,3,),"")</f>
      </c>
      <c r="C96" s="1074" t="s">
        <v>3114</v>
      </c>
      <c r="D96" s="1038" t="s">
        <v>3112</v>
      </c>
      <c r="E96" s="1039"/>
      <c r="F96" s="1040">
        <f t="shared" si="0"/>
      </c>
      <c r="G96" s="1039" t="s">
        <v>2979</v>
      </c>
      <c r="H96" s="1041"/>
      <c r="I96" s="1041"/>
      <c r="J96" s="1041"/>
      <c r="K96" s="1041"/>
      <c r="L96" s="1050"/>
      <c r="M96" s="1054" t="s">
        <v>3113</v>
      </c>
      <c r="N96" s="1044" t="s">
        <v>2976</v>
      </c>
      <c r="O96" s="1045" t="s">
        <v>2977</v>
      </c>
      <c r="P96" s="1043" t="s">
        <v>3024</v>
      </c>
      <c r="Q96" s="1046"/>
      <c r="R96" s="1047"/>
      <c r="S96" s="1046"/>
      <c r="T96" s="1047"/>
      <c r="U96" s="1028"/>
    </row>
    <row customHeight="true" ht="47.61904761904762" r="97">
      <c r="A97" s="1004"/>
      <c r="B97" s="1036">
        <f>IFERROR(VLOOKUP(C97,'字段信息'!A:C,3,),"")</f>
      </c>
      <c r="C97" s="1049" t="s">
        <v>3115</v>
      </c>
      <c r="D97" s="1054" t="s">
        <v>3112</v>
      </c>
      <c r="E97" s="1039"/>
      <c r="F97" s="1040">
        <f t="shared" si="0"/>
      </c>
      <c r="G97" s="1039" t="s">
        <v>2979</v>
      </c>
      <c r="H97" s="1041"/>
      <c r="I97" s="1041"/>
      <c r="J97" s="1041"/>
      <c r="K97" s="1041"/>
      <c r="L97" s="1050"/>
      <c r="M97" s="1054" t="s">
        <v>3116</v>
      </c>
      <c r="N97" s="1044" t="s">
        <v>2976</v>
      </c>
      <c r="O97" s="1045" t="s">
        <v>2977</v>
      </c>
      <c r="P97" s="1043" t="s">
        <v>3024</v>
      </c>
      <c r="Q97" s="1046"/>
      <c r="R97" s="1047"/>
      <c r="S97" s="1046"/>
      <c r="T97" s="1047"/>
      <c r="U97" s="1028"/>
    </row>
    <row customHeight="true" ht="47.61904761904762" r="98">
      <c r="A98" s="1004"/>
      <c r="B98" s="1036">
        <f>IFERROR(VLOOKUP(C98,'字段信息'!A:C,3,),"")</f>
      </c>
      <c r="C98" s="1049" t="s">
        <v>3117</v>
      </c>
      <c r="D98" s="1054" t="s">
        <v>3112</v>
      </c>
      <c r="E98" s="1039"/>
      <c r="F98" s="1040">
        <f t="shared" si="0"/>
      </c>
      <c r="G98" s="1039" t="s">
        <v>2979</v>
      </c>
      <c r="H98" s="1041"/>
      <c r="I98" s="1041"/>
      <c r="J98" s="1041"/>
      <c r="K98" s="1041"/>
      <c r="L98" s="1050"/>
      <c r="M98" s="1054" t="s">
        <v>3116</v>
      </c>
      <c r="N98" s="1044"/>
      <c r="O98" s="1045"/>
      <c r="P98" s="1075" t="s">
        <v>2985</v>
      </c>
      <c r="Q98" s="1046"/>
      <c r="R98" s="1047"/>
      <c r="S98" s="1046"/>
      <c r="T98" s="1047"/>
      <c r="U98" s="1028"/>
    </row>
    <row customHeight="true" ht="47.61904761904762" r="99">
      <c r="A99" s="1004"/>
      <c r="B99" s="1036">
        <f>IFERROR(VLOOKUP(C99,'字段信息'!A:C,3,),"")</f>
      </c>
      <c r="C99" s="1049" t="s">
        <v>3118</v>
      </c>
      <c r="D99" s="1054" t="s">
        <v>3112</v>
      </c>
      <c r="E99" s="1039"/>
      <c r="F99" s="1040">
        <f t="shared" si="0"/>
      </c>
      <c r="G99" s="1039" t="s">
        <v>2979</v>
      </c>
      <c r="H99" s="1041"/>
      <c r="I99" s="1041"/>
      <c r="J99" s="1041"/>
      <c r="K99" s="1041"/>
      <c r="L99" s="1050"/>
      <c r="M99" s="1054" t="s">
        <v>3116</v>
      </c>
      <c r="N99" s="1044"/>
      <c r="O99" s="1045"/>
      <c r="P99" s="1075" t="s">
        <v>2985</v>
      </c>
      <c r="Q99" s="1046"/>
      <c r="R99" s="1047"/>
      <c r="S99" s="1046"/>
      <c r="T99" s="1047"/>
      <c r="U99" s="1028"/>
    </row>
    <row customHeight="true" ht="47.61904761904762" r="100">
      <c r="A100" s="1004"/>
      <c r="B100" s="1036">
        <f>IFERROR(VLOOKUP(C100,'字段信息'!A:C,3,),"")</f>
      </c>
      <c r="C100" s="1049" t="s">
        <v>3119</v>
      </c>
      <c r="D100" s="1054" t="s">
        <v>3112</v>
      </c>
      <c r="E100" s="1039"/>
      <c r="F100" s="1040">
        <f t="shared" si="0"/>
      </c>
      <c r="G100" s="1039" t="s">
        <v>2979</v>
      </c>
      <c r="H100" s="1041"/>
      <c r="I100" s="1041"/>
      <c r="J100" s="1041"/>
      <c r="K100" s="1041"/>
      <c r="L100" s="1050"/>
      <c r="M100" s="1054" t="s">
        <v>3116</v>
      </c>
      <c r="N100" s="1044"/>
      <c r="O100" s="1045"/>
      <c r="P100" s="1075" t="s">
        <v>2985</v>
      </c>
      <c r="Q100" s="1046"/>
      <c r="R100" s="1047"/>
      <c r="S100" s="1046"/>
      <c r="T100" s="1047"/>
      <c r="U100" s="1028"/>
    </row>
    <row customHeight="true" ht="47.61904761904762" r="101">
      <c r="A101" s="1004"/>
      <c r="B101" s="1036">
        <f>IFERROR(VLOOKUP(C101,'字段信息'!A:C,3,),"")</f>
      </c>
      <c r="C101" s="1049" t="s">
        <v>3120</v>
      </c>
      <c r="D101" s="1054" t="s">
        <v>3112</v>
      </c>
      <c r="E101" s="1039"/>
      <c r="F101" s="1040">
        <f t="shared" si="0"/>
      </c>
      <c r="G101" s="1039" t="s">
        <v>2979</v>
      </c>
      <c r="H101" s="1041"/>
      <c r="I101" s="1041"/>
      <c r="J101" s="1041"/>
      <c r="K101" s="1041"/>
      <c r="L101" s="1050"/>
      <c r="M101" s="1054" t="s">
        <v>3116</v>
      </c>
      <c r="N101" s="1044"/>
      <c r="O101" s="1045"/>
      <c r="P101" s="1075" t="s">
        <v>2985</v>
      </c>
      <c r="Q101" s="1046"/>
      <c r="R101" s="1047"/>
      <c r="S101" s="1046"/>
      <c r="T101" s="1047"/>
      <c r="U101" s="1028"/>
    </row>
    <row customHeight="true" ht="47.61904761904762" r="102">
      <c r="A102" s="1004"/>
      <c r="B102" s="1036">
        <f>IFERROR(VLOOKUP(C102,'字段信息'!A:C,3,),"")</f>
      </c>
      <c r="C102" s="1049" t="s">
        <v>3121</v>
      </c>
      <c r="D102" s="1054" t="s">
        <v>3112</v>
      </c>
      <c r="E102" s="1039"/>
      <c r="F102" s="1040">
        <f t="shared" si="0"/>
      </c>
      <c r="G102" s="1039" t="s">
        <v>2979</v>
      </c>
      <c r="H102" s="1041"/>
      <c r="I102" s="1041"/>
      <c r="J102" s="1041"/>
      <c r="K102" s="1041"/>
      <c r="L102" s="1050"/>
      <c r="M102" s="1054" t="s">
        <v>3116</v>
      </c>
      <c r="N102" s="1044"/>
      <c r="O102" s="1045"/>
      <c r="P102" s="1075" t="s">
        <v>2985</v>
      </c>
      <c r="Q102" s="1046"/>
      <c r="R102" s="1047"/>
      <c r="S102" s="1046"/>
      <c r="T102" s="1047"/>
      <c r="U102" s="1028"/>
    </row>
    <row customHeight="true" ht="47.61904761904762" r="103">
      <c r="A103" s="1004"/>
      <c r="B103" s="1036">
        <f>IFERROR(VLOOKUP(C103,'字段信息'!A:C,3,),"")</f>
      </c>
      <c r="C103" s="1049" t="s">
        <v>3122</v>
      </c>
      <c r="D103" s="1054" t="s">
        <v>3112</v>
      </c>
      <c r="E103" s="1039"/>
      <c r="F103" s="1040">
        <f t="shared" si="0"/>
      </c>
      <c r="G103" s="1039" t="s">
        <v>2979</v>
      </c>
      <c r="H103" s="1041"/>
      <c r="I103" s="1041"/>
      <c r="J103" s="1041"/>
      <c r="K103" s="1041"/>
      <c r="L103" s="1050"/>
      <c r="M103" s="1054" t="s">
        <v>3116</v>
      </c>
      <c r="N103" s="1044"/>
      <c r="O103" s="1045"/>
      <c r="P103" s="1075" t="s">
        <v>2985</v>
      </c>
      <c r="Q103" s="1046"/>
      <c r="R103" s="1047"/>
      <c r="S103" s="1046"/>
      <c r="T103" s="1047"/>
      <c r="U103" s="1028"/>
    </row>
    <row customHeight="true" ht="47.61904761904762" r="104">
      <c r="A104" s="1004"/>
      <c r="B104" s="1036">
        <f>IFERROR(VLOOKUP(C104,'字段信息'!A:C,3,),"")</f>
      </c>
      <c r="C104" s="1049" t="s">
        <v>3123</v>
      </c>
      <c r="D104" s="1054" t="s">
        <v>3112</v>
      </c>
      <c r="E104" s="1039"/>
      <c r="F104" s="1040">
        <f t="shared" si="0"/>
      </c>
      <c r="G104" s="1039" t="s">
        <v>2979</v>
      </c>
      <c r="H104" s="1041"/>
      <c r="I104" s="1041"/>
      <c r="J104" s="1041"/>
      <c r="K104" s="1041"/>
      <c r="L104" s="1050"/>
      <c r="M104" s="1054" t="s">
        <v>3116</v>
      </c>
      <c r="N104" s="1044"/>
      <c r="O104" s="1045"/>
      <c r="P104" s="1075" t="s">
        <v>2985</v>
      </c>
      <c r="Q104" s="1046"/>
      <c r="R104" s="1047"/>
      <c r="S104" s="1046"/>
      <c r="T104" s="1047"/>
      <c r="U104" s="1028"/>
    </row>
    <row customHeight="true" ht="47.61904761904762" r="105">
      <c r="A105" s="1004"/>
      <c r="B105" s="1036">
        <f>IFERROR(VLOOKUP(C105,'字段信息'!A:C,3,),"")</f>
      </c>
      <c r="C105" s="1037" t="s">
        <v>3124</v>
      </c>
      <c r="D105" s="1054" t="s">
        <v>3112</v>
      </c>
      <c r="E105" s="1039"/>
      <c r="F105" s="1040">
        <f t="shared" si="0"/>
      </c>
      <c r="G105" s="1039" t="s">
        <v>2979</v>
      </c>
      <c r="H105" s="1041"/>
      <c r="I105" s="1041"/>
      <c r="J105" s="1041"/>
      <c r="K105" s="1041"/>
      <c r="L105" s="1050"/>
      <c r="M105" s="1054" t="s">
        <v>3125</v>
      </c>
      <c r="N105" s="1044" t="s">
        <v>2976</v>
      </c>
      <c r="O105" s="1045" t="s">
        <v>2977</v>
      </c>
      <c r="P105" s="1043" t="s">
        <v>3024</v>
      </c>
      <c r="Q105" s="1046"/>
      <c r="R105" s="1047"/>
      <c r="S105" s="1046"/>
      <c r="T105" s="1047"/>
      <c r="U105" s="1028"/>
    </row>
    <row customHeight="true" ht="47.61904761904762" r="106">
      <c r="A106" s="1004"/>
      <c r="B106" s="1036">
        <f>IFERROR(VLOOKUP(C106,'字段信息'!A:C,3,),"")</f>
      </c>
      <c r="C106" s="1037" t="s">
        <v>3126</v>
      </c>
      <c r="D106" s="1054" t="s">
        <v>3112</v>
      </c>
      <c r="E106" s="1039"/>
      <c r="F106" s="1040">
        <f t="shared" si="0"/>
      </c>
      <c r="G106" s="1039" t="s">
        <v>2979</v>
      </c>
      <c r="H106" s="1041"/>
      <c r="I106" s="1041"/>
      <c r="J106" s="1041"/>
      <c r="K106" s="1041"/>
      <c r="L106" s="1050"/>
      <c r="M106" s="1076" t="s">
        <v>3127</v>
      </c>
      <c r="N106" s="1044" t="s">
        <v>2976</v>
      </c>
      <c r="O106" s="1045" t="s">
        <v>2977</v>
      </c>
      <c r="P106" s="1043" t="s">
        <v>3024</v>
      </c>
      <c r="Q106" s="1046"/>
      <c r="R106" s="1047"/>
      <c r="S106" s="1046"/>
      <c r="T106" s="1047"/>
      <c r="U106" s="1028"/>
    </row>
    <row customHeight="true" ht="47.61904761904762" r="107">
      <c r="A107" s="1004"/>
      <c r="B107" s="1036">
        <f>IFERROR(VLOOKUP(C107,'字段信息'!A:C,3,),"")</f>
      </c>
      <c r="C107" s="1077" t="s">
        <v>3128</v>
      </c>
      <c r="D107" s="1054" t="s">
        <v>3112</v>
      </c>
      <c r="E107" s="1039"/>
      <c r="F107" s="1040">
        <f t="shared" si="0"/>
      </c>
      <c r="G107" s="1039" t="s">
        <v>2979</v>
      </c>
      <c r="H107" s="1041"/>
      <c r="I107" s="1041"/>
      <c r="J107" s="1041"/>
      <c r="K107" s="1041"/>
      <c r="L107" s="1050"/>
      <c r="M107" s="1054" t="s">
        <v>3129</v>
      </c>
      <c r="N107" s="1044" t="s">
        <v>2976</v>
      </c>
      <c r="O107" s="1045" t="s">
        <v>2977</v>
      </c>
      <c r="P107" s="1043" t="s">
        <v>3024</v>
      </c>
      <c r="Q107" s="1046"/>
      <c r="R107" s="1047"/>
      <c r="S107" s="1046"/>
      <c r="T107" s="1047"/>
      <c r="U107" s="1028"/>
    </row>
    <row customHeight="true" ht="47.61904761904762" r="108">
      <c r="A108" s="1004"/>
      <c r="B108" s="1036">
        <f>IFERROR(VLOOKUP(C108,'字段信息'!A:C,3,),"")</f>
      </c>
      <c r="C108" s="1037" t="s">
        <v>3130</v>
      </c>
      <c r="D108" s="1054" t="s">
        <v>3112</v>
      </c>
      <c r="E108" s="1039"/>
      <c r="F108" s="1040">
        <f t="shared" si="0"/>
      </c>
      <c r="G108" s="1039" t="s">
        <v>2979</v>
      </c>
      <c r="H108" s="1041"/>
      <c r="I108" s="1041"/>
      <c r="J108" s="1041"/>
      <c r="K108" s="1041"/>
      <c r="L108" s="1050"/>
      <c r="M108" s="1054" t="s">
        <v>3131</v>
      </c>
      <c r="N108" s="1044" t="s">
        <v>2976</v>
      </c>
      <c r="O108" s="1045" t="s">
        <v>2977</v>
      </c>
      <c r="P108" s="1043" t="s">
        <v>3024</v>
      </c>
      <c r="Q108" s="1046"/>
      <c r="R108" s="1047"/>
      <c r="S108" s="1046"/>
      <c r="T108" s="1047"/>
      <c r="U108" s="1028"/>
    </row>
    <row customHeight="true" ht="47.61904761904762" r="109">
      <c r="A109" s="1004"/>
      <c r="B109" s="1036">
        <f>IFERROR(VLOOKUP(C109,'字段信息'!A:C,3,),"")</f>
      </c>
      <c r="C109" s="1037" t="s">
        <v>3132</v>
      </c>
      <c r="D109" s="1054" t="s">
        <v>3112</v>
      </c>
      <c r="E109" s="1039"/>
      <c r="F109" s="1040">
        <f t="shared" si="0"/>
      </c>
      <c r="G109" s="1039" t="s">
        <v>2979</v>
      </c>
      <c r="H109" s="1041"/>
      <c r="I109" s="1041"/>
      <c r="J109" s="1041"/>
      <c r="K109" s="1041"/>
      <c r="L109" s="1050"/>
      <c r="M109" s="1054" t="s">
        <v>3133</v>
      </c>
      <c r="N109" s="1044" t="s">
        <v>2976</v>
      </c>
      <c r="O109" s="1045" t="s">
        <v>2977</v>
      </c>
      <c r="P109" s="1043" t="s">
        <v>3024</v>
      </c>
      <c r="Q109" s="1046"/>
      <c r="R109" s="1047"/>
      <c r="S109" s="1046"/>
      <c r="T109" s="1047"/>
      <c r="U109" s="1028"/>
    </row>
    <row customHeight="true" ht="47.61904761904762" r="110">
      <c r="A110" s="1004"/>
      <c r="B110" s="1036">
        <f>IFERROR(VLOOKUP(C110,'字段信息'!A:C,3,),"")</f>
      </c>
      <c r="C110" s="1078" t="s">
        <v>3134</v>
      </c>
      <c r="D110" s="1054" t="s">
        <v>3135</v>
      </c>
      <c r="E110" s="1039"/>
      <c r="F110" s="1040">
        <f t="shared" si="0"/>
      </c>
      <c r="G110" s="1039" t="s">
        <v>2979</v>
      </c>
      <c r="H110" s="1041"/>
      <c r="I110" s="1041"/>
      <c r="J110" s="1041"/>
      <c r="K110" s="1041"/>
      <c r="L110" s="1050"/>
      <c r="M110" s="1054" t="s">
        <v>2975</v>
      </c>
      <c r="N110" s="1044" t="s">
        <v>2976</v>
      </c>
      <c r="O110" s="1045" t="s">
        <v>2977</v>
      </c>
      <c r="P110" s="1078" t="s">
        <v>3134</v>
      </c>
      <c r="Q110" s="1046"/>
      <c r="R110" s="1047"/>
      <c r="S110" s="1046"/>
      <c r="T110" s="1047"/>
      <c r="U110" s="1028"/>
    </row>
    <row customHeight="true" ht="47.61904761904762" r="111">
      <c r="A111" s="1004"/>
      <c r="B111" s="1036">
        <f>IFERROR(VLOOKUP(C111,'字段信息'!A:C,3,),"")</f>
      </c>
      <c r="C111" s="1037" t="s">
        <v>3136</v>
      </c>
      <c r="D111" s="1054" t="s">
        <v>3007</v>
      </c>
      <c r="E111" s="1039"/>
      <c r="F111" s="1040">
        <f t="shared" si="0"/>
      </c>
      <c r="G111" s="1039" t="s">
        <v>2979</v>
      </c>
      <c r="H111" s="1041"/>
      <c r="I111" s="1041"/>
      <c r="J111" s="1041"/>
      <c r="K111" s="1041"/>
      <c r="L111" s="1050"/>
      <c r="M111" s="1054" t="s">
        <v>2975</v>
      </c>
      <c r="N111" s="1044" t="s">
        <v>2976</v>
      </c>
      <c r="O111" s="1045" t="s">
        <v>2977</v>
      </c>
      <c r="P111" s="1037" t="s">
        <v>3136</v>
      </c>
      <c r="Q111" s="1046"/>
      <c r="R111" s="1047"/>
      <c r="S111" s="1046"/>
      <c r="T111" s="1047"/>
      <c r="U111" s="1028"/>
    </row>
    <row r="112">
      <c r="A112" s="1004"/>
      <c r="B112" s="1036">
        <f>IFERROR(VLOOKUP(C112,'字段信息'!A:C,3,),"")</f>
      </c>
      <c r="C112" s="1037" t="s">
        <v>3137</v>
      </c>
      <c r="D112" s="1038" t="s">
        <v>3112</v>
      </c>
      <c r="E112" s="1039"/>
      <c r="F112" s="1040">
        <f t="shared" si="0"/>
      </c>
      <c r="G112" s="1039" t="s">
        <v>2979</v>
      </c>
      <c r="H112" s="1041"/>
      <c r="I112" s="1041"/>
      <c r="J112" s="1041"/>
      <c r="K112" s="1041"/>
      <c r="L112" s="1050"/>
      <c r="M112" s="1054" t="s">
        <v>3138</v>
      </c>
      <c r="N112" s="1044" t="s">
        <v>3139</v>
      </c>
      <c r="O112" s="1045" t="s">
        <v>3140</v>
      </c>
      <c r="P112" s="1043" t="s">
        <v>3141</v>
      </c>
      <c r="Q112" s="1046"/>
      <c r="R112" s="1047"/>
      <c r="S112" s="1046"/>
      <c r="T112" s="1047"/>
      <c r="U112" s="1028"/>
    </row>
    <row customHeight="true" ht="47.61904761904762" r="113">
      <c r="A113" s="1004"/>
      <c r="B113" s="1036">
        <f>IFERROR(VLOOKUP(C113,'字段信息'!A:C,3,),"")</f>
      </c>
      <c r="C113" s="1037" t="s">
        <v>3142</v>
      </c>
      <c r="D113" s="1038" t="s">
        <v>3112</v>
      </c>
      <c r="E113" s="1039"/>
      <c r="F113" s="1040">
        <f t="shared" si="0"/>
      </c>
      <c r="G113" s="1039" t="s">
        <v>2979</v>
      </c>
      <c r="H113" s="1041"/>
      <c r="I113" s="1041"/>
      <c r="J113" s="1041"/>
      <c r="K113" s="1041"/>
      <c r="L113" s="1050"/>
      <c r="M113" s="1054" t="s">
        <v>2975</v>
      </c>
      <c r="N113" s="1044" t="s">
        <v>2976</v>
      </c>
      <c r="O113" s="1045" t="s">
        <v>2977</v>
      </c>
      <c r="P113" s="1037" t="s">
        <v>3022</v>
      </c>
      <c r="Q113" s="1046"/>
      <c r="R113" s="1047"/>
      <c r="S113" s="1046"/>
      <c r="T113" s="1047"/>
      <c r="U113" s="1028"/>
    </row>
    <row r="114">
      <c r="A114" s="1004"/>
      <c r="B114" s="1036">
        <f>IFERROR(VLOOKUP(C114,'字段信息'!A:C,3,),"")</f>
      </c>
      <c r="C114" s="1037" t="s">
        <v>3143</v>
      </c>
      <c r="D114" s="1038">
        <f>IFERROR(VLOOKUP(C114,'字段信息'!A:C,2,),"")</f>
      </c>
      <c r="E114" s="1039"/>
      <c r="F114" s="1040">
        <f t="shared" si="0"/>
      </c>
      <c r="G114" s="1039" t="s">
        <v>2979</v>
      </c>
      <c r="H114" s="1041"/>
      <c r="I114" s="1041"/>
      <c r="J114" s="1041"/>
      <c r="K114" s="1041"/>
      <c r="L114" s="1050"/>
      <c r="M114" s="1054" t="s">
        <v>2975</v>
      </c>
      <c r="N114" s="1044" t="s">
        <v>2976</v>
      </c>
      <c r="O114" s="1045" t="s">
        <v>2977</v>
      </c>
      <c r="P114" s="1037" t="s">
        <v>3143</v>
      </c>
      <c r="Q114" s="1046"/>
      <c r="R114" s="1047"/>
      <c r="S114" s="1046"/>
      <c r="T114" s="1047"/>
      <c r="U114" s="1028"/>
    </row>
    <row customHeight="true" ht="47.61904761904762" r="115">
      <c r="A115" s="1079"/>
      <c r="B115" s="1062">
        <f>IFERROR(VLOOKUP(C115,'字段信息'!A:C,3,),"")</f>
      </c>
      <c r="C115" s="1063" t="s">
        <v>3144</v>
      </c>
      <c r="D115" s="1080">
        <f>IFERROR(VLOOKUP(C115,'字段信息'!A:C,2,),"")</f>
      </c>
      <c r="E115" s="1081"/>
      <c r="F115" s="1082">
        <f t="shared" si="0"/>
      </c>
      <c r="G115" s="1081" t="s">
        <v>2979</v>
      </c>
      <c r="H115" s="1083"/>
      <c r="I115" s="1083"/>
      <c r="J115" s="1083"/>
      <c r="K115" s="1083"/>
      <c r="L115" s="1084"/>
      <c r="M115" s="1043" t="s">
        <v>3145</v>
      </c>
      <c r="N115" s="1085"/>
      <c r="O115" s="1086"/>
      <c r="P115" s="1087" t="s">
        <v>2985</v>
      </c>
      <c r="Q115" s="1088"/>
      <c r="R115" s="1089"/>
      <c r="S115" s="1088"/>
      <c r="T115" s="1089"/>
      <c r="U115" s="1090"/>
    </row>
    <row r="116">
      <c r="A116" s="1079"/>
      <c r="B116" s="1062">
        <f>IFERROR(VLOOKUP(C116,'字段信息'!A:C,3,),"")</f>
      </c>
      <c r="C116" s="1063" t="s">
        <v>3146</v>
      </c>
      <c r="D116" s="1080">
        <f>IFERROR(VLOOKUP(C116,'字段信息'!A:C,2,),"")</f>
      </c>
      <c r="E116" s="1081"/>
      <c r="F116" s="1082">
        <f t="shared" si="0"/>
      </c>
      <c r="G116" s="1081" t="s">
        <v>2979</v>
      </c>
      <c r="H116" s="1083"/>
      <c r="I116" s="1083"/>
      <c r="J116" s="1083"/>
      <c r="K116" s="1083"/>
      <c r="L116" s="1084"/>
      <c r="M116" s="1054" t="s">
        <v>3147</v>
      </c>
      <c r="N116" s="1057" t="s">
        <v>2976</v>
      </c>
      <c r="O116" s="1045" t="s">
        <v>2977</v>
      </c>
      <c r="P116" s="1054" t="s">
        <v>3148</v>
      </c>
      <c r="Q116" s="1088"/>
      <c r="R116" s="1089"/>
      <c r="S116" s="1088"/>
      <c r="T116" s="1089"/>
      <c r="U116" s="1090"/>
    </row>
    <row customHeight="true" ht="47.61904761904762" r="117">
      <c r="A117" s="1079"/>
      <c r="B117" s="1062">
        <f>IFERROR(VLOOKUP(C117,'字段信息'!A:C,3,),"")</f>
      </c>
      <c r="C117" s="1063" t="s">
        <v>3149</v>
      </c>
      <c r="D117" s="1080">
        <f>IFERROR(VLOOKUP(C117,'字段信息'!A:C,2,),"")</f>
      </c>
      <c r="E117" s="1081"/>
      <c r="F117" s="1082">
        <f t="shared" si="0"/>
      </c>
      <c r="G117" s="1081" t="s">
        <v>2979</v>
      </c>
      <c r="H117" s="1083"/>
      <c r="I117" s="1083"/>
      <c r="J117" s="1083"/>
      <c r="K117" s="1083"/>
      <c r="L117" s="1091"/>
      <c r="M117" s="1092" t="s">
        <v>3150</v>
      </c>
      <c r="N117" s="1093"/>
      <c r="O117" s="1094"/>
      <c r="P117" s="1087" t="s">
        <v>2985</v>
      </c>
      <c r="Q117" s="1088"/>
      <c r="R117" s="1089"/>
      <c r="S117" s="1088"/>
      <c r="T117" s="1089"/>
      <c r="U117" s="1090"/>
    </row>
    <row customHeight="true" ht="47.61904761904762" r="118">
      <c r="A118" s="1079"/>
      <c r="B118" s="1062">
        <f>IFERROR(VLOOKUP(C118,'字段信息'!A:C,3,),"")</f>
      </c>
      <c r="C118" s="1063" t="s">
        <v>3151</v>
      </c>
      <c r="D118" s="1080">
        <f>IFERROR(VLOOKUP(C118,'字段信息'!A:C,2,),"")</f>
      </c>
      <c r="E118" s="1081"/>
      <c r="F118" s="1082">
        <f t="shared" si="0"/>
      </c>
      <c r="G118" s="1081" t="s">
        <v>2979</v>
      </c>
      <c r="H118" s="1083"/>
      <c r="I118" s="1083"/>
      <c r="J118" s="1083"/>
      <c r="K118" s="1083"/>
      <c r="L118" s="1091"/>
      <c r="M118" s="1095" t="s">
        <v>3152</v>
      </c>
      <c r="N118" s="1093"/>
      <c r="O118" s="1094"/>
      <c r="P118" s="1087" t="s">
        <v>2985</v>
      </c>
      <c r="Q118" s="1088"/>
      <c r="R118" s="1089"/>
      <c r="S118" s="1088"/>
      <c r="T118" s="1089"/>
      <c r="U118" s="1090"/>
    </row>
    <row r="119">
      <c r="B119" s="1096"/>
      <c r="F119" s="1096"/>
      <c r="M119" s="1096"/>
      <c r="N119" s="1097"/>
      <c r="O119" s="1096"/>
      <c r="P119" s="1096"/>
      <c r="Q119" s="1096"/>
      <c r="S119" s="1096"/>
    </row>
    <row r="120">
      <c r="B120" s="1096"/>
      <c r="F120" s="1096"/>
      <c r="M120" s="1096"/>
      <c r="N120" s="1097"/>
      <c r="O120" s="1096"/>
      <c r="P120" s="1096"/>
      <c r="Q120" s="1096"/>
      <c r="S120" s="1096"/>
    </row>
    <row r="121">
      <c r="B121" s="1096"/>
      <c r="F121" s="1096"/>
      <c r="M121" s="1096"/>
      <c r="N121" s="1097"/>
      <c r="O121" s="1096"/>
      <c r="P121" s="1096"/>
      <c r="Q121" s="1096"/>
      <c r="S121" s="1096"/>
    </row>
    <row r="122">
      <c r="B122" s="1096"/>
      <c r="F122" s="1096"/>
      <c r="M122" s="1096"/>
      <c r="N122" s="1097"/>
      <c r="O122" s="1096"/>
      <c r="P122" s="1096"/>
      <c r="Q122" s="1096"/>
      <c r="S122" s="1096"/>
    </row>
    <row r="123">
      <c r="B123" s="1096"/>
      <c r="F123" s="1096"/>
      <c r="M123" s="1096"/>
      <c r="N123" s="1097"/>
      <c r="O123" s="1096"/>
      <c r="P123" s="1096"/>
      <c r="Q123" s="1096"/>
      <c r="S123" s="1096"/>
    </row>
    <row r="124">
      <c r="B124" s="1096"/>
      <c r="F124" s="1096"/>
      <c r="M124" s="1096"/>
      <c r="N124" s="1097"/>
      <c r="O124" s="1096"/>
      <c r="P124" s="1096"/>
      <c r="Q124" s="1096"/>
      <c r="S124" s="1096"/>
    </row>
    <row r="125">
      <c r="B125" s="1096"/>
      <c r="F125" s="1096"/>
      <c r="M125" s="1096"/>
      <c r="N125" s="1097"/>
      <c r="O125" s="1096"/>
      <c r="P125" s="1096"/>
      <c r="Q125" s="1096"/>
      <c r="S125" s="1096"/>
    </row>
    <row r="126">
      <c r="B126" s="1096"/>
      <c r="F126" s="1096"/>
      <c r="M126" s="1096"/>
      <c r="N126" s="1097"/>
      <c r="O126" s="1096"/>
      <c r="P126" s="1096"/>
      <c r="Q126" s="1096"/>
      <c r="S126" s="1096"/>
    </row>
    <row r="127">
      <c r="B127" s="1096"/>
      <c r="F127" s="1096"/>
      <c r="M127" s="1096"/>
      <c r="N127" s="1097"/>
      <c r="O127" s="1096"/>
      <c r="P127" s="1096"/>
      <c r="Q127" s="1096"/>
      <c r="S127" s="1096"/>
    </row>
    <row r="128">
      <c r="B128" s="1096"/>
      <c r="F128" s="1096"/>
      <c r="M128" s="1096"/>
      <c r="N128" s="1097"/>
      <c r="O128" s="1096"/>
      <c r="P128" s="1096"/>
      <c r="Q128" s="1096"/>
      <c r="S128" s="1096"/>
    </row>
    <row r="129">
      <c r="B129" s="1096"/>
      <c r="F129" s="1096"/>
      <c r="M129" s="1096"/>
      <c r="N129" s="1097"/>
      <c r="O129" s="1096"/>
      <c r="P129" s="1096"/>
      <c r="Q129" s="1096"/>
      <c r="S129" s="1096"/>
    </row>
    <row r="130">
      <c r="B130" s="1096"/>
      <c r="F130" s="1096"/>
      <c r="M130" s="1096"/>
      <c r="N130" s="1097"/>
      <c r="O130" s="1096"/>
      <c r="P130" s="1096"/>
      <c r="Q130" s="1096"/>
      <c r="S130" s="1096"/>
    </row>
    <row r="131">
      <c r="B131" s="1096"/>
      <c r="F131" s="1096"/>
      <c r="M131" s="1096"/>
      <c r="N131" s="1097"/>
      <c r="O131" s="1096"/>
      <c r="P131" s="1096"/>
      <c r="Q131" s="1096"/>
      <c r="S131" s="1096"/>
    </row>
    <row r="132">
      <c r="B132" s="1096"/>
      <c r="F132" s="1096"/>
      <c r="M132" s="1096"/>
      <c r="N132" s="1097"/>
      <c r="O132" s="1096"/>
      <c r="P132" s="1096"/>
      <c r="Q132" s="1096"/>
      <c r="S132" s="1096"/>
    </row>
    <row r="133">
      <c r="B133" s="1096"/>
      <c r="F133" s="1096"/>
      <c r="M133" s="1096"/>
      <c r="N133" s="1097"/>
      <c r="O133" s="1096"/>
      <c r="P133" s="1096"/>
      <c r="Q133" s="1096"/>
      <c r="S133" s="1096"/>
    </row>
    <row r="134">
      <c r="B134" s="1096"/>
      <c r="F134" s="1096"/>
      <c r="M134" s="1096"/>
      <c r="N134" s="1097"/>
      <c r="O134" s="1096"/>
      <c r="P134" s="1096"/>
      <c r="Q134" s="1096"/>
      <c r="S134" s="1096"/>
    </row>
    <row r="135">
      <c r="B135" s="1096"/>
      <c r="F135" s="1096"/>
      <c r="M135" s="1096"/>
      <c r="N135" s="1097"/>
      <c r="O135" s="1096"/>
      <c r="P135" s="1096"/>
      <c r="Q135" s="1096"/>
      <c r="S135" s="1096"/>
    </row>
    <row r="136">
      <c r="B136" s="1096"/>
      <c r="F136" s="1096"/>
      <c r="M136" s="1096"/>
      <c r="N136" s="1097"/>
      <c r="O136" s="1096"/>
      <c r="P136" s="1096"/>
      <c r="Q136" s="1096"/>
      <c r="S136" s="1096"/>
    </row>
  </sheetData>
  <autoFilter ref="A8:U136"/>
  <mergeCells>
    <mergeCell ref="M7:T7"/>
    <mergeCell ref="C6:G6"/>
    <mergeCell ref="B7:G7"/>
    <mergeCell ref="C2:F2"/>
    <mergeCell ref="B1:D1"/>
  </mergeCells>
  <hyperlinks>
    <hyperlink ref="A1" location="'2. 0 DWM层目录'!A1" display="返回"/>
    <hyperlink ref="A2" location="'规则库'!A1" display="规则库"/>
  </hyperlinks>
  <picture r:id="rId1"/>
</worksheet>
</file>

<file path=xl/worksheets/sheet2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5" min="5" style="0" width="10.647887323943662"/>
    <col collapsed="false" customWidth="true" hidden="false" max="9" min="9" style="0" width="8.732394366197184"/>
    <col collapsed="false" customWidth="true" hidden="true" max="9" min="9" style="0" width="8.732394366197184"/>
    <col collapsed="false" customWidth="true" hidden="false" max="13" min="13" style="0" width="41.070422535211264"/>
    <col collapsed="false" customWidth="true" hidden="false" max="17" min="17" style="0" width="26.422535076947355"/>
    <col collapsed="false" customWidth="true" hidden="false" max="21" min="21" style="0" width="4.206582325351429"/>
    <col collapsed="false" customWidth="true" hidden="false" max="1" min="1" style="0" width="5.23943661971831"/>
    <col collapsed="false" customWidth="true" hidden="false" max="6" min="6" style="0" width="17.070422535211268"/>
    <col collapsed="false" customWidth="true" hidden="false" max="10" min="10" style="0" width="13.80281690140845"/>
    <col collapsed="false" customWidth="true" hidden="true" max="10" min="10" style="0" width="13.80281690140845"/>
    <col collapsed="false" customWidth="true" hidden="false" max="14" min="14" style="0" width="7.154929577464789"/>
    <col collapsed="false" customWidth="true" hidden="false" max="18" min="18" style="0" width="31.680755330176627"/>
    <col collapsed="false" customWidth="true" hidden="false" max="2" min="2" style="0" width="23.718309859154928"/>
    <col collapsed="false" customWidth="true" hidden="false" max="7" min="7" style="0" width="8.732394366197184"/>
    <col collapsed="false" customWidth="true" hidden="false" max="11" min="11" style="0" width="8.732394366197184"/>
    <col collapsed="false" customWidth="true" hidden="true" max="11" min="11" style="0" width="8.732394366197184"/>
    <col collapsed="false" customWidth="true" hidden="false" max="15" min="15" style="0" width="23.868590568332493"/>
    <col collapsed="false" customWidth="true" hidden="false" max="19" min="19" style="0" width="81.16432880422467"/>
    <col collapsed="false" customWidth="true" hidden="false" max="3" min="3" style="0" width="19.774647887323944"/>
    <col collapsed="false" customWidth="true" hidden="false" max="8" min="8" style="0" width="7.154929577464789"/>
    <col collapsed="false" customWidth="true" hidden="true" max="8" min="8" style="0" width="7.154929577464789"/>
    <col collapsed="false" customWidth="true" hidden="false" max="12" min="12" style="0" width="9.746478873239436"/>
    <col collapsed="false" customWidth="true" hidden="true" max="12" min="12" style="0" width="9.746478873239436"/>
    <col collapsed="false" customWidth="true" hidden="false" max="16" min="16" style="0" width="20.112676056338028"/>
    <col collapsed="false" customWidth="true" hidden="false" max="20" min="20" style="0" width="5.577464788732394"/>
    <col collapsed="false" customWidth="true" hidden="false" max="4" min="4" style="0" width="12.56338028169014"/>
  </cols>
  <sheetData>
    <row r="1">
      <c r="A1" s="1098" t="s">
        <v>3153</v>
      </c>
      <c r="B1" s="1099" t="s">
        <v>3154</v>
      </c>
      <c r="C1" s="1100"/>
      <c r="D1" s="1100"/>
      <c r="E1" s="1101"/>
      <c r="F1" s="1102"/>
      <c r="G1" s="1101"/>
      <c r="H1" s="1103"/>
      <c r="I1" s="1103"/>
      <c r="J1" s="1103"/>
      <c r="K1" s="1103"/>
      <c r="L1" s="1103"/>
      <c r="M1" s="1104"/>
      <c r="N1" s="1105"/>
      <c r="O1" s="1102"/>
      <c r="P1" s="1102"/>
      <c r="Q1" s="1102"/>
      <c r="R1" s="1101"/>
      <c r="S1" s="1102"/>
      <c r="T1" s="1101"/>
    </row>
    <row r="2">
      <c r="A2" s="1098" t="s">
        <v>3155</v>
      </c>
      <c r="B2" s="1106" t="s">
        <v>3156</v>
      </c>
      <c r="C2" s="1107" t="s">
        <v>3157</v>
      </c>
      <c r="D2" s="1108"/>
      <c r="E2" s="1108"/>
      <c r="F2" s="1109"/>
      <c r="G2" s="1108"/>
      <c r="H2" s="1103"/>
      <c r="I2" s="1103"/>
      <c r="J2" s="1103"/>
      <c r="K2" s="1103"/>
      <c r="L2" s="1103"/>
      <c r="M2" s="1110" t="s">
        <v>3158</v>
      </c>
      <c r="N2" s="1105"/>
      <c r="O2" s="1102"/>
      <c r="P2" s="1102"/>
      <c r="Q2" s="1102"/>
      <c r="R2" s="1101"/>
      <c r="S2" s="1102"/>
      <c r="T2" s="1101"/>
    </row>
    <row r="3">
      <c r="A3" s="1111"/>
      <c r="B3" s="1112" t="s">
        <v>3159</v>
      </c>
      <c r="C3" s="1113" t="s">
        <v>3160</v>
      </c>
      <c r="D3" s="1114" t="s">
        <v>3161</v>
      </c>
      <c r="E3" s="1115" t="s">
        <v>3162</v>
      </c>
      <c r="F3" s="1112" t="s">
        <v>3163</v>
      </c>
      <c r="G3" s="1113" t="s">
        <v>3164</v>
      </c>
      <c r="H3" s="1103"/>
      <c r="I3" s="1103"/>
      <c r="J3" s="1103"/>
      <c r="K3" s="1103"/>
      <c r="L3" s="1103"/>
      <c r="M3" s="1116" t="s">
        <v>3165</v>
      </c>
      <c r="N3" s="1105"/>
      <c r="O3" s="1102"/>
      <c r="P3" s="1102"/>
      <c r="Q3" s="1102"/>
      <c r="R3" s="1101"/>
      <c r="S3" s="1102"/>
      <c r="T3" s="1101"/>
    </row>
    <row r="4">
      <c r="A4" s="1111"/>
      <c r="B4" s="1112" t="s">
        <v>3166</v>
      </c>
      <c r="C4" s="1117" t="s">
        <v>3167</v>
      </c>
      <c r="D4" s="1118" t="s">
        <v>3168</v>
      </c>
      <c r="E4" s="1119" t="s">
        <v>3169</v>
      </c>
      <c r="F4" s="1120" t="s">
        <v>3170</v>
      </c>
      <c r="G4" s="1113" t="s">
        <v>3171</v>
      </c>
      <c r="H4" s="1103"/>
      <c r="I4" s="1103"/>
      <c r="J4" s="1103"/>
      <c r="K4" s="1103"/>
      <c r="L4" s="1103"/>
      <c r="M4" s="1116" t="s">
        <v>3172</v>
      </c>
      <c r="N4" s="1105"/>
      <c r="O4" s="1102"/>
      <c r="P4" s="1102"/>
      <c r="Q4" s="1102"/>
      <c r="R4" s="1101"/>
      <c r="S4" s="1102"/>
      <c r="T4" s="1101"/>
    </row>
    <row r="5">
      <c r="A5" s="1111"/>
      <c r="B5" s="1112" t="s">
        <v>3173</v>
      </c>
      <c r="C5" s="1113" t="s">
        <v>3174</v>
      </c>
      <c r="D5" s="1114" t="s">
        <v>3175</v>
      </c>
      <c r="E5" s="1121"/>
      <c r="F5" s="1122" t="s">
        <v>3176</v>
      </c>
      <c r="G5" s="1123"/>
      <c r="H5" s="1103"/>
      <c r="I5" s="1103"/>
      <c r="J5" s="1103"/>
      <c r="K5" s="1103"/>
      <c r="L5" s="1103"/>
      <c r="M5" s="1116" t="s">
        <v>3177</v>
      </c>
      <c r="N5" s="1105"/>
      <c r="O5" s="1102"/>
      <c r="P5" s="1102"/>
      <c r="Q5" s="1102"/>
      <c r="R5" s="1101"/>
      <c r="S5" s="1102"/>
      <c r="T5" s="1101"/>
    </row>
    <row r="6">
      <c r="A6" s="1111"/>
      <c r="B6" s="1124" t="s">
        <v>3178</v>
      </c>
      <c r="C6" s="1125" t="s">
        <v>3179</v>
      </c>
      <c r="D6" s="1126"/>
      <c r="E6" s="1126"/>
      <c r="F6" s="1126"/>
      <c r="G6" s="1126"/>
      <c r="H6" s="1103"/>
      <c r="I6" s="1103"/>
      <c r="J6" s="1103"/>
      <c r="K6" s="1103"/>
      <c r="L6" s="1103"/>
      <c r="M6" s="1116" t="s">
        <v>3180</v>
      </c>
      <c r="N6" s="1105"/>
      <c r="O6" s="1102"/>
      <c r="P6" s="1102"/>
      <c r="Q6" s="1102"/>
      <c r="R6" s="1101"/>
      <c r="S6" s="1102"/>
      <c r="T6" s="1101"/>
    </row>
    <row r="7">
      <c r="A7" s="1127"/>
      <c r="B7" s="1128" t="s">
        <v>3181</v>
      </c>
      <c r="C7" s="1129"/>
      <c r="D7" s="1129"/>
      <c r="E7" s="1129"/>
      <c r="F7" s="1128"/>
      <c r="G7" s="1129"/>
      <c r="H7" s="1129"/>
      <c r="I7" s="1129"/>
      <c r="J7" s="1129"/>
      <c r="K7" s="1129"/>
      <c r="L7" s="1129"/>
      <c r="M7" s="1130" t="s">
        <v>3182</v>
      </c>
      <c r="N7" s="1128"/>
      <c r="O7" s="1128"/>
      <c r="P7" s="1128"/>
      <c r="Q7" s="1128"/>
      <c r="R7" s="1129"/>
      <c r="S7" s="1128"/>
      <c r="T7" s="1129"/>
      <c r="U7" s="1131"/>
    </row>
    <row r="8">
      <c r="A8" s="1127"/>
      <c r="B8" s="1132" t="s">
        <v>3183</v>
      </c>
      <c r="C8" s="1133" t="s">
        <v>3184</v>
      </c>
      <c r="D8" s="1133" t="s">
        <v>3185</v>
      </c>
      <c r="E8" s="1133" t="s">
        <v>3186</v>
      </c>
      <c r="F8" s="1132" t="s">
        <v>3187</v>
      </c>
      <c r="G8" s="1133" t="s">
        <v>3188</v>
      </c>
      <c r="H8" s="1133" t="s">
        <v>3189</v>
      </c>
      <c r="I8" s="1133" t="s">
        <v>3190</v>
      </c>
      <c r="J8" s="1133" t="s">
        <v>3191</v>
      </c>
      <c r="K8" s="1133" t="s">
        <v>3192</v>
      </c>
      <c r="L8" s="1133" t="s">
        <v>3193</v>
      </c>
      <c r="M8" s="1134" t="s">
        <v>3194</v>
      </c>
      <c r="N8" s="1134" t="s">
        <v>3195</v>
      </c>
      <c r="O8" s="1134" t="s">
        <v>3196</v>
      </c>
      <c r="P8" s="1132" t="s">
        <v>3197</v>
      </c>
      <c r="Q8" s="1132" t="s">
        <v>3198</v>
      </c>
      <c r="R8" s="1133" t="s">
        <v>3199</v>
      </c>
      <c r="S8" s="1132" t="s">
        <v>3200</v>
      </c>
      <c r="T8" s="1133" t="s">
        <v>3201</v>
      </c>
      <c r="U8" s="1131"/>
    </row>
    <row r="9">
      <c r="A9" s="1103"/>
      <c r="B9" s="1135">
        <f>IFERROR(VLOOKUP(C9,'字段信息'!A:C,3,),"")</f>
      </c>
      <c r="C9" s="1136" t="s">
        <v>3202</v>
      </c>
      <c r="D9" s="1137">
        <f>IFERROR(VLOOKUP(C9,'字段信息'!A:C,2,),"")</f>
      </c>
      <c r="E9" s="1138"/>
      <c r="F9" s="1139">
        <f t="shared" ref="F9:F70" si="0">B9</f>
      </c>
      <c r="G9" s="1138"/>
      <c r="H9" s="1140"/>
      <c r="I9" s="1140"/>
      <c r="J9" s="1140"/>
      <c r="K9" s="1140"/>
      <c r="L9" s="1141"/>
      <c r="M9" s="1142" t="s">
        <v>3203</v>
      </c>
      <c r="N9" s="1143" t="s">
        <v>3204</v>
      </c>
      <c r="O9" s="1144" t="s">
        <v>3205</v>
      </c>
      <c r="P9" s="1145" t="s">
        <v>3202</v>
      </c>
      <c r="Q9" s="1146"/>
      <c r="R9" s="1147"/>
      <c r="S9" s="1146"/>
      <c r="T9" s="1147"/>
      <c r="U9" s="1131"/>
    </row>
    <row r="10">
      <c r="A10" s="1103"/>
      <c r="B10" s="1135">
        <f>IFERROR(VLOOKUP(C10,'字段信息'!A:C,3,),"")</f>
      </c>
      <c r="C10" s="1136" t="s">
        <v>3206</v>
      </c>
      <c r="D10" s="1137">
        <f>IFERROR(VLOOKUP(C10,'字段信息'!A:C,2,),"")</f>
      </c>
      <c r="E10" s="1138"/>
      <c r="F10" s="1139">
        <f t="shared" si="0"/>
      </c>
      <c r="G10" s="1138" t="s">
        <v>3207</v>
      </c>
      <c r="H10" s="1140"/>
      <c r="I10" s="1140"/>
      <c r="J10" s="1140"/>
      <c r="K10" s="1140"/>
      <c r="L10" s="1148" t="s">
        <v>3208</v>
      </c>
      <c r="M10" s="1149" t="s">
        <v>3203</v>
      </c>
      <c r="N10" s="1150" t="s">
        <v>3204</v>
      </c>
      <c r="O10" s="1144" t="s">
        <v>3205</v>
      </c>
      <c r="P10" s="1145" t="s">
        <v>3206</v>
      </c>
      <c r="Q10" s="1146"/>
      <c r="R10" s="1147"/>
      <c r="S10" s="1146"/>
      <c r="T10" s="1147"/>
      <c r="U10" s="1131"/>
    </row>
    <row r="11">
      <c r="A11" s="1103"/>
      <c r="B11" s="1135">
        <f>IFERROR(VLOOKUP(C11,'字段信息'!A:C,3,),"")</f>
      </c>
      <c r="C11" s="1136" t="s">
        <v>3209</v>
      </c>
      <c r="D11" s="1137">
        <f>IFERROR(VLOOKUP(C11,'字段信息'!A:C,2,),"")</f>
      </c>
      <c r="E11" s="1138"/>
      <c r="F11" s="1139">
        <f t="shared" si="0"/>
      </c>
      <c r="G11" s="1138" t="s">
        <v>3207</v>
      </c>
      <c r="H11" s="1140"/>
      <c r="I11" s="1140"/>
      <c r="J11" s="1140"/>
      <c r="K11" s="1140"/>
      <c r="L11" s="1148" t="s">
        <v>3208</v>
      </c>
      <c r="M11" s="1149" t="s">
        <v>3203</v>
      </c>
      <c r="N11" s="1150" t="s">
        <v>3204</v>
      </c>
      <c r="O11" s="1144" t="s">
        <v>3205</v>
      </c>
      <c r="P11" s="1145" t="s">
        <v>3209</v>
      </c>
      <c r="Q11" s="1146"/>
      <c r="R11" s="1147"/>
      <c r="S11" s="1146"/>
      <c r="T11" s="1147"/>
      <c r="U11" s="1131"/>
    </row>
    <row r="12">
      <c r="A12" s="1103"/>
      <c r="B12" s="1135">
        <f>IFERROR(VLOOKUP(C12,'字段信息'!A:C,3,),"")</f>
      </c>
      <c r="C12" s="1136" t="s">
        <v>3210</v>
      </c>
      <c r="D12" s="1137">
        <f>IFERROR(VLOOKUP(C12,'字段信息'!A:C,2,),"")</f>
      </c>
      <c r="E12" s="1138"/>
      <c r="F12" s="1139">
        <f t="shared" si="0"/>
      </c>
      <c r="G12" s="1138" t="s">
        <v>3207</v>
      </c>
      <c r="H12" s="1140"/>
      <c r="I12" s="1140"/>
      <c r="J12" s="1140"/>
      <c r="K12" s="1140"/>
      <c r="L12" s="1148" t="s">
        <v>3208</v>
      </c>
      <c r="M12" s="1149" t="s">
        <v>3203</v>
      </c>
      <c r="N12" s="1150" t="s">
        <v>3204</v>
      </c>
      <c r="O12" s="1144" t="s">
        <v>3205</v>
      </c>
      <c r="P12" s="1145" t="s">
        <v>3210</v>
      </c>
      <c r="Q12" s="1146"/>
      <c r="R12" s="1147"/>
      <c r="S12" s="1146"/>
      <c r="T12" s="1147"/>
      <c r="U12" s="1131"/>
    </row>
    <row r="13">
      <c r="A13" s="1103"/>
      <c r="B13" s="1135">
        <f>IFERROR(VLOOKUP(C13,'字段信息'!A:C,3,),"")</f>
      </c>
      <c r="C13" s="1136" t="s">
        <v>3211</v>
      </c>
      <c r="D13" s="1137">
        <f>IFERROR(VLOOKUP(C13,'字段信息'!A:C,2,),"")</f>
      </c>
      <c r="E13" s="1138"/>
      <c r="F13" s="1139">
        <f t="shared" si="0"/>
      </c>
      <c r="G13" s="1138" t="s">
        <v>3207</v>
      </c>
      <c r="H13" s="1140"/>
      <c r="I13" s="1140"/>
      <c r="J13" s="1140"/>
      <c r="K13" s="1140"/>
      <c r="L13" s="1148" t="s">
        <v>3208</v>
      </c>
      <c r="M13" s="1149" t="s">
        <v>3212</v>
      </c>
      <c r="N13" s="1150" t="s">
        <v>3204</v>
      </c>
      <c r="O13" s="1144" t="s">
        <v>3205</v>
      </c>
      <c r="P13" s="1145" t="s">
        <v>3213</v>
      </c>
      <c r="Q13" s="1146"/>
      <c r="R13" s="1147"/>
      <c r="S13" s="1146"/>
      <c r="T13" s="1147"/>
      <c r="U13" s="1131"/>
    </row>
    <row r="14">
      <c r="A14" s="1103"/>
      <c r="B14" s="1135">
        <f>IFERROR(VLOOKUP(C14,'字段信息'!A:C,3,),"")</f>
      </c>
      <c r="C14" s="1136" t="s">
        <v>3214</v>
      </c>
      <c r="D14" s="1137">
        <f>IFERROR(VLOOKUP(C14,'字段信息'!A:C,2,),"")</f>
      </c>
      <c r="E14" s="1138"/>
      <c r="F14" s="1139">
        <f t="shared" si="0"/>
      </c>
      <c r="G14" s="1138" t="s">
        <v>3207</v>
      </c>
      <c r="H14" s="1140"/>
      <c r="I14" s="1140"/>
      <c r="J14" s="1140"/>
      <c r="K14" s="1140"/>
      <c r="L14" s="1151" t="s">
        <v>3208</v>
      </c>
      <c r="M14" s="1152" t="s">
        <v>3203</v>
      </c>
      <c r="N14" s="1143" t="s">
        <v>3204</v>
      </c>
      <c r="O14" s="1144" t="s">
        <v>3205</v>
      </c>
      <c r="P14" s="1145" t="s">
        <v>3214</v>
      </c>
      <c r="Q14" s="1146"/>
      <c r="R14" s="1153"/>
      <c r="S14" s="1153"/>
      <c r="T14" s="1147"/>
      <c r="U14" s="1131"/>
    </row>
    <row r="15">
      <c r="A15" s="1103"/>
      <c r="B15" s="1135">
        <f>IFERROR(VLOOKUP(C15,'字段信息'!A:C,3,),"")</f>
      </c>
      <c r="C15" s="1136" t="s">
        <v>3215</v>
      </c>
      <c r="D15" s="1137">
        <f>IFERROR(VLOOKUP(C15,'字段信息'!A:C,2,),"")</f>
      </c>
      <c r="E15" s="1138"/>
      <c r="F15" s="1139">
        <f t="shared" si="0"/>
      </c>
      <c r="G15" s="1138" t="s">
        <v>3207</v>
      </c>
      <c r="H15" s="1140"/>
      <c r="I15" s="1140"/>
      <c r="J15" s="1140"/>
      <c r="K15" s="1140"/>
      <c r="L15" s="1151" t="s">
        <v>3208</v>
      </c>
      <c r="M15" s="1145" t="s">
        <v>3203</v>
      </c>
      <c r="N15" s="1143" t="s">
        <v>3204</v>
      </c>
      <c r="O15" s="1144" t="s">
        <v>3205</v>
      </c>
      <c r="P15" s="1145" t="s">
        <v>3215</v>
      </c>
      <c r="Q15" s="1146"/>
      <c r="R15" s="1147"/>
      <c r="S15" s="1146"/>
      <c r="T15" s="1147"/>
      <c r="U15" s="1131"/>
    </row>
    <row r="16">
      <c r="A16" s="1103"/>
      <c r="B16" s="1135">
        <f>IFERROR(VLOOKUP(C16,'字段信息'!A:C,3,),"")</f>
      </c>
      <c r="C16" s="1136" t="s">
        <v>3216</v>
      </c>
      <c r="D16" s="1137">
        <f>IFERROR(VLOOKUP(C16,'字段信息'!A:C,2,),"")</f>
      </c>
      <c r="E16" s="1138"/>
      <c r="F16" s="1139">
        <f t="shared" si="0"/>
      </c>
      <c r="G16" s="1138" t="s">
        <v>3207</v>
      </c>
      <c r="H16" s="1140"/>
      <c r="I16" s="1140"/>
      <c r="J16" s="1140"/>
      <c r="K16" s="1140"/>
      <c r="L16" s="1151" t="s">
        <v>3208</v>
      </c>
      <c r="M16" s="1145" t="s">
        <v>3203</v>
      </c>
      <c r="N16" s="1143" t="s">
        <v>3204</v>
      </c>
      <c r="O16" s="1144" t="s">
        <v>3205</v>
      </c>
      <c r="P16" s="1136" t="s">
        <v>3216</v>
      </c>
      <c r="Q16" s="1146"/>
      <c r="R16" s="1147"/>
      <c r="S16" s="1146"/>
      <c r="T16" s="1147"/>
      <c r="U16" s="1131"/>
    </row>
    <row customHeight="true" ht="47.61904761904762" r="17">
      <c r="A17" s="1103"/>
      <c r="B17" s="1135">
        <f>IFERROR(VLOOKUP(C17,'字段信息'!A:C,3,),"")</f>
      </c>
      <c r="C17" s="1136" t="s">
        <v>3217</v>
      </c>
      <c r="D17" s="1137">
        <f>IFERROR(VLOOKUP(C17,'字段信息'!A:C,2,),"")</f>
      </c>
      <c r="E17" s="1138"/>
      <c r="F17" s="1139">
        <f t="shared" si="0"/>
      </c>
      <c r="G17" s="1138" t="s">
        <v>3207</v>
      </c>
      <c r="H17" s="1140"/>
      <c r="I17" s="1140"/>
      <c r="J17" s="1140"/>
      <c r="K17" s="1140"/>
      <c r="L17" s="1151"/>
      <c r="M17" s="1145" t="s">
        <v>3203</v>
      </c>
      <c r="N17" s="1143" t="s">
        <v>3204</v>
      </c>
      <c r="O17" s="1144" t="s">
        <v>3205</v>
      </c>
      <c r="P17" s="1136" t="s">
        <v>3217</v>
      </c>
      <c r="Q17" s="1146"/>
      <c r="R17" s="1147"/>
      <c r="S17" s="1146"/>
      <c r="T17" s="1147"/>
      <c r="U17" s="1131"/>
    </row>
    <row customHeight="true" ht="47.61904761904762" r="18">
      <c r="A18" s="1103"/>
      <c r="B18" s="1135">
        <f>IFERROR(VLOOKUP(C18,'字段信息'!A:C,3,),"")</f>
      </c>
      <c r="C18" s="1136" t="s">
        <v>3218</v>
      </c>
      <c r="D18" s="1137">
        <f>IFERROR(VLOOKUP(C18,'字段信息'!A:C,2,),"")</f>
      </c>
      <c r="E18" s="1138"/>
      <c r="F18" s="1139">
        <f t="shared" si="0"/>
      </c>
      <c r="G18" s="1138" t="s">
        <v>3207</v>
      </c>
      <c r="H18" s="1140"/>
      <c r="I18" s="1140"/>
      <c r="J18" s="1140"/>
      <c r="K18" s="1140"/>
      <c r="L18" s="1151"/>
      <c r="M18" s="1145" t="s">
        <v>3203</v>
      </c>
      <c r="N18" s="1143" t="s">
        <v>3204</v>
      </c>
      <c r="O18" s="1144" t="s">
        <v>3205</v>
      </c>
      <c r="P18" s="1136" t="s">
        <v>3218</v>
      </c>
      <c r="Q18" s="1146"/>
      <c r="R18" s="1147"/>
      <c r="S18" s="1146"/>
      <c r="T18" s="1147"/>
      <c r="U18" s="1131"/>
    </row>
    <row r="19">
      <c r="A19" s="1103"/>
      <c r="B19" s="1135">
        <f>IFERROR(VLOOKUP(C19,'字段信息'!A:C,3,),"")</f>
      </c>
      <c r="C19" s="1136" t="s">
        <v>3219</v>
      </c>
      <c r="D19" s="1137">
        <f>IFERROR(VLOOKUP(C19,'字段信息'!A:C,2,),"")</f>
      </c>
      <c r="E19" s="1138"/>
      <c r="F19" s="1139">
        <f t="shared" si="0"/>
      </c>
      <c r="G19" s="1138" t="s">
        <v>3207</v>
      </c>
      <c r="H19" s="1140"/>
      <c r="I19" s="1140"/>
      <c r="J19" s="1140"/>
      <c r="K19" s="1140"/>
      <c r="L19" s="1151" t="s">
        <v>3208</v>
      </c>
      <c r="M19" s="1145" t="s">
        <v>3203</v>
      </c>
      <c r="N19" s="1143" t="s">
        <v>3204</v>
      </c>
      <c r="O19" s="1144" t="s">
        <v>3205</v>
      </c>
      <c r="P19" s="1136" t="s">
        <v>3219</v>
      </c>
      <c r="Q19" s="1146"/>
      <c r="R19" s="1147"/>
      <c r="S19" s="1146"/>
      <c r="T19" s="1147"/>
      <c r="U19" s="1131"/>
    </row>
    <row customHeight="true" ht="16.071428571428573" r="20">
      <c r="A20" s="1103"/>
      <c r="B20" s="1135">
        <f>IFERROR(VLOOKUP(C20,'字段信息'!A:C,3,),"")</f>
      </c>
      <c r="C20" s="1136" t="s">
        <v>3220</v>
      </c>
      <c r="D20" s="1137">
        <f>IFERROR(VLOOKUP(C20,'字段信息'!A:C,2,),"")</f>
      </c>
      <c r="E20" s="1138"/>
      <c r="F20" s="1139">
        <f t="shared" si="0"/>
      </c>
      <c r="G20" s="1138" t="s">
        <v>3207</v>
      </c>
      <c r="H20" s="1140"/>
      <c r="I20" s="1140"/>
      <c r="J20" s="1140"/>
      <c r="K20" s="1140"/>
      <c r="L20" s="1151"/>
      <c r="M20" s="1145" t="s">
        <v>3203</v>
      </c>
      <c r="N20" s="1143" t="s">
        <v>3204</v>
      </c>
      <c r="O20" s="1144" t="s">
        <v>3205</v>
      </c>
      <c r="P20" s="1145" t="s">
        <v>3220</v>
      </c>
      <c r="Q20" s="1146"/>
      <c r="R20" s="1147"/>
      <c r="S20" s="1146"/>
      <c r="T20" s="1147"/>
      <c r="U20" s="1131"/>
    </row>
    <row customHeight="true" ht="16.071428571428573" r="21">
      <c r="A21" s="1103"/>
      <c r="B21" s="1135">
        <f>IFERROR(VLOOKUP(C21,'字段信息'!A:C,3,),"")</f>
      </c>
      <c r="C21" s="1136" t="s">
        <v>3221</v>
      </c>
      <c r="D21" s="1137">
        <f>IFERROR(VLOOKUP(C21,'字段信息'!A:C,2,),"")</f>
      </c>
      <c r="E21" s="1138"/>
      <c r="F21" s="1139">
        <f t="shared" si="0"/>
      </c>
      <c r="G21" s="1138" t="s">
        <v>3207</v>
      </c>
      <c r="H21" s="1140"/>
      <c r="I21" s="1140"/>
      <c r="J21" s="1140"/>
      <c r="K21" s="1140"/>
      <c r="L21" s="1151"/>
      <c r="M21" s="1145" t="s">
        <v>3203</v>
      </c>
      <c r="N21" s="1143" t="s">
        <v>3204</v>
      </c>
      <c r="O21" s="1144" t="s">
        <v>3205</v>
      </c>
      <c r="P21" s="1145" t="s">
        <v>3221</v>
      </c>
      <c r="Q21" s="1146"/>
      <c r="R21" s="1147"/>
      <c r="S21" s="1146"/>
      <c r="T21" s="1147"/>
      <c r="U21" s="1131"/>
    </row>
    <row customHeight="true" ht="16.071428571428573" r="22">
      <c r="A22" s="1103"/>
      <c r="B22" s="1135">
        <f>IFERROR(VLOOKUP(C22,'字段信息'!A:C,3,),"")</f>
      </c>
      <c r="C22" s="1136" t="s">
        <v>3222</v>
      </c>
      <c r="D22" s="1137">
        <f>IFERROR(VLOOKUP(C22,'字段信息'!A:C,2,),"")</f>
      </c>
      <c r="E22" s="1138"/>
      <c r="F22" s="1139">
        <f t="shared" si="0"/>
      </c>
      <c r="G22" s="1138" t="s">
        <v>3207</v>
      </c>
      <c r="H22" s="1140"/>
      <c r="I22" s="1140"/>
      <c r="J22" s="1140"/>
      <c r="K22" s="1140"/>
      <c r="L22" s="1151"/>
      <c r="M22" s="1145" t="s">
        <v>3203</v>
      </c>
      <c r="N22" s="1143" t="s">
        <v>3204</v>
      </c>
      <c r="O22" s="1144" t="s">
        <v>3205</v>
      </c>
      <c r="P22" s="1145" t="s">
        <v>3222</v>
      </c>
      <c r="Q22" s="1146"/>
      <c r="R22" s="1147"/>
      <c r="S22" s="1146"/>
      <c r="T22" s="1147"/>
      <c r="U22" s="1131"/>
    </row>
    <row r="23">
      <c r="A23" s="1103"/>
      <c r="B23" s="1135">
        <f>IFERROR(VLOOKUP(C23,'字段信息'!A:C,3,),"")</f>
      </c>
      <c r="C23" s="1136" t="s">
        <v>3223</v>
      </c>
      <c r="D23" s="1137">
        <f>IFERROR(VLOOKUP(C23,'字段信息'!A:C,2,),"")</f>
      </c>
      <c r="E23" s="1138"/>
      <c r="F23" s="1139">
        <f t="shared" si="0"/>
      </c>
      <c r="G23" s="1138" t="s">
        <v>3207</v>
      </c>
      <c r="H23" s="1140"/>
      <c r="I23" s="1140"/>
      <c r="J23" s="1140"/>
      <c r="K23" s="1140"/>
      <c r="L23" s="1151" t="s">
        <v>3208</v>
      </c>
      <c r="M23" s="1145" t="s">
        <v>3203</v>
      </c>
      <c r="N23" s="1143" t="s">
        <v>3204</v>
      </c>
      <c r="O23" s="1144" t="s">
        <v>3205</v>
      </c>
      <c r="P23" s="1145" t="s">
        <v>3223</v>
      </c>
      <c r="Q23" s="1154"/>
      <c r="R23" s="1155"/>
      <c r="S23" s="1146"/>
      <c r="T23" s="1147"/>
      <c r="U23" s="1131"/>
    </row>
    <row customHeight="true" ht="16.071428571428573" r="24">
      <c r="A24" s="1103"/>
      <c r="B24" s="1135">
        <f>IFERROR(VLOOKUP(C24,'字段信息'!A:C,3,),"")</f>
      </c>
      <c r="C24" s="1136" t="s">
        <v>3224</v>
      </c>
      <c r="D24" s="1156" t="s">
        <v>3225</v>
      </c>
      <c r="E24" s="1138"/>
      <c r="F24" s="1139">
        <f t="shared" si="0"/>
      </c>
      <c r="G24" s="1138" t="s">
        <v>3207</v>
      </c>
      <c r="H24" s="1140"/>
      <c r="I24" s="1140"/>
      <c r="J24" s="1140"/>
      <c r="K24" s="1140"/>
      <c r="L24" s="1151"/>
      <c r="M24" s="1145" t="s">
        <v>3203</v>
      </c>
      <c r="N24" s="1143" t="s">
        <v>3204</v>
      </c>
      <c r="O24" s="1144" t="s">
        <v>3205</v>
      </c>
      <c r="P24" s="1136" t="s">
        <v>3224</v>
      </c>
      <c r="Q24" s="1157"/>
      <c r="R24" s="1155"/>
      <c r="S24" s="1146"/>
      <c r="T24" s="1147"/>
      <c r="U24" s="1131"/>
    </row>
    <row customHeight="true" ht="16.071428571428573" r="25">
      <c r="A25" s="1103"/>
      <c r="B25" s="1135">
        <f>IFERROR(VLOOKUP(C25,'字段信息'!A:C,3,),"")</f>
      </c>
      <c r="C25" s="1136" t="s">
        <v>3226</v>
      </c>
      <c r="D25" s="1156" t="s">
        <v>3225</v>
      </c>
      <c r="E25" s="1138"/>
      <c r="F25" s="1139">
        <f t="shared" si="0"/>
      </c>
      <c r="G25" s="1138" t="s">
        <v>3207</v>
      </c>
      <c r="H25" s="1140"/>
      <c r="I25" s="1140"/>
      <c r="J25" s="1140"/>
      <c r="K25" s="1140"/>
      <c r="L25" s="1151"/>
      <c r="M25" s="1145" t="s">
        <v>3203</v>
      </c>
      <c r="N25" s="1143" t="s">
        <v>3204</v>
      </c>
      <c r="O25" s="1144" t="s">
        <v>3205</v>
      </c>
      <c r="P25" s="1136" t="s">
        <v>3226</v>
      </c>
      <c r="Q25" s="1157"/>
      <c r="R25" s="1155"/>
      <c r="S25" s="1146"/>
      <c r="T25" s="1147"/>
      <c r="U25" s="1131"/>
    </row>
    <row customHeight="true" ht="16.071428571428573" r="26">
      <c r="A26" s="1103"/>
      <c r="B26" s="1135">
        <f>IFERROR(VLOOKUP(C26,'字段信息'!A:C,3,),"")</f>
      </c>
      <c r="C26" s="1136" t="s">
        <v>3227</v>
      </c>
      <c r="D26" s="1156" t="s">
        <v>3225</v>
      </c>
      <c r="E26" s="1138"/>
      <c r="F26" s="1139">
        <f t="shared" si="0"/>
      </c>
      <c r="G26" s="1138" t="s">
        <v>3207</v>
      </c>
      <c r="H26" s="1140"/>
      <c r="I26" s="1140"/>
      <c r="J26" s="1140"/>
      <c r="K26" s="1140"/>
      <c r="L26" s="1151"/>
      <c r="M26" s="1145" t="s">
        <v>3203</v>
      </c>
      <c r="N26" s="1143" t="s">
        <v>3204</v>
      </c>
      <c r="O26" s="1144" t="s">
        <v>3205</v>
      </c>
      <c r="P26" s="1136" t="s">
        <v>3227</v>
      </c>
      <c r="Q26" s="1157"/>
      <c r="R26" s="1155"/>
      <c r="S26" s="1146"/>
      <c r="T26" s="1147"/>
      <c r="U26" s="1131"/>
    </row>
    <row r="27">
      <c r="A27" s="1103"/>
      <c r="B27" s="1135">
        <f>IFERROR(VLOOKUP(C27,'字段信息'!A:C,3,),"")</f>
      </c>
      <c r="C27" s="1136" t="s">
        <v>3228</v>
      </c>
      <c r="D27" s="1137">
        <f>IFERROR(VLOOKUP(C27,'字段信息'!A:C,2,),"")</f>
      </c>
      <c r="E27" s="1138"/>
      <c r="F27" s="1139">
        <f t="shared" si="0"/>
      </c>
      <c r="G27" s="1138" t="s">
        <v>3207</v>
      </c>
      <c r="H27" s="1140"/>
      <c r="I27" s="1140"/>
      <c r="J27" s="1140"/>
      <c r="K27" s="1140"/>
      <c r="L27" s="1151" t="s">
        <v>3208</v>
      </c>
      <c r="M27" s="1145" t="s">
        <v>3203</v>
      </c>
      <c r="N27" s="1143" t="s">
        <v>3204</v>
      </c>
      <c r="O27" s="1144" t="s">
        <v>3205</v>
      </c>
      <c r="P27" s="1145" t="s">
        <v>3228</v>
      </c>
      <c r="Q27" s="1157"/>
      <c r="R27" s="1155"/>
      <c r="S27" s="1146"/>
      <c r="T27" s="1147"/>
      <c r="U27" s="1131"/>
    </row>
    <row r="28">
      <c r="A28" s="1103"/>
      <c r="B28" s="1135">
        <f>IFERROR(VLOOKUP(C28,'字段信息'!A:C,3,),"")</f>
      </c>
      <c r="C28" s="1136" t="s">
        <v>3229</v>
      </c>
      <c r="D28" s="1137">
        <f>IFERROR(VLOOKUP(C28,'字段信息'!A:C,2,),"")</f>
      </c>
      <c r="E28" s="1138"/>
      <c r="F28" s="1139">
        <f t="shared" si="0"/>
      </c>
      <c r="G28" s="1138" t="s">
        <v>3207</v>
      </c>
      <c r="H28" s="1140"/>
      <c r="I28" s="1140"/>
      <c r="J28" s="1140"/>
      <c r="K28" s="1140"/>
      <c r="L28" s="1151"/>
      <c r="M28" s="1145" t="s">
        <v>3203</v>
      </c>
      <c r="N28" s="1143" t="s">
        <v>3204</v>
      </c>
      <c r="O28" s="1144" t="s">
        <v>3205</v>
      </c>
      <c r="P28" s="1145" t="s">
        <v>3229</v>
      </c>
      <c r="Q28" s="1158"/>
      <c r="R28" s="1147"/>
      <c r="S28" s="1146"/>
      <c r="T28" s="1147"/>
      <c r="U28" s="1131"/>
    </row>
    <row r="29">
      <c r="A29" s="1103"/>
      <c r="B29" s="1135">
        <f>IFERROR(VLOOKUP(C29,'字段信息'!A:C,3,),"")</f>
      </c>
      <c r="C29" s="1136" t="s">
        <v>3230</v>
      </c>
      <c r="D29" s="1137">
        <f>IFERROR(VLOOKUP(C29,'字段信息'!A:C,2,),"")</f>
      </c>
      <c r="E29" s="1138"/>
      <c r="F29" s="1139">
        <f t="shared" si="0"/>
      </c>
      <c r="G29" s="1138" t="s">
        <v>3207</v>
      </c>
      <c r="H29" s="1140"/>
      <c r="I29" s="1140"/>
      <c r="J29" s="1140"/>
      <c r="K29" s="1140"/>
      <c r="L29" s="1151" t="s">
        <v>3208</v>
      </c>
      <c r="M29" s="1145" t="s">
        <v>3203</v>
      </c>
      <c r="N29" s="1143" t="s">
        <v>3204</v>
      </c>
      <c r="O29" s="1144" t="s">
        <v>3205</v>
      </c>
      <c r="P29" s="1145" t="s">
        <v>3230</v>
      </c>
      <c r="Q29" s="1146"/>
      <c r="R29" s="1147"/>
      <c r="S29" s="1146"/>
      <c r="T29" s="1147"/>
      <c r="U29" s="1131"/>
    </row>
    <row r="30">
      <c r="A30" s="1103"/>
      <c r="B30" s="1135">
        <f>IFERROR(VLOOKUP(C30,'字段信息'!A:C,3,),"")</f>
      </c>
      <c r="C30" s="1136" t="s">
        <v>3231</v>
      </c>
      <c r="D30" s="1137">
        <f>IFERROR(VLOOKUP(C30,'字段信息'!A:C,2,),"")</f>
      </c>
      <c r="E30" s="1138"/>
      <c r="F30" s="1139">
        <f t="shared" si="0"/>
      </c>
      <c r="G30" s="1138" t="s">
        <v>3207</v>
      </c>
      <c r="H30" s="1140"/>
      <c r="I30" s="1140"/>
      <c r="J30" s="1140"/>
      <c r="K30" s="1140"/>
      <c r="L30" s="1151" t="s">
        <v>3208</v>
      </c>
      <c r="M30" s="1145" t="s">
        <v>3203</v>
      </c>
      <c r="N30" s="1143" t="s">
        <v>3204</v>
      </c>
      <c r="O30" s="1144" t="s">
        <v>3205</v>
      </c>
      <c r="P30" s="1145" t="s">
        <v>3231</v>
      </c>
      <c r="Q30" s="1146"/>
      <c r="R30" s="1147"/>
      <c r="S30" s="1146"/>
      <c r="T30" s="1147"/>
      <c r="U30" s="1131"/>
    </row>
    <row r="31">
      <c r="A31" s="1103"/>
      <c r="B31" s="1135">
        <f>IFERROR(VLOOKUP(C31,'字段信息'!A:C,3,),"")</f>
      </c>
      <c r="C31" s="1136" t="s">
        <v>3232</v>
      </c>
      <c r="D31" s="1137">
        <f>IFERROR(VLOOKUP(C30,'字段信息'!A:C,2,),"")</f>
      </c>
      <c r="E31" s="1138"/>
      <c r="F31" s="1139">
        <f t="shared" si="0"/>
      </c>
      <c r="G31" s="1138" t="s">
        <v>3207</v>
      </c>
      <c r="H31" s="1140"/>
      <c r="I31" s="1140"/>
      <c r="J31" s="1140"/>
      <c r="K31" s="1140"/>
      <c r="L31" s="1151" t="s">
        <v>3208</v>
      </c>
      <c r="M31" s="1145" t="s">
        <v>3203</v>
      </c>
      <c r="N31" s="1143" t="s">
        <v>3204</v>
      </c>
      <c r="O31" s="1144" t="s">
        <v>3205</v>
      </c>
      <c r="P31" s="1145" t="s">
        <v>3232</v>
      </c>
      <c r="Q31" s="1153"/>
      <c r="R31" s="1147"/>
      <c r="S31" s="1146"/>
      <c r="T31" s="1147"/>
      <c r="U31" s="1131"/>
    </row>
    <row r="32">
      <c r="A32" s="1159"/>
      <c r="B32" s="1135">
        <f>IFERROR(VLOOKUP(C32,'字段信息'!A:C,3,),"")</f>
      </c>
      <c r="C32" s="1136" t="s">
        <v>3233</v>
      </c>
      <c r="D32" s="1137">
        <f>IFERROR(VLOOKUP(C31,'字段信息'!A:C,2,),"")</f>
      </c>
      <c r="E32" s="1138"/>
      <c r="F32" s="1139">
        <f t="shared" si="0"/>
      </c>
      <c r="G32" s="1138" t="s">
        <v>3207</v>
      </c>
      <c r="H32" s="1140"/>
      <c r="I32" s="1140"/>
      <c r="J32" s="1140"/>
      <c r="K32" s="1140"/>
      <c r="L32" s="1151" t="s">
        <v>3208</v>
      </c>
      <c r="M32" s="1145" t="s">
        <v>3203</v>
      </c>
      <c r="N32" s="1143" t="s">
        <v>3204</v>
      </c>
      <c r="O32" s="1144" t="s">
        <v>3205</v>
      </c>
      <c r="P32" s="1145" t="s">
        <v>3233</v>
      </c>
      <c r="Q32" s="1160"/>
      <c r="R32" s="1147"/>
      <c r="S32" s="1146"/>
      <c r="T32" s="1147"/>
      <c r="U32" s="1131"/>
    </row>
    <row r="33">
      <c r="A33" s="1103"/>
      <c r="B33" s="1135">
        <f>IFERROR(VLOOKUP(C33,'字段信息'!A:C,3,),"")</f>
      </c>
      <c r="C33" s="1136" t="s">
        <v>3234</v>
      </c>
      <c r="D33" s="1137">
        <f>IFERROR(VLOOKUP(C33,'字段信息'!A:C,2,),"")</f>
      </c>
      <c r="E33" s="1138"/>
      <c r="F33" s="1139">
        <f t="shared" si="0"/>
      </c>
      <c r="G33" s="1138" t="s">
        <v>3207</v>
      </c>
      <c r="H33" s="1140"/>
      <c r="I33" s="1140"/>
      <c r="J33" s="1140"/>
      <c r="K33" s="1140"/>
      <c r="L33" s="1151" t="s">
        <v>3208</v>
      </c>
      <c r="M33" s="1145" t="s">
        <v>3203</v>
      </c>
      <c r="N33" s="1143" t="s">
        <v>3204</v>
      </c>
      <c r="O33" s="1144" t="s">
        <v>3205</v>
      </c>
      <c r="P33" s="1145" t="s">
        <v>3234</v>
      </c>
      <c r="Q33" s="1160"/>
      <c r="R33" s="1147"/>
      <c r="S33" s="1146"/>
      <c r="T33" s="1147"/>
      <c r="U33" s="1131"/>
    </row>
    <row r="34">
      <c r="A34" s="1103"/>
      <c r="B34" s="1135">
        <f>IFERROR(VLOOKUP(C34,'字段信息'!A:C,3,),"")</f>
      </c>
      <c r="C34" s="1161" t="s">
        <v>3235</v>
      </c>
      <c r="D34" s="1137">
        <f>IFERROR(VLOOKUP(C34,'字段信息'!A:C,2,),"")</f>
      </c>
      <c r="E34" s="1138"/>
      <c r="F34" s="1139">
        <f t="shared" si="0"/>
      </c>
      <c r="G34" s="1138" t="s">
        <v>3207</v>
      </c>
      <c r="H34" s="1140"/>
      <c r="I34" s="1140"/>
      <c r="J34" s="1140"/>
      <c r="K34" s="1140"/>
      <c r="L34" s="1151"/>
      <c r="M34" s="1145" t="s">
        <v>3203</v>
      </c>
      <c r="N34" s="1143" t="s">
        <v>3204</v>
      </c>
      <c r="O34" s="1144" t="s">
        <v>3205</v>
      </c>
      <c r="P34" s="1161" t="s">
        <v>3235</v>
      </c>
      <c r="Q34" s="1146"/>
      <c r="R34" s="1147"/>
      <c r="S34" s="1146"/>
      <c r="T34" s="1147"/>
      <c r="U34" s="1131"/>
    </row>
    <row r="35">
      <c r="A35" s="1103"/>
      <c r="B35" s="1135">
        <f>IFERROR(VLOOKUP(C35,'字段信息'!A:C,3,),"")</f>
      </c>
      <c r="C35" s="1161" t="s">
        <v>3236</v>
      </c>
      <c r="D35" s="1137">
        <f>IFERROR(VLOOKUP(C35,'字段信息'!A:C,2,),"")</f>
      </c>
      <c r="E35" s="1138"/>
      <c r="F35" s="1139">
        <f t="shared" si="0"/>
      </c>
      <c r="G35" s="1138" t="s">
        <v>3207</v>
      </c>
      <c r="H35" s="1140"/>
      <c r="I35" s="1140"/>
      <c r="J35" s="1140"/>
      <c r="K35" s="1140"/>
      <c r="L35" s="1151"/>
      <c r="M35" s="1145" t="s">
        <v>3203</v>
      </c>
      <c r="N35" s="1143" t="s">
        <v>3204</v>
      </c>
      <c r="O35" s="1144" t="s">
        <v>3205</v>
      </c>
      <c r="P35" s="1161" t="s">
        <v>3236</v>
      </c>
      <c r="Q35" s="1146"/>
      <c r="R35" s="1147"/>
      <c r="S35" s="1146"/>
      <c r="T35" s="1147"/>
      <c r="U35" s="1131"/>
    </row>
    <row r="36">
      <c r="A36" s="1103"/>
      <c r="B36" s="1135">
        <f>IFERROR(VLOOKUP(C36,'字段信息'!A:C,3,),"")</f>
      </c>
      <c r="C36" s="1161" t="s">
        <v>3237</v>
      </c>
      <c r="D36" s="1137">
        <f>IFERROR(VLOOKUP(C36,'字段信息'!A:C,2,),"")</f>
      </c>
      <c r="E36" s="1138"/>
      <c r="F36" s="1139">
        <f t="shared" si="0"/>
      </c>
      <c r="G36" s="1138" t="s">
        <v>3207</v>
      </c>
      <c r="H36" s="1140"/>
      <c r="I36" s="1140"/>
      <c r="J36" s="1140"/>
      <c r="K36" s="1140"/>
      <c r="L36" s="1151"/>
      <c r="M36" s="1145" t="s">
        <v>3203</v>
      </c>
      <c r="N36" s="1143" t="s">
        <v>3204</v>
      </c>
      <c r="O36" s="1144" t="s">
        <v>3205</v>
      </c>
      <c r="P36" s="1161" t="s">
        <v>3237</v>
      </c>
      <c r="Q36" s="1146"/>
      <c r="R36" s="1147"/>
      <c r="S36" s="1146"/>
      <c r="T36" s="1147"/>
      <c r="U36" s="1131"/>
    </row>
    <row r="37">
      <c r="A37" s="1103"/>
      <c r="B37" s="1135">
        <f>IFERROR(VLOOKUP(C37,'字段信息'!A:C,3,),"")</f>
      </c>
      <c r="C37" s="1161" t="s">
        <v>3238</v>
      </c>
      <c r="D37" s="1137">
        <f>IFERROR(VLOOKUP(C37,'字段信息'!A:C,2,),"")</f>
      </c>
      <c r="E37" s="1138"/>
      <c r="F37" s="1139">
        <f t="shared" si="0"/>
      </c>
      <c r="G37" s="1138" t="s">
        <v>3207</v>
      </c>
      <c r="H37" s="1140"/>
      <c r="I37" s="1140"/>
      <c r="J37" s="1140"/>
      <c r="K37" s="1140"/>
      <c r="L37" s="1151"/>
      <c r="M37" s="1145" t="s">
        <v>3203</v>
      </c>
      <c r="N37" s="1143" t="s">
        <v>3204</v>
      </c>
      <c r="O37" s="1144" t="s">
        <v>3205</v>
      </c>
      <c r="P37" s="1161" t="s">
        <v>3238</v>
      </c>
      <c r="Q37" s="1146"/>
      <c r="R37" s="1147"/>
      <c r="S37" s="1146"/>
      <c r="T37" s="1147"/>
      <c r="U37" s="1131"/>
    </row>
    <row r="38">
      <c r="A38" s="1103"/>
      <c r="B38" s="1135">
        <f>IFERROR(VLOOKUP(C38,'字段信息'!A:C,3,),"")</f>
      </c>
      <c r="C38" s="1161" t="s">
        <v>3239</v>
      </c>
      <c r="D38" s="1137">
        <f>IFERROR(VLOOKUP(C38,'字段信息'!A:C,2,),"")</f>
      </c>
      <c r="E38" s="1138"/>
      <c r="F38" s="1139">
        <f t="shared" si="0"/>
      </c>
      <c r="G38" s="1138" t="s">
        <v>3207</v>
      </c>
      <c r="H38" s="1140"/>
      <c r="I38" s="1140"/>
      <c r="J38" s="1140"/>
      <c r="K38" s="1140"/>
      <c r="L38" s="1151"/>
      <c r="M38" s="1145" t="s">
        <v>3203</v>
      </c>
      <c r="N38" s="1143" t="s">
        <v>3204</v>
      </c>
      <c r="O38" s="1144" t="s">
        <v>3205</v>
      </c>
      <c r="P38" s="1161" t="s">
        <v>3239</v>
      </c>
      <c r="Q38" s="1146"/>
      <c r="R38" s="1147"/>
      <c r="S38" s="1146"/>
      <c r="T38" s="1147"/>
      <c r="U38" s="1131"/>
    </row>
    <row r="39">
      <c r="A39" s="1103"/>
      <c r="B39" s="1135">
        <f>IFERROR(VLOOKUP(C39,'字段信息'!A:C,3,),"")</f>
      </c>
      <c r="C39" s="1161" t="s">
        <v>3240</v>
      </c>
      <c r="D39" s="1137">
        <f>IFERROR(VLOOKUP(C39,'字段信息'!A:C,2,),"")</f>
      </c>
      <c r="E39" s="1138"/>
      <c r="F39" s="1139">
        <f t="shared" si="0"/>
      </c>
      <c r="G39" s="1138" t="s">
        <v>3207</v>
      </c>
      <c r="H39" s="1140"/>
      <c r="I39" s="1140"/>
      <c r="J39" s="1140"/>
      <c r="K39" s="1140"/>
      <c r="L39" s="1151"/>
      <c r="M39" s="1145" t="s">
        <v>3203</v>
      </c>
      <c r="N39" s="1143" t="s">
        <v>3204</v>
      </c>
      <c r="O39" s="1144" t="s">
        <v>3205</v>
      </c>
      <c r="P39" s="1161" t="s">
        <v>3240</v>
      </c>
      <c r="Q39" s="1146"/>
      <c r="R39" s="1147"/>
      <c r="S39" s="1146"/>
      <c r="T39" s="1147"/>
      <c r="U39" s="1131"/>
    </row>
    <row r="40">
      <c r="A40" s="1103"/>
      <c r="B40" s="1135">
        <f>IFERROR(VLOOKUP(C40,'字段信息'!A:C,3,),"")</f>
      </c>
      <c r="C40" s="1161" t="s">
        <v>3241</v>
      </c>
      <c r="D40" s="1137">
        <f>IFERROR(VLOOKUP(C40,'字段信息'!A:C,2,),"")</f>
      </c>
      <c r="E40" s="1138"/>
      <c r="F40" s="1139">
        <f t="shared" si="0"/>
      </c>
      <c r="G40" s="1138" t="s">
        <v>3207</v>
      </c>
      <c r="H40" s="1140"/>
      <c r="I40" s="1140"/>
      <c r="J40" s="1140"/>
      <c r="K40" s="1140"/>
      <c r="L40" s="1151"/>
      <c r="M40" s="1145" t="s">
        <v>3203</v>
      </c>
      <c r="N40" s="1143" t="s">
        <v>3204</v>
      </c>
      <c r="O40" s="1144" t="s">
        <v>3205</v>
      </c>
      <c r="P40" s="1161" t="s">
        <v>3241</v>
      </c>
      <c r="Q40" s="1146"/>
      <c r="R40" s="1147"/>
      <c r="S40" s="1146"/>
      <c r="T40" s="1147"/>
      <c r="U40" s="1131"/>
    </row>
    <row r="41">
      <c r="A41" s="1103"/>
      <c r="B41" s="1135">
        <f>IFERROR(VLOOKUP(C41,'字段信息'!A:C,3,),"")</f>
      </c>
      <c r="C41" s="1161" t="s">
        <v>3242</v>
      </c>
      <c r="D41" s="1137">
        <f>IFERROR(VLOOKUP(C41,'字段信息'!A:C,2,),"")</f>
      </c>
      <c r="E41" s="1138"/>
      <c r="F41" s="1139">
        <f t="shared" si="0"/>
      </c>
      <c r="G41" s="1138" t="s">
        <v>3207</v>
      </c>
      <c r="H41" s="1140"/>
      <c r="I41" s="1140"/>
      <c r="J41" s="1140"/>
      <c r="K41" s="1140"/>
      <c r="L41" s="1151"/>
      <c r="M41" s="1145" t="s">
        <v>3203</v>
      </c>
      <c r="N41" s="1143" t="s">
        <v>3204</v>
      </c>
      <c r="O41" s="1144" t="s">
        <v>3205</v>
      </c>
      <c r="P41" s="1161" t="s">
        <v>3242</v>
      </c>
      <c r="Q41" s="1146"/>
      <c r="R41" s="1147"/>
      <c r="S41" s="1146"/>
      <c r="T41" s="1147"/>
      <c r="U41" s="1131"/>
    </row>
    <row r="42">
      <c r="A42" s="1103"/>
      <c r="B42" s="1135">
        <f>IFERROR(VLOOKUP(C42,'字段信息'!A:C,3,),"")</f>
      </c>
      <c r="C42" s="1161" t="s">
        <v>3243</v>
      </c>
      <c r="D42" s="1137">
        <f>IFERROR(VLOOKUP(C42,'字段信息'!A:C,2,),"")</f>
      </c>
      <c r="E42" s="1138"/>
      <c r="F42" s="1139">
        <f t="shared" si="0"/>
      </c>
      <c r="G42" s="1138" t="s">
        <v>3207</v>
      </c>
      <c r="H42" s="1140"/>
      <c r="I42" s="1140"/>
      <c r="J42" s="1140"/>
      <c r="K42" s="1140"/>
      <c r="L42" s="1151"/>
      <c r="M42" s="1145" t="s">
        <v>3203</v>
      </c>
      <c r="N42" s="1143" t="s">
        <v>3204</v>
      </c>
      <c r="O42" s="1144" t="s">
        <v>3205</v>
      </c>
      <c r="P42" s="1161" t="s">
        <v>3243</v>
      </c>
      <c r="Q42" s="1146"/>
      <c r="R42" s="1147"/>
      <c r="S42" s="1146"/>
      <c r="T42" s="1147"/>
      <c r="U42" s="1131"/>
    </row>
    <row r="43">
      <c r="A43" s="1103"/>
      <c r="B43" s="1135">
        <f>IFERROR(VLOOKUP(C43,'字段信息'!A:C,3,),"")</f>
      </c>
      <c r="C43" s="1161" t="s">
        <v>3244</v>
      </c>
      <c r="D43" s="1137">
        <f>IFERROR(VLOOKUP(C43,'字段信息'!A:C,2,),"")</f>
      </c>
      <c r="E43" s="1138"/>
      <c r="F43" s="1139">
        <f t="shared" si="0"/>
      </c>
      <c r="G43" s="1138" t="s">
        <v>3207</v>
      </c>
      <c r="H43" s="1140"/>
      <c r="I43" s="1140"/>
      <c r="J43" s="1140"/>
      <c r="K43" s="1140"/>
      <c r="L43" s="1151"/>
      <c r="M43" s="1145" t="s">
        <v>3203</v>
      </c>
      <c r="N43" s="1143" t="s">
        <v>3204</v>
      </c>
      <c r="O43" s="1144" t="s">
        <v>3205</v>
      </c>
      <c r="P43" s="1161" t="s">
        <v>3244</v>
      </c>
      <c r="Q43" s="1146"/>
      <c r="R43" s="1147"/>
      <c r="S43" s="1146"/>
      <c r="T43" s="1147"/>
      <c r="U43" s="1131"/>
    </row>
    <row r="44">
      <c r="A44" s="1103"/>
      <c r="B44" s="1135">
        <f>IFERROR(VLOOKUP(C44,'字段信息'!A:C,3,),"")</f>
      </c>
      <c r="C44" s="1161" t="s">
        <v>3245</v>
      </c>
      <c r="D44" s="1137">
        <f>IFERROR(VLOOKUP(C44,'字段信息'!A:C,2,),"")</f>
      </c>
      <c r="E44" s="1138"/>
      <c r="F44" s="1139">
        <f t="shared" si="0"/>
      </c>
      <c r="G44" s="1138" t="s">
        <v>3207</v>
      </c>
      <c r="H44" s="1140"/>
      <c r="I44" s="1140"/>
      <c r="J44" s="1140"/>
      <c r="K44" s="1140"/>
      <c r="L44" s="1151"/>
      <c r="M44" s="1145" t="s">
        <v>3203</v>
      </c>
      <c r="N44" s="1143" t="s">
        <v>3204</v>
      </c>
      <c r="O44" s="1144" t="s">
        <v>3205</v>
      </c>
      <c r="P44" s="1161" t="s">
        <v>3245</v>
      </c>
      <c r="Q44" s="1146"/>
      <c r="R44" s="1147"/>
      <c r="S44" s="1146"/>
      <c r="T44" s="1147"/>
      <c r="U44" s="1131"/>
    </row>
    <row r="45">
      <c r="A45" s="1103"/>
      <c r="B45" s="1135">
        <f>IFERROR(VLOOKUP(C45,'字段信息'!A:C,3,),"")</f>
      </c>
      <c r="C45" s="1161" t="s">
        <v>3246</v>
      </c>
      <c r="D45" s="1137">
        <f>IFERROR(VLOOKUP(C45,'字段信息'!A:C,2,),"")</f>
      </c>
      <c r="E45" s="1138"/>
      <c r="F45" s="1139">
        <f t="shared" si="0"/>
      </c>
      <c r="G45" s="1138" t="s">
        <v>3207</v>
      </c>
      <c r="H45" s="1140"/>
      <c r="I45" s="1140"/>
      <c r="J45" s="1140"/>
      <c r="K45" s="1140"/>
      <c r="L45" s="1151"/>
      <c r="M45" s="1145" t="s">
        <v>3203</v>
      </c>
      <c r="N45" s="1143" t="s">
        <v>3204</v>
      </c>
      <c r="O45" s="1144" t="s">
        <v>3205</v>
      </c>
      <c r="P45" s="1161" t="s">
        <v>3246</v>
      </c>
      <c r="Q45" s="1146"/>
      <c r="R45" s="1147"/>
      <c r="S45" s="1146"/>
      <c r="T45" s="1147"/>
      <c r="U45" s="1131"/>
    </row>
    <row r="46">
      <c r="A46" s="1103"/>
      <c r="B46" s="1135">
        <f>IFERROR(VLOOKUP(C46,'字段信息'!A:C,3,),"")</f>
      </c>
      <c r="C46" s="1161" t="s">
        <v>3247</v>
      </c>
      <c r="D46" s="1137">
        <f>IFERROR(VLOOKUP(C46,'字段信息'!A:C,2,),"")</f>
      </c>
      <c r="E46" s="1138"/>
      <c r="F46" s="1139">
        <f t="shared" si="0"/>
      </c>
      <c r="G46" s="1138" t="s">
        <v>3207</v>
      </c>
      <c r="H46" s="1140"/>
      <c r="I46" s="1140"/>
      <c r="J46" s="1140"/>
      <c r="K46" s="1140"/>
      <c r="L46" s="1151"/>
      <c r="M46" s="1145" t="s">
        <v>3203</v>
      </c>
      <c r="N46" s="1143" t="s">
        <v>3204</v>
      </c>
      <c r="O46" s="1144" t="s">
        <v>3205</v>
      </c>
      <c r="P46" s="1161" t="s">
        <v>3247</v>
      </c>
      <c r="Q46" s="1146"/>
      <c r="R46" s="1147"/>
      <c r="S46" s="1146"/>
      <c r="T46" s="1147"/>
      <c r="U46" s="1131"/>
    </row>
    <row r="47">
      <c r="A47" s="1103"/>
      <c r="B47" s="1135">
        <f>IFERROR(VLOOKUP(C47,'字段信息'!A:C,3,),"")</f>
      </c>
      <c r="C47" s="1161" t="s">
        <v>3248</v>
      </c>
      <c r="D47" s="1137">
        <f>IFERROR(VLOOKUP(C47,'字段信息'!A:C,2,),"")</f>
      </c>
      <c r="E47" s="1138"/>
      <c r="F47" s="1139">
        <f t="shared" si="0"/>
      </c>
      <c r="G47" s="1138" t="s">
        <v>3207</v>
      </c>
      <c r="H47" s="1140"/>
      <c r="I47" s="1140"/>
      <c r="J47" s="1140"/>
      <c r="K47" s="1140"/>
      <c r="L47" s="1151"/>
      <c r="M47" s="1145" t="s">
        <v>3203</v>
      </c>
      <c r="N47" s="1143" t="s">
        <v>3204</v>
      </c>
      <c r="O47" s="1144" t="s">
        <v>3205</v>
      </c>
      <c r="P47" s="1161" t="s">
        <v>3248</v>
      </c>
      <c r="Q47" s="1146"/>
      <c r="R47" s="1147"/>
      <c r="S47" s="1146"/>
      <c r="T47" s="1147"/>
      <c r="U47" s="1131"/>
    </row>
    <row r="48">
      <c r="A48" s="1103"/>
      <c r="B48" s="1135">
        <f>IFERROR(VLOOKUP(C48,'字段信息'!A:C,3,),"")</f>
      </c>
      <c r="C48" s="1161" t="s">
        <v>3249</v>
      </c>
      <c r="D48" s="1137">
        <f>IFERROR(VLOOKUP(C48,'字段信息'!A:C,2,),"")</f>
      </c>
      <c r="E48" s="1138"/>
      <c r="F48" s="1139">
        <f t="shared" si="0"/>
      </c>
      <c r="G48" s="1138" t="s">
        <v>3207</v>
      </c>
      <c r="H48" s="1140"/>
      <c r="I48" s="1140"/>
      <c r="J48" s="1140"/>
      <c r="K48" s="1140"/>
      <c r="L48" s="1151"/>
      <c r="M48" s="1145" t="s">
        <v>3203</v>
      </c>
      <c r="N48" s="1143" t="s">
        <v>3204</v>
      </c>
      <c r="O48" s="1144" t="s">
        <v>3205</v>
      </c>
      <c r="P48" s="1161" t="s">
        <v>3249</v>
      </c>
      <c r="Q48" s="1146"/>
      <c r="R48" s="1147"/>
      <c r="S48" s="1146"/>
      <c r="T48" s="1147"/>
      <c r="U48" s="1131"/>
    </row>
    <row r="49">
      <c r="A49" s="1103"/>
      <c r="B49" s="1135">
        <f>IFERROR(VLOOKUP(C49,'字段信息'!A:C,3,),"")</f>
      </c>
      <c r="C49" s="1161" t="s">
        <v>3250</v>
      </c>
      <c r="D49" s="1137">
        <f>IFERROR(VLOOKUP(C49,'字段信息'!A:C,2,),"")</f>
      </c>
      <c r="E49" s="1138"/>
      <c r="F49" s="1139">
        <f t="shared" si="0"/>
      </c>
      <c r="G49" s="1138" t="s">
        <v>3207</v>
      </c>
      <c r="H49" s="1140"/>
      <c r="I49" s="1140"/>
      <c r="J49" s="1140"/>
      <c r="K49" s="1140"/>
      <c r="L49" s="1151"/>
      <c r="M49" s="1145" t="s">
        <v>3203</v>
      </c>
      <c r="N49" s="1143" t="s">
        <v>3204</v>
      </c>
      <c r="O49" s="1144" t="s">
        <v>3205</v>
      </c>
      <c r="P49" s="1161" t="s">
        <v>3250</v>
      </c>
      <c r="Q49" s="1146"/>
      <c r="R49" s="1147"/>
      <c r="S49" s="1146"/>
      <c r="T49" s="1147"/>
      <c r="U49" s="1131"/>
    </row>
    <row r="50">
      <c r="A50" s="1103"/>
      <c r="B50" s="1135">
        <f>IFERROR(VLOOKUP(C50,'字段信息'!A:C,3,),"")</f>
      </c>
      <c r="C50" s="1161" t="s">
        <v>3251</v>
      </c>
      <c r="D50" s="1137">
        <f>IFERROR(VLOOKUP(C50,'字段信息'!A:C,2,),"")</f>
      </c>
      <c r="E50" s="1138"/>
      <c r="F50" s="1139">
        <f t="shared" si="0"/>
      </c>
      <c r="G50" s="1138" t="s">
        <v>3207</v>
      </c>
      <c r="H50" s="1140"/>
      <c r="I50" s="1140"/>
      <c r="J50" s="1140"/>
      <c r="K50" s="1140"/>
      <c r="L50" s="1151"/>
      <c r="M50" s="1145" t="s">
        <v>3252</v>
      </c>
      <c r="N50" s="1143" t="s">
        <v>3204</v>
      </c>
      <c r="O50" s="1157" t="s">
        <v>3253</v>
      </c>
      <c r="P50" s="1136" t="s">
        <v>3254</v>
      </c>
      <c r="Q50" s="1146"/>
      <c r="R50" s="1147"/>
      <c r="S50" s="1146"/>
      <c r="T50" s="1147"/>
      <c r="U50" s="1131"/>
    </row>
    <row customHeight="true" ht="35.714285714285715" r="51">
      <c r="A51" s="1162"/>
      <c r="B51" s="1163">
        <f>IFERROR(VLOOKUP(C51,'字段信息'!A:C,3,),"")</f>
      </c>
      <c r="C51" s="1164" t="s">
        <v>3255</v>
      </c>
      <c r="D51" s="1165">
        <f>IFERROR(VLOOKUP(C51,'字段信息'!A:C,2,),"")</f>
      </c>
      <c r="E51" s="1166"/>
      <c r="F51" s="1163">
        <f t="shared" si="0"/>
      </c>
      <c r="G51" s="1166" t="s">
        <v>3207</v>
      </c>
      <c r="H51" s="1167"/>
      <c r="I51" s="1167"/>
      <c r="J51" s="1167"/>
      <c r="K51" s="1167"/>
      <c r="L51" s="1168"/>
      <c r="M51" s="1169" t="s">
        <v>3256</v>
      </c>
      <c r="N51" s="1170" t="s">
        <v>3204</v>
      </c>
      <c r="O51" s="1171" t="s">
        <v>3253</v>
      </c>
      <c r="P51" s="1172" t="s">
        <v>3254</v>
      </c>
      <c r="Q51" s="1173"/>
      <c r="R51" s="1174"/>
      <c r="S51" s="1175"/>
      <c r="T51" s="1174"/>
      <c r="U51" s="1176"/>
    </row>
    <row r="52">
      <c r="A52" s="1162"/>
      <c r="B52" s="1163">
        <f>IFERROR(VLOOKUP(C52,'字段信息'!A:C,3,),"")</f>
      </c>
      <c r="C52" s="1164" t="s">
        <v>3257</v>
      </c>
      <c r="D52" s="1165">
        <f>IFERROR(VLOOKUP(C52,'字段信息'!A:C,2,),"")</f>
      </c>
      <c r="E52" s="1166"/>
      <c r="F52" s="1163">
        <f t="shared" si="0"/>
      </c>
      <c r="G52" s="1166" t="s">
        <v>3207</v>
      </c>
      <c r="H52" s="1167"/>
      <c r="I52" s="1167"/>
      <c r="J52" s="1167"/>
      <c r="K52" s="1167"/>
      <c r="L52" s="1168"/>
      <c r="M52" s="1169" t="s">
        <v>3258</v>
      </c>
      <c r="N52" s="1170" t="s">
        <v>3204</v>
      </c>
      <c r="O52" s="1171" t="s">
        <v>3253</v>
      </c>
      <c r="P52" s="1172" t="s">
        <v>3254</v>
      </c>
      <c r="Q52" s="1173"/>
      <c r="R52" s="1174"/>
      <c r="S52" s="1175"/>
      <c r="T52" s="1174"/>
      <c r="U52" s="1176"/>
    </row>
    <row r="53">
      <c r="A53" s="1103"/>
      <c r="B53" s="1135">
        <f>IFERROR(VLOOKUP(C53,'字段信息'!A:C,3,),"")</f>
      </c>
      <c r="C53" s="1136" t="s">
        <v>3259</v>
      </c>
      <c r="D53" s="1137">
        <f>IFERROR(VLOOKUP(C53,'字段信息'!A:C,2,),"")</f>
      </c>
      <c r="E53" s="1138"/>
      <c r="F53" s="1139">
        <f t="shared" si="0"/>
      </c>
      <c r="G53" s="1138" t="s">
        <v>3207</v>
      </c>
      <c r="H53" s="1140"/>
      <c r="I53" s="1140"/>
      <c r="J53" s="1140"/>
      <c r="K53" s="1140"/>
      <c r="L53" s="1151"/>
      <c r="M53" s="1145" t="s">
        <v>3260</v>
      </c>
      <c r="N53" s="1177" t="s">
        <v>3204</v>
      </c>
      <c r="O53" s="1178" t="s">
        <v>3261</v>
      </c>
      <c r="P53" s="1179" t="s">
        <v>3262</v>
      </c>
      <c r="Q53" s="1180"/>
      <c r="R53" s="1147"/>
      <c r="S53" s="1146"/>
      <c r="T53" s="1147"/>
      <c r="U53" s="1131"/>
    </row>
    <row customHeight="true" ht="23.80952380952381" r="54">
      <c r="A54" s="1103"/>
      <c r="B54" s="1135">
        <f>IFERROR(VLOOKUP(C54,'字段信息'!A:C,3,),"")</f>
      </c>
      <c r="C54" s="1136" t="s">
        <v>3263</v>
      </c>
      <c r="D54" s="1137">
        <f>IFERROR(VLOOKUP(C54,'字段信息'!A:C,2,),"")</f>
      </c>
      <c r="E54" s="1138"/>
      <c r="F54" s="1139">
        <f t="shared" si="0"/>
      </c>
      <c r="G54" s="1138" t="s">
        <v>3207</v>
      </c>
      <c r="H54" s="1140"/>
      <c r="I54" s="1140"/>
      <c r="J54" s="1140"/>
      <c r="K54" s="1140"/>
      <c r="L54" s="1151"/>
      <c r="M54" s="1145" t="s">
        <v>3264</v>
      </c>
      <c r="N54" s="1177" t="s">
        <v>3204</v>
      </c>
      <c r="O54" s="1178" t="s">
        <v>3261</v>
      </c>
      <c r="P54" s="1179" t="s">
        <v>3265</v>
      </c>
      <c r="Q54" s="1180"/>
      <c r="R54" s="1147"/>
      <c r="S54" s="1146"/>
      <c r="T54" s="1147"/>
      <c r="U54" s="1131"/>
    </row>
    <row customHeight="true" ht="23.80952380952381" r="55">
      <c r="A55" s="1103"/>
      <c r="B55" s="1135">
        <f>IFERROR(VLOOKUP(C55,'字段信息'!A:C,3,),"")</f>
      </c>
      <c r="C55" s="1181" t="s">
        <v>3266</v>
      </c>
      <c r="D55" s="1137">
        <f>IFERROR(VLOOKUP(C55,'字段信息'!A:C,2,),"")</f>
      </c>
      <c r="E55" s="1138"/>
      <c r="F55" s="1139">
        <f t="shared" si="0"/>
      </c>
      <c r="G55" s="1138" t="s">
        <v>3207</v>
      </c>
      <c r="H55" s="1140"/>
      <c r="I55" s="1140"/>
      <c r="J55" s="1140"/>
      <c r="K55" s="1140"/>
      <c r="L55" s="1151"/>
      <c r="M55" s="1145" t="s">
        <v>3267</v>
      </c>
      <c r="N55" s="1143"/>
      <c r="O55" s="1182"/>
      <c r="P55" s="1181" t="s">
        <v>3213</v>
      </c>
      <c r="Q55" s="1146"/>
      <c r="R55" s="1147"/>
      <c r="S55" s="1146"/>
      <c r="T55" s="1147"/>
      <c r="U55" s="1131"/>
    </row>
    <row r="56">
      <c r="A56" s="1103"/>
      <c r="B56" s="1135">
        <f>IFERROR(VLOOKUP(C56,'字段信息'!A:C,3,),"")</f>
      </c>
      <c r="C56" s="1161" t="s">
        <v>3268</v>
      </c>
      <c r="D56" s="1137">
        <f>IFERROR(VLOOKUP(C56,'字段信息'!A:C,2,),"")</f>
      </c>
      <c r="E56" s="1138"/>
      <c r="F56" s="1139">
        <f t="shared" si="0"/>
      </c>
      <c r="G56" s="1138" t="s">
        <v>3207</v>
      </c>
      <c r="H56" s="1140"/>
      <c r="I56" s="1140"/>
      <c r="J56" s="1140"/>
      <c r="K56" s="1140"/>
      <c r="L56" s="1151"/>
      <c r="M56" s="1145" t="s">
        <v>3269</v>
      </c>
      <c r="N56" s="1143" t="s">
        <v>3204</v>
      </c>
      <c r="O56" s="1144" t="s">
        <v>3205</v>
      </c>
      <c r="P56" s="1161" t="s">
        <v>3236</v>
      </c>
      <c r="Q56" s="1146"/>
      <c r="R56" s="1147"/>
      <c r="S56" s="1146"/>
      <c r="T56" s="1147"/>
      <c r="U56" s="1131"/>
    </row>
    <row r="57">
      <c r="A57" s="1103"/>
      <c r="B57" s="1135">
        <f>IFERROR(VLOOKUP(C57,'字段信息'!A:C,3,),"")</f>
      </c>
      <c r="C57" s="1161" t="s">
        <v>3270</v>
      </c>
      <c r="D57" s="1137">
        <f>IFERROR(VLOOKUP(C57,'字段信息'!A:C,2,),"")</f>
      </c>
      <c r="E57" s="1138"/>
      <c r="F57" s="1139">
        <f t="shared" si="0"/>
      </c>
      <c r="G57" s="1138" t="s">
        <v>3207</v>
      </c>
      <c r="H57" s="1140"/>
      <c r="I57" s="1140"/>
      <c r="J57" s="1140"/>
      <c r="K57" s="1140"/>
      <c r="L57" s="1151"/>
      <c r="M57" s="1145" t="s">
        <v>3271</v>
      </c>
      <c r="N57" s="1143" t="s">
        <v>3204</v>
      </c>
      <c r="O57" s="1144" t="s">
        <v>3205</v>
      </c>
      <c r="P57" s="1161" t="s">
        <v>3237</v>
      </c>
      <c r="Q57" s="1146"/>
      <c r="R57" s="1147"/>
      <c r="S57" s="1146"/>
      <c r="T57" s="1147"/>
      <c r="U57" s="1131"/>
    </row>
    <row r="58">
      <c r="A58" s="1103"/>
      <c r="B58" s="1135">
        <f>IFERROR(VLOOKUP(C58,'字段信息'!A:C,3,),"")</f>
      </c>
      <c r="C58" s="1161" t="s">
        <v>3272</v>
      </c>
      <c r="D58" s="1137">
        <f>IFERROR(VLOOKUP(C58,'字段信息'!A:C,2,),"")</f>
      </c>
      <c r="E58" s="1138"/>
      <c r="F58" s="1139">
        <f t="shared" si="0"/>
      </c>
      <c r="G58" s="1138" t="s">
        <v>3207</v>
      </c>
      <c r="H58" s="1140"/>
      <c r="I58" s="1140"/>
      <c r="J58" s="1140"/>
      <c r="K58" s="1140"/>
      <c r="L58" s="1151"/>
      <c r="M58" s="1145" t="s">
        <v>3273</v>
      </c>
      <c r="N58" s="1143" t="s">
        <v>3204</v>
      </c>
      <c r="O58" s="1144" t="s">
        <v>3205</v>
      </c>
      <c r="P58" s="1161" t="s">
        <v>3238</v>
      </c>
      <c r="Q58" s="1146"/>
      <c r="R58" s="1147"/>
      <c r="S58" s="1146"/>
      <c r="T58" s="1147"/>
      <c r="U58" s="1131"/>
    </row>
    <row r="59">
      <c r="A59" s="1103"/>
      <c r="B59" s="1135">
        <f>IFERROR(VLOOKUP(C59,'字段信息'!A:C,3,),"")</f>
      </c>
      <c r="C59" s="1161" t="s">
        <v>3274</v>
      </c>
      <c r="D59" s="1137">
        <f>IFERROR(VLOOKUP(C59,'字段信息'!A:C,2,),"")</f>
      </c>
      <c r="E59" s="1138"/>
      <c r="F59" s="1139">
        <f t="shared" si="0"/>
      </c>
      <c r="G59" s="1138" t="s">
        <v>3207</v>
      </c>
      <c r="H59" s="1140"/>
      <c r="I59" s="1140"/>
      <c r="J59" s="1140"/>
      <c r="K59" s="1140"/>
      <c r="L59" s="1151"/>
      <c r="M59" s="1145" t="s">
        <v>3275</v>
      </c>
      <c r="N59" s="1143" t="s">
        <v>3204</v>
      </c>
      <c r="O59" s="1144" t="s">
        <v>3205</v>
      </c>
      <c r="P59" s="1161" t="s">
        <v>3239</v>
      </c>
      <c r="Q59" s="1146"/>
      <c r="R59" s="1147"/>
      <c r="S59" s="1146"/>
      <c r="T59" s="1147"/>
      <c r="U59" s="1131"/>
    </row>
    <row r="60">
      <c r="A60" s="1103"/>
      <c r="B60" s="1135">
        <f>IFERROR(VLOOKUP(C60,'字段信息'!A:C,3,),"")</f>
      </c>
      <c r="C60" s="1161" t="s">
        <v>3276</v>
      </c>
      <c r="D60" s="1137">
        <f>IFERROR(VLOOKUP(C60,'字段信息'!A:C,2,),"")</f>
      </c>
      <c r="E60" s="1138"/>
      <c r="F60" s="1139">
        <f t="shared" si="0"/>
      </c>
      <c r="G60" s="1138" t="s">
        <v>3207</v>
      </c>
      <c r="H60" s="1140"/>
      <c r="I60" s="1140"/>
      <c r="J60" s="1140"/>
      <c r="K60" s="1140"/>
      <c r="L60" s="1151"/>
      <c r="M60" s="1145" t="s">
        <v>3277</v>
      </c>
      <c r="N60" s="1143" t="s">
        <v>3204</v>
      </c>
      <c r="O60" s="1144" t="s">
        <v>3205</v>
      </c>
      <c r="P60" s="1161" t="s">
        <v>3240</v>
      </c>
      <c r="Q60" s="1146"/>
      <c r="R60" s="1147"/>
      <c r="S60" s="1146"/>
      <c r="T60" s="1147"/>
      <c r="U60" s="1131"/>
    </row>
    <row r="61">
      <c r="A61" s="1103"/>
      <c r="B61" s="1135">
        <f>IFERROR(VLOOKUP(C61,'字段信息'!A:C,3,),"")</f>
      </c>
      <c r="C61" s="1161" t="s">
        <v>3278</v>
      </c>
      <c r="D61" s="1137">
        <f>IFERROR(VLOOKUP(C61,'字段信息'!A:C,2,),"")</f>
      </c>
      <c r="E61" s="1138"/>
      <c r="F61" s="1139">
        <f t="shared" si="0"/>
      </c>
      <c r="G61" s="1138" t="s">
        <v>3207</v>
      </c>
      <c r="H61" s="1140"/>
      <c r="I61" s="1140"/>
      <c r="J61" s="1140"/>
      <c r="K61" s="1140"/>
      <c r="L61" s="1151"/>
      <c r="M61" s="1145" t="s">
        <v>3279</v>
      </c>
      <c r="N61" s="1143" t="s">
        <v>3204</v>
      </c>
      <c r="O61" s="1144" t="s">
        <v>3205</v>
      </c>
      <c r="P61" s="1161" t="s">
        <v>3241</v>
      </c>
      <c r="Q61" s="1146"/>
      <c r="R61" s="1147"/>
      <c r="S61" s="1146"/>
      <c r="T61" s="1147"/>
      <c r="U61" s="1131"/>
    </row>
    <row r="62">
      <c r="A62" s="1103"/>
      <c r="B62" s="1135">
        <f>IFERROR(VLOOKUP(C62,'字段信息'!A:C,3,),"")</f>
      </c>
      <c r="C62" s="1161" t="s">
        <v>3280</v>
      </c>
      <c r="D62" s="1137">
        <f>IFERROR(VLOOKUP(C62,'字段信息'!A:C,2,),"")</f>
      </c>
      <c r="E62" s="1138"/>
      <c r="F62" s="1139">
        <f t="shared" si="0"/>
      </c>
      <c r="G62" s="1138" t="s">
        <v>3207</v>
      </c>
      <c r="H62" s="1140"/>
      <c r="I62" s="1140"/>
      <c r="J62" s="1140"/>
      <c r="K62" s="1140"/>
      <c r="L62" s="1151"/>
      <c r="M62" s="1145" t="s">
        <v>3281</v>
      </c>
      <c r="N62" s="1143" t="s">
        <v>3204</v>
      </c>
      <c r="O62" s="1144" t="s">
        <v>3205</v>
      </c>
      <c r="P62" s="1161" t="s">
        <v>3242</v>
      </c>
      <c r="Q62" s="1146"/>
      <c r="R62" s="1147"/>
      <c r="S62" s="1146"/>
      <c r="T62" s="1147"/>
      <c r="U62" s="1131"/>
    </row>
    <row r="63">
      <c r="A63" s="1103"/>
      <c r="B63" s="1135">
        <f>IFERROR(VLOOKUP(C63,'字段信息'!A:C,3,),"")</f>
      </c>
      <c r="C63" s="1161" t="s">
        <v>3282</v>
      </c>
      <c r="D63" s="1137">
        <f>IFERROR(VLOOKUP(C63,'字段信息'!A:C,2,),"")</f>
      </c>
      <c r="E63" s="1138"/>
      <c r="F63" s="1139">
        <f t="shared" si="0"/>
      </c>
      <c r="G63" s="1138" t="s">
        <v>3207</v>
      </c>
      <c r="H63" s="1140"/>
      <c r="I63" s="1140"/>
      <c r="J63" s="1140"/>
      <c r="K63" s="1140"/>
      <c r="L63" s="1151"/>
      <c r="M63" s="1145" t="s">
        <v>3283</v>
      </c>
      <c r="N63" s="1143" t="s">
        <v>3204</v>
      </c>
      <c r="O63" s="1144" t="s">
        <v>3205</v>
      </c>
      <c r="P63" s="1161" t="s">
        <v>3243</v>
      </c>
      <c r="Q63" s="1146"/>
      <c r="R63" s="1147"/>
      <c r="S63" s="1146"/>
      <c r="T63" s="1147"/>
      <c r="U63" s="1131"/>
    </row>
    <row r="64">
      <c r="A64" s="1103"/>
      <c r="B64" s="1135">
        <f>IFERROR(VLOOKUP(C64,'字段信息'!A:C,3,),"")</f>
      </c>
      <c r="C64" s="1161" t="s">
        <v>3284</v>
      </c>
      <c r="D64" s="1137">
        <f>IFERROR(VLOOKUP(C64,'字段信息'!A:C,2,),"")</f>
      </c>
      <c r="E64" s="1138"/>
      <c r="F64" s="1139">
        <f t="shared" si="0"/>
      </c>
      <c r="G64" s="1138" t="s">
        <v>3207</v>
      </c>
      <c r="H64" s="1140"/>
      <c r="I64" s="1140"/>
      <c r="J64" s="1140"/>
      <c r="K64" s="1140"/>
      <c r="L64" s="1151"/>
      <c r="M64" s="1145" t="s">
        <v>3285</v>
      </c>
      <c r="N64" s="1143" t="s">
        <v>3204</v>
      </c>
      <c r="O64" s="1144" t="s">
        <v>3205</v>
      </c>
      <c r="P64" s="1161" t="s">
        <v>3244</v>
      </c>
      <c r="Q64" s="1146"/>
      <c r="R64" s="1147"/>
      <c r="S64" s="1146"/>
      <c r="T64" s="1147"/>
      <c r="U64" s="1131"/>
    </row>
    <row r="65">
      <c r="A65" s="1103"/>
      <c r="B65" s="1135">
        <f>IFERROR(VLOOKUP(C65,'字段信息'!A:C,3,),"")</f>
      </c>
      <c r="C65" s="1161" t="s">
        <v>3286</v>
      </c>
      <c r="D65" s="1137">
        <f>IFERROR(VLOOKUP(C65,'字段信息'!A:C,2,),"")</f>
      </c>
      <c r="E65" s="1138"/>
      <c r="F65" s="1139">
        <f t="shared" si="0"/>
      </c>
      <c r="G65" s="1138" t="s">
        <v>3207</v>
      </c>
      <c r="H65" s="1140"/>
      <c r="I65" s="1140"/>
      <c r="J65" s="1140"/>
      <c r="K65" s="1140"/>
      <c r="L65" s="1151"/>
      <c r="M65" s="1145" t="s">
        <v>3287</v>
      </c>
      <c r="N65" s="1143" t="s">
        <v>3204</v>
      </c>
      <c r="O65" s="1144" t="s">
        <v>3205</v>
      </c>
      <c r="P65" s="1161" t="s">
        <v>3245</v>
      </c>
      <c r="Q65" s="1146"/>
      <c r="R65" s="1147"/>
      <c r="S65" s="1146"/>
      <c r="T65" s="1147"/>
      <c r="U65" s="1131"/>
    </row>
    <row r="66">
      <c r="A66" s="1103"/>
      <c r="B66" s="1135">
        <f>IFERROR(VLOOKUP(C66,'字段信息'!A:C,3,),"")</f>
      </c>
      <c r="C66" s="1161" t="s">
        <v>3288</v>
      </c>
      <c r="D66" s="1137">
        <f>IFERROR(VLOOKUP(C66,'字段信息'!A:C,2,),"")</f>
      </c>
      <c r="E66" s="1138"/>
      <c r="F66" s="1139">
        <f t="shared" si="0"/>
      </c>
      <c r="G66" s="1138" t="s">
        <v>3207</v>
      </c>
      <c r="H66" s="1140"/>
      <c r="I66" s="1140"/>
      <c r="J66" s="1140"/>
      <c r="K66" s="1140"/>
      <c r="L66" s="1151"/>
      <c r="M66" s="1145" t="s">
        <v>3289</v>
      </c>
      <c r="N66" s="1143" t="s">
        <v>3204</v>
      </c>
      <c r="O66" s="1144" t="s">
        <v>3205</v>
      </c>
      <c r="P66" s="1161" t="s">
        <v>3246</v>
      </c>
      <c r="Q66" s="1146"/>
      <c r="R66" s="1147"/>
      <c r="S66" s="1146"/>
      <c r="T66" s="1147"/>
      <c r="U66" s="1131"/>
    </row>
    <row r="67">
      <c r="A67" s="1103"/>
      <c r="B67" s="1135">
        <f>IFERROR(VLOOKUP(C67,'字段信息'!A:C,3,),"")</f>
      </c>
      <c r="C67" s="1161" t="s">
        <v>3290</v>
      </c>
      <c r="D67" s="1137">
        <f>IFERROR(VLOOKUP(C67,'字段信息'!A:C,2,),"")</f>
      </c>
      <c r="E67" s="1138"/>
      <c r="F67" s="1139">
        <f t="shared" si="0"/>
      </c>
      <c r="G67" s="1138" t="s">
        <v>3207</v>
      </c>
      <c r="H67" s="1140"/>
      <c r="I67" s="1140"/>
      <c r="J67" s="1140"/>
      <c r="K67" s="1140"/>
      <c r="L67" s="1151"/>
      <c r="M67" s="1145" t="s">
        <v>3291</v>
      </c>
      <c r="N67" s="1143" t="s">
        <v>3204</v>
      </c>
      <c r="O67" s="1144" t="s">
        <v>3205</v>
      </c>
      <c r="P67" s="1161" t="s">
        <v>3247</v>
      </c>
      <c r="Q67" s="1146"/>
      <c r="R67" s="1147"/>
      <c r="S67" s="1146"/>
      <c r="T67" s="1147"/>
      <c r="U67" s="1131"/>
    </row>
    <row r="68">
      <c r="A68" s="1103"/>
      <c r="B68" s="1135">
        <f>IFERROR(VLOOKUP(C68,'字段信息'!A:C,3,),"")</f>
      </c>
      <c r="C68" s="1161" t="s">
        <v>3292</v>
      </c>
      <c r="D68" s="1137">
        <f>IFERROR(VLOOKUP(C68,'字段信息'!A:C,2,),"")</f>
      </c>
      <c r="E68" s="1138"/>
      <c r="F68" s="1139">
        <f t="shared" si="0"/>
      </c>
      <c r="G68" s="1138" t="s">
        <v>3207</v>
      </c>
      <c r="H68" s="1140"/>
      <c r="I68" s="1140"/>
      <c r="J68" s="1140"/>
      <c r="K68" s="1140"/>
      <c r="L68" s="1151"/>
      <c r="M68" s="1145" t="s">
        <v>3293</v>
      </c>
      <c r="N68" s="1143" t="s">
        <v>3204</v>
      </c>
      <c r="O68" s="1144" t="s">
        <v>3205</v>
      </c>
      <c r="P68" s="1161" t="s">
        <v>3248</v>
      </c>
      <c r="Q68" s="1146"/>
      <c r="R68" s="1147"/>
      <c r="S68" s="1146"/>
      <c r="T68" s="1147"/>
      <c r="U68" s="1131"/>
    </row>
    <row r="69">
      <c r="A69" s="1103"/>
      <c r="B69" s="1135">
        <f>IFERROR(VLOOKUP(C69,'字段信息'!A:C,3,),"")</f>
      </c>
      <c r="C69" s="1161" t="s">
        <v>3294</v>
      </c>
      <c r="D69" s="1137">
        <f>IFERROR(VLOOKUP(C69,'字段信息'!A:C,2,),"")</f>
      </c>
      <c r="E69" s="1138"/>
      <c r="F69" s="1139">
        <f t="shared" si="0"/>
      </c>
      <c r="G69" s="1138" t="s">
        <v>3207</v>
      </c>
      <c r="H69" s="1140"/>
      <c r="I69" s="1140"/>
      <c r="J69" s="1140"/>
      <c r="K69" s="1140"/>
      <c r="L69" s="1151"/>
      <c r="M69" s="1145" t="s">
        <v>3295</v>
      </c>
      <c r="N69" s="1143" t="s">
        <v>3204</v>
      </c>
      <c r="O69" s="1144" t="s">
        <v>3205</v>
      </c>
      <c r="P69" s="1161" t="s">
        <v>3249</v>
      </c>
      <c r="Q69" s="1146"/>
      <c r="R69" s="1147"/>
      <c r="S69" s="1146"/>
      <c r="T69" s="1147"/>
      <c r="U69" s="1131"/>
    </row>
    <row r="70">
      <c r="A70" s="1103"/>
      <c r="B70" s="1135">
        <f>IFERROR(VLOOKUP(C70,'字段信息'!A:C,3,),"")</f>
      </c>
      <c r="C70" s="1161" t="s">
        <v>3296</v>
      </c>
      <c r="D70" s="1137">
        <f>IFERROR(VLOOKUP(C70,'字段信息'!A:C,2,),"")</f>
      </c>
      <c r="E70" s="1138"/>
      <c r="F70" s="1139">
        <f t="shared" si="0"/>
      </c>
      <c r="G70" s="1138" t="s">
        <v>3207</v>
      </c>
      <c r="H70" s="1140"/>
      <c r="I70" s="1140"/>
      <c r="J70" s="1140"/>
      <c r="K70" s="1140"/>
      <c r="L70" s="1151"/>
      <c r="M70" s="1145" t="s">
        <v>3297</v>
      </c>
      <c r="N70" s="1143" t="s">
        <v>3204</v>
      </c>
      <c r="O70" s="1144" t="s">
        <v>3205</v>
      </c>
      <c r="P70" s="1161" t="s">
        <v>3250</v>
      </c>
      <c r="Q70" s="1146"/>
      <c r="R70" s="1147"/>
      <c r="S70" s="1146"/>
      <c r="T70" s="1147"/>
      <c r="U70" s="1131"/>
    </row>
    <row customHeight="true" ht="23.80952380952381" r="71">
      <c r="A71" s="1103"/>
      <c r="B71" s="1135"/>
      <c r="C71" s="1161"/>
      <c r="D71" s="1137"/>
      <c r="E71" s="1138"/>
      <c r="F71" s="1139"/>
      <c r="G71" s="1138"/>
      <c r="H71" s="1140"/>
      <c r="I71" s="1140"/>
      <c r="J71" s="1140"/>
      <c r="K71" s="1140"/>
      <c r="L71" s="1151"/>
      <c r="M71" s="1145"/>
      <c r="N71" s="1143"/>
      <c r="O71" s="1157"/>
      <c r="P71" s="1161"/>
      <c r="Q71" s="1146"/>
      <c r="R71" s="1147"/>
      <c r="S71" s="1146"/>
      <c r="T71" s="1147"/>
      <c r="U71" s="1131"/>
    </row>
    <row customHeight="true" ht="23.80952380952381" r="72">
      <c r="A72" s="1103"/>
      <c r="B72" s="1135"/>
      <c r="C72" s="1161"/>
      <c r="D72" s="1137"/>
      <c r="E72" s="1138"/>
      <c r="F72" s="1139"/>
      <c r="G72" s="1138"/>
      <c r="H72" s="1140"/>
      <c r="I72" s="1140"/>
      <c r="J72" s="1140"/>
      <c r="K72" s="1140"/>
      <c r="L72" s="1151"/>
      <c r="M72" s="1145"/>
      <c r="N72" s="1143"/>
      <c r="O72" s="1157"/>
      <c r="P72" s="1161"/>
      <c r="Q72" s="1146"/>
      <c r="R72" s="1147"/>
      <c r="S72" s="1146"/>
      <c r="T72" s="1147"/>
      <c r="U72" s="1131"/>
    </row>
    <row customHeight="true" ht="23.80952380952381" r="73">
      <c r="A73" s="1103"/>
      <c r="B73" s="1135">
        <f>IFERROR(VLOOKUP(C73,'字段信息'!A:C,3,),"")</f>
      </c>
      <c r="C73" s="1161" t="s">
        <v>3298</v>
      </c>
      <c r="D73" s="1137">
        <f>IFERROR(VLOOKUP(C73,'字段信息'!A:C,2,),"")</f>
      </c>
      <c r="E73" s="1138"/>
      <c r="F73" s="1139">
        <f t="shared" ref="F73:F121" si="1">B73</f>
      </c>
      <c r="G73" s="1138" t="s">
        <v>3207</v>
      </c>
      <c r="H73" s="1140"/>
      <c r="I73" s="1140"/>
      <c r="J73" s="1140"/>
      <c r="K73" s="1140"/>
      <c r="L73" s="1151"/>
      <c r="M73" s="1145"/>
      <c r="N73" s="1143"/>
      <c r="O73" s="1157"/>
      <c r="P73" s="1161"/>
      <c r="Q73" s="1146"/>
      <c r="R73" s="1147"/>
      <c r="S73" s="1146"/>
      <c r="T73" s="1147"/>
      <c r="U73" s="1131"/>
    </row>
    <row customHeight="true" ht="23.80952380952381" r="74">
      <c r="A74" s="1103"/>
      <c r="B74" s="1135">
        <f>IFERROR(VLOOKUP(C74,'字段信息'!A:C,3,),"")</f>
      </c>
      <c r="C74" s="1161" t="s">
        <v>3299</v>
      </c>
      <c r="D74" s="1137">
        <f>IFERROR(VLOOKUP(C74,'字段信息'!A:C,2,),"")</f>
      </c>
      <c r="E74" s="1138"/>
      <c r="F74" s="1139">
        <f t="shared" si="1"/>
      </c>
      <c r="G74" s="1138" t="s">
        <v>3207</v>
      </c>
      <c r="H74" s="1140"/>
      <c r="I74" s="1140"/>
      <c r="J74" s="1140"/>
      <c r="K74" s="1140"/>
      <c r="L74" s="1151"/>
      <c r="M74" s="1145"/>
      <c r="N74" s="1143"/>
      <c r="O74" s="1157"/>
      <c r="P74" s="1161"/>
      <c r="Q74" s="1146"/>
      <c r="R74" s="1147"/>
      <c r="S74" s="1146"/>
      <c r="T74" s="1147"/>
      <c r="U74" s="1131"/>
    </row>
    <row customHeight="true" ht="23.80952380952381" r="75">
      <c r="A75" s="1103"/>
      <c r="B75" s="1135">
        <f>IFERROR(VLOOKUP(C75,'字段信息'!A:C,3,),"")</f>
      </c>
      <c r="C75" s="1161" t="s">
        <v>3300</v>
      </c>
      <c r="D75" s="1137">
        <f>IFERROR(VLOOKUP(C75,'字段信息'!A:C,2,),"")</f>
      </c>
      <c r="E75" s="1138"/>
      <c r="F75" s="1139">
        <f t="shared" si="1"/>
      </c>
      <c r="G75" s="1138" t="s">
        <v>3207</v>
      </c>
      <c r="H75" s="1140"/>
      <c r="I75" s="1140"/>
      <c r="J75" s="1140"/>
      <c r="K75" s="1140"/>
      <c r="L75" s="1151"/>
      <c r="M75" s="1145"/>
      <c r="N75" s="1143"/>
      <c r="O75" s="1157"/>
      <c r="P75" s="1161"/>
      <c r="Q75" s="1146"/>
      <c r="R75" s="1147"/>
      <c r="S75" s="1146"/>
      <c r="T75" s="1147"/>
      <c r="U75" s="1131"/>
    </row>
    <row customHeight="true" ht="23.80952380952381" r="76">
      <c r="A76" s="1103"/>
      <c r="B76" s="1135">
        <f>IFERROR(VLOOKUP(C76,'字段信息'!A:C,3,),"")</f>
      </c>
      <c r="C76" s="1161" t="s">
        <v>3301</v>
      </c>
      <c r="D76" s="1137">
        <f>IFERROR(VLOOKUP(C76,'字段信息'!A:C,2,),"")</f>
      </c>
      <c r="E76" s="1138"/>
      <c r="F76" s="1139">
        <f t="shared" si="1"/>
      </c>
      <c r="G76" s="1138" t="s">
        <v>3207</v>
      </c>
      <c r="H76" s="1140"/>
      <c r="I76" s="1140"/>
      <c r="J76" s="1140"/>
      <c r="K76" s="1140"/>
      <c r="L76" s="1151"/>
      <c r="M76" s="1145"/>
      <c r="N76" s="1143"/>
      <c r="O76" s="1157"/>
      <c r="P76" s="1161"/>
      <c r="Q76" s="1146"/>
      <c r="R76" s="1147"/>
      <c r="S76" s="1146"/>
      <c r="T76" s="1147"/>
      <c r="U76" s="1131"/>
    </row>
    <row customHeight="true" ht="23.80952380952381" r="77">
      <c r="A77" s="1103"/>
      <c r="B77" s="1135">
        <f>IFERROR(VLOOKUP(C77,'字段信息'!A:C,3,),"")</f>
      </c>
      <c r="C77" s="1161" t="s">
        <v>3302</v>
      </c>
      <c r="D77" s="1137">
        <f>IFERROR(VLOOKUP(C77,'字段信息'!A:C,2,),"")</f>
      </c>
      <c r="E77" s="1138"/>
      <c r="F77" s="1139">
        <f t="shared" si="1"/>
      </c>
      <c r="G77" s="1138" t="s">
        <v>3207</v>
      </c>
      <c r="H77" s="1140"/>
      <c r="I77" s="1140"/>
      <c r="J77" s="1140"/>
      <c r="K77" s="1140"/>
      <c r="L77" s="1151"/>
      <c r="M77" s="1145"/>
      <c r="N77" s="1143"/>
      <c r="O77" s="1157"/>
      <c r="P77" s="1161"/>
      <c r="Q77" s="1146"/>
      <c r="R77" s="1147"/>
      <c r="S77" s="1146"/>
      <c r="T77" s="1147"/>
      <c r="U77" s="1131"/>
    </row>
    <row customHeight="true" ht="23.80952380952381" r="78">
      <c r="A78" s="1103"/>
      <c r="B78" s="1135">
        <f>IFERROR(VLOOKUP(C78,'字段信息'!A:C,3,),"")</f>
      </c>
      <c r="C78" s="1161" t="s">
        <v>3303</v>
      </c>
      <c r="D78" s="1137">
        <f>IFERROR(VLOOKUP(C78,'字段信息'!A:C,2,),"")</f>
      </c>
      <c r="E78" s="1138"/>
      <c r="F78" s="1139">
        <f t="shared" si="1"/>
      </c>
      <c r="G78" s="1138" t="s">
        <v>3207</v>
      </c>
      <c r="H78" s="1140"/>
      <c r="I78" s="1140"/>
      <c r="J78" s="1140"/>
      <c r="K78" s="1140"/>
      <c r="L78" s="1151"/>
      <c r="M78" s="1145"/>
      <c r="N78" s="1143"/>
      <c r="O78" s="1157"/>
      <c r="P78" s="1161"/>
      <c r="Q78" s="1146"/>
      <c r="R78" s="1147"/>
      <c r="S78" s="1146"/>
      <c r="T78" s="1147"/>
      <c r="U78" s="1131"/>
    </row>
    <row customHeight="true" ht="23.80952380952381" r="79">
      <c r="A79" s="1103"/>
      <c r="B79" s="1135">
        <f>IFERROR(VLOOKUP(C79,'字段信息'!A:C,3,),"")</f>
      </c>
      <c r="C79" s="1161" t="s">
        <v>3304</v>
      </c>
      <c r="D79" s="1137">
        <f>IFERROR(VLOOKUP(C79,'字段信息'!A:C,2,),"")</f>
      </c>
      <c r="E79" s="1138"/>
      <c r="F79" s="1139">
        <f t="shared" si="1"/>
      </c>
      <c r="G79" s="1138" t="s">
        <v>3207</v>
      </c>
      <c r="H79" s="1140"/>
      <c r="I79" s="1140"/>
      <c r="J79" s="1140"/>
      <c r="K79" s="1140"/>
      <c r="L79" s="1151"/>
      <c r="M79" s="1145"/>
      <c r="N79" s="1143"/>
      <c r="O79" s="1157"/>
      <c r="P79" s="1161"/>
      <c r="Q79" s="1146"/>
      <c r="R79" s="1147"/>
      <c r="S79" s="1146"/>
      <c r="T79" s="1147"/>
      <c r="U79" s="1131"/>
    </row>
    <row customHeight="true" ht="23.80952380952381" r="80">
      <c r="A80" s="1103"/>
      <c r="B80" s="1135">
        <f>IFERROR(VLOOKUP(C80,'字段信息'!A:C,3,),"")</f>
      </c>
      <c r="C80" s="1161" t="s">
        <v>3305</v>
      </c>
      <c r="D80" s="1137">
        <f>IFERROR(VLOOKUP(C80,'字段信息'!A:C,2,),"")</f>
      </c>
      <c r="E80" s="1138"/>
      <c r="F80" s="1139">
        <f t="shared" si="1"/>
      </c>
      <c r="G80" s="1138" t="s">
        <v>3207</v>
      </c>
      <c r="H80" s="1140"/>
      <c r="I80" s="1140"/>
      <c r="J80" s="1140"/>
      <c r="K80" s="1140"/>
      <c r="L80" s="1151"/>
      <c r="M80" s="1145"/>
      <c r="N80" s="1143"/>
      <c r="O80" s="1157"/>
      <c r="P80" s="1161"/>
      <c r="Q80" s="1146"/>
      <c r="R80" s="1147"/>
      <c r="S80" s="1146"/>
      <c r="T80" s="1147"/>
      <c r="U80" s="1131"/>
    </row>
    <row customHeight="true" ht="23.80952380952381" r="81">
      <c r="A81" s="1103"/>
      <c r="B81" s="1135">
        <f>IFERROR(VLOOKUP(C81,'字段信息'!A:C,3,),"")</f>
      </c>
      <c r="C81" s="1161" t="s">
        <v>3306</v>
      </c>
      <c r="D81" s="1137">
        <f>IFERROR(VLOOKUP(C81,'字段信息'!A:C,2,),"")</f>
      </c>
      <c r="E81" s="1138"/>
      <c r="F81" s="1139">
        <f t="shared" si="1"/>
      </c>
      <c r="G81" s="1138" t="s">
        <v>3207</v>
      </c>
      <c r="H81" s="1140"/>
      <c r="I81" s="1140"/>
      <c r="J81" s="1140"/>
      <c r="K81" s="1140"/>
      <c r="L81" s="1151"/>
      <c r="M81" s="1145"/>
      <c r="N81" s="1143"/>
      <c r="O81" s="1157"/>
      <c r="P81" s="1161"/>
      <c r="Q81" s="1146"/>
      <c r="R81" s="1147"/>
      <c r="S81" s="1146"/>
      <c r="T81" s="1147"/>
      <c r="U81" s="1131"/>
    </row>
    <row customHeight="true" ht="23.80952380952381" r="82">
      <c r="A82" s="1103"/>
      <c r="B82" s="1135">
        <f>IFERROR(VLOOKUP(C82,'字段信息'!A:C,3,),"")</f>
      </c>
      <c r="C82" s="1161" t="s">
        <v>3307</v>
      </c>
      <c r="D82" s="1137">
        <f>IFERROR(VLOOKUP(C82,'字段信息'!A:C,2,),"")</f>
      </c>
      <c r="E82" s="1138"/>
      <c r="F82" s="1139">
        <f t="shared" si="1"/>
      </c>
      <c r="G82" s="1138" t="s">
        <v>3207</v>
      </c>
      <c r="H82" s="1140"/>
      <c r="I82" s="1140"/>
      <c r="J82" s="1140"/>
      <c r="K82" s="1140"/>
      <c r="L82" s="1151"/>
      <c r="M82" s="1145"/>
      <c r="N82" s="1143"/>
      <c r="O82" s="1157"/>
      <c r="P82" s="1161"/>
      <c r="Q82" s="1146"/>
      <c r="R82" s="1147"/>
      <c r="S82" s="1146"/>
      <c r="T82" s="1147"/>
      <c r="U82" s="1131"/>
    </row>
    <row customHeight="true" ht="23.80952380952381" r="83">
      <c r="A83" s="1103"/>
      <c r="B83" s="1135">
        <f>IFERROR(VLOOKUP(C83,'字段信息'!A:C,3,),"")</f>
      </c>
      <c r="C83" s="1161" t="s">
        <v>3308</v>
      </c>
      <c r="D83" s="1137">
        <f>IFERROR(VLOOKUP(C83,'字段信息'!A:C,2,),"")</f>
      </c>
      <c r="E83" s="1138"/>
      <c r="F83" s="1139">
        <f t="shared" si="1"/>
      </c>
      <c r="G83" s="1138" t="s">
        <v>3207</v>
      </c>
      <c r="H83" s="1140"/>
      <c r="I83" s="1140"/>
      <c r="J83" s="1140"/>
      <c r="K83" s="1140"/>
      <c r="L83" s="1151"/>
      <c r="M83" s="1145"/>
      <c r="N83" s="1143"/>
      <c r="O83" s="1157"/>
      <c r="P83" s="1161"/>
      <c r="Q83" s="1146"/>
      <c r="R83" s="1147"/>
      <c r="S83" s="1146"/>
      <c r="T83" s="1147"/>
      <c r="U83" s="1131"/>
    </row>
    <row customHeight="true" ht="23.80952380952381" r="84">
      <c r="A84" s="1103"/>
      <c r="B84" s="1135">
        <f>IFERROR(VLOOKUP(C84,'字段信息'!A:C,3,),"")</f>
      </c>
      <c r="C84" s="1161" t="s">
        <v>3309</v>
      </c>
      <c r="D84" s="1137">
        <f>IFERROR(VLOOKUP(C84,'字段信息'!A:C,2,),"")</f>
      </c>
      <c r="E84" s="1138"/>
      <c r="F84" s="1139">
        <f t="shared" si="1"/>
      </c>
      <c r="G84" s="1138" t="s">
        <v>3207</v>
      </c>
      <c r="H84" s="1140"/>
      <c r="I84" s="1140"/>
      <c r="J84" s="1140"/>
      <c r="K84" s="1140"/>
      <c r="L84" s="1151"/>
      <c r="M84" s="1145"/>
      <c r="N84" s="1143"/>
      <c r="O84" s="1157"/>
      <c r="P84" s="1161"/>
      <c r="Q84" s="1146"/>
      <c r="R84" s="1147"/>
      <c r="S84" s="1146"/>
      <c r="T84" s="1147"/>
      <c r="U84" s="1131"/>
    </row>
    <row customHeight="true" ht="23.80952380952381" r="85">
      <c r="A85" s="1103"/>
      <c r="B85" s="1135">
        <f>IFERROR(VLOOKUP(C85,'字段信息'!A:C,3,),"")</f>
      </c>
      <c r="C85" s="1161" t="s">
        <v>3310</v>
      </c>
      <c r="D85" s="1137">
        <f>IFERROR(VLOOKUP(C85,'字段信息'!A:C,2,),"")</f>
      </c>
      <c r="E85" s="1138"/>
      <c r="F85" s="1139">
        <f t="shared" si="1"/>
      </c>
      <c r="G85" s="1138" t="s">
        <v>3207</v>
      </c>
      <c r="H85" s="1140"/>
      <c r="I85" s="1140"/>
      <c r="J85" s="1140"/>
      <c r="K85" s="1140"/>
      <c r="L85" s="1151"/>
      <c r="M85" s="1145"/>
      <c r="N85" s="1143"/>
      <c r="O85" s="1157"/>
      <c r="P85" s="1161"/>
      <c r="Q85" s="1146"/>
      <c r="R85" s="1147"/>
      <c r="S85" s="1146"/>
      <c r="T85" s="1147"/>
      <c r="U85" s="1131"/>
    </row>
    <row customHeight="true" ht="23.80952380952381" r="86">
      <c r="A86" s="1103"/>
      <c r="B86" s="1135">
        <f>IFERROR(VLOOKUP(C86,'字段信息'!A:C,3,),"")</f>
      </c>
      <c r="C86" s="1161" t="s">
        <v>3311</v>
      </c>
      <c r="D86" s="1137">
        <f>IFERROR(VLOOKUP(C86,'字段信息'!A:C,2,),"")</f>
      </c>
      <c r="E86" s="1138"/>
      <c r="F86" s="1139">
        <f t="shared" si="1"/>
      </c>
      <c r="G86" s="1138" t="s">
        <v>3207</v>
      </c>
      <c r="H86" s="1140"/>
      <c r="I86" s="1140"/>
      <c r="J86" s="1140"/>
      <c r="K86" s="1140"/>
      <c r="L86" s="1151"/>
      <c r="M86" s="1145"/>
      <c r="N86" s="1143"/>
      <c r="O86" s="1157"/>
      <c r="P86" s="1161"/>
      <c r="Q86" s="1146"/>
      <c r="R86" s="1147"/>
      <c r="S86" s="1146"/>
      <c r="T86" s="1147"/>
      <c r="U86" s="1131"/>
    </row>
    <row customHeight="true" ht="23.80952380952381" r="87">
      <c r="A87" s="1103"/>
      <c r="B87" s="1135">
        <f>IFERROR(VLOOKUP(C87,'字段信息'!A:C,3,),"")</f>
      </c>
      <c r="C87" s="1161" t="s">
        <v>3312</v>
      </c>
      <c r="D87" s="1137">
        <f>IFERROR(VLOOKUP(C87,'字段信息'!A:C,2,),"")</f>
      </c>
      <c r="E87" s="1138"/>
      <c r="F87" s="1139">
        <f t="shared" si="1"/>
      </c>
      <c r="G87" s="1138" t="s">
        <v>3207</v>
      </c>
      <c r="H87" s="1140"/>
      <c r="I87" s="1140"/>
      <c r="J87" s="1140"/>
      <c r="K87" s="1140"/>
      <c r="L87" s="1151"/>
      <c r="M87" s="1145"/>
      <c r="N87" s="1143"/>
      <c r="O87" s="1157"/>
      <c r="P87" s="1161"/>
      <c r="Q87" s="1146"/>
      <c r="R87" s="1147"/>
      <c r="S87" s="1146"/>
      <c r="T87" s="1147"/>
      <c r="U87" s="1131"/>
    </row>
    <row customHeight="true" ht="23.80952380952381" r="88">
      <c r="A88" s="1103"/>
      <c r="B88" s="1135">
        <f>IFERROR(VLOOKUP(C88,'字段信息'!A:C,3,),"")</f>
      </c>
      <c r="C88" s="1161" t="s">
        <v>3313</v>
      </c>
      <c r="D88" s="1137">
        <f>IFERROR(VLOOKUP(C88,'字段信息'!A:C,2,),"")</f>
      </c>
      <c r="E88" s="1138"/>
      <c r="F88" s="1139">
        <f t="shared" si="1"/>
      </c>
      <c r="G88" s="1138" t="s">
        <v>3207</v>
      </c>
      <c r="H88" s="1140"/>
      <c r="I88" s="1140"/>
      <c r="J88" s="1140"/>
      <c r="K88" s="1140"/>
      <c r="L88" s="1151"/>
      <c r="M88" s="1145"/>
      <c r="N88" s="1143"/>
      <c r="O88" s="1157"/>
      <c r="P88" s="1161"/>
      <c r="Q88" s="1146"/>
      <c r="R88" s="1147"/>
      <c r="S88" s="1146"/>
      <c r="T88" s="1147"/>
      <c r="U88" s="1131"/>
    </row>
    <row customHeight="true" ht="23.80952380952381" r="89">
      <c r="A89" s="1103"/>
      <c r="B89" s="1135">
        <f>IFERROR(VLOOKUP(C89,'字段信息'!A:C,3,),"")</f>
      </c>
      <c r="C89" s="1161" t="s">
        <v>3314</v>
      </c>
      <c r="D89" s="1137">
        <f>IFERROR(VLOOKUP(C89,'字段信息'!A:C,2,),"")</f>
      </c>
      <c r="E89" s="1138"/>
      <c r="F89" s="1139">
        <f t="shared" si="1"/>
      </c>
      <c r="G89" s="1138" t="s">
        <v>3207</v>
      </c>
      <c r="H89" s="1140"/>
      <c r="I89" s="1140"/>
      <c r="J89" s="1140"/>
      <c r="K89" s="1140"/>
      <c r="L89" s="1151"/>
      <c r="M89" s="1145"/>
      <c r="N89" s="1143"/>
      <c r="O89" s="1157"/>
      <c r="P89" s="1161"/>
      <c r="Q89" s="1146"/>
      <c r="R89" s="1147"/>
      <c r="S89" s="1146"/>
      <c r="T89" s="1147"/>
      <c r="U89" s="1131"/>
    </row>
    <row customHeight="true" ht="23.80952380952381" r="90">
      <c r="A90" s="1103"/>
      <c r="B90" s="1135">
        <f>IFERROR(VLOOKUP(C90,'字段信息'!A:C,3,),"")</f>
      </c>
      <c r="C90" s="1161" t="s">
        <v>3315</v>
      </c>
      <c r="D90" s="1137">
        <f>IFERROR(VLOOKUP(C90,'字段信息'!A:C,2,),"")</f>
      </c>
      <c r="E90" s="1138"/>
      <c r="F90" s="1139">
        <f t="shared" si="1"/>
      </c>
      <c r="G90" s="1138" t="s">
        <v>3207</v>
      </c>
      <c r="H90" s="1140"/>
      <c r="I90" s="1140"/>
      <c r="J90" s="1140"/>
      <c r="K90" s="1140"/>
      <c r="L90" s="1151"/>
      <c r="M90" s="1145"/>
      <c r="N90" s="1143"/>
      <c r="O90" s="1157"/>
      <c r="P90" s="1161"/>
      <c r="Q90" s="1146"/>
      <c r="R90" s="1147"/>
      <c r="S90" s="1146"/>
      <c r="T90" s="1147"/>
      <c r="U90" s="1131"/>
    </row>
    <row customHeight="true" ht="23.80952380952381" r="91">
      <c r="A91" s="1103"/>
      <c r="B91" s="1135">
        <f>IFERROR(VLOOKUP(C91,'字段信息'!A:C,3,),"")</f>
      </c>
      <c r="C91" s="1161" t="s">
        <v>3316</v>
      </c>
      <c r="D91" s="1137">
        <f>IFERROR(VLOOKUP(C91,'字段信息'!A:C,2,),"")</f>
      </c>
      <c r="E91" s="1138"/>
      <c r="F91" s="1139">
        <f t="shared" si="1"/>
      </c>
      <c r="G91" s="1138" t="s">
        <v>3207</v>
      </c>
      <c r="H91" s="1140"/>
      <c r="I91" s="1140"/>
      <c r="J91" s="1140"/>
      <c r="K91" s="1140"/>
      <c r="L91" s="1151"/>
      <c r="M91" s="1145"/>
      <c r="N91" s="1143"/>
      <c r="O91" s="1157"/>
      <c r="P91" s="1161"/>
      <c r="Q91" s="1146"/>
      <c r="R91" s="1147"/>
      <c r="S91" s="1146"/>
      <c r="T91" s="1147"/>
      <c r="U91" s="1131"/>
    </row>
    <row customHeight="true" ht="23.80952380952381" r="92">
      <c r="A92" s="1103"/>
      <c r="B92" s="1135">
        <f>IFERROR(VLOOKUP(C92,'字段信息'!A:C,3,),"")</f>
      </c>
      <c r="C92" s="1161" t="s">
        <v>3317</v>
      </c>
      <c r="D92" s="1137">
        <f>IFERROR(VLOOKUP(C92,'字段信息'!A:C,2,),"")</f>
      </c>
      <c r="E92" s="1138"/>
      <c r="F92" s="1139">
        <f t="shared" si="1"/>
      </c>
      <c r="G92" s="1138" t="s">
        <v>3207</v>
      </c>
      <c r="H92" s="1140"/>
      <c r="I92" s="1140"/>
      <c r="J92" s="1140"/>
      <c r="K92" s="1140"/>
      <c r="L92" s="1151"/>
      <c r="M92" s="1145"/>
      <c r="N92" s="1143"/>
      <c r="O92" s="1157"/>
      <c r="P92" s="1161"/>
      <c r="Q92" s="1146"/>
      <c r="R92" s="1147"/>
      <c r="S92" s="1146"/>
      <c r="T92" s="1147"/>
      <c r="U92" s="1131"/>
    </row>
    <row customHeight="true" ht="23.80952380952381" r="93">
      <c r="A93" s="1103"/>
      <c r="B93" s="1135">
        <f>IFERROR(VLOOKUP(C93,'字段信息'!A:C,3,),"")</f>
      </c>
      <c r="C93" s="1161" t="s">
        <v>3318</v>
      </c>
      <c r="D93" s="1137">
        <f>IFERROR(VLOOKUP(C93,'字段信息'!A:C,2,),"")</f>
      </c>
      <c r="E93" s="1138"/>
      <c r="F93" s="1139">
        <f t="shared" si="1"/>
      </c>
      <c r="G93" s="1138" t="s">
        <v>3207</v>
      </c>
      <c r="H93" s="1140"/>
      <c r="I93" s="1140"/>
      <c r="J93" s="1140"/>
      <c r="K93" s="1140"/>
      <c r="L93" s="1151"/>
      <c r="M93" s="1145"/>
      <c r="N93" s="1143"/>
      <c r="O93" s="1157"/>
      <c r="P93" s="1161"/>
      <c r="Q93" s="1146"/>
      <c r="R93" s="1147"/>
      <c r="S93" s="1146"/>
      <c r="T93" s="1147"/>
      <c r="U93" s="1131"/>
    </row>
    <row customHeight="true" ht="23.80952380952381" r="94">
      <c r="A94" s="1103"/>
      <c r="B94" s="1135">
        <f>IFERROR(VLOOKUP(C94,'字段信息'!A:C,3,),"")</f>
      </c>
      <c r="C94" s="1161" t="s">
        <v>3319</v>
      </c>
      <c r="D94" s="1137">
        <f>IFERROR(VLOOKUP(C94,'字段信息'!A:C,2,),"")</f>
      </c>
      <c r="E94" s="1138"/>
      <c r="F94" s="1139">
        <f t="shared" si="1"/>
      </c>
      <c r="G94" s="1138" t="s">
        <v>3207</v>
      </c>
      <c r="H94" s="1140"/>
      <c r="I94" s="1140"/>
      <c r="J94" s="1140"/>
      <c r="K94" s="1140"/>
      <c r="L94" s="1151"/>
      <c r="M94" s="1145"/>
      <c r="N94" s="1143"/>
      <c r="O94" s="1157"/>
      <c r="P94" s="1161"/>
      <c r="Q94" s="1146"/>
      <c r="R94" s="1147"/>
      <c r="S94" s="1146"/>
      <c r="T94" s="1147"/>
      <c r="U94" s="1131"/>
    </row>
    <row customHeight="true" ht="23.80952380952381" r="95">
      <c r="A95" s="1103"/>
      <c r="B95" s="1135">
        <f>IFERROR(VLOOKUP(C95,'字段信息'!A:C,3,),"")</f>
      </c>
      <c r="C95" s="1161" t="s">
        <v>3320</v>
      </c>
      <c r="D95" s="1137">
        <f>IFERROR(VLOOKUP(C95,'字段信息'!A:C,2,),"")</f>
      </c>
      <c r="E95" s="1138"/>
      <c r="F95" s="1139">
        <f t="shared" si="1"/>
      </c>
      <c r="G95" s="1138" t="s">
        <v>3207</v>
      </c>
      <c r="H95" s="1140"/>
      <c r="I95" s="1140"/>
      <c r="J95" s="1140"/>
      <c r="K95" s="1140"/>
      <c r="L95" s="1151"/>
      <c r="M95" s="1145"/>
      <c r="N95" s="1143"/>
      <c r="O95" s="1157"/>
      <c r="P95" s="1161"/>
      <c r="Q95" s="1146"/>
      <c r="R95" s="1147"/>
      <c r="S95" s="1146"/>
      <c r="T95" s="1147"/>
      <c r="U95" s="1131"/>
    </row>
    <row customHeight="true" ht="23.80952380952381" r="96">
      <c r="A96" s="1103"/>
      <c r="B96" s="1135">
        <f>IFERROR(VLOOKUP(C96,'字段信息'!A:C,3,),"")</f>
      </c>
      <c r="C96" s="1161" t="s">
        <v>3321</v>
      </c>
      <c r="D96" s="1137">
        <f>IFERROR(VLOOKUP(C96,'字段信息'!A:C,2,),"")</f>
      </c>
      <c r="E96" s="1138"/>
      <c r="F96" s="1139">
        <f t="shared" si="1"/>
      </c>
      <c r="G96" s="1138" t="s">
        <v>3207</v>
      </c>
      <c r="H96" s="1140"/>
      <c r="I96" s="1140"/>
      <c r="J96" s="1140"/>
      <c r="K96" s="1140"/>
      <c r="L96" s="1151"/>
      <c r="M96" s="1145"/>
      <c r="N96" s="1143"/>
      <c r="O96" s="1157"/>
      <c r="P96" s="1161"/>
      <c r="Q96" s="1146"/>
      <c r="R96" s="1147"/>
      <c r="S96" s="1146"/>
      <c r="T96" s="1147"/>
      <c r="U96" s="1131"/>
    </row>
    <row customHeight="true" ht="23.80952380952381" r="97">
      <c r="A97" s="1103"/>
      <c r="B97" s="1135">
        <f>IFERROR(VLOOKUP(C97,'字段信息'!A:C,3,),"")</f>
      </c>
      <c r="C97" s="1161" t="s">
        <v>3322</v>
      </c>
      <c r="D97" s="1137">
        <f>IFERROR(VLOOKUP(C97,'字段信息'!A:C,2,),"")</f>
      </c>
      <c r="E97" s="1138"/>
      <c r="F97" s="1139">
        <f t="shared" si="1"/>
      </c>
      <c r="G97" s="1138" t="s">
        <v>3207</v>
      </c>
      <c r="H97" s="1140"/>
      <c r="I97" s="1140"/>
      <c r="J97" s="1140"/>
      <c r="K97" s="1140"/>
      <c r="L97" s="1151"/>
      <c r="M97" s="1145"/>
      <c r="N97" s="1143"/>
      <c r="O97" s="1157"/>
      <c r="P97" s="1161"/>
      <c r="Q97" s="1146"/>
      <c r="R97" s="1147"/>
      <c r="S97" s="1146"/>
      <c r="T97" s="1147"/>
      <c r="U97" s="1131"/>
    </row>
    <row customHeight="true" ht="23.80952380952381" r="98">
      <c r="A98" s="1103"/>
      <c r="B98" s="1135">
        <f>IFERROR(VLOOKUP(C98,'字段信息'!A:C,3,),"")</f>
      </c>
      <c r="C98" s="1161" t="s">
        <v>3323</v>
      </c>
      <c r="D98" s="1137">
        <f>IFERROR(VLOOKUP(C98,'字段信息'!A:C,2,),"")</f>
      </c>
      <c r="E98" s="1138"/>
      <c r="F98" s="1139">
        <f t="shared" si="1"/>
      </c>
      <c r="G98" s="1138" t="s">
        <v>3207</v>
      </c>
      <c r="H98" s="1140"/>
      <c r="I98" s="1140"/>
      <c r="J98" s="1140"/>
      <c r="K98" s="1140"/>
      <c r="L98" s="1151"/>
      <c r="M98" s="1145"/>
      <c r="N98" s="1143"/>
      <c r="O98" s="1157"/>
      <c r="P98" s="1161"/>
      <c r="Q98" s="1146"/>
      <c r="R98" s="1147"/>
      <c r="S98" s="1146"/>
      <c r="T98" s="1147"/>
      <c r="U98" s="1131"/>
    </row>
    <row customHeight="true" ht="23.80952380952381" r="99">
      <c r="A99" s="1103"/>
      <c r="B99" s="1135">
        <f>IFERROR(VLOOKUP(C99,'字段信息'!A:C,3,),"")</f>
      </c>
      <c r="C99" s="1161" t="s">
        <v>3324</v>
      </c>
      <c r="D99" s="1137">
        <f>IFERROR(VLOOKUP(C99,'字段信息'!A:C,2,),"")</f>
      </c>
      <c r="E99" s="1138"/>
      <c r="F99" s="1139">
        <f t="shared" si="1"/>
      </c>
      <c r="G99" s="1138" t="s">
        <v>3207</v>
      </c>
      <c r="H99" s="1140"/>
      <c r="I99" s="1140"/>
      <c r="J99" s="1140"/>
      <c r="K99" s="1140"/>
      <c r="L99" s="1151"/>
      <c r="M99" s="1145"/>
      <c r="N99" s="1143"/>
      <c r="O99" s="1157"/>
      <c r="P99" s="1161"/>
      <c r="Q99" s="1146"/>
      <c r="R99" s="1147"/>
      <c r="S99" s="1146"/>
      <c r="T99" s="1147"/>
      <c r="U99" s="1131"/>
    </row>
    <row customHeight="true" ht="23.80952380952381" r="100">
      <c r="A100" s="1103"/>
      <c r="B100" s="1135">
        <f>IFERROR(VLOOKUP(C100,'字段信息'!A:C,3,),"")</f>
      </c>
      <c r="C100" s="1161" t="s">
        <v>3325</v>
      </c>
      <c r="D100" s="1137">
        <f>IFERROR(VLOOKUP(C100,'字段信息'!A:C,2,),"")</f>
      </c>
      <c r="E100" s="1138"/>
      <c r="F100" s="1139">
        <f t="shared" si="1"/>
      </c>
      <c r="G100" s="1138" t="s">
        <v>3207</v>
      </c>
      <c r="H100" s="1140"/>
      <c r="I100" s="1140"/>
      <c r="J100" s="1140"/>
      <c r="K100" s="1140"/>
      <c r="L100" s="1151"/>
      <c r="M100" s="1145"/>
      <c r="N100" s="1143"/>
      <c r="O100" s="1157"/>
      <c r="P100" s="1161"/>
      <c r="Q100" s="1146"/>
      <c r="R100" s="1147"/>
      <c r="S100" s="1146"/>
      <c r="T100" s="1147"/>
      <c r="U100" s="1131"/>
    </row>
    <row customHeight="true" ht="23.80952380952381" r="101">
      <c r="A101" s="1103"/>
      <c r="B101" s="1135">
        <f>IFERROR(VLOOKUP(C101,'字段信息'!A:C,3,),"")</f>
      </c>
      <c r="C101" s="1161" t="s">
        <v>3326</v>
      </c>
      <c r="D101" s="1137">
        <f>IFERROR(VLOOKUP(C101,'字段信息'!A:C,2,),"")</f>
      </c>
      <c r="E101" s="1138"/>
      <c r="F101" s="1139">
        <f t="shared" si="1"/>
      </c>
      <c r="G101" s="1138" t="s">
        <v>3207</v>
      </c>
      <c r="H101" s="1140"/>
      <c r="I101" s="1140"/>
      <c r="J101" s="1140"/>
      <c r="K101" s="1140"/>
      <c r="L101" s="1151"/>
      <c r="M101" s="1145"/>
      <c r="N101" s="1143"/>
      <c r="O101" s="1157"/>
      <c r="P101" s="1161"/>
      <c r="Q101" s="1146"/>
      <c r="R101" s="1147"/>
      <c r="S101" s="1146"/>
      <c r="T101" s="1147"/>
      <c r="U101" s="1131"/>
    </row>
    <row customHeight="true" ht="23.80952380952381" r="102">
      <c r="A102" s="1103"/>
      <c r="B102" s="1135">
        <f>IFERROR(VLOOKUP(C102,'字段信息'!A:C,3,),"")</f>
      </c>
      <c r="C102" s="1161" t="s">
        <v>3327</v>
      </c>
      <c r="D102" s="1137">
        <f>IFERROR(VLOOKUP(C102,'字段信息'!A:C,2,),"")</f>
      </c>
      <c r="E102" s="1138"/>
      <c r="F102" s="1139">
        <f t="shared" si="1"/>
      </c>
      <c r="G102" s="1138" t="s">
        <v>3207</v>
      </c>
      <c r="H102" s="1140"/>
      <c r="I102" s="1140"/>
      <c r="J102" s="1140"/>
      <c r="K102" s="1140"/>
      <c r="L102" s="1151"/>
      <c r="M102" s="1145"/>
      <c r="N102" s="1143"/>
      <c r="O102" s="1157"/>
      <c r="P102" s="1161"/>
      <c r="Q102" s="1146"/>
      <c r="R102" s="1147"/>
      <c r="S102" s="1146"/>
      <c r="T102" s="1147"/>
      <c r="U102" s="1131"/>
    </row>
    <row customHeight="true" ht="23.80952380952381" r="103">
      <c r="A103" s="1103"/>
      <c r="B103" s="1135">
        <f>IFERROR(VLOOKUP(C103,'字段信息'!A:C,3,),"")</f>
      </c>
      <c r="C103" s="1161" t="s">
        <v>3328</v>
      </c>
      <c r="D103" s="1137">
        <f>IFERROR(VLOOKUP(C103,'字段信息'!A:C,2,),"")</f>
      </c>
      <c r="E103" s="1138"/>
      <c r="F103" s="1139">
        <f t="shared" si="1"/>
      </c>
      <c r="G103" s="1138" t="s">
        <v>3207</v>
      </c>
      <c r="H103" s="1140"/>
      <c r="I103" s="1140"/>
      <c r="J103" s="1140"/>
      <c r="K103" s="1140"/>
      <c r="L103" s="1151"/>
      <c r="M103" s="1145"/>
      <c r="N103" s="1143"/>
      <c r="O103" s="1157"/>
      <c r="P103" s="1161"/>
      <c r="Q103" s="1146"/>
      <c r="R103" s="1147"/>
      <c r="S103" s="1146"/>
      <c r="T103" s="1147"/>
      <c r="U103" s="1131"/>
    </row>
    <row customHeight="true" ht="23.80952380952381" r="104">
      <c r="A104" s="1103"/>
      <c r="B104" s="1135">
        <f>IFERROR(VLOOKUP(C104,'字段信息'!A:C,3,),"")</f>
      </c>
      <c r="C104" s="1161" t="s">
        <v>3329</v>
      </c>
      <c r="D104" s="1137">
        <f>IFERROR(VLOOKUP(C104,'字段信息'!A:C,2,),"")</f>
      </c>
      <c r="E104" s="1138"/>
      <c r="F104" s="1139">
        <f t="shared" si="1"/>
      </c>
      <c r="G104" s="1138" t="s">
        <v>3207</v>
      </c>
      <c r="H104" s="1140"/>
      <c r="I104" s="1140"/>
      <c r="J104" s="1140"/>
      <c r="K104" s="1140"/>
      <c r="L104" s="1151"/>
      <c r="M104" s="1145"/>
      <c r="N104" s="1143"/>
      <c r="O104" s="1157"/>
      <c r="P104" s="1161"/>
      <c r="Q104" s="1146"/>
      <c r="R104" s="1147"/>
      <c r="S104" s="1146"/>
      <c r="T104" s="1147"/>
      <c r="U104" s="1131"/>
    </row>
    <row customHeight="true" ht="23.80952380952381" r="105">
      <c r="A105" s="1103"/>
      <c r="B105" s="1135">
        <f>IFERROR(VLOOKUP(C105,'字段信息'!A:C,3,),"")</f>
      </c>
      <c r="C105" s="1161" t="s">
        <v>3330</v>
      </c>
      <c r="D105" s="1137">
        <f>IFERROR(VLOOKUP(C105,'字段信息'!A:C,2,),"")</f>
      </c>
      <c r="E105" s="1138"/>
      <c r="F105" s="1139">
        <f t="shared" si="1"/>
      </c>
      <c r="G105" s="1138" t="s">
        <v>3207</v>
      </c>
      <c r="H105" s="1140"/>
      <c r="I105" s="1140"/>
      <c r="J105" s="1140"/>
      <c r="K105" s="1140"/>
      <c r="L105" s="1151"/>
      <c r="M105" s="1145"/>
      <c r="N105" s="1143"/>
      <c r="O105" s="1157"/>
      <c r="P105" s="1161"/>
      <c r="Q105" s="1146"/>
      <c r="R105" s="1147"/>
      <c r="S105" s="1146"/>
      <c r="T105" s="1147"/>
      <c r="U105" s="1131"/>
    </row>
    <row customHeight="true" ht="23.80952380952381" r="106">
      <c r="A106" s="1103"/>
      <c r="B106" s="1135">
        <f>IFERROR(VLOOKUP(C106,'字段信息'!A:C,3,),"")</f>
      </c>
      <c r="C106" s="1161" t="s">
        <v>3331</v>
      </c>
      <c r="D106" s="1137">
        <f>IFERROR(VLOOKUP(C106,'字段信息'!A:C,2,),"")</f>
      </c>
      <c r="E106" s="1138"/>
      <c r="F106" s="1139">
        <f t="shared" si="1"/>
      </c>
      <c r="G106" s="1138" t="s">
        <v>3207</v>
      </c>
      <c r="H106" s="1140"/>
      <c r="I106" s="1140"/>
      <c r="J106" s="1140"/>
      <c r="K106" s="1140"/>
      <c r="L106" s="1151"/>
      <c r="M106" s="1145"/>
      <c r="N106" s="1143"/>
      <c r="O106" s="1157"/>
      <c r="P106" s="1161"/>
      <c r="Q106" s="1146"/>
      <c r="R106" s="1147"/>
      <c r="S106" s="1146"/>
      <c r="T106" s="1147"/>
      <c r="U106" s="1131"/>
    </row>
    <row customHeight="true" ht="23.80952380952381" r="107">
      <c r="A107" s="1103"/>
      <c r="B107" s="1135">
        <f>IFERROR(VLOOKUP(C107,'字段信息'!A:C,3,),"")</f>
      </c>
      <c r="C107" s="1161" t="s">
        <v>3332</v>
      </c>
      <c r="D107" s="1137">
        <f>IFERROR(VLOOKUP(C107,'字段信息'!A:C,2,),"")</f>
      </c>
      <c r="E107" s="1138"/>
      <c r="F107" s="1139">
        <f t="shared" si="1"/>
      </c>
      <c r="G107" s="1138" t="s">
        <v>3207</v>
      </c>
      <c r="H107" s="1140"/>
      <c r="I107" s="1140"/>
      <c r="J107" s="1140"/>
      <c r="K107" s="1140"/>
      <c r="L107" s="1151"/>
      <c r="M107" s="1145"/>
      <c r="N107" s="1143"/>
      <c r="O107" s="1157"/>
      <c r="P107" s="1161"/>
      <c r="Q107" s="1146"/>
      <c r="R107" s="1147"/>
      <c r="S107" s="1146"/>
      <c r="T107" s="1147"/>
      <c r="U107" s="1131"/>
    </row>
    <row customHeight="true" ht="23.80952380952381" r="108">
      <c r="A108" s="1103"/>
      <c r="B108" s="1135">
        <f>IFERROR(VLOOKUP(C108,'字段信息'!A:C,3,),"")</f>
      </c>
      <c r="C108" s="1161" t="s">
        <v>3333</v>
      </c>
      <c r="D108" s="1137">
        <f>IFERROR(VLOOKUP(C108,'字段信息'!A:C,2,),"")</f>
      </c>
      <c r="E108" s="1138"/>
      <c r="F108" s="1139">
        <f t="shared" si="1"/>
      </c>
      <c r="G108" s="1138" t="s">
        <v>3207</v>
      </c>
      <c r="H108" s="1140"/>
      <c r="I108" s="1140"/>
      <c r="J108" s="1140"/>
      <c r="K108" s="1140"/>
      <c r="L108" s="1151"/>
      <c r="M108" s="1145"/>
      <c r="N108" s="1143"/>
      <c r="O108" s="1157"/>
      <c r="P108" s="1161"/>
      <c r="Q108" s="1146"/>
      <c r="R108" s="1147"/>
      <c r="S108" s="1146"/>
      <c r="T108" s="1147"/>
      <c r="U108" s="1131"/>
    </row>
    <row customHeight="true" ht="23.80952380952381" r="109">
      <c r="A109" s="1103"/>
      <c r="B109" s="1135">
        <f>IFERROR(VLOOKUP(C109,'字段信息'!A:C,3,),"")</f>
      </c>
      <c r="C109" s="1161" t="s">
        <v>3334</v>
      </c>
      <c r="D109" s="1137">
        <f>IFERROR(VLOOKUP(C109,'字段信息'!A:C,2,),"")</f>
      </c>
      <c r="E109" s="1138"/>
      <c r="F109" s="1139">
        <f t="shared" si="1"/>
      </c>
      <c r="G109" s="1138" t="s">
        <v>3207</v>
      </c>
      <c r="H109" s="1140"/>
      <c r="I109" s="1140"/>
      <c r="J109" s="1140"/>
      <c r="K109" s="1140"/>
      <c r="L109" s="1151"/>
      <c r="M109" s="1145"/>
      <c r="N109" s="1143"/>
      <c r="O109" s="1157"/>
      <c r="P109" s="1161"/>
      <c r="Q109" s="1146"/>
      <c r="R109" s="1147"/>
      <c r="S109" s="1146"/>
      <c r="T109" s="1147"/>
      <c r="U109" s="1131"/>
    </row>
    <row customHeight="true" ht="23.80952380952381" r="110">
      <c r="A110" s="1103"/>
      <c r="B110" s="1135">
        <f>IFERROR(VLOOKUP(C110,'字段信息'!A:C,3,),"")</f>
      </c>
      <c r="C110" s="1161" t="s">
        <v>3335</v>
      </c>
      <c r="D110" s="1137">
        <f>IFERROR(VLOOKUP(C110,'字段信息'!A:C,2,),"")</f>
      </c>
      <c r="E110" s="1138"/>
      <c r="F110" s="1139">
        <f t="shared" si="1"/>
      </c>
      <c r="G110" s="1138" t="s">
        <v>3207</v>
      </c>
      <c r="H110" s="1140"/>
      <c r="I110" s="1140"/>
      <c r="J110" s="1140"/>
      <c r="K110" s="1140"/>
      <c r="L110" s="1151"/>
      <c r="M110" s="1145"/>
      <c r="N110" s="1143"/>
      <c r="O110" s="1157"/>
      <c r="P110" s="1161"/>
      <c r="Q110" s="1146"/>
      <c r="R110" s="1147"/>
      <c r="S110" s="1146"/>
      <c r="T110" s="1147"/>
      <c r="U110" s="1131"/>
    </row>
    <row customHeight="true" ht="23.80952380952381" r="111">
      <c r="A111" s="1103"/>
      <c r="B111" s="1135">
        <f>IFERROR(VLOOKUP(C111,'字段信息'!A:C,3,),"")</f>
      </c>
      <c r="C111" s="1161" t="s">
        <v>3336</v>
      </c>
      <c r="D111" s="1137">
        <f>IFERROR(VLOOKUP(C111,'字段信息'!A:C,2,),"")</f>
      </c>
      <c r="E111" s="1138"/>
      <c r="F111" s="1139">
        <f t="shared" si="1"/>
      </c>
      <c r="G111" s="1138" t="s">
        <v>3207</v>
      </c>
      <c r="H111" s="1140"/>
      <c r="I111" s="1140"/>
      <c r="J111" s="1140"/>
      <c r="K111" s="1140"/>
      <c r="L111" s="1151"/>
      <c r="M111" s="1145"/>
      <c r="N111" s="1143"/>
      <c r="O111" s="1157"/>
      <c r="P111" s="1161"/>
      <c r="Q111" s="1146"/>
      <c r="R111" s="1147"/>
      <c r="S111" s="1146"/>
      <c r="T111" s="1147"/>
      <c r="U111" s="1131"/>
    </row>
    <row customHeight="true" ht="23.80952380952381" r="112">
      <c r="A112" s="1103"/>
      <c r="B112" s="1135">
        <f>IFERROR(VLOOKUP(C112,'字段信息'!A:C,3,),"")</f>
      </c>
      <c r="C112" s="1161" t="s">
        <v>3337</v>
      </c>
      <c r="D112" s="1137">
        <f>IFERROR(VLOOKUP(C112,'字段信息'!A:C,2,),"")</f>
      </c>
      <c r="E112" s="1138"/>
      <c r="F112" s="1139">
        <f t="shared" si="1"/>
      </c>
      <c r="G112" s="1138" t="s">
        <v>3207</v>
      </c>
      <c r="H112" s="1140"/>
      <c r="I112" s="1140"/>
      <c r="J112" s="1140"/>
      <c r="K112" s="1140"/>
      <c r="L112" s="1151"/>
      <c r="M112" s="1145"/>
      <c r="N112" s="1143"/>
      <c r="O112" s="1157"/>
      <c r="P112" s="1161"/>
      <c r="Q112" s="1146"/>
      <c r="R112" s="1147"/>
      <c r="S112" s="1146"/>
      <c r="T112" s="1147"/>
      <c r="U112" s="1131"/>
    </row>
    <row customHeight="true" ht="23.80952380952381" r="113">
      <c r="A113" s="1103"/>
      <c r="B113" s="1135">
        <f>IFERROR(VLOOKUP(C113,'字段信息'!A:C,3,),"")</f>
      </c>
      <c r="C113" s="1161" t="s">
        <v>3338</v>
      </c>
      <c r="D113" s="1137">
        <f>IFERROR(VLOOKUP(C113,'字段信息'!A:C,2,),"")</f>
      </c>
      <c r="E113" s="1138"/>
      <c r="F113" s="1139">
        <f t="shared" si="1"/>
      </c>
      <c r="G113" s="1138" t="s">
        <v>3207</v>
      </c>
      <c r="H113" s="1140"/>
      <c r="I113" s="1140"/>
      <c r="J113" s="1140"/>
      <c r="K113" s="1140"/>
      <c r="L113" s="1151"/>
      <c r="M113" s="1145"/>
      <c r="N113" s="1143"/>
      <c r="O113" s="1157"/>
      <c r="P113" s="1161"/>
      <c r="Q113" s="1146"/>
      <c r="R113" s="1147"/>
      <c r="S113" s="1146"/>
      <c r="T113" s="1147"/>
      <c r="U113" s="1131"/>
    </row>
    <row customHeight="true" ht="23.80952380952381" r="114">
      <c r="A114" s="1103"/>
      <c r="B114" s="1135">
        <f>IFERROR(VLOOKUP(C114,'字段信息'!A:C,3,),"")</f>
      </c>
      <c r="C114" s="1161" t="s">
        <v>3339</v>
      </c>
      <c r="D114" s="1137">
        <f>IFERROR(VLOOKUP(C114,'字段信息'!A:C,2,),"")</f>
      </c>
      <c r="E114" s="1138"/>
      <c r="F114" s="1139">
        <f t="shared" si="1"/>
      </c>
      <c r="G114" s="1138" t="s">
        <v>3207</v>
      </c>
      <c r="H114" s="1140"/>
      <c r="I114" s="1140"/>
      <c r="J114" s="1140"/>
      <c r="K114" s="1140"/>
      <c r="L114" s="1151"/>
      <c r="M114" s="1145"/>
      <c r="N114" s="1143"/>
      <c r="O114" s="1157"/>
      <c r="P114" s="1161"/>
      <c r="Q114" s="1146"/>
      <c r="R114" s="1147"/>
      <c r="S114" s="1146"/>
      <c r="T114" s="1147"/>
      <c r="U114" s="1131"/>
    </row>
    <row customHeight="true" ht="23.80952380952381" r="115">
      <c r="A115" s="1103"/>
      <c r="B115" s="1135">
        <f>IFERROR(VLOOKUP(C115,'字段信息'!A:C,3,),"")</f>
      </c>
      <c r="C115" s="1161" t="s">
        <v>3340</v>
      </c>
      <c r="D115" s="1137">
        <f>IFERROR(VLOOKUP(C115,'字段信息'!A:C,2,),"")</f>
      </c>
      <c r="E115" s="1138"/>
      <c r="F115" s="1139">
        <f t="shared" si="1"/>
      </c>
      <c r="G115" s="1138" t="s">
        <v>3207</v>
      </c>
      <c r="H115" s="1140"/>
      <c r="I115" s="1140"/>
      <c r="J115" s="1140"/>
      <c r="K115" s="1140"/>
      <c r="L115" s="1151"/>
      <c r="M115" s="1145"/>
      <c r="N115" s="1143"/>
      <c r="O115" s="1157"/>
      <c r="P115" s="1161"/>
      <c r="Q115" s="1146"/>
      <c r="R115" s="1147"/>
      <c r="S115" s="1146"/>
      <c r="T115" s="1147"/>
      <c r="U115" s="1131"/>
    </row>
    <row customHeight="true" ht="23.80952380952381" r="116">
      <c r="A116" s="1103"/>
      <c r="B116" s="1135">
        <f>IFERROR(VLOOKUP(C116,'字段信息'!A:C,3,),"")</f>
      </c>
      <c r="C116" s="1161" t="s">
        <v>3341</v>
      </c>
      <c r="D116" s="1137">
        <f>IFERROR(VLOOKUP(C116,'字段信息'!A:C,2,),"")</f>
      </c>
      <c r="E116" s="1138"/>
      <c r="F116" s="1139">
        <f t="shared" si="1"/>
      </c>
      <c r="G116" s="1138" t="s">
        <v>3207</v>
      </c>
      <c r="H116" s="1140"/>
      <c r="I116" s="1140"/>
      <c r="J116" s="1140"/>
      <c r="K116" s="1140"/>
      <c r="L116" s="1151"/>
      <c r="M116" s="1145"/>
      <c r="N116" s="1143"/>
      <c r="O116" s="1157"/>
      <c r="P116" s="1161"/>
      <c r="Q116" s="1146"/>
      <c r="R116" s="1147"/>
      <c r="S116" s="1146"/>
      <c r="T116" s="1147"/>
      <c r="U116" s="1131"/>
    </row>
    <row customHeight="true" ht="23.80952380952381" r="117">
      <c r="A117" s="1103"/>
      <c r="B117" s="1135">
        <f>IFERROR(VLOOKUP(C117,'字段信息'!A:C,3,),"")</f>
      </c>
      <c r="C117" s="1161" t="s">
        <v>3342</v>
      </c>
      <c r="D117" s="1137">
        <f>IFERROR(VLOOKUP(C117,'字段信息'!A:C,2,),"")</f>
      </c>
      <c r="E117" s="1138"/>
      <c r="F117" s="1139">
        <f t="shared" si="1"/>
      </c>
      <c r="G117" s="1138" t="s">
        <v>3207</v>
      </c>
      <c r="H117" s="1140"/>
      <c r="I117" s="1140"/>
      <c r="J117" s="1140"/>
      <c r="K117" s="1140"/>
      <c r="L117" s="1151"/>
      <c r="M117" s="1145"/>
      <c r="N117" s="1143"/>
      <c r="O117" s="1157"/>
      <c r="P117" s="1161"/>
      <c r="Q117" s="1146"/>
      <c r="R117" s="1147"/>
      <c r="S117" s="1146"/>
      <c r="T117" s="1147"/>
      <c r="U117" s="1131"/>
    </row>
    <row customHeight="true" ht="23.80952380952381" r="118">
      <c r="A118" s="1103"/>
      <c r="B118" s="1135">
        <f>IFERROR(VLOOKUP(C118,'字段信息'!A:C,3,),"")</f>
      </c>
      <c r="C118" s="1161" t="s">
        <v>3343</v>
      </c>
      <c r="D118" s="1137">
        <f>IFERROR(VLOOKUP(C118,'字段信息'!A:C,2,),"")</f>
      </c>
      <c r="E118" s="1138"/>
      <c r="F118" s="1139">
        <f t="shared" si="1"/>
      </c>
      <c r="G118" s="1138" t="s">
        <v>3207</v>
      </c>
      <c r="H118" s="1140"/>
      <c r="I118" s="1140"/>
      <c r="J118" s="1140"/>
      <c r="K118" s="1140"/>
      <c r="L118" s="1151"/>
      <c r="M118" s="1145"/>
      <c r="N118" s="1143"/>
      <c r="O118" s="1157"/>
      <c r="P118" s="1161"/>
      <c r="Q118" s="1146"/>
      <c r="R118" s="1147"/>
      <c r="S118" s="1146"/>
      <c r="T118" s="1147"/>
      <c r="U118" s="1131"/>
    </row>
    <row customHeight="true" ht="23.80952380952381" r="119">
      <c r="A119" s="1103"/>
      <c r="B119" s="1135">
        <f>IFERROR(VLOOKUP(C119,'字段信息'!A:C,3,),"")</f>
      </c>
      <c r="C119" s="1161" t="s">
        <v>3344</v>
      </c>
      <c r="D119" s="1137">
        <f>IFERROR(VLOOKUP(C119,'字段信息'!A:C,2,),"")</f>
      </c>
      <c r="E119" s="1138"/>
      <c r="F119" s="1139">
        <f t="shared" si="1"/>
      </c>
      <c r="G119" s="1138" t="s">
        <v>3207</v>
      </c>
      <c r="H119" s="1140"/>
      <c r="I119" s="1140"/>
      <c r="J119" s="1140"/>
      <c r="K119" s="1140"/>
      <c r="L119" s="1151"/>
      <c r="M119" s="1145"/>
      <c r="N119" s="1143"/>
      <c r="O119" s="1157"/>
      <c r="P119" s="1161"/>
      <c r="Q119" s="1146"/>
      <c r="R119" s="1147"/>
      <c r="S119" s="1146"/>
      <c r="T119" s="1147"/>
      <c r="U119" s="1131"/>
    </row>
    <row customHeight="true" ht="23.80952380952381" r="120">
      <c r="A120" s="1103"/>
      <c r="B120" s="1135">
        <f>IFERROR(VLOOKUP(C120,'字段信息'!A:C,3,),"")</f>
      </c>
      <c r="C120" s="1161" t="s">
        <v>3345</v>
      </c>
      <c r="D120" s="1137">
        <f>IFERROR(VLOOKUP(C120,'字段信息'!A:C,2,),"")</f>
      </c>
      <c r="E120" s="1138"/>
      <c r="F120" s="1139">
        <f t="shared" si="1"/>
      </c>
      <c r="G120" s="1138" t="s">
        <v>3207</v>
      </c>
      <c r="H120" s="1140"/>
      <c r="I120" s="1140"/>
      <c r="J120" s="1140"/>
      <c r="K120" s="1140"/>
      <c r="L120" s="1151"/>
      <c r="M120" s="1145"/>
      <c r="N120" s="1143"/>
      <c r="O120" s="1157"/>
      <c r="P120" s="1161"/>
      <c r="Q120" s="1146"/>
      <c r="R120" s="1147"/>
      <c r="S120" s="1146"/>
      <c r="T120" s="1147"/>
      <c r="U120" s="1131"/>
    </row>
    <row customHeight="true" ht="23.80952380952381" r="121">
      <c r="A121" s="1103"/>
      <c r="B121" s="1135">
        <f>IFERROR(VLOOKUP(C121,'字段信息'!A:C,3,),"")</f>
      </c>
      <c r="C121" s="1161" t="s">
        <v>3346</v>
      </c>
      <c r="D121" s="1137">
        <f>IFERROR(VLOOKUP(C121,'字段信息'!A:C,2,),"")</f>
      </c>
      <c r="E121" s="1138"/>
      <c r="F121" s="1139">
        <f t="shared" si="1"/>
      </c>
      <c r="G121" s="1138" t="s">
        <v>3207</v>
      </c>
      <c r="H121" s="1140"/>
      <c r="I121" s="1140"/>
      <c r="J121" s="1140"/>
      <c r="K121" s="1140"/>
      <c r="L121" s="1151"/>
      <c r="M121" s="1145"/>
      <c r="N121" s="1143"/>
      <c r="O121" s="1157"/>
      <c r="P121" s="1161"/>
      <c r="Q121" s="1146"/>
      <c r="R121" s="1147"/>
      <c r="S121" s="1146"/>
      <c r="T121" s="1147"/>
      <c r="U121" s="1131"/>
    </row>
  </sheetData>
  <autoFilter ref="A8:U121"/>
  <mergeCells>
    <mergeCell ref="M7:T7"/>
    <mergeCell ref="B1:D1"/>
    <mergeCell ref="C2:F2"/>
    <mergeCell ref="B7:G7"/>
    <mergeCell ref="C6:G6"/>
  </mergeCells>
  <hyperlinks>
    <hyperlink ref="A1" location="'2. 0 DWM层目录'!A1" display="返回"/>
    <hyperlink ref="A2" location="'规则库'!A1" display="规则库"/>
  </hyperlinks>
  <picture r:id="rId1"/>
</worksheet>
</file>

<file path=xl/worksheets/sheet2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6" min="6" style="0" width="17.070422535211268"/>
    <col collapsed="false" customWidth="true" hidden="false" max="10" min="10" style="0" width="13.80281690140845"/>
    <col collapsed="false" customWidth="true" hidden="true" max="10" min="10" style="0" width="13.80281690140845"/>
    <col collapsed="false" customWidth="true" hidden="false" max="14" min="14" style="0" width="7.154929577464789"/>
    <col collapsed="false" customWidth="true" hidden="false" max="18" min="18" style="0" width="31.680755330176627"/>
    <col collapsed="false" customWidth="true" hidden="false" max="2" min="2" style="0" width="23.718309859154928"/>
    <col collapsed="false" customWidth="true" hidden="false" max="5" min="5" style="0" width="10.647887323943662"/>
    <col collapsed="false" customWidth="true" hidden="false" max="9" min="9" style="0" width="8.732394366197184"/>
    <col collapsed="false" customWidth="true" hidden="true" max="9" min="9" style="0" width="8.732394366197184"/>
    <col collapsed="false" customWidth="true" hidden="false" max="13" min="13" style="0" width="57.558689706948456"/>
    <col collapsed="false" customWidth="true" hidden="false" max="17" min="17" style="0" width="26.422535076947355"/>
    <col collapsed="false" customWidth="true" hidden="false" max="21" min="21" style="0" width="4.206582325351429"/>
    <col collapsed="false" customWidth="true" hidden="false" max="1" min="1" style="0" width="5.23943661971831"/>
    <col collapsed="false" customWidth="true" hidden="false" max="8" min="8" style="0" width="7.154929577464789"/>
    <col collapsed="false" customWidth="true" hidden="true" max="8" min="8" style="0" width="7.154929577464789"/>
    <col collapsed="false" customWidth="true" hidden="false" max="12" min="12" style="0" width="9.746478873239436"/>
    <col collapsed="false" customWidth="true" hidden="true" max="12" min="12" style="0" width="9.746478873239436"/>
    <col collapsed="false" customWidth="true" hidden="false" max="16" min="16" style="0" width="16.09394268100855"/>
    <col collapsed="false" customWidth="true" hidden="false" max="20" min="20" style="0" width="5.577464788732394"/>
    <col collapsed="false" customWidth="true" hidden="false" max="4" min="4" style="0" width="12.56338028169014"/>
    <col collapsed="false" customWidth="true" hidden="false" max="7" min="7" style="0" width="8.732394366197184"/>
    <col collapsed="false" customWidth="true" hidden="false" max="11" min="11" style="0" width="8.732394366197184"/>
    <col collapsed="false" customWidth="true" hidden="true" max="11" min="11" style="0" width="8.732394366197184"/>
    <col collapsed="false" customWidth="true" hidden="false" max="15" min="15" style="0" width="23.868590568332493"/>
    <col collapsed="false" customWidth="true" hidden="false" max="19" min="19" style="0" width="81.16432880422467"/>
    <col collapsed="false" customWidth="true" hidden="false" max="3" min="3" style="0" width="19.774647887323944"/>
  </cols>
  <sheetData>
    <row r="1">
      <c r="A1" s="1183" t="s">
        <v>3347</v>
      </c>
      <c r="B1" s="1184" t="s">
        <v>3348</v>
      </c>
      <c r="C1" s="1184"/>
      <c r="D1" s="1184"/>
      <c r="E1" s="1185"/>
      <c r="F1" s="1186"/>
      <c r="G1" s="1185"/>
      <c r="H1" s="1187"/>
      <c r="I1" s="1187"/>
      <c r="J1" s="1187"/>
      <c r="K1" s="1187"/>
      <c r="L1" s="1187"/>
      <c r="M1" s="1188"/>
      <c r="N1" s="1189"/>
      <c r="O1" s="1186"/>
      <c r="P1" s="1186"/>
      <c r="Q1" s="1186"/>
      <c r="R1" s="1185"/>
      <c r="S1" s="1186"/>
      <c r="T1" s="1185"/>
    </row>
    <row r="2">
      <c r="A2" s="1183" t="s">
        <v>3349</v>
      </c>
      <c r="B2" s="1190" t="s">
        <v>3350</v>
      </c>
      <c r="C2" s="1191" t="s">
        <v>3351</v>
      </c>
      <c r="D2" s="1191"/>
      <c r="E2" s="1191"/>
      <c r="F2" s="1191"/>
      <c r="G2" s="1192"/>
      <c r="H2" s="1187"/>
      <c r="I2" s="1187"/>
      <c r="J2" s="1187"/>
      <c r="K2" s="1187"/>
      <c r="L2" s="1187"/>
      <c r="M2" s="1193" t="s">
        <v>3352</v>
      </c>
      <c r="N2" s="1189"/>
      <c r="O2" s="1186"/>
      <c r="P2" s="1186"/>
      <c r="Q2" s="1186"/>
      <c r="R2" s="1185"/>
      <c r="S2" s="1186"/>
      <c r="T2" s="1185"/>
    </row>
    <row r="3">
      <c r="A3" s="1194"/>
      <c r="B3" s="1195" t="s">
        <v>3353</v>
      </c>
      <c r="C3" s="1196" t="s">
        <v>3354</v>
      </c>
      <c r="D3" s="1197" t="s">
        <v>3355</v>
      </c>
      <c r="E3" s="1198" t="s">
        <v>3356</v>
      </c>
      <c r="F3" s="1195" t="s">
        <v>3357</v>
      </c>
      <c r="G3" s="1196" t="s">
        <v>3358</v>
      </c>
      <c r="H3" s="1187"/>
      <c r="I3" s="1187"/>
      <c r="J3" s="1187"/>
      <c r="K3" s="1187"/>
      <c r="L3" s="1187"/>
      <c r="M3" s="1199" t="s">
        <v>3359</v>
      </c>
      <c r="N3" s="1189"/>
      <c r="O3" s="1186"/>
      <c r="P3" s="1186"/>
      <c r="Q3" s="1186"/>
      <c r="R3" s="1185"/>
      <c r="S3" s="1186"/>
      <c r="T3" s="1185"/>
    </row>
    <row r="4">
      <c r="A4" s="1194"/>
      <c r="B4" s="1195" t="s">
        <v>3360</v>
      </c>
      <c r="C4" s="1200" t="s">
        <v>3361</v>
      </c>
      <c r="D4" s="1201" t="s">
        <v>3362</v>
      </c>
      <c r="E4" s="1202" t="s">
        <v>3363</v>
      </c>
      <c r="F4" s="1203" t="s">
        <v>3364</v>
      </c>
      <c r="G4" s="1196" t="s">
        <v>3365</v>
      </c>
      <c r="H4" s="1187"/>
      <c r="I4" s="1187"/>
      <c r="J4" s="1187"/>
      <c r="K4" s="1187"/>
      <c r="L4" s="1187"/>
      <c r="M4" s="1199" t="s">
        <v>3366</v>
      </c>
      <c r="N4" s="1189"/>
      <c r="O4" s="1186"/>
      <c r="P4" s="1186"/>
      <c r="Q4" s="1186"/>
      <c r="R4" s="1185"/>
      <c r="S4" s="1186"/>
      <c r="T4" s="1185"/>
    </row>
    <row r="5">
      <c r="A5" s="1194"/>
      <c r="B5" s="1195" t="s">
        <v>3367</v>
      </c>
      <c r="C5" s="1196" t="s">
        <v>3368</v>
      </c>
      <c r="D5" s="1197" t="s">
        <v>3369</v>
      </c>
      <c r="E5" s="1204"/>
      <c r="F5" s="1205" t="s">
        <v>3370</v>
      </c>
      <c r="G5" s="1206"/>
      <c r="H5" s="1187"/>
      <c r="I5" s="1187"/>
      <c r="J5" s="1187"/>
      <c r="K5" s="1187"/>
      <c r="L5" s="1187"/>
      <c r="M5" s="1199" t="s">
        <v>3371</v>
      </c>
      <c r="N5" s="1189"/>
      <c r="O5" s="1186"/>
      <c r="P5" s="1186"/>
      <c r="Q5" s="1186"/>
      <c r="R5" s="1185"/>
      <c r="S5" s="1186"/>
      <c r="T5" s="1185"/>
    </row>
    <row r="6">
      <c r="A6" s="1194"/>
      <c r="B6" s="1207" t="s">
        <v>3372</v>
      </c>
      <c r="C6" s="1208" t="s">
        <v>3373</v>
      </c>
      <c r="D6" s="1209"/>
      <c r="E6" s="1209"/>
      <c r="F6" s="1209"/>
      <c r="G6" s="1209"/>
      <c r="H6" s="1187"/>
      <c r="I6" s="1187"/>
      <c r="J6" s="1187"/>
      <c r="K6" s="1187"/>
      <c r="L6" s="1187"/>
      <c r="M6" s="1199" t="s">
        <v>3374</v>
      </c>
      <c r="N6" s="1189"/>
      <c r="O6" s="1186"/>
      <c r="P6" s="1186"/>
      <c r="Q6" s="1186"/>
      <c r="R6" s="1185"/>
      <c r="S6" s="1186"/>
      <c r="T6" s="1185"/>
    </row>
    <row r="7">
      <c r="A7" s="1210"/>
      <c r="B7" s="1211" t="s">
        <v>3375</v>
      </c>
      <c r="C7" s="1212"/>
      <c r="D7" s="1212"/>
      <c r="E7" s="1212"/>
      <c r="F7" s="1211"/>
      <c r="G7" s="1212"/>
      <c r="H7" s="1212"/>
      <c r="I7" s="1212"/>
      <c r="J7" s="1212"/>
      <c r="K7" s="1212"/>
      <c r="L7" s="1212"/>
      <c r="M7" s="1213" t="s">
        <v>3376</v>
      </c>
      <c r="N7" s="1211"/>
      <c r="O7" s="1211"/>
      <c r="P7" s="1211"/>
      <c r="Q7" s="1211"/>
      <c r="R7" s="1212"/>
      <c r="S7" s="1211"/>
      <c r="T7" s="1212"/>
      <c r="U7" s="1214"/>
    </row>
    <row r="8">
      <c r="A8" s="1210"/>
      <c r="B8" s="1215" t="s">
        <v>3377</v>
      </c>
      <c r="C8" s="1216" t="s">
        <v>3378</v>
      </c>
      <c r="D8" s="1216" t="s">
        <v>3379</v>
      </c>
      <c r="E8" s="1216" t="s">
        <v>3380</v>
      </c>
      <c r="F8" s="1215" t="s">
        <v>3381</v>
      </c>
      <c r="G8" s="1216" t="s">
        <v>3382</v>
      </c>
      <c r="H8" s="1216" t="s">
        <v>3383</v>
      </c>
      <c r="I8" s="1216" t="s">
        <v>3384</v>
      </c>
      <c r="J8" s="1216" t="s">
        <v>3385</v>
      </c>
      <c r="K8" s="1216" t="s">
        <v>3386</v>
      </c>
      <c r="L8" s="1216" t="s">
        <v>3387</v>
      </c>
      <c r="M8" s="1217" t="s">
        <v>3388</v>
      </c>
      <c r="N8" s="1217" t="s">
        <v>3389</v>
      </c>
      <c r="O8" s="1217" t="s">
        <v>3390</v>
      </c>
      <c r="P8" s="1215" t="s">
        <v>3391</v>
      </c>
      <c r="Q8" s="1215" t="s">
        <v>3392</v>
      </c>
      <c r="R8" s="1216" t="s">
        <v>3393</v>
      </c>
      <c r="S8" s="1215" t="s">
        <v>3394</v>
      </c>
      <c r="T8" s="1216" t="s">
        <v>3395</v>
      </c>
      <c r="U8" s="1214"/>
    </row>
    <row r="9">
      <c r="A9" s="1187"/>
      <c r="B9" s="1218">
        <f>IFERROR(VLOOKUP(C9,'字段信息'!A:C,3,),"")</f>
      </c>
      <c r="C9" s="1219" t="s">
        <v>3396</v>
      </c>
      <c r="D9" s="1220">
        <f>IFERROR(VLOOKUP(C9,'字段信息'!A:C,2,),"")</f>
      </c>
      <c r="E9" s="1221"/>
      <c r="F9" s="1218">
        <f t="shared" ref="F9:F40" si="0">B9</f>
      </c>
      <c r="G9" s="1221" t="s">
        <v>3397</v>
      </c>
      <c r="H9" s="1222"/>
      <c r="I9" s="1222"/>
      <c r="J9" s="1222"/>
      <c r="K9" s="1222"/>
      <c r="L9" s="1223"/>
      <c r="M9" s="1224" t="s">
        <v>3398</v>
      </c>
      <c r="N9" s="1225"/>
      <c r="O9" s="1226"/>
      <c r="P9" s="1226"/>
      <c r="Q9" s="1224"/>
      <c r="R9" s="1219"/>
      <c r="S9" s="1224"/>
      <c r="T9" s="1219"/>
      <c r="U9" s="1185"/>
    </row>
    <row r="10">
      <c r="A10" s="1187"/>
      <c r="B10" s="1218">
        <f>IFERROR(VLOOKUP(C10,'字段信息'!A:C,3,),"")</f>
      </c>
      <c r="C10" s="1219" t="s">
        <v>3399</v>
      </c>
      <c r="D10" s="1220">
        <f>IFERROR(VLOOKUP(C10,'字段信息'!A:C,2,),"")</f>
      </c>
      <c r="E10" s="1221"/>
      <c r="F10" s="1218">
        <f t="shared" si="0"/>
      </c>
      <c r="G10" s="1221" t="s">
        <v>3397</v>
      </c>
      <c r="H10" s="1222"/>
      <c r="I10" s="1222"/>
      <c r="J10" s="1222"/>
      <c r="K10" s="1222"/>
      <c r="L10" s="1223"/>
      <c r="M10" s="1224" t="s">
        <v>3400</v>
      </c>
      <c r="N10" s="1225"/>
      <c r="O10" s="1226"/>
      <c r="P10" s="1226"/>
      <c r="Q10" s="1224"/>
      <c r="R10" s="1219"/>
      <c r="S10" s="1224"/>
      <c r="T10" s="1219"/>
      <c r="U10" s="1185"/>
    </row>
    <row r="11">
      <c r="A11" s="1187"/>
      <c r="B11" s="1218">
        <f>IFERROR(VLOOKUP(C11,'字段信息'!A:C,3,),"")</f>
      </c>
      <c r="C11" s="1219" t="s">
        <v>3401</v>
      </c>
      <c r="D11" s="1220">
        <f>IFERROR(VLOOKUP(C11,'字段信息'!A:C,2,),"")</f>
      </c>
      <c r="E11" s="1221"/>
      <c r="F11" s="1218">
        <f t="shared" si="0"/>
      </c>
      <c r="G11" s="1221" t="s">
        <v>3397</v>
      </c>
      <c r="H11" s="1222"/>
      <c r="I11" s="1222"/>
      <c r="J11" s="1222"/>
      <c r="K11" s="1222"/>
      <c r="L11" s="1223"/>
      <c r="M11" s="1224" t="s">
        <v>3402</v>
      </c>
      <c r="N11" s="1225"/>
      <c r="O11" s="1226"/>
      <c r="P11" s="1226"/>
      <c r="Q11" s="1224"/>
      <c r="R11" s="1219"/>
      <c r="S11" s="1224"/>
      <c r="T11" s="1219"/>
      <c r="U11" s="1185"/>
    </row>
    <row r="12">
      <c r="A12" s="1187"/>
      <c r="B12" s="1218">
        <f>IFERROR(VLOOKUP(C12,'字段信息'!A:C,3,),"")</f>
      </c>
      <c r="C12" s="1219" t="s">
        <v>3403</v>
      </c>
      <c r="D12" s="1220">
        <f>IFERROR(VLOOKUP(C12,'字段信息'!A:C,2,),"")</f>
      </c>
      <c r="E12" s="1221"/>
      <c r="F12" s="1218">
        <f t="shared" si="0"/>
      </c>
      <c r="G12" s="1221" t="s">
        <v>3397</v>
      </c>
      <c r="H12" s="1222"/>
      <c r="I12" s="1222"/>
      <c r="J12" s="1222"/>
      <c r="K12" s="1222"/>
      <c r="L12" s="1223"/>
      <c r="M12" s="1224" t="s">
        <v>3404</v>
      </c>
      <c r="N12" s="1225"/>
      <c r="O12" s="1226"/>
      <c r="P12" s="1226"/>
      <c r="Q12" s="1224"/>
      <c r="R12" s="1219"/>
      <c r="S12" s="1224"/>
      <c r="T12" s="1219"/>
      <c r="U12" s="1185"/>
    </row>
    <row r="13">
      <c r="A13" s="1187"/>
      <c r="B13" s="1218">
        <f>IFERROR(VLOOKUP(C13,'字段信息'!A:C,3,),"")</f>
      </c>
      <c r="C13" s="1219" t="s">
        <v>3405</v>
      </c>
      <c r="D13" s="1220">
        <f>IFERROR(VLOOKUP(C13,'字段信息'!A:C,2,),"")</f>
      </c>
      <c r="E13" s="1221"/>
      <c r="F13" s="1218">
        <f t="shared" si="0"/>
      </c>
      <c r="G13" s="1221" t="s">
        <v>3397</v>
      </c>
      <c r="H13" s="1222"/>
      <c r="I13" s="1222"/>
      <c r="J13" s="1222"/>
      <c r="K13" s="1222"/>
      <c r="L13" s="1223"/>
      <c r="M13" s="1224" t="s">
        <v>3406</v>
      </c>
      <c r="N13" s="1225"/>
      <c r="O13" s="1226"/>
      <c r="P13" s="1226"/>
      <c r="Q13" s="1224"/>
      <c r="R13" s="1219"/>
      <c r="S13" s="1224"/>
      <c r="T13" s="1219"/>
      <c r="U13" s="1185"/>
    </row>
    <row r="14">
      <c r="A14" s="1187"/>
      <c r="B14" s="1218">
        <f>IFERROR(VLOOKUP(C14,'字段信息'!A:C,3,),"")</f>
      </c>
      <c r="C14" s="1219" t="s">
        <v>3407</v>
      </c>
      <c r="D14" s="1220">
        <f>IFERROR(VLOOKUP(C14,'字段信息'!A:C,2,),"")</f>
      </c>
      <c r="E14" s="1221"/>
      <c r="F14" s="1218">
        <f t="shared" si="0"/>
      </c>
      <c r="G14" s="1221" t="s">
        <v>3397</v>
      </c>
      <c r="H14" s="1222"/>
      <c r="I14" s="1222"/>
      <c r="J14" s="1222"/>
      <c r="K14" s="1222"/>
      <c r="L14" s="1223"/>
      <c r="M14" s="1224" t="s">
        <v>3408</v>
      </c>
      <c r="N14" s="1225"/>
      <c r="O14" s="1226"/>
      <c r="P14" s="1226"/>
      <c r="Q14" s="1224"/>
      <c r="R14" s="1219"/>
      <c r="S14" s="1224"/>
      <c r="T14" s="1219"/>
      <c r="U14" s="1185"/>
    </row>
    <row r="15">
      <c r="A15" s="1187"/>
      <c r="B15" s="1218">
        <f>IFERROR(VLOOKUP(C15,'字段信息'!A:C,3,),"")</f>
      </c>
      <c r="C15" s="1219" t="s">
        <v>3409</v>
      </c>
      <c r="D15" s="1220">
        <f>IFERROR(VLOOKUP(C15,'字段信息'!A:C,2,),"")</f>
      </c>
      <c r="E15" s="1221"/>
      <c r="F15" s="1218">
        <f t="shared" si="0"/>
      </c>
      <c r="G15" s="1221" t="s">
        <v>3397</v>
      </c>
      <c r="H15" s="1222"/>
      <c r="I15" s="1222"/>
      <c r="J15" s="1222"/>
      <c r="K15" s="1222"/>
      <c r="L15" s="1223"/>
      <c r="M15" s="1224" t="s">
        <v>3410</v>
      </c>
      <c r="N15" s="1225"/>
      <c r="O15" s="1226"/>
      <c r="P15" s="1226"/>
      <c r="Q15" s="1224"/>
      <c r="R15" s="1219"/>
      <c r="S15" s="1224"/>
      <c r="T15" s="1219"/>
      <c r="U15" s="1185"/>
    </row>
    <row r="16">
      <c r="A16" s="1187"/>
      <c r="B16" s="1218">
        <f>IFERROR(VLOOKUP(C16,'字段信息'!A:C,3,),"")</f>
      </c>
      <c r="C16" s="1219" t="s">
        <v>3411</v>
      </c>
      <c r="D16" s="1220">
        <f>IFERROR(VLOOKUP(C16,'字段信息'!A:C,2,),"")</f>
      </c>
      <c r="E16" s="1221"/>
      <c r="F16" s="1218">
        <f t="shared" si="0"/>
      </c>
      <c r="G16" s="1221" t="s">
        <v>3397</v>
      </c>
      <c r="H16" s="1222"/>
      <c r="I16" s="1222"/>
      <c r="J16" s="1222"/>
      <c r="K16" s="1222"/>
      <c r="L16" s="1223"/>
      <c r="M16" s="1224" t="s">
        <v>3412</v>
      </c>
      <c r="N16" s="1225"/>
      <c r="O16" s="1226"/>
      <c r="P16" s="1226"/>
      <c r="Q16" s="1224"/>
      <c r="R16" s="1219"/>
      <c r="S16" s="1224"/>
      <c r="T16" s="1219"/>
      <c r="U16" s="1185"/>
    </row>
    <row r="17">
      <c r="A17" s="1187"/>
      <c r="B17" s="1218">
        <f>IFERROR(VLOOKUP(C17,'字段信息'!A:C,3,),"")</f>
      </c>
      <c r="C17" s="1219" t="s">
        <v>3413</v>
      </c>
      <c r="D17" s="1220">
        <f>IFERROR(VLOOKUP(C17,'字段信息'!A:C,2,),"")</f>
      </c>
      <c r="E17" s="1221"/>
      <c r="F17" s="1218">
        <f t="shared" si="0"/>
      </c>
      <c r="G17" s="1221" t="s">
        <v>3397</v>
      </c>
      <c r="H17" s="1222"/>
      <c r="I17" s="1222"/>
      <c r="J17" s="1222"/>
      <c r="K17" s="1222"/>
      <c r="L17" s="1223"/>
      <c r="M17" s="1224" t="s">
        <v>3414</v>
      </c>
      <c r="N17" s="1225"/>
      <c r="O17" s="1226"/>
      <c r="P17" s="1226"/>
      <c r="Q17" s="1224"/>
      <c r="R17" s="1219"/>
      <c r="S17" s="1224"/>
      <c r="T17" s="1219"/>
      <c r="U17" s="1185"/>
    </row>
    <row r="18">
      <c r="A18" s="1187"/>
      <c r="B18" s="1218">
        <f>IFERROR(VLOOKUP(C18,'字段信息'!A:C,3,),"")</f>
      </c>
      <c r="C18" s="1219" t="s">
        <v>3415</v>
      </c>
      <c r="D18" s="1220">
        <f>IFERROR(VLOOKUP(C18,'字段信息'!A:C,2,),"")</f>
      </c>
      <c r="E18" s="1221"/>
      <c r="F18" s="1218">
        <f t="shared" si="0"/>
      </c>
      <c r="G18" s="1221" t="s">
        <v>3397</v>
      </c>
      <c r="H18" s="1222"/>
      <c r="I18" s="1222"/>
      <c r="J18" s="1222"/>
      <c r="K18" s="1222"/>
      <c r="L18" s="1223"/>
      <c r="M18" s="1224" t="s">
        <v>3416</v>
      </c>
      <c r="N18" s="1225"/>
      <c r="O18" s="1226"/>
      <c r="P18" s="1226"/>
      <c r="Q18" s="1224"/>
      <c r="R18" s="1219"/>
      <c r="S18" s="1224"/>
      <c r="T18" s="1219"/>
      <c r="U18" s="1185"/>
    </row>
    <row r="19">
      <c r="A19" s="1187"/>
      <c r="B19" s="1218">
        <f>IFERROR(VLOOKUP(C19,'字段信息'!A:C,3,),"")</f>
      </c>
      <c r="C19" s="1219" t="s">
        <v>3417</v>
      </c>
      <c r="D19" s="1220">
        <f>IFERROR(VLOOKUP(C19,'字段信息'!A:C,2,),"")</f>
      </c>
      <c r="E19" s="1221"/>
      <c r="F19" s="1218">
        <f t="shared" si="0"/>
      </c>
      <c r="G19" s="1221" t="s">
        <v>3397</v>
      </c>
      <c r="H19" s="1222"/>
      <c r="I19" s="1222"/>
      <c r="J19" s="1222"/>
      <c r="K19" s="1222"/>
      <c r="L19" s="1223"/>
      <c r="M19" s="1224" t="s">
        <v>3418</v>
      </c>
      <c r="N19" s="1225"/>
      <c r="O19" s="1226"/>
      <c r="P19" s="1226"/>
      <c r="Q19" s="1224"/>
      <c r="R19" s="1219"/>
      <c r="S19" s="1224"/>
      <c r="T19" s="1219"/>
      <c r="U19" s="1185"/>
    </row>
    <row r="20">
      <c r="A20" s="1187"/>
      <c r="B20" s="1218">
        <f>IFERROR(VLOOKUP(C20,'字段信息'!A:C,3,),"")</f>
      </c>
      <c r="C20" s="1219" t="s">
        <v>3419</v>
      </c>
      <c r="D20" s="1220">
        <f>IFERROR(VLOOKUP(C20,'字段信息'!A:C,2,),"")</f>
      </c>
      <c r="E20" s="1221"/>
      <c r="F20" s="1218">
        <f t="shared" si="0"/>
      </c>
      <c r="G20" s="1221" t="s">
        <v>3397</v>
      </c>
      <c r="H20" s="1222"/>
      <c r="I20" s="1222"/>
      <c r="J20" s="1222"/>
      <c r="K20" s="1222"/>
      <c r="L20" s="1223"/>
      <c r="M20" s="1224" t="s">
        <v>3420</v>
      </c>
      <c r="N20" s="1225"/>
      <c r="O20" s="1226"/>
      <c r="P20" s="1226"/>
      <c r="Q20" s="1224"/>
      <c r="R20" s="1219"/>
      <c r="S20" s="1224"/>
      <c r="T20" s="1219"/>
      <c r="U20" s="1185"/>
    </row>
    <row r="21">
      <c r="A21" s="1187"/>
      <c r="B21" s="1218">
        <f>IFERROR(VLOOKUP(C21,'字段信息'!A:C,3,),"")</f>
      </c>
      <c r="C21" s="1219" t="s">
        <v>3421</v>
      </c>
      <c r="D21" s="1220">
        <f>IFERROR(VLOOKUP(C21,'字段信息'!A:C,2,),"")</f>
      </c>
      <c r="E21" s="1221"/>
      <c r="F21" s="1218">
        <f t="shared" si="0"/>
      </c>
      <c r="G21" s="1221" t="s">
        <v>3397</v>
      </c>
      <c r="H21" s="1222"/>
      <c r="I21" s="1222"/>
      <c r="J21" s="1222"/>
      <c r="K21" s="1222"/>
      <c r="L21" s="1223"/>
      <c r="M21" s="1224" t="s">
        <v>3422</v>
      </c>
      <c r="N21" s="1225"/>
      <c r="O21" s="1226"/>
      <c r="P21" s="1226"/>
      <c r="Q21" s="1224"/>
      <c r="R21" s="1219"/>
      <c r="S21" s="1224"/>
      <c r="T21" s="1219"/>
      <c r="U21" s="1185"/>
    </row>
    <row r="22">
      <c r="A22" s="1187"/>
      <c r="B22" s="1218">
        <f>IFERROR(VLOOKUP(C22,'字段信息'!A:C,3,),"")</f>
      </c>
      <c r="C22" s="1219" t="s">
        <v>3423</v>
      </c>
      <c r="D22" s="1220">
        <f>IFERROR(VLOOKUP(C22,'字段信息'!A:C,2,),"")</f>
      </c>
      <c r="E22" s="1221"/>
      <c r="F22" s="1218">
        <f t="shared" si="0"/>
      </c>
      <c r="G22" s="1221" t="s">
        <v>3397</v>
      </c>
      <c r="H22" s="1222"/>
      <c r="I22" s="1222"/>
      <c r="J22" s="1222"/>
      <c r="K22" s="1222"/>
      <c r="L22" s="1223"/>
      <c r="M22" s="1224" t="s">
        <v>3424</v>
      </c>
      <c r="N22" s="1225"/>
      <c r="O22" s="1226"/>
      <c r="P22" s="1226"/>
      <c r="Q22" s="1224"/>
      <c r="R22" s="1219"/>
      <c r="S22" s="1224"/>
      <c r="T22" s="1219"/>
      <c r="U22" s="1185"/>
    </row>
    <row r="23">
      <c r="A23" s="1187"/>
      <c r="B23" s="1218">
        <f>IFERROR(VLOOKUP(C23,'字段信息'!A:C,3,),"")</f>
      </c>
      <c r="C23" s="1219" t="s">
        <v>3425</v>
      </c>
      <c r="D23" s="1220">
        <f>IFERROR(VLOOKUP(C23,'字段信息'!A:C,2,),"")</f>
      </c>
      <c r="E23" s="1221"/>
      <c r="F23" s="1218">
        <f t="shared" si="0"/>
      </c>
      <c r="G23" s="1221" t="s">
        <v>3397</v>
      </c>
      <c r="H23" s="1222"/>
      <c r="I23" s="1222"/>
      <c r="J23" s="1222"/>
      <c r="K23" s="1222"/>
      <c r="L23" s="1223"/>
      <c r="M23" s="1224" t="s">
        <v>3426</v>
      </c>
      <c r="N23" s="1225"/>
      <c r="O23" s="1226"/>
      <c r="P23" s="1226"/>
      <c r="Q23" s="1224"/>
      <c r="R23" s="1219"/>
      <c r="S23" s="1224"/>
      <c r="T23" s="1219"/>
      <c r="U23" s="1185"/>
    </row>
    <row r="24">
      <c r="A24" s="1187"/>
      <c r="B24" s="1218">
        <f>IFERROR(VLOOKUP(C24,'字段信息'!A:C,3,),"")</f>
      </c>
      <c r="C24" s="1219" t="s">
        <v>3427</v>
      </c>
      <c r="D24" s="1220">
        <f>IFERROR(VLOOKUP(C24,'字段信息'!A:C,2,),"")</f>
      </c>
      <c r="E24" s="1221"/>
      <c r="F24" s="1218">
        <f t="shared" si="0"/>
      </c>
      <c r="G24" s="1221" t="s">
        <v>3397</v>
      </c>
      <c r="H24" s="1222"/>
      <c r="I24" s="1222"/>
      <c r="J24" s="1222"/>
      <c r="K24" s="1222"/>
      <c r="L24" s="1223"/>
      <c r="M24" s="1224" t="s">
        <v>3428</v>
      </c>
      <c r="N24" s="1225"/>
      <c r="O24" s="1226"/>
      <c r="P24" s="1226"/>
      <c r="Q24" s="1224"/>
      <c r="R24" s="1219"/>
      <c r="S24" s="1224"/>
      <c r="T24" s="1219"/>
      <c r="U24" s="1185"/>
    </row>
    <row r="25">
      <c r="A25" s="1187"/>
      <c r="B25" s="1227">
        <f>IFERROR(VLOOKUP(C25,'字段信息'!A:C,3,),"")</f>
      </c>
      <c r="C25" s="1228" t="s">
        <v>3429</v>
      </c>
      <c r="D25" s="1220">
        <f>IFERROR(VLOOKUP(C25,'字段信息'!A:C,2,),"")</f>
      </c>
      <c r="E25" s="1221"/>
      <c r="F25" s="1218">
        <f t="shared" si="0"/>
      </c>
      <c r="G25" s="1221" t="s">
        <v>3397</v>
      </c>
      <c r="H25" s="1222"/>
      <c r="I25" s="1222"/>
      <c r="J25" s="1222"/>
      <c r="K25" s="1222"/>
      <c r="L25" s="1223"/>
      <c r="M25" s="1229" t="s">
        <v>3430</v>
      </c>
      <c r="N25" s="1230" t="s">
        <v>3431</v>
      </c>
      <c r="O25" s="1231"/>
      <c r="P25" s="1228"/>
      <c r="Q25" s="1224"/>
      <c r="R25" s="1219"/>
      <c r="S25" s="1224"/>
      <c r="T25" s="1219"/>
      <c r="U25" s="1214"/>
    </row>
    <row r="26">
      <c r="A26" s="1187"/>
      <c r="B26" s="1227">
        <f>IFERROR(VLOOKUP(C26,'字段信息'!A:C,3,),"")</f>
      </c>
      <c r="C26" s="1228" t="s">
        <v>3432</v>
      </c>
      <c r="D26" s="1220">
        <f>IFERROR(VLOOKUP(C26,'字段信息'!A:C,2,),"")</f>
      </c>
      <c r="E26" s="1221"/>
      <c r="F26" s="1218">
        <f t="shared" si="0"/>
      </c>
      <c r="G26" s="1221" t="s">
        <v>3397</v>
      </c>
      <c r="H26" s="1222"/>
      <c r="I26" s="1222"/>
      <c r="J26" s="1222"/>
      <c r="K26" s="1222"/>
      <c r="L26" s="1223"/>
      <c r="M26" s="1229" t="s">
        <v>3433</v>
      </c>
      <c r="N26" s="1230" t="s">
        <v>3431</v>
      </c>
      <c r="O26" s="1231"/>
      <c r="P26" s="1228"/>
      <c r="Q26" s="1224"/>
      <c r="R26" s="1219"/>
      <c r="S26" s="1224"/>
      <c r="T26" s="1219"/>
      <c r="U26" s="1214"/>
    </row>
    <row r="27">
      <c r="A27" s="1187"/>
      <c r="B27" s="1227">
        <f>IFERROR(VLOOKUP(C27,'字段信息'!A:C,3,),"")</f>
      </c>
      <c r="C27" s="1228" t="s">
        <v>3434</v>
      </c>
      <c r="D27" s="1220">
        <f>IFERROR(VLOOKUP(C27,'字段信息'!A:C,2,),"")</f>
      </c>
      <c r="E27" s="1221"/>
      <c r="F27" s="1218">
        <f t="shared" si="0"/>
      </c>
      <c r="G27" s="1221" t="s">
        <v>3397</v>
      </c>
      <c r="H27" s="1222"/>
      <c r="I27" s="1222"/>
      <c r="J27" s="1222"/>
      <c r="K27" s="1222"/>
      <c r="L27" s="1223"/>
      <c r="M27" s="1229" t="s">
        <v>3435</v>
      </c>
      <c r="N27" s="1230" t="s">
        <v>3431</v>
      </c>
      <c r="O27" s="1231"/>
      <c r="P27" s="1228"/>
      <c r="Q27" s="1224"/>
      <c r="R27" s="1219"/>
      <c r="S27" s="1224"/>
      <c r="T27" s="1219"/>
      <c r="U27" s="1214"/>
    </row>
    <row r="28">
      <c r="A28" s="1187"/>
      <c r="B28" s="1227">
        <f>IFERROR(VLOOKUP(C28,'字段信息'!A:C,3,),"")</f>
      </c>
      <c r="C28" s="1228" t="s">
        <v>3436</v>
      </c>
      <c r="D28" s="1220">
        <f>IFERROR(VLOOKUP(C28,'字段信息'!A:C,2,),"")</f>
      </c>
      <c r="E28" s="1221"/>
      <c r="F28" s="1218">
        <f t="shared" si="0"/>
      </c>
      <c r="G28" s="1221" t="s">
        <v>3397</v>
      </c>
      <c r="H28" s="1222"/>
      <c r="I28" s="1222"/>
      <c r="J28" s="1222"/>
      <c r="K28" s="1222"/>
      <c r="L28" s="1223"/>
      <c r="M28" s="1229" t="s">
        <v>3437</v>
      </c>
      <c r="N28" s="1230" t="s">
        <v>3431</v>
      </c>
      <c r="O28" s="1231"/>
      <c r="P28" s="1228"/>
      <c r="Q28" s="1224"/>
      <c r="R28" s="1219"/>
      <c r="S28" s="1224"/>
      <c r="T28" s="1219"/>
      <c r="U28" s="1214"/>
    </row>
    <row r="29">
      <c r="A29" s="1187"/>
      <c r="B29" s="1227">
        <f>IFERROR(VLOOKUP(C29,'字段信息'!A:C,3,),"")</f>
      </c>
      <c r="C29" s="1228" t="s">
        <v>3438</v>
      </c>
      <c r="D29" s="1220">
        <f>IFERROR(VLOOKUP(C29,'字段信息'!A:C,2,),"")</f>
      </c>
      <c r="E29" s="1221"/>
      <c r="F29" s="1218">
        <f t="shared" si="0"/>
      </c>
      <c r="G29" s="1221" t="s">
        <v>3397</v>
      </c>
      <c r="H29" s="1222"/>
      <c r="I29" s="1222"/>
      <c r="J29" s="1222"/>
      <c r="K29" s="1222"/>
      <c r="L29" s="1223"/>
      <c r="M29" s="1229" t="s">
        <v>3439</v>
      </c>
      <c r="N29" s="1230" t="s">
        <v>3431</v>
      </c>
      <c r="O29" s="1231"/>
      <c r="P29" s="1228"/>
      <c r="Q29" s="1224"/>
      <c r="R29" s="1219"/>
      <c r="S29" s="1224"/>
      <c r="T29" s="1219"/>
      <c r="U29" s="1214"/>
    </row>
    <row r="30">
      <c r="A30" s="1187"/>
      <c r="B30" s="1227">
        <f>IFERROR(VLOOKUP(C30,'字段信息'!A:C,3,),"")</f>
      </c>
      <c r="C30" s="1228" t="s">
        <v>3440</v>
      </c>
      <c r="D30" s="1220">
        <f>IFERROR(VLOOKUP(C30,'字段信息'!A:C,2,),"")</f>
      </c>
      <c r="E30" s="1221"/>
      <c r="F30" s="1218">
        <f t="shared" si="0"/>
      </c>
      <c r="G30" s="1221" t="s">
        <v>3397</v>
      </c>
      <c r="H30" s="1222"/>
      <c r="I30" s="1222"/>
      <c r="J30" s="1222"/>
      <c r="K30" s="1222"/>
      <c r="L30" s="1223"/>
      <c r="M30" s="1229" t="s">
        <v>3441</v>
      </c>
      <c r="N30" s="1230" t="s">
        <v>3431</v>
      </c>
      <c r="O30" s="1231"/>
      <c r="P30" s="1228"/>
      <c r="Q30" s="1224"/>
      <c r="R30" s="1219"/>
      <c r="S30" s="1224"/>
      <c r="T30" s="1219"/>
      <c r="U30" s="1214"/>
    </row>
    <row r="31">
      <c r="A31" s="1187"/>
      <c r="B31" s="1227">
        <f>IFERROR(VLOOKUP(C31,'字段信息'!A:C,3,),"")</f>
      </c>
      <c r="C31" s="1228" t="s">
        <v>3442</v>
      </c>
      <c r="D31" s="1220">
        <f>IFERROR(VLOOKUP(C31,'字段信息'!A:C,2,),"")</f>
      </c>
      <c r="E31" s="1221"/>
      <c r="F31" s="1218">
        <f t="shared" si="0"/>
      </c>
      <c r="G31" s="1221" t="s">
        <v>3397</v>
      </c>
      <c r="H31" s="1222"/>
      <c r="I31" s="1222"/>
      <c r="J31" s="1222"/>
      <c r="K31" s="1222"/>
      <c r="L31" s="1223"/>
      <c r="M31" s="1229" t="s">
        <v>3443</v>
      </c>
      <c r="N31" s="1230" t="s">
        <v>3431</v>
      </c>
      <c r="O31" s="1231"/>
      <c r="P31" s="1228"/>
      <c r="Q31" s="1224"/>
      <c r="R31" s="1219"/>
      <c r="S31" s="1224"/>
      <c r="T31" s="1219"/>
      <c r="U31" s="1214"/>
    </row>
    <row r="32">
      <c r="A32" s="1187"/>
      <c r="B32" s="1227">
        <f>IFERROR(VLOOKUP(C32,'字段信息'!A:C,3,),"")</f>
      </c>
      <c r="C32" s="1228" t="s">
        <v>3444</v>
      </c>
      <c r="D32" s="1220">
        <f>IFERROR(VLOOKUP(C32,'字段信息'!A:C,2,),"")</f>
      </c>
      <c r="E32" s="1221"/>
      <c r="F32" s="1218">
        <f t="shared" si="0"/>
      </c>
      <c r="G32" s="1221" t="s">
        <v>3397</v>
      </c>
      <c r="H32" s="1222"/>
      <c r="I32" s="1222"/>
      <c r="J32" s="1222"/>
      <c r="K32" s="1222"/>
      <c r="L32" s="1223"/>
      <c r="M32" s="1229" t="s">
        <v>3445</v>
      </c>
      <c r="N32" s="1230" t="s">
        <v>3431</v>
      </c>
      <c r="O32" s="1231"/>
      <c r="P32" s="1228"/>
      <c r="Q32" s="1224"/>
      <c r="R32" s="1219"/>
      <c r="S32" s="1224"/>
      <c r="T32" s="1219"/>
      <c r="U32" s="1214"/>
    </row>
    <row r="33">
      <c r="A33" s="1187"/>
      <c r="B33" s="1227">
        <f>IFERROR(VLOOKUP(C33,'字段信息'!A:C,3,),"")</f>
      </c>
      <c r="C33" s="1228" t="s">
        <v>3446</v>
      </c>
      <c r="D33" s="1220">
        <f>IFERROR(VLOOKUP(C33,'字段信息'!A:C,2,),"")</f>
      </c>
      <c r="E33" s="1221"/>
      <c r="F33" s="1218">
        <f t="shared" si="0"/>
      </c>
      <c r="G33" s="1221" t="s">
        <v>3397</v>
      </c>
      <c r="H33" s="1222"/>
      <c r="I33" s="1222"/>
      <c r="J33" s="1222"/>
      <c r="K33" s="1222"/>
      <c r="L33" s="1223"/>
      <c r="M33" s="1229" t="s">
        <v>3447</v>
      </c>
      <c r="N33" s="1230" t="s">
        <v>3431</v>
      </c>
      <c r="O33" s="1231"/>
      <c r="P33" s="1228"/>
      <c r="Q33" s="1224"/>
      <c r="R33" s="1219"/>
      <c r="S33" s="1224"/>
      <c r="T33" s="1219"/>
      <c r="U33" s="1214"/>
    </row>
    <row r="34">
      <c r="A34" s="1187"/>
      <c r="B34" s="1227">
        <f>IFERROR(VLOOKUP(C34,'字段信息'!A:C,3,),"")</f>
      </c>
      <c r="C34" s="1228" t="s">
        <v>3448</v>
      </c>
      <c r="D34" s="1220">
        <f>IFERROR(VLOOKUP(C34,'字段信息'!A:C,2,),"")</f>
      </c>
      <c r="E34" s="1221"/>
      <c r="F34" s="1218">
        <f t="shared" si="0"/>
      </c>
      <c r="G34" s="1221" t="s">
        <v>3397</v>
      </c>
      <c r="H34" s="1222"/>
      <c r="I34" s="1222"/>
      <c r="J34" s="1222"/>
      <c r="K34" s="1222"/>
      <c r="L34" s="1223"/>
      <c r="M34" s="1229" t="s">
        <v>3449</v>
      </c>
      <c r="N34" s="1230" t="s">
        <v>3431</v>
      </c>
      <c r="O34" s="1231"/>
      <c r="P34" s="1228"/>
      <c r="Q34" s="1224"/>
      <c r="R34" s="1219"/>
      <c r="S34" s="1224"/>
      <c r="T34" s="1219"/>
      <c r="U34" s="1214"/>
    </row>
    <row customHeight="true" ht="23.80952380952381" r="35">
      <c r="A35" s="1187"/>
      <c r="B35" s="1227">
        <f>IFERROR(VLOOKUP(C35,'字段信息'!A:C,3,),"")</f>
      </c>
      <c r="C35" s="1228" t="s">
        <v>3450</v>
      </c>
      <c r="D35" s="1220">
        <f>IFERROR(VLOOKUP(C35,'字段信息'!A:C,2,),"")</f>
      </c>
      <c r="E35" s="1221"/>
      <c r="F35" s="1218">
        <f t="shared" si="0"/>
      </c>
      <c r="G35" s="1221" t="s">
        <v>3397</v>
      </c>
      <c r="H35" s="1222"/>
      <c r="I35" s="1222"/>
      <c r="J35" s="1222"/>
      <c r="K35" s="1222"/>
      <c r="L35" s="1223"/>
      <c r="M35" s="1229"/>
      <c r="N35" s="1230"/>
      <c r="O35" s="1231"/>
      <c r="P35" s="1228"/>
      <c r="Q35" s="1224"/>
      <c r="R35" s="1219"/>
      <c r="S35" s="1224"/>
      <c r="T35" s="1219"/>
      <c r="U35" s="1214"/>
    </row>
    <row customHeight="true" ht="23.80952380952381" r="36">
      <c r="A36" s="1187"/>
      <c r="B36" s="1227">
        <f>IFERROR(VLOOKUP(C36,'字段信息'!A:C,3,),"")</f>
      </c>
      <c r="C36" s="1228" t="s">
        <v>3451</v>
      </c>
      <c r="D36" s="1220">
        <f>IFERROR(VLOOKUP(C36,'字段信息'!A:C,2,),"")</f>
      </c>
      <c r="E36" s="1221"/>
      <c r="F36" s="1218">
        <f t="shared" si="0"/>
      </c>
      <c r="G36" s="1221" t="s">
        <v>3397</v>
      </c>
      <c r="H36" s="1222"/>
      <c r="I36" s="1222"/>
      <c r="J36" s="1222"/>
      <c r="K36" s="1222"/>
      <c r="L36" s="1223"/>
      <c r="M36" s="1229"/>
      <c r="N36" s="1230"/>
      <c r="O36" s="1231"/>
      <c r="P36" s="1228"/>
      <c r="Q36" s="1224"/>
      <c r="R36" s="1219"/>
      <c r="S36" s="1224"/>
      <c r="T36" s="1219"/>
      <c r="U36" s="1214"/>
    </row>
    <row customHeight="true" ht="23.80952380952381" r="37">
      <c r="A37" s="1187"/>
      <c r="B37" s="1227">
        <f>IFERROR(VLOOKUP(C37,'字段信息'!A:C,3,),"")</f>
      </c>
      <c r="C37" s="1228" t="s">
        <v>3452</v>
      </c>
      <c r="D37" s="1220">
        <f>IFERROR(VLOOKUP(C37,'字段信息'!A:C,2,),"")</f>
      </c>
      <c r="E37" s="1221"/>
      <c r="F37" s="1218">
        <f t="shared" si="0"/>
      </c>
      <c r="G37" s="1221" t="s">
        <v>3397</v>
      </c>
      <c r="H37" s="1222"/>
      <c r="I37" s="1222"/>
      <c r="J37" s="1222"/>
      <c r="K37" s="1222"/>
      <c r="L37" s="1223"/>
      <c r="M37" s="1229"/>
      <c r="N37" s="1230"/>
      <c r="O37" s="1231"/>
      <c r="P37" s="1228"/>
      <c r="Q37" s="1224"/>
      <c r="R37" s="1219"/>
      <c r="S37" s="1224"/>
      <c r="T37" s="1219"/>
      <c r="U37" s="1214"/>
    </row>
    <row customHeight="true" ht="23.80952380952381" r="38">
      <c r="A38" s="1187"/>
      <c r="B38" s="1227">
        <f>IFERROR(VLOOKUP(C38,'字段信息'!A:C,3,),"")</f>
      </c>
      <c r="C38" s="1228" t="s">
        <v>3453</v>
      </c>
      <c r="D38" s="1220">
        <f>IFERROR(VLOOKUP(C38,'字段信息'!A:C,2,),"")</f>
      </c>
      <c r="E38" s="1221"/>
      <c r="F38" s="1218">
        <f t="shared" si="0"/>
      </c>
      <c r="G38" s="1221" t="s">
        <v>3397</v>
      </c>
      <c r="H38" s="1222"/>
      <c r="I38" s="1222"/>
      <c r="J38" s="1222"/>
      <c r="K38" s="1222"/>
      <c r="L38" s="1223"/>
      <c r="M38" s="1229"/>
      <c r="N38" s="1230"/>
      <c r="O38" s="1231"/>
      <c r="P38" s="1228"/>
      <c r="Q38" s="1224"/>
      <c r="R38" s="1219"/>
      <c r="S38" s="1224"/>
      <c r="T38" s="1219"/>
      <c r="U38" s="1214"/>
    </row>
    <row customHeight="true" ht="23.80952380952381" r="39">
      <c r="A39" s="1187"/>
      <c r="B39" s="1227">
        <f>IFERROR(VLOOKUP(C39,'字段信息'!A:C,3,),"")</f>
      </c>
      <c r="C39" s="1228" t="s">
        <v>3454</v>
      </c>
      <c r="D39" s="1220">
        <f>IFERROR(VLOOKUP(C39,'字段信息'!A:C,2,),"")</f>
      </c>
      <c r="E39" s="1221"/>
      <c r="F39" s="1218">
        <f t="shared" si="0"/>
      </c>
      <c r="G39" s="1221" t="s">
        <v>3397</v>
      </c>
      <c r="H39" s="1222"/>
      <c r="I39" s="1222"/>
      <c r="J39" s="1222"/>
      <c r="K39" s="1222"/>
      <c r="L39" s="1223"/>
      <c r="M39" s="1229"/>
      <c r="N39" s="1230"/>
      <c r="O39" s="1231"/>
      <c r="P39" s="1228"/>
      <c r="Q39" s="1224"/>
      <c r="R39" s="1219"/>
      <c r="S39" s="1224"/>
      <c r="T39" s="1219"/>
      <c r="U39" s="1214"/>
    </row>
    <row customHeight="true" ht="23.80952380952381" r="40">
      <c r="A40" s="1187"/>
      <c r="B40" s="1227">
        <f>IFERROR(VLOOKUP(C40,'字段信息'!A:C,3,),"")</f>
      </c>
      <c r="C40" s="1228" t="s">
        <v>3455</v>
      </c>
      <c r="D40" s="1220">
        <f>IFERROR(VLOOKUP(C40,'字段信息'!A:C,2,),"")</f>
      </c>
      <c r="E40" s="1221"/>
      <c r="F40" s="1218">
        <f t="shared" si="0"/>
      </c>
      <c r="G40" s="1221" t="s">
        <v>3397</v>
      </c>
      <c r="H40" s="1222"/>
      <c r="I40" s="1222"/>
      <c r="J40" s="1222"/>
      <c r="K40" s="1222"/>
      <c r="L40" s="1223"/>
      <c r="M40" s="1229"/>
      <c r="N40" s="1230"/>
      <c r="O40" s="1231"/>
      <c r="P40" s="1228"/>
      <c r="Q40" s="1224"/>
      <c r="R40" s="1219"/>
      <c r="S40" s="1224"/>
      <c r="T40" s="1219"/>
      <c r="U40" s="1214"/>
    </row>
  </sheetData>
  <autoFilter ref="A8:U40"/>
  <mergeCells>
    <mergeCell ref="C2:F2"/>
    <mergeCell ref="B1:D1"/>
    <mergeCell ref="M7:T7"/>
    <mergeCell ref="B7:G7"/>
    <mergeCell ref="C6:G6"/>
  </mergeCells>
  <hyperlinks>
    <hyperlink ref="A1" location="'2. 0 DWM层目录'!A1" display="返回"/>
    <hyperlink ref="A2" location="'规则库'!A1" display="规则库"/>
  </hyperlinks>
  <picture r:id="rId1"/>
</worksheet>
</file>

<file path=xl/worksheets/sheet2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15" min="15" style="0" width="23.868590568332493"/>
    <col collapsed="false" customWidth="true" hidden="false" max="18" min="18" style="0" width="31.680755330176627"/>
    <col collapsed="false" customWidth="true" hidden="false" max="3" min="3" style="0" width="16.507042253521128"/>
    <col collapsed="false" customWidth="true" hidden="false" max="7" min="7" style="0" width="8.732394366197184"/>
    <col collapsed="false" customWidth="true" hidden="false" max="11" min="11" style="0" width="8.732394366197184"/>
    <col collapsed="false" customWidth="true" hidden="true" max="11" min="11" style="0" width="8.732394366197184"/>
    <col collapsed="false" customWidth="true" hidden="false" max="14" min="14" style="0" width="7.154929577464789"/>
    <col collapsed="false" customWidth="true" hidden="false" max="17" min="17" style="0" width="26.422535076947355"/>
    <col collapsed="false" customWidth="true" hidden="false" max="21" min="21" style="0" width="4.206582325351429"/>
    <col collapsed="false" customWidth="true" hidden="false" max="2" min="2" style="0" width="23.718309859154928"/>
    <col collapsed="false" customWidth="true" hidden="false" max="6" min="6" style="0" width="17.070422535211268"/>
    <col collapsed="false" customWidth="true" hidden="false" max="10" min="10" style="0" width="13.80281690140845"/>
    <col collapsed="false" customWidth="true" hidden="true" max="10" min="10" style="0" width="13.80281690140845"/>
    <col collapsed="false" customWidth="true" hidden="false" max="13" min="13" style="0" width="52.225352112676056"/>
    <col collapsed="false" customWidth="true" hidden="false" max="20" min="20" style="0" width="5.577464788732394"/>
    <col collapsed="false" customWidth="true" hidden="false" max="1" min="1" style="0" width="5.23943661971831"/>
    <col collapsed="false" customWidth="true" hidden="false" max="5" min="5" style="0" width="10.647887323943662"/>
    <col collapsed="false" customWidth="true" hidden="false" max="9" min="9" style="0" width="8.732394366197184"/>
    <col collapsed="false" customWidth="true" hidden="true" max="9" min="9" style="0" width="8.732394366197184"/>
    <col collapsed="false" customWidth="true" hidden="false" max="16" min="16" style="0" width="16.09394268100855"/>
    <col collapsed="false" customWidth="true" hidden="false" max="19" min="19" style="0" width="81.16432880422467"/>
    <col collapsed="false" customWidth="true" hidden="false" max="4" min="4" style="0" width="12.56338028169014"/>
    <col collapsed="false" customWidth="true" hidden="false" max="8" min="8" style="0" width="7.154929577464789"/>
    <col collapsed="false" customWidth="true" hidden="true" max="8" min="8" style="0" width="7.154929577464789"/>
    <col collapsed="false" customWidth="true" hidden="false" max="12" min="12" style="0" width="9.746478873239436"/>
    <col collapsed="false" customWidth="true" hidden="true" max="12" min="12" style="0" width="9.746478873239436"/>
  </cols>
  <sheetData>
    <row r="1">
      <c r="A1" s="1232" t="s">
        <v>3456</v>
      </c>
      <c r="B1" s="1233" t="s">
        <v>3457</v>
      </c>
      <c r="C1" s="1233"/>
      <c r="D1" s="1233"/>
      <c r="E1" s="1234"/>
      <c r="F1" s="1235"/>
      <c r="G1" s="1234"/>
      <c r="H1" s="1236"/>
      <c r="I1" s="1236"/>
      <c r="J1" s="1236"/>
      <c r="K1" s="1236"/>
      <c r="L1" s="1236"/>
      <c r="M1" s="1237"/>
      <c r="N1" s="1238"/>
      <c r="O1" s="1235"/>
      <c r="P1" s="1235"/>
      <c r="Q1" s="1235"/>
      <c r="R1" s="1234"/>
      <c r="S1" s="1235"/>
      <c r="T1" s="1234"/>
    </row>
    <row r="2">
      <c r="A2" s="1232" t="s">
        <v>3458</v>
      </c>
      <c r="B2" s="1239" t="s">
        <v>3459</v>
      </c>
      <c r="C2" s="1240" t="s">
        <v>3460</v>
      </c>
      <c r="D2" s="1240"/>
      <c r="E2" s="1240"/>
      <c r="F2" s="1240"/>
      <c r="G2" s="1241"/>
      <c r="H2" s="1236"/>
      <c r="I2" s="1236"/>
      <c r="J2" s="1236"/>
      <c r="K2" s="1236"/>
      <c r="L2" s="1236"/>
      <c r="M2" s="1242" t="s">
        <v>3461</v>
      </c>
      <c r="N2" s="1238"/>
      <c r="O2" s="1235"/>
      <c r="P2" s="1235"/>
      <c r="Q2" s="1235"/>
      <c r="R2" s="1234"/>
      <c r="S2" s="1235"/>
      <c r="T2" s="1234"/>
    </row>
    <row r="3">
      <c r="A3" s="1243"/>
      <c r="B3" s="1244" t="s">
        <v>3462</v>
      </c>
      <c r="C3" s="1245" t="s">
        <v>3463</v>
      </c>
      <c r="D3" s="1246" t="s">
        <v>3464</v>
      </c>
      <c r="E3" s="1247" t="s">
        <v>3465</v>
      </c>
      <c r="F3" s="1244" t="s">
        <v>3466</v>
      </c>
      <c r="G3" s="1245" t="s">
        <v>3467</v>
      </c>
      <c r="H3" s="1236"/>
      <c r="I3" s="1236"/>
      <c r="J3" s="1236"/>
      <c r="K3" s="1236"/>
      <c r="L3" s="1236"/>
      <c r="M3" s="1248" t="s">
        <v>3468</v>
      </c>
      <c r="N3" s="1238"/>
      <c r="O3" s="1235"/>
      <c r="P3" s="1235"/>
      <c r="Q3" s="1235"/>
      <c r="R3" s="1234"/>
      <c r="S3" s="1235"/>
      <c r="T3" s="1234"/>
    </row>
    <row r="4">
      <c r="A4" s="1243"/>
      <c r="B4" s="1244" t="s">
        <v>3469</v>
      </c>
      <c r="C4" s="1249" t="s">
        <v>3470</v>
      </c>
      <c r="D4" s="1250" t="s">
        <v>3471</v>
      </c>
      <c r="E4" s="1251" t="s">
        <v>3472</v>
      </c>
      <c r="F4" s="1252" t="s">
        <v>3473</v>
      </c>
      <c r="G4" s="1245" t="s">
        <v>3474</v>
      </c>
      <c r="H4" s="1236"/>
      <c r="I4" s="1236"/>
      <c r="J4" s="1236"/>
      <c r="K4" s="1236"/>
      <c r="L4" s="1236"/>
      <c r="M4" s="1248" t="s">
        <v>3475</v>
      </c>
      <c r="N4" s="1238"/>
      <c r="O4" s="1235"/>
      <c r="P4" s="1235"/>
      <c r="Q4" s="1235"/>
      <c r="R4" s="1234"/>
      <c r="S4" s="1235"/>
      <c r="T4" s="1234"/>
    </row>
    <row r="5">
      <c r="A5" s="1243"/>
      <c r="B5" s="1244" t="s">
        <v>3476</v>
      </c>
      <c r="C5" s="1245" t="s">
        <v>3477</v>
      </c>
      <c r="D5" s="1246" t="s">
        <v>3478</v>
      </c>
      <c r="E5" s="1253"/>
      <c r="F5" s="1254" t="s">
        <v>3479</v>
      </c>
      <c r="G5" s="1255"/>
      <c r="H5" s="1236"/>
      <c r="I5" s="1236"/>
      <c r="J5" s="1236"/>
      <c r="K5" s="1236"/>
      <c r="L5" s="1236"/>
      <c r="M5" s="1248" t="s">
        <v>3480</v>
      </c>
      <c r="N5" s="1238"/>
      <c r="O5" s="1235"/>
      <c r="P5" s="1235"/>
      <c r="Q5" s="1235"/>
      <c r="R5" s="1234"/>
      <c r="S5" s="1235"/>
      <c r="T5" s="1234"/>
    </row>
    <row r="6">
      <c r="A6" s="1243"/>
      <c r="B6" s="1256" t="s">
        <v>3481</v>
      </c>
      <c r="C6" s="1257" t="s">
        <v>3482</v>
      </c>
      <c r="D6" s="1258"/>
      <c r="E6" s="1258"/>
      <c r="F6" s="1258"/>
      <c r="G6" s="1258"/>
      <c r="H6" s="1236"/>
      <c r="I6" s="1236"/>
      <c r="J6" s="1236"/>
      <c r="K6" s="1236"/>
      <c r="L6" s="1236"/>
      <c r="M6" s="1248" t="s">
        <v>3483</v>
      </c>
      <c r="N6" s="1238"/>
      <c r="O6" s="1235"/>
      <c r="P6" s="1235"/>
      <c r="Q6" s="1235"/>
      <c r="R6" s="1234"/>
      <c r="S6" s="1235"/>
      <c r="T6" s="1234"/>
    </row>
    <row r="7">
      <c r="A7" s="1259"/>
      <c r="B7" s="1260" t="s">
        <v>3484</v>
      </c>
      <c r="C7" s="1261"/>
      <c r="D7" s="1261"/>
      <c r="E7" s="1261"/>
      <c r="F7" s="1260"/>
      <c r="G7" s="1261"/>
      <c r="H7" s="1261"/>
      <c r="I7" s="1261"/>
      <c r="J7" s="1261"/>
      <c r="K7" s="1261"/>
      <c r="L7" s="1261"/>
      <c r="M7" s="1262" t="s">
        <v>3485</v>
      </c>
      <c r="N7" s="1260"/>
      <c r="O7" s="1260"/>
      <c r="P7" s="1260"/>
      <c r="Q7" s="1260"/>
      <c r="R7" s="1261"/>
      <c r="S7" s="1260"/>
      <c r="T7" s="1261"/>
      <c r="U7" s="1263"/>
    </row>
    <row r="8">
      <c r="A8" s="1259"/>
      <c r="B8" s="1264" t="s">
        <v>3486</v>
      </c>
      <c r="C8" s="1265" t="s">
        <v>3487</v>
      </c>
      <c r="D8" s="1265" t="s">
        <v>3488</v>
      </c>
      <c r="E8" s="1265" t="s">
        <v>3489</v>
      </c>
      <c r="F8" s="1264" t="s">
        <v>3490</v>
      </c>
      <c r="G8" s="1265" t="s">
        <v>3491</v>
      </c>
      <c r="H8" s="1265" t="s">
        <v>3492</v>
      </c>
      <c r="I8" s="1265" t="s">
        <v>3493</v>
      </c>
      <c r="J8" s="1265" t="s">
        <v>3494</v>
      </c>
      <c r="K8" s="1265" t="s">
        <v>3495</v>
      </c>
      <c r="L8" s="1266" t="s">
        <v>3496</v>
      </c>
      <c r="M8" s="1267" t="s">
        <v>3497</v>
      </c>
      <c r="N8" s="1268" t="s">
        <v>3498</v>
      </c>
      <c r="O8" s="1269" t="s">
        <v>3499</v>
      </c>
      <c r="P8" s="1264" t="s">
        <v>3500</v>
      </c>
      <c r="Q8" s="1264" t="s">
        <v>3501</v>
      </c>
      <c r="R8" s="1265" t="s">
        <v>3502</v>
      </c>
      <c r="S8" s="1264" t="s">
        <v>3503</v>
      </c>
      <c r="T8" s="1265" t="s">
        <v>3504</v>
      </c>
      <c r="U8" s="1263"/>
    </row>
    <row customHeight="true" ht="23.80952380952381" r="9">
      <c r="A9" s="1236"/>
      <c r="B9" s="1270">
        <f>IFERROR(VLOOKUP(C9,'字段信息'!A:C,3,),"")</f>
      </c>
      <c r="C9" s="1271" t="s">
        <v>3505</v>
      </c>
      <c r="D9" s="1272">
        <f>IFERROR(VLOOKUP(C9,'字段信息'!A:C,2,),"")</f>
      </c>
      <c r="E9" s="1273"/>
      <c r="F9" s="1274">
        <f t="shared" ref="F9:F45" si="0">B9</f>
      </c>
      <c r="G9" s="1273" t="s">
        <v>3506</v>
      </c>
      <c r="H9" s="1275"/>
      <c r="I9" s="1275"/>
      <c r="J9" s="1275"/>
      <c r="K9" s="1275"/>
      <c r="L9" s="1276"/>
      <c r="M9" s="1277" t="s">
        <v>3507</v>
      </c>
      <c r="N9" s="1278" t="s">
        <v>3508</v>
      </c>
      <c r="O9" s="1279"/>
      <c r="P9" s="1271"/>
      <c r="Q9" s="1280"/>
      <c r="R9" s="1281"/>
      <c r="S9" s="1280"/>
      <c r="T9" s="1281"/>
      <c r="U9" s="1263"/>
    </row>
    <row customHeight="true" ht="23.80952380952381" r="10">
      <c r="A10" s="1236"/>
      <c r="B10" s="1270">
        <f>IFERROR(VLOOKUP(C10,'字段信息'!A:C,3,),"")</f>
      </c>
      <c r="C10" s="1271" t="s">
        <v>3509</v>
      </c>
      <c r="D10" s="1272">
        <f>IFERROR(VLOOKUP(C10,'字段信息'!A:C,2,),"")</f>
      </c>
      <c r="E10" s="1273"/>
      <c r="F10" s="1274">
        <f t="shared" si="0"/>
      </c>
      <c r="G10" s="1273" t="s">
        <v>3506</v>
      </c>
      <c r="H10" s="1275"/>
      <c r="I10" s="1275"/>
      <c r="J10" s="1275"/>
      <c r="K10" s="1275"/>
      <c r="L10" s="1276"/>
      <c r="M10" s="1282" t="s">
        <v>3510</v>
      </c>
      <c r="N10" s="1278" t="s">
        <v>3508</v>
      </c>
      <c r="O10" s="1279"/>
      <c r="P10" s="1271"/>
      <c r="Q10" s="1280"/>
      <c r="R10" s="1281"/>
      <c r="S10" s="1280"/>
      <c r="T10" s="1281"/>
      <c r="U10" s="1263"/>
    </row>
    <row r="11">
      <c r="A11" s="1236"/>
      <c r="B11" s="1270">
        <f>IFERROR(VLOOKUP(C11,'字段信息'!A:C,3,),"")</f>
      </c>
      <c r="C11" s="1271" t="s">
        <v>3511</v>
      </c>
      <c r="D11" s="1272">
        <f>IFERROR(VLOOKUP(C11,'字段信息'!A:C,2,),"")</f>
      </c>
      <c r="E11" s="1273"/>
      <c r="F11" s="1274">
        <f t="shared" si="0"/>
      </c>
      <c r="G11" s="1273" t="s">
        <v>3506</v>
      </c>
      <c r="H11" s="1275"/>
      <c r="I11" s="1275"/>
      <c r="J11" s="1275"/>
      <c r="K11" s="1275"/>
      <c r="L11" s="1276"/>
      <c r="M11" s="1282" t="s">
        <v>3512</v>
      </c>
      <c r="N11" s="1278" t="s">
        <v>3508</v>
      </c>
      <c r="O11" s="1279"/>
      <c r="P11" s="1271"/>
      <c r="Q11" s="1280"/>
      <c r="R11" s="1281"/>
      <c r="S11" s="1280"/>
      <c r="T11" s="1281"/>
      <c r="U11" s="1263"/>
    </row>
    <row customHeight="true" ht="23.80952380952381" r="12">
      <c r="A12" s="1236"/>
      <c r="B12" s="1270">
        <f>IFERROR(VLOOKUP(C12,'字段信息'!A:C,3,),"")</f>
      </c>
      <c r="C12" s="1271" t="s">
        <v>3513</v>
      </c>
      <c r="D12" s="1272">
        <f>IFERROR(VLOOKUP(C12,'字段信息'!A:C,2,),"")</f>
      </c>
      <c r="E12" s="1273"/>
      <c r="F12" s="1274">
        <f t="shared" si="0"/>
      </c>
      <c r="G12" s="1273" t="s">
        <v>3506</v>
      </c>
      <c r="H12" s="1275"/>
      <c r="I12" s="1275"/>
      <c r="J12" s="1275"/>
      <c r="K12" s="1275"/>
      <c r="L12" s="1276"/>
      <c r="M12" s="1282" t="s">
        <v>3514</v>
      </c>
      <c r="N12" s="1278" t="s">
        <v>3508</v>
      </c>
      <c r="O12" s="1279"/>
      <c r="P12" s="1271"/>
      <c r="Q12" s="1280"/>
      <c r="R12" s="1281"/>
      <c r="S12" s="1280"/>
      <c r="T12" s="1281"/>
      <c r="U12" s="1263"/>
    </row>
    <row customHeight="true" ht="23.80952380952381" r="13">
      <c r="A13" s="1236"/>
      <c r="B13" s="1270">
        <f>IFERROR(VLOOKUP(C13,'字段信息'!A:C,3,),"")</f>
      </c>
      <c r="C13" s="1271" t="s">
        <v>3515</v>
      </c>
      <c r="D13" s="1272">
        <f>IFERROR(VLOOKUP(C13,'字段信息'!A:C,2,),"")</f>
      </c>
      <c r="E13" s="1273"/>
      <c r="F13" s="1274">
        <f t="shared" si="0"/>
      </c>
      <c r="G13" s="1273" t="s">
        <v>3506</v>
      </c>
      <c r="H13" s="1275"/>
      <c r="I13" s="1275"/>
      <c r="J13" s="1275"/>
      <c r="K13" s="1275"/>
      <c r="L13" s="1276"/>
      <c r="M13" s="1282" t="s">
        <v>3516</v>
      </c>
      <c r="N13" s="1278" t="s">
        <v>3508</v>
      </c>
      <c r="O13" s="1279"/>
      <c r="P13" s="1271"/>
      <c r="Q13" s="1280"/>
      <c r="R13" s="1281"/>
      <c r="S13" s="1280"/>
      <c r="T13" s="1281"/>
      <c r="U13" s="1263"/>
    </row>
    <row customHeight="true" ht="23.80952380952381" r="14">
      <c r="A14" s="1236"/>
      <c r="B14" s="1270">
        <f>IFERROR(VLOOKUP(C14,'字段信息'!A:C,3,),"")</f>
      </c>
      <c r="C14" s="1271" t="s">
        <v>3517</v>
      </c>
      <c r="D14" s="1272">
        <f>IFERROR(VLOOKUP(C14,'字段信息'!A:C,2,),"")</f>
      </c>
      <c r="E14" s="1273"/>
      <c r="F14" s="1274">
        <f t="shared" si="0"/>
      </c>
      <c r="G14" s="1273" t="s">
        <v>3506</v>
      </c>
      <c r="H14" s="1275"/>
      <c r="I14" s="1275"/>
      <c r="J14" s="1275"/>
      <c r="K14" s="1275"/>
      <c r="L14" s="1276"/>
      <c r="M14" s="1282" t="s">
        <v>3518</v>
      </c>
      <c r="N14" s="1278" t="s">
        <v>3508</v>
      </c>
      <c r="O14" s="1279"/>
      <c r="P14" s="1271"/>
      <c r="Q14" s="1280"/>
      <c r="R14" s="1281"/>
      <c r="S14" s="1280"/>
      <c r="T14" s="1281"/>
      <c r="U14" s="1263"/>
    </row>
    <row customHeight="true" ht="23.80952380952381" r="15">
      <c r="A15" s="1236"/>
      <c r="B15" s="1270">
        <f>IFERROR(VLOOKUP(C15,'字段信息'!A:C,3,),"")</f>
      </c>
      <c r="C15" s="1271" t="s">
        <v>3519</v>
      </c>
      <c r="D15" s="1272">
        <f>IFERROR(VLOOKUP(C15,'字段信息'!A:C,2,),"")</f>
      </c>
      <c r="E15" s="1273"/>
      <c r="F15" s="1274">
        <f t="shared" si="0"/>
      </c>
      <c r="G15" s="1273" t="s">
        <v>3506</v>
      </c>
      <c r="H15" s="1275"/>
      <c r="I15" s="1275"/>
      <c r="J15" s="1275"/>
      <c r="K15" s="1275"/>
      <c r="L15" s="1276"/>
      <c r="M15" s="1282" t="s">
        <v>3520</v>
      </c>
      <c r="N15" s="1278" t="s">
        <v>3508</v>
      </c>
      <c r="O15" s="1279"/>
      <c r="P15" s="1271"/>
      <c r="Q15" s="1280"/>
      <c r="R15" s="1281"/>
      <c r="S15" s="1280"/>
      <c r="T15" s="1281"/>
      <c r="U15" s="1263"/>
    </row>
    <row customHeight="true" ht="23.80952380952381" r="16">
      <c r="A16" s="1236"/>
      <c r="B16" s="1270">
        <f>IFERROR(VLOOKUP(C16,'字段信息'!A:C,3,),"")</f>
      </c>
      <c r="C16" s="1271" t="s">
        <v>3521</v>
      </c>
      <c r="D16" s="1272">
        <f>IFERROR(VLOOKUP(C16,'字段信息'!A:C,2,),"")</f>
      </c>
      <c r="E16" s="1273"/>
      <c r="F16" s="1274">
        <f t="shared" si="0"/>
      </c>
      <c r="G16" s="1273" t="s">
        <v>3506</v>
      </c>
      <c r="H16" s="1275"/>
      <c r="I16" s="1275"/>
      <c r="J16" s="1275"/>
      <c r="K16" s="1275"/>
      <c r="L16" s="1276"/>
      <c r="M16" s="1282" t="s">
        <v>3522</v>
      </c>
      <c r="N16" s="1278" t="s">
        <v>3508</v>
      </c>
      <c r="O16" s="1279"/>
      <c r="P16" s="1271"/>
      <c r="Q16" s="1280"/>
      <c r="R16" s="1281"/>
      <c r="S16" s="1280"/>
      <c r="T16" s="1281"/>
      <c r="U16" s="1263"/>
    </row>
    <row customHeight="true" ht="23.80952380952381" r="17">
      <c r="A17" s="1236"/>
      <c r="B17" s="1270">
        <f>IFERROR(VLOOKUP(C17,'字段信息'!A:C,3,),"")</f>
      </c>
      <c r="C17" s="1271" t="s">
        <v>3523</v>
      </c>
      <c r="D17" s="1272">
        <f>IFERROR(VLOOKUP(C17,'字段信息'!A:C,2,),"")</f>
      </c>
      <c r="E17" s="1273"/>
      <c r="F17" s="1274">
        <f t="shared" si="0"/>
      </c>
      <c r="G17" s="1273" t="s">
        <v>3506</v>
      </c>
      <c r="H17" s="1275"/>
      <c r="I17" s="1275"/>
      <c r="J17" s="1275"/>
      <c r="K17" s="1275"/>
      <c r="L17" s="1276"/>
      <c r="M17" s="1282" t="s">
        <v>3524</v>
      </c>
      <c r="N17" s="1278" t="s">
        <v>3508</v>
      </c>
      <c r="O17" s="1279"/>
      <c r="P17" s="1271"/>
      <c r="Q17" s="1280"/>
      <c r="R17" s="1281"/>
      <c r="S17" s="1280"/>
      <c r="T17" s="1281"/>
      <c r="U17" s="1263"/>
    </row>
    <row customHeight="true" ht="23.80952380952381" r="18">
      <c r="A18" s="1236"/>
      <c r="B18" s="1270">
        <f>IFERROR(VLOOKUP(C18,'字段信息'!A:C,3,),"")</f>
      </c>
      <c r="C18" s="1271" t="s">
        <v>3525</v>
      </c>
      <c r="D18" s="1272">
        <f>IFERROR(VLOOKUP(C18,'字段信息'!A:C,2,),"")</f>
      </c>
      <c r="E18" s="1273"/>
      <c r="F18" s="1274">
        <f t="shared" si="0"/>
      </c>
      <c r="G18" s="1273" t="s">
        <v>3506</v>
      </c>
      <c r="H18" s="1275"/>
      <c r="I18" s="1275"/>
      <c r="J18" s="1275"/>
      <c r="K18" s="1275"/>
      <c r="L18" s="1276"/>
      <c r="M18" s="1282" t="s">
        <v>3526</v>
      </c>
      <c r="N18" s="1278" t="s">
        <v>3508</v>
      </c>
      <c r="O18" s="1279"/>
      <c r="P18" s="1271"/>
      <c r="Q18" s="1280"/>
      <c r="R18" s="1281"/>
      <c r="S18" s="1280"/>
      <c r="T18" s="1281"/>
      <c r="U18" s="1263"/>
    </row>
    <row customHeight="true" ht="23.80952380952381" r="19">
      <c r="A19" s="1236"/>
      <c r="B19" s="1270">
        <f>IFERROR(VLOOKUP(C19,'字段信息'!A:C,3,),"")</f>
      </c>
      <c r="C19" s="1271" t="s">
        <v>3527</v>
      </c>
      <c r="D19" s="1272">
        <f>IFERROR(VLOOKUP(C19,'字段信息'!A:C,2,),"")</f>
      </c>
      <c r="E19" s="1273"/>
      <c r="F19" s="1274">
        <f t="shared" si="0"/>
      </c>
      <c r="G19" s="1273" t="s">
        <v>3506</v>
      </c>
      <c r="H19" s="1275"/>
      <c r="I19" s="1275"/>
      <c r="J19" s="1275"/>
      <c r="K19" s="1275"/>
      <c r="L19" s="1276"/>
      <c r="M19" s="1282" t="s">
        <v>3528</v>
      </c>
      <c r="N19" s="1278" t="s">
        <v>3508</v>
      </c>
      <c r="O19" s="1279"/>
      <c r="P19" s="1271"/>
      <c r="Q19" s="1280"/>
      <c r="R19" s="1281"/>
      <c r="S19" s="1280"/>
      <c r="T19" s="1281"/>
      <c r="U19" s="1263"/>
    </row>
    <row customHeight="true" ht="23.80952380952381" r="20">
      <c r="A20" s="1236"/>
      <c r="B20" s="1270">
        <f>IFERROR(VLOOKUP(C20,'字段信息'!A:C,3,),"")</f>
      </c>
      <c r="C20" s="1271" t="s">
        <v>3529</v>
      </c>
      <c r="D20" s="1272">
        <f>IFERROR(VLOOKUP(C20,'字段信息'!A:C,2,),"")</f>
      </c>
      <c r="E20" s="1273"/>
      <c r="F20" s="1274">
        <f t="shared" si="0"/>
      </c>
      <c r="G20" s="1273" t="s">
        <v>3506</v>
      </c>
      <c r="H20" s="1275"/>
      <c r="I20" s="1275"/>
      <c r="J20" s="1275"/>
      <c r="K20" s="1275"/>
      <c r="L20" s="1276"/>
      <c r="M20" s="1282" t="s">
        <v>3530</v>
      </c>
      <c r="N20" s="1278" t="s">
        <v>3508</v>
      </c>
      <c r="O20" s="1279"/>
      <c r="P20" s="1271"/>
      <c r="Q20" s="1280"/>
      <c r="R20" s="1281"/>
      <c r="S20" s="1280"/>
      <c r="T20" s="1281"/>
      <c r="U20" s="1263"/>
    </row>
    <row customHeight="true" ht="23.80952380952381" r="21">
      <c r="A21" s="1236"/>
      <c r="B21" s="1270">
        <f>IFERROR(VLOOKUP(C21,'字段信息'!A:C,3,),"")</f>
      </c>
      <c r="C21" s="1271" t="s">
        <v>3531</v>
      </c>
      <c r="D21" s="1272">
        <f>IFERROR(VLOOKUP(C21,'字段信息'!A:C,2,),"")</f>
      </c>
      <c r="E21" s="1273"/>
      <c r="F21" s="1274">
        <f t="shared" si="0"/>
      </c>
      <c r="G21" s="1273" t="s">
        <v>3506</v>
      </c>
      <c r="H21" s="1275"/>
      <c r="I21" s="1275"/>
      <c r="J21" s="1275"/>
      <c r="K21" s="1275"/>
      <c r="L21" s="1276"/>
      <c r="M21" s="1282" t="s">
        <v>3532</v>
      </c>
      <c r="N21" s="1278" t="s">
        <v>3508</v>
      </c>
      <c r="O21" s="1279"/>
      <c r="P21" s="1271"/>
      <c r="Q21" s="1280"/>
      <c r="R21" s="1281"/>
      <c r="S21" s="1280"/>
      <c r="T21" s="1281"/>
      <c r="U21" s="1263"/>
    </row>
    <row customHeight="true" ht="23.80952380952381" r="22">
      <c r="A22" s="1236"/>
      <c r="B22" s="1270">
        <f>IFERROR(VLOOKUP(C22,'字段信息'!A:C,3,),"")</f>
      </c>
      <c r="C22" s="1271" t="s">
        <v>3533</v>
      </c>
      <c r="D22" s="1272">
        <f>IFERROR(VLOOKUP(C22,'字段信息'!A:C,2,),"")</f>
      </c>
      <c r="E22" s="1273"/>
      <c r="F22" s="1274">
        <f t="shared" si="0"/>
      </c>
      <c r="G22" s="1273" t="s">
        <v>3506</v>
      </c>
      <c r="H22" s="1275"/>
      <c r="I22" s="1275"/>
      <c r="J22" s="1275"/>
      <c r="K22" s="1275"/>
      <c r="L22" s="1276"/>
      <c r="M22" s="1282" t="s">
        <v>3534</v>
      </c>
      <c r="N22" s="1278" t="s">
        <v>3508</v>
      </c>
      <c r="O22" s="1279"/>
      <c r="P22" s="1271"/>
      <c r="Q22" s="1280"/>
      <c r="R22" s="1281"/>
      <c r="S22" s="1280"/>
      <c r="T22" s="1281"/>
      <c r="U22" s="1263"/>
    </row>
    <row customHeight="true" ht="23.80952380952381" r="23">
      <c r="A23" s="1236"/>
      <c r="B23" s="1270">
        <f>IFERROR(VLOOKUP(C23,'字段信息'!A:C,3,),"")</f>
      </c>
      <c r="C23" s="1271" t="s">
        <v>3535</v>
      </c>
      <c r="D23" s="1272">
        <f>IFERROR(VLOOKUP(C23,'字段信息'!A:C,2,),"")</f>
      </c>
      <c r="E23" s="1273"/>
      <c r="F23" s="1274">
        <f t="shared" si="0"/>
      </c>
      <c r="G23" s="1273" t="s">
        <v>3506</v>
      </c>
      <c r="H23" s="1275"/>
      <c r="I23" s="1275"/>
      <c r="J23" s="1275"/>
      <c r="K23" s="1275"/>
      <c r="L23" s="1276"/>
      <c r="M23" s="1282" t="s">
        <v>3536</v>
      </c>
      <c r="N23" s="1278" t="s">
        <v>3508</v>
      </c>
      <c r="O23" s="1279"/>
      <c r="P23" s="1271"/>
      <c r="Q23" s="1280"/>
      <c r="R23" s="1281"/>
      <c r="S23" s="1280"/>
      <c r="T23" s="1281"/>
      <c r="U23" s="1263"/>
    </row>
    <row customHeight="true" ht="23.80952380952381" r="24">
      <c r="A24" s="1236"/>
      <c r="B24" s="1270">
        <f>IFERROR(VLOOKUP(C24,'字段信息'!A:C,3,),"")</f>
      </c>
      <c r="C24" s="1271" t="s">
        <v>3537</v>
      </c>
      <c r="D24" s="1272">
        <f>IFERROR(VLOOKUP(C24,'字段信息'!A:C,2,),"")</f>
      </c>
      <c r="E24" s="1273"/>
      <c r="F24" s="1274">
        <f t="shared" si="0"/>
      </c>
      <c r="G24" s="1273" t="s">
        <v>3506</v>
      </c>
      <c r="H24" s="1275"/>
      <c r="I24" s="1275"/>
      <c r="J24" s="1275"/>
      <c r="K24" s="1275"/>
      <c r="L24" s="1276"/>
      <c r="M24" s="1282" t="s">
        <v>3538</v>
      </c>
      <c r="N24" s="1278" t="s">
        <v>3508</v>
      </c>
      <c r="O24" s="1279"/>
      <c r="P24" s="1271"/>
      <c r="Q24" s="1280"/>
      <c r="R24" s="1281"/>
      <c r="S24" s="1280"/>
      <c r="T24" s="1281"/>
      <c r="U24" s="1263"/>
    </row>
    <row customHeight="true" ht="23.80952380952381" r="25">
      <c r="A25" s="1236"/>
      <c r="B25" s="1270">
        <f>IFERROR(VLOOKUP(C25,'字段信息'!A:C,3,),"")</f>
      </c>
      <c r="C25" s="1271" t="s">
        <v>3539</v>
      </c>
      <c r="D25" s="1272">
        <f>IFERROR(VLOOKUP(C25,'字段信息'!A:C,2,),"")</f>
      </c>
      <c r="E25" s="1273"/>
      <c r="F25" s="1274">
        <f t="shared" si="0"/>
      </c>
      <c r="G25" s="1273" t="s">
        <v>3506</v>
      </c>
      <c r="H25" s="1275"/>
      <c r="I25" s="1275"/>
      <c r="J25" s="1275"/>
      <c r="K25" s="1275"/>
      <c r="L25" s="1276"/>
      <c r="M25" s="1282" t="s">
        <v>3540</v>
      </c>
      <c r="N25" s="1278" t="s">
        <v>3508</v>
      </c>
      <c r="O25" s="1279"/>
      <c r="P25" s="1271"/>
      <c r="Q25" s="1280"/>
      <c r="R25" s="1281"/>
      <c r="S25" s="1280"/>
      <c r="T25" s="1281"/>
      <c r="U25" s="1263"/>
    </row>
    <row customHeight="true" ht="23.80952380952381" r="26">
      <c r="A26" s="1236"/>
      <c r="B26" s="1270">
        <f>IFERROR(VLOOKUP(C26,'字段信息'!A:C,3,),"")</f>
      </c>
      <c r="C26" s="1271" t="s">
        <v>3541</v>
      </c>
      <c r="D26" s="1272">
        <f>IFERROR(VLOOKUP(C26,'字段信息'!A:C,2,),"")</f>
      </c>
      <c r="E26" s="1273"/>
      <c r="F26" s="1274">
        <f t="shared" si="0"/>
      </c>
      <c r="G26" s="1273" t="s">
        <v>3506</v>
      </c>
      <c r="H26" s="1275"/>
      <c r="I26" s="1275"/>
      <c r="J26" s="1275"/>
      <c r="K26" s="1275"/>
      <c r="L26" s="1276"/>
      <c r="M26" s="1282" t="s">
        <v>3510</v>
      </c>
      <c r="N26" s="1278" t="s">
        <v>3508</v>
      </c>
      <c r="O26" s="1279"/>
      <c r="P26" s="1271"/>
      <c r="Q26" s="1280"/>
      <c r="R26" s="1281"/>
      <c r="S26" s="1280"/>
      <c r="T26" s="1281"/>
      <c r="U26" s="1263"/>
    </row>
    <row r="27">
      <c r="A27" s="1236"/>
      <c r="B27" s="1270">
        <f>IFERROR(VLOOKUP(C27,'字段信息'!A:C,3,),"")</f>
      </c>
      <c r="C27" s="1271" t="s">
        <v>3542</v>
      </c>
      <c r="D27" s="1272">
        <f>IFERROR(VLOOKUP(C27,'字段信息'!A:C,2,),"")</f>
      </c>
      <c r="E27" s="1273"/>
      <c r="F27" s="1274">
        <f t="shared" si="0"/>
      </c>
      <c r="G27" s="1273" t="s">
        <v>3506</v>
      </c>
      <c r="H27" s="1275"/>
      <c r="I27" s="1275"/>
      <c r="J27" s="1275"/>
      <c r="K27" s="1275"/>
      <c r="L27" s="1276"/>
      <c r="M27" s="1282" t="s">
        <v>3543</v>
      </c>
      <c r="N27" s="1278" t="s">
        <v>3508</v>
      </c>
      <c r="O27" s="1279"/>
      <c r="P27" s="1271"/>
      <c r="Q27" s="1280"/>
      <c r="R27" s="1281"/>
      <c r="S27" s="1280"/>
      <c r="T27" s="1281"/>
      <c r="U27" s="1263"/>
    </row>
    <row r="28">
      <c r="A28" s="1236"/>
      <c r="B28" s="1270">
        <f>IFERROR(VLOOKUP(C28,'字段信息'!A:C,3,),"")</f>
      </c>
      <c r="C28" s="1271" t="s">
        <v>3544</v>
      </c>
      <c r="D28" s="1272">
        <f>IFERROR(VLOOKUP(C28,'字段信息'!A:C,2,),"")</f>
      </c>
      <c r="E28" s="1273"/>
      <c r="F28" s="1274">
        <f t="shared" si="0"/>
      </c>
      <c r="G28" s="1273" t="s">
        <v>3506</v>
      </c>
      <c r="H28" s="1275"/>
      <c r="I28" s="1275"/>
      <c r="J28" s="1275"/>
      <c r="K28" s="1275"/>
      <c r="L28" s="1276"/>
      <c r="M28" s="1282" t="s">
        <v>3545</v>
      </c>
      <c r="N28" s="1278" t="s">
        <v>3508</v>
      </c>
      <c r="O28" s="1279"/>
      <c r="P28" s="1271"/>
      <c r="Q28" s="1280"/>
      <c r="R28" s="1281"/>
      <c r="S28" s="1280"/>
      <c r="T28" s="1281"/>
      <c r="U28" s="1263"/>
    </row>
    <row r="29">
      <c r="A29" s="1236"/>
      <c r="B29" s="1270">
        <f>IFERROR(VLOOKUP(C29,'字段信息'!A:C,3,),"")</f>
      </c>
      <c r="C29" s="1271" t="s">
        <v>3546</v>
      </c>
      <c r="D29" s="1272">
        <f>IFERROR(VLOOKUP(C29,'字段信息'!A:C,2,),"")</f>
      </c>
      <c r="E29" s="1273"/>
      <c r="F29" s="1274">
        <f t="shared" si="0"/>
      </c>
      <c r="G29" s="1273" t="s">
        <v>3506</v>
      </c>
      <c r="H29" s="1275"/>
      <c r="I29" s="1275"/>
      <c r="J29" s="1275"/>
      <c r="K29" s="1275"/>
      <c r="L29" s="1283"/>
      <c r="M29" s="1282" t="s">
        <v>3547</v>
      </c>
      <c r="N29" s="1278" t="s">
        <v>3508</v>
      </c>
      <c r="O29" s="1279"/>
      <c r="P29" s="1271"/>
      <c r="Q29" s="1280"/>
      <c r="R29" s="1281"/>
      <c r="S29" s="1280"/>
      <c r="T29" s="1281"/>
      <c r="U29" s="1263"/>
    </row>
    <row r="30">
      <c r="A30" s="1236"/>
      <c r="B30" s="1270">
        <f>IFERROR(VLOOKUP(C30,'字段信息'!A:C,3,),"")</f>
      </c>
      <c r="C30" s="1271" t="s">
        <v>3548</v>
      </c>
      <c r="D30" s="1272">
        <f>IFERROR(VLOOKUP(C30,'字段信息'!A:C,2,),"")</f>
      </c>
      <c r="E30" s="1273"/>
      <c r="F30" s="1274">
        <f t="shared" si="0"/>
      </c>
      <c r="G30" s="1273" t="s">
        <v>3506</v>
      </c>
      <c r="H30" s="1275"/>
      <c r="I30" s="1275"/>
      <c r="J30" s="1275"/>
      <c r="K30" s="1275"/>
      <c r="L30" s="1283"/>
      <c r="M30" s="1282" t="s">
        <v>3549</v>
      </c>
      <c r="N30" s="1278" t="s">
        <v>3508</v>
      </c>
      <c r="O30" s="1279"/>
      <c r="P30" s="1271"/>
      <c r="Q30" s="1280"/>
      <c r="R30" s="1281"/>
      <c r="S30" s="1280"/>
      <c r="T30" s="1281"/>
      <c r="U30" s="1263"/>
    </row>
    <row r="31">
      <c r="A31" s="1236"/>
      <c r="B31" s="1270">
        <f>IFERROR(VLOOKUP(C31,'字段信息'!A:C,3,),"")</f>
      </c>
      <c r="C31" s="1271" t="s">
        <v>3550</v>
      </c>
      <c r="D31" s="1272">
        <f>IFERROR(VLOOKUP(C31,'字段信息'!A:C,2,),"")</f>
      </c>
      <c r="E31" s="1273"/>
      <c r="F31" s="1274">
        <f t="shared" si="0"/>
      </c>
      <c r="G31" s="1273" t="s">
        <v>3506</v>
      </c>
      <c r="H31" s="1275"/>
      <c r="I31" s="1275"/>
      <c r="J31" s="1275"/>
      <c r="K31" s="1275"/>
      <c r="L31" s="1283"/>
      <c r="M31" s="1282" t="s">
        <v>3551</v>
      </c>
      <c r="N31" s="1278" t="s">
        <v>3508</v>
      </c>
      <c r="O31" s="1279"/>
      <c r="P31" s="1271"/>
      <c r="Q31" s="1280"/>
      <c r="R31" s="1281"/>
      <c r="S31" s="1280"/>
      <c r="T31" s="1281"/>
      <c r="U31" s="1263"/>
    </row>
    <row r="32">
      <c r="A32" s="1236"/>
      <c r="B32" s="1270">
        <f>IFERROR(VLOOKUP(C32,'字段信息'!A:C,3,),"")</f>
      </c>
      <c r="C32" s="1271" t="s">
        <v>3552</v>
      </c>
      <c r="D32" s="1272">
        <f>IFERROR(VLOOKUP(C32,'字段信息'!A:C,2,),"")</f>
      </c>
      <c r="E32" s="1273"/>
      <c r="F32" s="1274">
        <f t="shared" si="0"/>
      </c>
      <c r="G32" s="1273" t="s">
        <v>3506</v>
      </c>
      <c r="H32" s="1275"/>
      <c r="I32" s="1275"/>
      <c r="J32" s="1275"/>
      <c r="K32" s="1275"/>
      <c r="L32" s="1283"/>
      <c r="M32" s="1282" t="s">
        <v>3553</v>
      </c>
      <c r="N32" s="1278" t="s">
        <v>3508</v>
      </c>
      <c r="O32" s="1279"/>
      <c r="P32" s="1271"/>
      <c r="Q32" s="1280"/>
      <c r="R32" s="1281"/>
      <c r="S32" s="1280"/>
      <c r="T32" s="1281"/>
      <c r="U32" s="1263"/>
    </row>
    <row r="33">
      <c r="A33" s="1236"/>
      <c r="B33" s="1270">
        <f>IFERROR(VLOOKUP(C33,'字段信息'!A:C,3,),"")</f>
      </c>
      <c r="C33" s="1271" t="s">
        <v>3554</v>
      </c>
      <c r="D33" s="1272">
        <f>IFERROR(VLOOKUP(C33,'字段信息'!A:C,2,),"")</f>
      </c>
      <c r="E33" s="1273"/>
      <c r="F33" s="1274">
        <f t="shared" si="0"/>
      </c>
      <c r="G33" s="1273" t="s">
        <v>3506</v>
      </c>
      <c r="H33" s="1275"/>
      <c r="I33" s="1275"/>
      <c r="J33" s="1275"/>
      <c r="K33" s="1275"/>
      <c r="L33" s="1283"/>
      <c r="M33" s="1282" t="s">
        <v>3555</v>
      </c>
      <c r="N33" s="1278" t="s">
        <v>3508</v>
      </c>
      <c r="O33" s="1279"/>
      <c r="P33" s="1271"/>
      <c r="Q33" s="1280"/>
      <c r="R33" s="1281"/>
      <c r="S33" s="1280"/>
      <c r="T33" s="1281"/>
      <c r="U33" s="1263"/>
    </row>
    <row r="34">
      <c r="A34" s="1236"/>
      <c r="B34" s="1270">
        <f>IFERROR(VLOOKUP(C34,'字段信息'!A:C,3,),"")</f>
      </c>
      <c r="C34" s="1271" t="s">
        <v>3556</v>
      </c>
      <c r="D34" s="1272">
        <f>IFERROR(VLOOKUP(C34,'字段信息'!A:C,2,),"")</f>
      </c>
      <c r="E34" s="1273"/>
      <c r="F34" s="1274">
        <f t="shared" si="0"/>
      </c>
      <c r="G34" s="1273" t="s">
        <v>3506</v>
      </c>
      <c r="H34" s="1275"/>
      <c r="I34" s="1275"/>
      <c r="J34" s="1275"/>
      <c r="K34" s="1275"/>
      <c r="L34" s="1283"/>
      <c r="M34" s="1282" t="s">
        <v>3557</v>
      </c>
      <c r="N34" s="1278" t="s">
        <v>3508</v>
      </c>
      <c r="O34" s="1279"/>
      <c r="P34" s="1271"/>
      <c r="Q34" s="1280"/>
      <c r="R34" s="1281"/>
      <c r="S34" s="1280"/>
      <c r="T34" s="1281"/>
      <c r="U34" s="1263"/>
    </row>
    <row r="35">
      <c r="A35" s="1236"/>
      <c r="B35" s="1270">
        <f>IFERROR(VLOOKUP(C35,'字段信息'!A:C,3,),"")</f>
      </c>
      <c r="C35" s="1271" t="s">
        <v>3558</v>
      </c>
      <c r="D35" s="1272">
        <f>IFERROR(VLOOKUP(C35,'字段信息'!A:C,2,),"")</f>
      </c>
      <c r="E35" s="1273"/>
      <c r="F35" s="1274">
        <f t="shared" si="0"/>
      </c>
      <c r="G35" s="1273" t="s">
        <v>3506</v>
      </c>
      <c r="H35" s="1275"/>
      <c r="I35" s="1275"/>
      <c r="J35" s="1275"/>
      <c r="K35" s="1275"/>
      <c r="L35" s="1283"/>
      <c r="M35" s="1282" t="s">
        <v>3559</v>
      </c>
      <c r="N35" s="1278" t="s">
        <v>3508</v>
      </c>
      <c r="O35" s="1279"/>
      <c r="P35" s="1271"/>
      <c r="Q35" s="1280"/>
      <c r="R35" s="1281"/>
      <c r="S35" s="1280"/>
      <c r="T35" s="1281"/>
      <c r="U35" s="1263"/>
    </row>
    <row r="36">
      <c r="A36" s="1236"/>
      <c r="B36" s="1270">
        <f>IFERROR(VLOOKUP(C36,'字段信息'!A:C,3,),"")</f>
      </c>
      <c r="C36" s="1271" t="s">
        <v>3560</v>
      </c>
      <c r="D36" s="1272">
        <f>IFERROR(VLOOKUP(C36,'字段信息'!A:C,2,),"")</f>
      </c>
      <c r="E36" s="1273"/>
      <c r="F36" s="1274">
        <f t="shared" si="0"/>
      </c>
      <c r="G36" s="1273" t="s">
        <v>3506</v>
      </c>
      <c r="H36" s="1275"/>
      <c r="I36" s="1275"/>
      <c r="J36" s="1275"/>
      <c r="K36" s="1275"/>
      <c r="L36" s="1283"/>
      <c r="M36" s="1282" t="s">
        <v>3561</v>
      </c>
      <c r="N36" s="1278" t="s">
        <v>3508</v>
      </c>
      <c r="O36" s="1279"/>
      <c r="P36" s="1271"/>
      <c r="Q36" s="1280"/>
      <c r="R36" s="1281"/>
      <c r="S36" s="1280"/>
      <c r="T36" s="1281"/>
      <c r="U36" s="1263"/>
    </row>
    <row r="37">
      <c r="A37" s="1236"/>
      <c r="B37" s="1270">
        <f>IFERROR(VLOOKUP(C37,'字段信息'!A:C,3,),"")</f>
      </c>
      <c r="C37" s="1271" t="s">
        <v>3562</v>
      </c>
      <c r="D37" s="1272">
        <f>IFERROR(VLOOKUP(C37,'字段信息'!A:C,2,),"")</f>
      </c>
      <c r="E37" s="1273"/>
      <c r="F37" s="1274">
        <f t="shared" si="0"/>
      </c>
      <c r="G37" s="1273" t="s">
        <v>3506</v>
      </c>
      <c r="H37" s="1275"/>
      <c r="I37" s="1275"/>
      <c r="J37" s="1275"/>
      <c r="K37" s="1275"/>
      <c r="L37" s="1283"/>
      <c r="M37" s="1282" t="s">
        <v>3563</v>
      </c>
      <c r="N37" s="1278" t="s">
        <v>3508</v>
      </c>
      <c r="O37" s="1279"/>
      <c r="P37" s="1271"/>
      <c r="Q37" s="1280"/>
      <c r="R37" s="1281"/>
      <c r="S37" s="1280"/>
      <c r="T37" s="1281"/>
      <c r="U37" s="1263"/>
    </row>
    <row r="38">
      <c r="A38" s="1236"/>
      <c r="B38" s="1270">
        <f>IFERROR(VLOOKUP(C38,'字段信息'!A:C,3,),"")</f>
      </c>
      <c r="C38" s="1271" t="s">
        <v>3564</v>
      </c>
      <c r="D38" s="1272">
        <f>IFERROR(VLOOKUP(C38,'字段信息'!A:C,2,),"")</f>
      </c>
      <c r="E38" s="1273"/>
      <c r="F38" s="1274">
        <f t="shared" si="0"/>
      </c>
      <c r="G38" s="1273" t="s">
        <v>3506</v>
      </c>
      <c r="H38" s="1275"/>
      <c r="I38" s="1275"/>
      <c r="J38" s="1275"/>
      <c r="K38" s="1275"/>
      <c r="L38" s="1283"/>
      <c r="M38" s="1282" t="s">
        <v>3565</v>
      </c>
      <c r="N38" s="1278" t="s">
        <v>3508</v>
      </c>
      <c r="O38" s="1279"/>
      <c r="P38" s="1271"/>
      <c r="Q38" s="1280"/>
      <c r="R38" s="1281"/>
      <c r="S38" s="1280"/>
      <c r="T38" s="1281"/>
      <c r="U38" s="1263"/>
    </row>
    <row r="39">
      <c r="A39" s="1236"/>
      <c r="B39" s="1270">
        <f>IFERROR(VLOOKUP(C39,'字段信息'!A:C,3,),"")</f>
      </c>
      <c r="C39" s="1271" t="s">
        <v>3566</v>
      </c>
      <c r="D39" s="1272">
        <f>IFERROR(VLOOKUP(C39,'字段信息'!A:C,2,),"")</f>
      </c>
      <c r="E39" s="1273"/>
      <c r="F39" s="1274">
        <f t="shared" si="0"/>
      </c>
      <c r="G39" s="1273" t="s">
        <v>3506</v>
      </c>
      <c r="H39" s="1275"/>
      <c r="I39" s="1275"/>
      <c r="J39" s="1275"/>
      <c r="K39" s="1275"/>
      <c r="L39" s="1283"/>
      <c r="M39" s="1282" t="s">
        <v>3567</v>
      </c>
      <c r="N39" s="1278" t="s">
        <v>3508</v>
      </c>
      <c r="O39" s="1279"/>
      <c r="P39" s="1271"/>
      <c r="Q39" s="1280"/>
      <c r="R39" s="1281"/>
      <c r="S39" s="1280"/>
      <c r="T39" s="1281"/>
      <c r="U39" s="1263"/>
    </row>
    <row r="40">
      <c r="A40" s="1236"/>
      <c r="B40" s="1270">
        <f>IFERROR(VLOOKUP(C40,'字段信息'!A:C,3,),"")</f>
      </c>
      <c r="C40" s="1271" t="s">
        <v>3568</v>
      </c>
      <c r="D40" s="1272">
        <f>IFERROR(VLOOKUP(C40,'字段信息'!A:C,2,),"")</f>
      </c>
      <c r="E40" s="1273"/>
      <c r="F40" s="1274">
        <f t="shared" si="0"/>
      </c>
      <c r="G40" s="1273" t="s">
        <v>3506</v>
      </c>
      <c r="H40" s="1275"/>
      <c r="I40" s="1275"/>
      <c r="J40" s="1275"/>
      <c r="K40" s="1275"/>
      <c r="L40" s="1283"/>
      <c r="M40" s="1282" t="s">
        <v>3569</v>
      </c>
      <c r="N40" s="1278" t="s">
        <v>3508</v>
      </c>
      <c r="O40" s="1279"/>
      <c r="P40" s="1271"/>
      <c r="Q40" s="1280"/>
      <c r="R40" s="1281"/>
      <c r="S40" s="1280"/>
      <c r="T40" s="1281"/>
      <c r="U40" s="1263"/>
    </row>
    <row r="41">
      <c r="A41" s="1236"/>
      <c r="B41" s="1270">
        <f>IFERROR(VLOOKUP(C41,'字段信息'!A:C,3,),"")</f>
      </c>
      <c r="C41" s="1271" t="s">
        <v>3570</v>
      </c>
      <c r="D41" s="1272">
        <f>IFERROR(VLOOKUP(C41,'字段信息'!A:C,2,),"")</f>
      </c>
      <c r="E41" s="1273"/>
      <c r="F41" s="1274">
        <f t="shared" si="0"/>
      </c>
      <c r="G41" s="1273" t="s">
        <v>3506</v>
      </c>
      <c r="H41" s="1275"/>
      <c r="I41" s="1275"/>
      <c r="J41" s="1275"/>
      <c r="K41" s="1275"/>
      <c r="L41" s="1283"/>
      <c r="M41" s="1282" t="s">
        <v>3571</v>
      </c>
      <c r="N41" s="1278" t="s">
        <v>3508</v>
      </c>
      <c r="O41" s="1279"/>
      <c r="P41" s="1271"/>
      <c r="Q41" s="1280"/>
      <c r="R41" s="1281"/>
      <c r="S41" s="1280"/>
      <c r="T41" s="1281"/>
      <c r="U41" s="1263"/>
    </row>
    <row customHeight="true" ht="23.80952380952381" r="42">
      <c r="A42" s="1236"/>
      <c r="B42" s="1270">
        <f>IFERROR(VLOOKUP(C42,'字段信息'!A:C,3,),"")</f>
      </c>
      <c r="C42" s="1271" t="s">
        <v>3572</v>
      </c>
      <c r="D42" s="1272">
        <f>IFERROR(VLOOKUP(C42,'字段信息'!A:C,2,),"")</f>
      </c>
      <c r="E42" s="1273"/>
      <c r="F42" s="1274">
        <f t="shared" si="0"/>
      </c>
      <c r="G42" s="1273" t="s">
        <v>3506</v>
      </c>
      <c r="H42" s="1275"/>
      <c r="I42" s="1275"/>
      <c r="J42" s="1275"/>
      <c r="K42" s="1275"/>
      <c r="L42" s="1283"/>
      <c r="M42" s="1282" t="s">
        <v>3573</v>
      </c>
      <c r="N42" s="1278" t="s">
        <v>3508</v>
      </c>
      <c r="O42" s="1279"/>
      <c r="P42" s="1271"/>
      <c r="Q42" s="1280"/>
      <c r="R42" s="1281"/>
      <c r="S42" s="1280"/>
      <c r="T42" s="1281"/>
      <c r="U42" s="1263"/>
    </row>
    <row r="43">
      <c r="A43" s="1236"/>
      <c r="B43" s="1270">
        <f>IFERROR(VLOOKUP(C43,'字段信息'!A:C,3,),"")</f>
      </c>
      <c r="C43" s="1271" t="s">
        <v>3574</v>
      </c>
      <c r="D43" s="1272">
        <f>IFERROR(VLOOKUP(C43,'字段信息'!A:C,2,),"")</f>
      </c>
      <c r="E43" s="1273"/>
      <c r="F43" s="1274">
        <f t="shared" si="0"/>
      </c>
      <c r="G43" s="1273" t="s">
        <v>3506</v>
      </c>
      <c r="H43" s="1275"/>
      <c r="I43" s="1275"/>
      <c r="J43" s="1275"/>
      <c r="K43" s="1275"/>
      <c r="L43" s="1283"/>
      <c r="M43" s="1282" t="s">
        <v>3575</v>
      </c>
      <c r="N43" s="1278" t="s">
        <v>3508</v>
      </c>
      <c r="O43" s="1279"/>
      <c r="P43" s="1271"/>
      <c r="Q43" s="1280"/>
      <c r="R43" s="1281"/>
      <c r="S43" s="1284" t="s">
        <v>3576</v>
      </c>
      <c r="T43" s="1281"/>
      <c r="U43" s="1263"/>
    </row>
    <row customHeight="true" ht="23.80952380952381" r="44">
      <c r="A44" s="1236"/>
      <c r="B44" s="1270">
        <f>IFERROR(VLOOKUP(C44,'字段信息'!A:C,3,),"")</f>
      </c>
      <c r="C44" s="1271" t="s">
        <v>3577</v>
      </c>
      <c r="D44" s="1272">
        <f>IFERROR(VLOOKUP(C44,'字段信息'!A:C,2,),"")</f>
      </c>
      <c r="E44" s="1273"/>
      <c r="F44" s="1274">
        <f t="shared" si="0"/>
      </c>
      <c r="G44" s="1273" t="s">
        <v>3506</v>
      </c>
      <c r="H44" s="1275"/>
      <c r="I44" s="1275"/>
      <c r="J44" s="1275"/>
      <c r="K44" s="1275"/>
      <c r="L44" s="1283"/>
      <c r="M44" s="1282" t="s">
        <v>3578</v>
      </c>
      <c r="N44" s="1278" t="s">
        <v>3579</v>
      </c>
      <c r="O44" s="1279" t="s">
        <v>3580</v>
      </c>
      <c r="P44" s="1271" t="s">
        <v>3581</v>
      </c>
      <c r="Q44" s="1280"/>
      <c r="R44" s="1281"/>
      <c r="S44" s="1280"/>
      <c r="T44" s="1281"/>
      <c r="U44" s="1263"/>
    </row>
    <row customHeight="true" ht="23.80952380952381" r="45">
      <c r="A45" s="1236"/>
      <c r="B45" s="1270">
        <f>IFERROR(VLOOKUP(C45,'字段信息'!A:C,3,),"")</f>
      </c>
      <c r="C45" s="1285" t="s">
        <v>3582</v>
      </c>
      <c r="D45" s="1286">
        <f>IFERROR(VLOOKUP(C45,'字段信息'!A:C,2,),"")</f>
      </c>
      <c r="E45" s="1273"/>
      <c r="F45" s="1274">
        <f t="shared" si="0"/>
      </c>
      <c r="G45" s="1273" t="s">
        <v>3506</v>
      </c>
      <c r="H45" s="1275"/>
      <c r="I45" s="1275"/>
      <c r="J45" s="1275"/>
      <c r="K45" s="1275"/>
      <c r="L45" s="1283"/>
      <c r="M45" s="1271" t="s">
        <v>3583</v>
      </c>
      <c r="N45" s="1278"/>
      <c r="O45" s="1279"/>
      <c r="P45" s="1271"/>
      <c r="Q45" s="1280"/>
      <c r="R45" s="1281"/>
      <c r="S45" s="1280"/>
      <c r="T45" s="1281"/>
      <c r="U45" s="1263"/>
    </row>
  </sheetData>
  <autoFilter ref="A8:U45"/>
  <mergeCells>
    <mergeCell ref="M7:T7"/>
    <mergeCell ref="B7:G7"/>
    <mergeCell ref="C6:G6"/>
    <mergeCell ref="B1:D1"/>
    <mergeCell ref="C2:F2"/>
  </mergeCells>
  <hyperlinks>
    <hyperlink ref="A1" location="'2. 0 DWM层目录'!A1" display="返回"/>
    <hyperlink ref="A2" location="'规则库'!A1" display="规则库"/>
  </hyperlinks>
  <picture r:id="rId1"/>
</worksheet>
</file>

<file path=xl/worksheets/sheet2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12" min="12" style="0" width="9.746478873239436"/>
    <col collapsed="false" customWidth="true" hidden="true" max="12" min="12" style="0" width="9.746478873239436"/>
    <col collapsed="false" customWidth="true" hidden="false" max="20" min="20" style="0" width="5.577464788732394"/>
    <col collapsed="false" customWidth="true" hidden="false" max="28" min="28" style="0" width="23.267605633802816"/>
    <col collapsed="false" customWidth="true" hidden="false" max="4" min="4" style="0" width="12.56338028169014"/>
    <col collapsed="false" customWidth="true" hidden="false" max="13" min="13" style="0" width="33.78404181962451"/>
    <col collapsed="false" customWidth="true" hidden="false" max="21" min="21" style="0" width="4.206582325351429"/>
    <col collapsed="false" customWidth="true" hidden="false" max="29" min="29" style="0" width="5.577464788732394"/>
    <col collapsed="false" customWidth="true" hidden="false" max="5" min="5" style="0" width="10.647887323943662"/>
    <col collapsed="false" customWidth="true" hidden="false" max="14" min="14" style="0" width="7.154929577464789"/>
    <col collapsed="false" customWidth="true" hidden="false" max="22" min="22" style="0" width="41.070422535211264"/>
    <col collapsed="false" customWidth="true" hidden="false" max="6" min="6" style="0" width="17.070422535211268"/>
    <col collapsed="false" customWidth="true" hidden="false" max="15" min="15" style="0" width="23.868590568332493"/>
    <col collapsed="false" customWidth="true" hidden="false" max="23" min="23" style="0" width="7.154929577464789"/>
    <col collapsed="false" customWidth="true" hidden="false" max="7" min="7" style="0" width="8.732394366197184"/>
    <col collapsed="false" customWidth="true" hidden="false" max="16" min="16" style="0" width="19.361506608356905"/>
    <col collapsed="false" customWidth="true" hidden="false" max="24" min="24" style="0" width="23.830985915492956"/>
    <col collapsed="false" customWidth="true" hidden="false" max="8" min="8" style="0" width="7.154929577464789"/>
    <col collapsed="false" customWidth="true" hidden="true" max="8" min="8" style="0" width="7.154929577464789"/>
    <col collapsed="false" customWidth="true" hidden="false" max="9" min="9" style="0" width="8.732394366197184"/>
    <col collapsed="false" customWidth="true" hidden="true" max="9" min="9" style="0" width="8.732394366197184"/>
    <col collapsed="false" customWidth="true" hidden="false" max="17" min="17" style="0" width="26.422535076947355"/>
    <col collapsed="false" customWidth="true" hidden="false" max="25" min="25" style="0" width="16.056338028169016"/>
    <col collapsed="false" customWidth="true" hidden="false" max="1" min="1" style="0" width="5.23943661971831"/>
    <col collapsed="false" customWidth="true" hidden="false" max="10" min="10" style="0" width="13.80281690140845"/>
    <col collapsed="false" customWidth="true" hidden="true" max="10" min="10" style="0" width="13.80281690140845"/>
    <col collapsed="false" customWidth="true" hidden="false" max="18" min="18" style="0" width="31.680755330176627"/>
    <col collapsed="false" customWidth="true" hidden="false" max="26" min="26" style="0" width="26.309859154929576"/>
    <col collapsed="false" customWidth="true" hidden="false" max="2" min="2" style="0" width="23.718309859154928"/>
    <col collapsed="false" customWidth="true" hidden="false" max="11" min="11" style="0" width="8.732394366197184"/>
    <col collapsed="false" customWidth="true" hidden="true" max="11" min="11" style="0" width="8.732394366197184"/>
    <col collapsed="false" customWidth="true" hidden="false" max="19" min="19" style="0" width="23.342732556362098"/>
    <col collapsed="false" customWidth="true" hidden="false" max="27" min="27" style="0" width="31.6056338028169"/>
    <col collapsed="false" customWidth="true" hidden="false" max="3" min="3" style="0" width="19.774647887323944"/>
  </cols>
  <sheetData>
    <row r="1">
      <c r="A1" s="1287" t="s">
        <v>3584</v>
      </c>
      <c r="B1" s="1288" t="s">
        <v>3585</v>
      </c>
      <c r="C1" s="1289"/>
      <c r="D1" s="1289"/>
      <c r="E1" s="1290"/>
      <c r="F1" s="1291"/>
      <c r="G1" s="1290"/>
      <c r="H1" s="1292"/>
      <c r="I1" s="1292"/>
      <c r="J1" s="1292"/>
      <c r="K1" s="1292"/>
      <c r="L1" s="1292"/>
      <c r="M1" s="1293"/>
      <c r="N1" s="1294"/>
      <c r="O1" s="1291"/>
      <c r="P1" s="1291"/>
      <c r="Q1" s="1291"/>
      <c r="R1" s="1290"/>
      <c r="S1" s="1291"/>
      <c r="T1" s="1290"/>
      <c r="V1" s="1293"/>
      <c r="W1" s="1294"/>
      <c r="X1" s="1291"/>
      <c r="Y1" s="1291"/>
      <c r="Z1" s="1291"/>
      <c r="AA1" s="1290"/>
      <c r="AB1" s="1291"/>
      <c r="AC1" s="1290"/>
    </row>
    <row r="2">
      <c r="A2" s="1287" t="s">
        <v>3586</v>
      </c>
      <c r="B2" s="1295" t="s">
        <v>3587</v>
      </c>
      <c r="C2" s="1296" t="s">
        <v>3588</v>
      </c>
      <c r="D2" s="1297"/>
      <c r="E2" s="1297"/>
      <c r="F2" s="1298"/>
      <c r="G2" s="1297"/>
      <c r="H2" s="1292"/>
      <c r="I2" s="1292"/>
      <c r="J2" s="1292"/>
      <c r="K2" s="1292"/>
      <c r="L2" s="1292"/>
      <c r="M2" s="1299" t="s">
        <v>3589</v>
      </c>
      <c r="N2" s="1294"/>
      <c r="O2" s="1291"/>
      <c r="P2" s="1291"/>
      <c r="Q2" s="1291"/>
      <c r="R2" s="1290"/>
      <c r="S2" s="1291"/>
      <c r="T2" s="1290"/>
      <c r="V2" s="1293"/>
      <c r="W2" s="1294"/>
      <c r="X2" s="1291"/>
      <c r="Y2" s="1291"/>
      <c r="Z2" s="1291"/>
      <c r="AA2" s="1290"/>
      <c r="AB2" s="1291"/>
      <c r="AC2" s="1290"/>
    </row>
    <row r="3">
      <c r="A3" s="1300"/>
      <c r="B3" s="1301" t="s">
        <v>3590</v>
      </c>
      <c r="C3" s="1302" t="s">
        <v>3591</v>
      </c>
      <c r="D3" s="1303" t="s">
        <v>3592</v>
      </c>
      <c r="E3" s="1304" t="s">
        <v>3593</v>
      </c>
      <c r="F3" s="1301" t="s">
        <v>3594</v>
      </c>
      <c r="G3" s="1302" t="s">
        <v>3595</v>
      </c>
      <c r="H3" s="1292"/>
      <c r="I3" s="1292"/>
      <c r="J3" s="1292"/>
      <c r="K3" s="1292"/>
      <c r="L3" s="1292"/>
      <c r="M3" s="1305" t="s">
        <v>3596</v>
      </c>
      <c r="N3" s="1294"/>
      <c r="O3" s="1291"/>
      <c r="P3" s="1291"/>
      <c r="Q3" s="1291"/>
      <c r="R3" s="1290"/>
      <c r="S3" s="1291"/>
      <c r="T3" s="1290"/>
      <c r="V3" s="1293"/>
      <c r="W3" s="1294"/>
      <c r="X3" s="1291"/>
      <c r="Y3" s="1291"/>
      <c r="Z3" s="1291"/>
      <c r="AA3" s="1290"/>
      <c r="AB3" s="1291"/>
      <c r="AC3" s="1290"/>
    </row>
    <row r="4">
      <c r="A4" s="1300"/>
      <c r="B4" s="1301" t="s">
        <v>3597</v>
      </c>
      <c r="C4" s="1306" t="s">
        <v>3598</v>
      </c>
      <c r="D4" s="1307" t="s">
        <v>3599</v>
      </c>
      <c r="E4" s="1308" t="s">
        <v>3600</v>
      </c>
      <c r="F4" s="1309" t="s">
        <v>3601</v>
      </c>
      <c r="G4" s="1302" t="s">
        <v>3602</v>
      </c>
      <c r="H4" s="1292"/>
      <c r="I4" s="1292"/>
      <c r="J4" s="1292"/>
      <c r="K4" s="1292"/>
      <c r="L4" s="1292"/>
      <c r="M4" s="1305" t="s">
        <v>3603</v>
      </c>
      <c r="N4" s="1294"/>
      <c r="O4" s="1291"/>
      <c r="P4" s="1291"/>
      <c r="Q4" s="1291"/>
      <c r="R4" s="1290"/>
      <c r="S4" s="1291"/>
      <c r="T4" s="1290"/>
      <c r="V4" s="1293"/>
      <c r="W4" s="1294"/>
      <c r="X4" s="1291"/>
      <c r="Y4" s="1291"/>
      <c r="Z4" s="1291"/>
      <c r="AA4" s="1290"/>
      <c r="AB4" s="1291"/>
      <c r="AC4" s="1290"/>
    </row>
    <row r="5">
      <c r="A5" s="1300"/>
      <c r="B5" s="1301" t="s">
        <v>3604</v>
      </c>
      <c r="C5" s="1302" t="s">
        <v>3605</v>
      </c>
      <c r="D5" s="1303" t="s">
        <v>3606</v>
      </c>
      <c r="E5" s="1310"/>
      <c r="F5" s="1311" t="s">
        <v>3607</v>
      </c>
      <c r="G5" s="1312"/>
      <c r="H5" s="1292"/>
      <c r="I5" s="1292"/>
      <c r="J5" s="1292"/>
      <c r="K5" s="1292"/>
      <c r="L5" s="1292"/>
      <c r="M5" s="1305" t="s">
        <v>3608</v>
      </c>
      <c r="N5" s="1294"/>
      <c r="O5" s="1291"/>
      <c r="P5" s="1291"/>
      <c r="Q5" s="1291"/>
      <c r="R5" s="1290"/>
      <c r="S5" s="1291"/>
      <c r="T5" s="1290"/>
      <c r="V5" s="1293"/>
      <c r="W5" s="1294"/>
      <c r="X5" s="1291"/>
      <c r="Y5" s="1291"/>
      <c r="Z5" s="1291"/>
      <c r="AA5" s="1290"/>
      <c r="AB5" s="1291"/>
      <c r="AC5" s="1290"/>
    </row>
    <row r="6">
      <c r="A6" s="1300"/>
      <c r="B6" s="1313" t="s">
        <v>3609</v>
      </c>
      <c r="C6" s="1314" t="s">
        <v>3610</v>
      </c>
      <c r="D6" s="1315"/>
      <c r="E6" s="1315"/>
      <c r="F6" s="1315"/>
      <c r="G6" s="1315"/>
      <c r="H6" s="1292"/>
      <c r="I6" s="1292"/>
      <c r="J6" s="1292"/>
      <c r="K6" s="1292"/>
      <c r="L6" s="1292"/>
      <c r="M6" s="1305" t="s">
        <v>3611</v>
      </c>
      <c r="N6" s="1294"/>
      <c r="O6" s="1291"/>
      <c r="P6" s="1291"/>
      <c r="Q6" s="1291"/>
      <c r="R6" s="1290"/>
      <c r="S6" s="1291"/>
      <c r="T6" s="1290"/>
      <c r="V6" s="1293"/>
      <c r="W6" s="1294"/>
      <c r="X6" s="1291"/>
      <c r="Y6" s="1291"/>
      <c r="Z6" s="1291"/>
      <c r="AA6" s="1290"/>
      <c r="AB6" s="1291"/>
      <c r="AC6" s="1290"/>
    </row>
    <row r="7">
      <c r="A7" s="1316"/>
      <c r="B7" s="1317" t="s">
        <v>3612</v>
      </c>
      <c r="C7" s="1318"/>
      <c r="D7" s="1318"/>
      <c r="E7" s="1318"/>
      <c r="F7" s="1317"/>
      <c r="G7" s="1318"/>
      <c r="H7" s="1318"/>
      <c r="I7" s="1318"/>
      <c r="J7" s="1318"/>
      <c r="K7" s="1318"/>
      <c r="L7" s="1318"/>
      <c r="M7" s="1319" t="s">
        <v>3613</v>
      </c>
      <c r="N7" s="1317"/>
      <c r="O7" s="1317"/>
      <c r="P7" s="1317"/>
      <c r="Q7" s="1317"/>
      <c r="R7" s="1318"/>
      <c r="S7" s="1317"/>
      <c r="T7" s="1318"/>
      <c r="U7" s="1320"/>
      <c r="V7" s="1319" t="s">
        <v>3614</v>
      </c>
      <c r="W7" s="1319"/>
      <c r="X7" s="1319"/>
      <c r="Y7" s="1319"/>
      <c r="Z7" s="1319"/>
      <c r="AA7" s="1319"/>
      <c r="AB7" s="1319"/>
      <c r="AC7" s="1319"/>
    </row>
    <row r="8">
      <c r="A8" s="1316"/>
      <c r="B8" s="1321" t="s">
        <v>3615</v>
      </c>
      <c r="C8" s="1322" t="s">
        <v>3616</v>
      </c>
      <c r="D8" s="1322" t="s">
        <v>3617</v>
      </c>
      <c r="E8" s="1322" t="s">
        <v>3618</v>
      </c>
      <c r="F8" s="1321" t="s">
        <v>3619</v>
      </c>
      <c r="G8" s="1322" t="s">
        <v>3620</v>
      </c>
      <c r="H8" s="1322" t="s">
        <v>3621</v>
      </c>
      <c r="I8" s="1322" t="s">
        <v>3622</v>
      </c>
      <c r="J8" s="1322" t="s">
        <v>3623</v>
      </c>
      <c r="K8" s="1322" t="s">
        <v>3624</v>
      </c>
      <c r="L8" s="1322" t="s">
        <v>3625</v>
      </c>
      <c r="M8" s="1323" t="s">
        <v>3626</v>
      </c>
      <c r="N8" s="1323" t="s">
        <v>3627</v>
      </c>
      <c r="O8" s="1323" t="s">
        <v>3628</v>
      </c>
      <c r="P8" s="1321" t="s">
        <v>3629</v>
      </c>
      <c r="Q8" s="1321" t="s">
        <v>3630</v>
      </c>
      <c r="R8" s="1322" t="s">
        <v>3631</v>
      </c>
      <c r="S8" s="1321" t="s">
        <v>3632</v>
      </c>
      <c r="T8" s="1322" t="s">
        <v>3633</v>
      </c>
      <c r="U8" s="1320"/>
      <c r="V8" s="1323" t="s">
        <v>3626</v>
      </c>
      <c r="W8" s="1323" t="s">
        <v>3627</v>
      </c>
      <c r="X8" s="1323" t="s">
        <v>3628</v>
      </c>
      <c r="Y8" s="1323" t="s">
        <v>3629</v>
      </c>
      <c r="Z8" s="1321" t="s">
        <v>3630</v>
      </c>
      <c r="AA8" s="1322" t="s">
        <v>3631</v>
      </c>
      <c r="AB8" s="1321" t="s">
        <v>3632</v>
      </c>
      <c r="AC8" s="1322" t="s">
        <v>3633</v>
      </c>
    </row>
    <row r="9">
      <c r="A9" s="1292"/>
      <c r="B9" s="1324">
        <f>IFERROR(VLOOKUP(C9,'字段信息'!A:C,3,),"")</f>
      </c>
      <c r="C9" s="1325" t="s">
        <v>3634</v>
      </c>
      <c r="D9" s="1326">
        <f>IFERROR(VLOOKUP(C9,'字段信息'!A:C,2,),"")</f>
      </c>
      <c r="E9" s="1327"/>
      <c r="F9" s="1328">
        <f t="shared" ref="F9:F39" si="0">B9</f>
      </c>
      <c r="G9" s="1327"/>
      <c r="H9" s="1329"/>
      <c r="I9" s="1329"/>
      <c r="J9" s="1329"/>
      <c r="K9" s="1329"/>
      <c r="L9" s="1330"/>
      <c r="M9" s="1331" t="s">
        <v>3635</v>
      </c>
      <c r="N9" s="1332" t="s">
        <v>3636</v>
      </c>
      <c r="O9" s="1333" t="s">
        <v>3637</v>
      </c>
      <c r="P9" s="1331" t="s">
        <v>3634</v>
      </c>
      <c r="Q9" s="1334"/>
      <c r="R9" s="1335"/>
      <c r="S9" s="1334"/>
      <c r="T9" s="1335"/>
      <c r="U9" s="1320"/>
      <c r="V9" s="1336" t="s">
        <v>3638</v>
      </c>
      <c r="W9" s="1337" t="s">
        <v>3639</v>
      </c>
      <c r="X9" s="1338" t="s">
        <v>3640</v>
      </c>
      <c r="Y9" s="1339"/>
      <c r="Z9" s="1340"/>
      <c r="AA9" s="1335"/>
      <c r="AB9" s="1334"/>
      <c r="AC9" s="1335"/>
    </row>
    <row r="10">
      <c r="A10" s="1292"/>
      <c r="B10" s="1324">
        <f>IFERROR(VLOOKUP(C10,'字段信息'!A:C,3,),"")</f>
      </c>
      <c r="C10" s="1325" t="s">
        <v>3641</v>
      </c>
      <c r="D10" s="1326">
        <f>IFERROR(VLOOKUP(C10,'字段信息'!A:C,2,),"")</f>
      </c>
      <c r="E10" s="1327"/>
      <c r="F10" s="1328">
        <f t="shared" si="0"/>
      </c>
      <c r="G10" s="1327" t="s">
        <v>3642</v>
      </c>
      <c r="H10" s="1329"/>
      <c r="I10" s="1329"/>
      <c r="J10" s="1329"/>
      <c r="K10" s="1329"/>
      <c r="L10" s="1330" t="s">
        <v>3643</v>
      </c>
      <c r="M10" s="1331" t="s">
        <v>3635</v>
      </c>
      <c r="N10" s="1332" t="s">
        <v>3636</v>
      </c>
      <c r="O10" s="1333" t="s">
        <v>3637</v>
      </c>
      <c r="P10" s="1331" t="s">
        <v>3641</v>
      </c>
      <c r="Q10" s="1334"/>
      <c r="R10" s="1335"/>
      <c r="S10" s="1334"/>
      <c r="T10" s="1335"/>
      <c r="U10" s="1320"/>
      <c r="V10" s="1336" t="s">
        <v>3644</v>
      </c>
      <c r="W10" s="1337" t="s">
        <v>3639</v>
      </c>
      <c r="X10" s="1338" t="s">
        <v>3640</v>
      </c>
      <c r="Y10" s="1339"/>
      <c r="Z10" s="1340"/>
      <c r="AA10" s="1335"/>
      <c r="AB10" s="1334"/>
      <c r="AC10" s="1335"/>
    </row>
    <row r="11">
      <c r="A11" s="1292"/>
      <c r="B11" s="1324">
        <f>IFERROR(VLOOKUP(C11,'字段信息'!A:C,3,),"")</f>
      </c>
      <c r="C11" s="1325" t="s">
        <v>3645</v>
      </c>
      <c r="D11" s="1326">
        <f>IFERROR(VLOOKUP(C11,'字段信息'!A:C,2,),"")</f>
      </c>
      <c r="E11" s="1327"/>
      <c r="F11" s="1328">
        <f t="shared" si="0"/>
      </c>
      <c r="G11" s="1327" t="s">
        <v>3642</v>
      </c>
      <c r="H11" s="1329"/>
      <c r="I11" s="1329"/>
      <c r="J11" s="1329"/>
      <c r="K11" s="1329"/>
      <c r="L11" s="1330" t="s">
        <v>3643</v>
      </c>
      <c r="M11" s="1341" t="s">
        <v>3646</v>
      </c>
      <c r="N11" s="1332" t="s">
        <v>3636</v>
      </c>
      <c r="O11" s="1333" t="s">
        <v>3637</v>
      </c>
      <c r="P11" s="1331" t="s">
        <v>3645</v>
      </c>
      <c r="Q11" s="1334"/>
      <c r="R11" s="1335"/>
      <c r="S11" s="1334"/>
      <c r="T11" s="1335"/>
      <c r="U11" s="1320"/>
      <c r="V11" s="1342" t="s">
        <v>3647</v>
      </c>
      <c r="W11" s="1337" t="s">
        <v>3639</v>
      </c>
      <c r="X11" s="1338" t="s">
        <v>3640</v>
      </c>
      <c r="Y11" s="1343" t="s">
        <v>3648</v>
      </c>
      <c r="Z11" s="1340"/>
      <c r="AA11" s="1335"/>
      <c r="AB11" s="1334"/>
      <c r="AC11" s="1335"/>
    </row>
    <row r="12">
      <c r="A12" s="1292"/>
      <c r="B12" s="1324">
        <f>IFERROR(VLOOKUP(C12,'字段信息'!A:C,3,),"")</f>
      </c>
      <c r="C12" s="1325" t="s">
        <v>3649</v>
      </c>
      <c r="D12" s="1326">
        <f>IFERROR(VLOOKUP(C12,'字段信息'!A:C,2,),"")</f>
      </c>
      <c r="E12" s="1327"/>
      <c r="F12" s="1328">
        <f t="shared" si="0"/>
      </c>
      <c r="G12" s="1327" t="s">
        <v>3642</v>
      </c>
      <c r="H12" s="1329"/>
      <c r="I12" s="1329"/>
      <c r="J12" s="1329"/>
      <c r="K12" s="1329"/>
      <c r="L12" s="1330" t="s">
        <v>3643</v>
      </c>
      <c r="M12" s="1344">
        <v>1122000000</v>
      </c>
      <c r="N12" s="1332" t="s">
        <v>3636</v>
      </c>
      <c r="O12" s="1333" t="s">
        <v>3637</v>
      </c>
      <c r="P12" s="1331" t="s">
        <v>3649</v>
      </c>
      <c r="Q12" s="1334"/>
      <c r="R12" s="1335"/>
      <c r="S12" s="1334"/>
      <c r="T12" s="1335"/>
      <c r="U12" s="1320"/>
      <c r="V12" s="1345">
        <v>1122000000</v>
      </c>
      <c r="W12" s="1337"/>
      <c r="X12" s="1338"/>
      <c r="Y12" s="1346"/>
      <c r="Z12" s="1340"/>
      <c r="AA12" s="1335"/>
      <c r="AB12" s="1334"/>
      <c r="AC12" s="1335"/>
    </row>
    <row r="13">
      <c r="A13" s="1292"/>
      <c r="B13" s="1324">
        <f>IFERROR(VLOOKUP(C13,'字段信息'!A:C,3,),"")</f>
      </c>
      <c r="C13" s="1325" t="s">
        <v>3650</v>
      </c>
      <c r="D13" s="1326">
        <f>IFERROR(VLOOKUP(C13,'字段信息'!A:C,2,),"")</f>
      </c>
      <c r="E13" s="1327"/>
      <c r="F13" s="1328">
        <f t="shared" si="0"/>
      </c>
      <c r="G13" s="1327" t="s">
        <v>3642</v>
      </c>
      <c r="H13" s="1329"/>
      <c r="I13" s="1329"/>
      <c r="J13" s="1329"/>
      <c r="K13" s="1329"/>
      <c r="L13" s="1330" t="s">
        <v>3643</v>
      </c>
      <c r="M13" s="1347" t="s">
        <v>3651</v>
      </c>
      <c r="N13" s="1332" t="s">
        <v>3636</v>
      </c>
      <c r="O13" s="1333" t="s">
        <v>3637</v>
      </c>
      <c r="P13" s="1331"/>
      <c r="Q13" s="1334"/>
      <c r="R13" s="1335"/>
      <c r="S13" s="1334"/>
      <c r="T13" s="1335"/>
      <c r="U13" s="1320"/>
      <c r="V13" s="1348" t="s">
        <v>3652</v>
      </c>
      <c r="W13" s="1337"/>
      <c r="X13" s="1338"/>
      <c r="Y13" s="1346"/>
      <c r="Z13" s="1340"/>
      <c r="AA13" s="1335"/>
      <c r="AB13" s="1334"/>
      <c r="AC13" s="1335"/>
    </row>
    <row r="14">
      <c r="A14" s="1292"/>
      <c r="B14" s="1324">
        <f>IFERROR(VLOOKUP(C14,'字段信息'!A:C,3,),"")</f>
      </c>
      <c r="C14" s="1325" t="s">
        <v>3653</v>
      </c>
      <c r="D14" s="1326">
        <f>IFERROR(VLOOKUP(C14,'字段信息'!A:C,2,),"")</f>
      </c>
      <c r="E14" s="1327"/>
      <c r="F14" s="1328">
        <f t="shared" si="0"/>
      </c>
      <c r="G14" s="1327" t="s">
        <v>3642</v>
      </c>
      <c r="H14" s="1329"/>
      <c r="I14" s="1329"/>
      <c r="J14" s="1329"/>
      <c r="K14" s="1329"/>
      <c r="L14" s="1349" t="s">
        <v>3643</v>
      </c>
      <c r="M14" s="1331" t="s">
        <v>3635</v>
      </c>
      <c r="N14" s="1332" t="s">
        <v>3636</v>
      </c>
      <c r="O14" s="1333" t="s">
        <v>3637</v>
      </c>
      <c r="P14" s="1331" t="s">
        <v>3653</v>
      </c>
      <c r="Q14" s="1334"/>
      <c r="R14" s="1350"/>
      <c r="S14" s="1350"/>
      <c r="T14" s="1335"/>
      <c r="U14" s="1320"/>
      <c r="V14" s="1342" t="s">
        <v>3635</v>
      </c>
      <c r="W14" s="1337" t="s">
        <v>3639</v>
      </c>
      <c r="X14" s="1338" t="s">
        <v>3640</v>
      </c>
      <c r="Y14" s="1343" t="s">
        <v>3654</v>
      </c>
      <c r="Z14" s="1340"/>
      <c r="AA14" s="1350"/>
      <c r="AB14" s="1350"/>
      <c r="AC14" s="1335"/>
    </row>
    <row r="15">
      <c r="A15" s="1292"/>
      <c r="B15" s="1324">
        <f>IFERROR(VLOOKUP(C15,'字段信息'!A:C,3,),"")</f>
      </c>
      <c r="C15" s="1325" t="s">
        <v>3655</v>
      </c>
      <c r="D15" s="1326">
        <f>IFERROR(VLOOKUP(C15,'字段信息'!A:C,2,),"")</f>
      </c>
      <c r="E15" s="1327"/>
      <c r="F15" s="1328">
        <f t="shared" si="0"/>
      </c>
      <c r="G15" s="1327" t="s">
        <v>3642</v>
      </c>
      <c r="H15" s="1329"/>
      <c r="I15" s="1329"/>
      <c r="J15" s="1329"/>
      <c r="K15" s="1329"/>
      <c r="L15" s="1349" t="s">
        <v>3643</v>
      </c>
      <c r="M15" s="1331" t="s">
        <v>3635</v>
      </c>
      <c r="N15" s="1332" t="s">
        <v>3636</v>
      </c>
      <c r="O15" s="1333" t="s">
        <v>3637</v>
      </c>
      <c r="P15" s="1331" t="s">
        <v>3655</v>
      </c>
      <c r="Q15" s="1334"/>
      <c r="R15" s="1335"/>
      <c r="S15" s="1334"/>
      <c r="T15" s="1335"/>
      <c r="U15" s="1320"/>
      <c r="V15" s="1342" t="s">
        <v>3635</v>
      </c>
      <c r="W15" s="1337" t="s">
        <v>3639</v>
      </c>
      <c r="X15" s="1338" t="s">
        <v>3640</v>
      </c>
      <c r="Y15" s="1343" t="s">
        <v>3656</v>
      </c>
      <c r="Z15" s="1340"/>
      <c r="AA15" s="1335"/>
      <c r="AB15" s="1334"/>
      <c r="AC15" s="1335"/>
    </row>
    <row r="16">
      <c r="A16" s="1292"/>
      <c r="B16" s="1324">
        <f>IFERROR(VLOOKUP(C16,'字段信息'!A:C,3,),"")</f>
      </c>
      <c r="C16" s="1325" t="s">
        <v>3657</v>
      </c>
      <c r="D16" s="1326">
        <f>IFERROR(VLOOKUP(C16,'字段信息'!A:C,2,),"")</f>
      </c>
      <c r="E16" s="1327"/>
      <c r="F16" s="1328">
        <f t="shared" si="0"/>
      </c>
      <c r="G16" s="1327" t="s">
        <v>3642</v>
      </c>
      <c r="H16" s="1329"/>
      <c r="I16" s="1329"/>
      <c r="J16" s="1329"/>
      <c r="K16" s="1329"/>
      <c r="L16" s="1349" t="s">
        <v>3643</v>
      </c>
      <c r="M16" s="1331" t="s">
        <v>3635</v>
      </c>
      <c r="N16" s="1332" t="s">
        <v>3636</v>
      </c>
      <c r="O16" s="1333" t="s">
        <v>3637</v>
      </c>
      <c r="P16" s="1325" t="s">
        <v>3657</v>
      </c>
      <c r="Q16" s="1334"/>
      <c r="R16" s="1335"/>
      <c r="S16" s="1334"/>
      <c r="T16" s="1335"/>
      <c r="U16" s="1320"/>
      <c r="V16" s="1351"/>
      <c r="W16" s="1337"/>
      <c r="X16" s="1338"/>
      <c r="Y16" s="1346"/>
      <c r="Z16" s="1340"/>
      <c r="AA16" s="1335"/>
      <c r="AB16" s="1334"/>
      <c r="AC16" s="1335"/>
    </row>
    <row customHeight="true" ht="47.61904761904762" r="17">
      <c r="A17" s="1292"/>
      <c r="B17" s="1324">
        <f>IFERROR(VLOOKUP(C17,'字段信息'!A:C,3,),"")</f>
      </c>
      <c r="C17" s="1325" t="s">
        <v>3658</v>
      </c>
      <c r="D17" s="1326">
        <f>IFERROR(VLOOKUP(C17,'字段信息'!A:C,2,),"")</f>
      </c>
      <c r="E17" s="1327"/>
      <c r="F17" s="1328">
        <f t="shared" si="0"/>
      </c>
      <c r="G17" s="1327" t="s">
        <v>3642</v>
      </c>
      <c r="H17" s="1329"/>
      <c r="I17" s="1329"/>
      <c r="J17" s="1329"/>
      <c r="K17" s="1329"/>
      <c r="L17" s="1349"/>
      <c r="M17" s="1331" t="s">
        <v>3635</v>
      </c>
      <c r="N17" s="1332" t="s">
        <v>3636</v>
      </c>
      <c r="O17" s="1333" t="s">
        <v>3637</v>
      </c>
      <c r="P17" s="1325" t="s">
        <v>3658</v>
      </c>
      <c r="Q17" s="1334"/>
      <c r="R17" s="1335"/>
      <c r="S17" s="1334"/>
      <c r="T17" s="1335"/>
      <c r="U17" s="1320"/>
      <c r="V17" s="1336"/>
      <c r="W17" s="1337"/>
      <c r="X17" s="1338"/>
      <c r="Y17" s="1346"/>
      <c r="Z17" s="1340"/>
      <c r="AA17" s="1335"/>
      <c r="AB17" s="1334"/>
      <c r="AC17" s="1335"/>
    </row>
    <row customHeight="true" ht="47.61904761904762" r="18">
      <c r="A18" s="1292"/>
      <c r="B18" s="1324">
        <f>IFERROR(VLOOKUP(C18,'字段信息'!A:C,3,),"")</f>
      </c>
      <c r="C18" s="1325" t="s">
        <v>3659</v>
      </c>
      <c r="D18" s="1326">
        <f>IFERROR(VLOOKUP(C18,'字段信息'!A:C,2,),"")</f>
      </c>
      <c r="E18" s="1327"/>
      <c r="F18" s="1328">
        <f t="shared" si="0"/>
      </c>
      <c r="G18" s="1327" t="s">
        <v>3642</v>
      </c>
      <c r="H18" s="1329"/>
      <c r="I18" s="1329"/>
      <c r="J18" s="1329"/>
      <c r="K18" s="1329"/>
      <c r="L18" s="1349"/>
      <c r="M18" s="1331" t="s">
        <v>3635</v>
      </c>
      <c r="N18" s="1332" t="s">
        <v>3636</v>
      </c>
      <c r="O18" s="1333" t="s">
        <v>3637</v>
      </c>
      <c r="P18" s="1325" t="s">
        <v>3659</v>
      </c>
      <c r="Q18" s="1334"/>
      <c r="R18" s="1335"/>
      <c r="S18" s="1334"/>
      <c r="T18" s="1335"/>
      <c r="U18" s="1320"/>
      <c r="V18" s="1342" t="s">
        <v>3635</v>
      </c>
      <c r="W18" s="1337" t="s">
        <v>3639</v>
      </c>
      <c r="X18" s="1338" t="s">
        <v>3640</v>
      </c>
      <c r="Y18" s="1352" t="s">
        <v>3660</v>
      </c>
      <c r="Z18" s="1340"/>
      <c r="AA18" s="1335"/>
      <c r="AB18" s="1334"/>
      <c r="AC18" s="1335"/>
    </row>
    <row r="19">
      <c r="A19" s="1292"/>
      <c r="B19" s="1324">
        <f>IFERROR(VLOOKUP(C19,'字段信息'!A:C,3,),"")</f>
      </c>
      <c r="C19" s="1325" t="s">
        <v>3661</v>
      </c>
      <c r="D19" s="1326">
        <f>IFERROR(VLOOKUP(C19,'字段信息'!A:C,2,),"")</f>
      </c>
      <c r="E19" s="1327"/>
      <c r="F19" s="1328">
        <f t="shared" si="0"/>
      </c>
      <c r="G19" s="1327" t="s">
        <v>3642</v>
      </c>
      <c r="H19" s="1329"/>
      <c r="I19" s="1329"/>
      <c r="J19" s="1329"/>
      <c r="K19" s="1329"/>
      <c r="L19" s="1349" t="s">
        <v>3643</v>
      </c>
      <c r="M19" s="1331" t="s">
        <v>3635</v>
      </c>
      <c r="N19" s="1332" t="s">
        <v>3636</v>
      </c>
      <c r="O19" s="1333" t="s">
        <v>3637</v>
      </c>
      <c r="P19" s="1325" t="s">
        <v>3661</v>
      </c>
      <c r="Q19" s="1334"/>
      <c r="R19" s="1335"/>
      <c r="S19" s="1334"/>
      <c r="T19" s="1335"/>
      <c r="U19" s="1320"/>
      <c r="V19" s="1342" t="s">
        <v>3635</v>
      </c>
      <c r="W19" s="1337" t="s">
        <v>3639</v>
      </c>
      <c r="X19" s="1338" t="s">
        <v>3640</v>
      </c>
      <c r="Y19" s="1352" t="s">
        <v>3662</v>
      </c>
      <c r="Z19" s="1340"/>
      <c r="AA19" s="1335"/>
      <c r="AB19" s="1334"/>
      <c r="AC19" s="1335"/>
    </row>
    <row customHeight="true" ht="16.071428571428573" r="20">
      <c r="A20" s="1292"/>
      <c r="B20" s="1324">
        <f>IFERROR(VLOOKUP(C20,'字段信息'!A:C,3,),"")</f>
      </c>
      <c r="C20" s="1325" t="s">
        <v>3663</v>
      </c>
      <c r="D20" s="1326">
        <f>IFERROR(VLOOKUP(C20,'字段信息'!A:C,2,),"")</f>
      </c>
      <c r="E20" s="1327"/>
      <c r="F20" s="1328">
        <f t="shared" si="0"/>
      </c>
      <c r="G20" s="1327" t="s">
        <v>3642</v>
      </c>
      <c r="H20" s="1329"/>
      <c r="I20" s="1329"/>
      <c r="J20" s="1329"/>
      <c r="K20" s="1329"/>
      <c r="L20" s="1349"/>
      <c r="M20" s="1331" t="s">
        <v>3635</v>
      </c>
      <c r="N20" s="1332" t="s">
        <v>3636</v>
      </c>
      <c r="O20" s="1333" t="s">
        <v>3637</v>
      </c>
      <c r="P20" s="1331" t="s">
        <v>3663</v>
      </c>
      <c r="Q20" s="1334"/>
      <c r="R20" s="1335"/>
      <c r="S20" s="1334"/>
      <c r="T20" s="1335"/>
      <c r="U20" s="1320"/>
      <c r="V20" s="1342" t="s">
        <v>3635</v>
      </c>
      <c r="W20" s="1337" t="s">
        <v>3639</v>
      </c>
      <c r="X20" s="1338" t="s">
        <v>3640</v>
      </c>
      <c r="Y20" s="1325" t="s">
        <v>3664</v>
      </c>
      <c r="Z20" s="1340"/>
      <c r="AA20" s="1335"/>
      <c r="AB20" s="1334"/>
      <c r="AC20" s="1335"/>
    </row>
    <row customHeight="true" ht="16.071428571428573" r="21">
      <c r="A21" s="1353"/>
      <c r="B21" s="1354">
        <f>IFERROR(VLOOKUP(C21,'字段信息'!A:C,3,),"")</f>
      </c>
      <c r="C21" s="1355" t="s">
        <v>3665</v>
      </c>
      <c r="D21" s="1356">
        <f>IFERROR(VLOOKUP(C21,'字段信息'!A:C,2,),"")</f>
      </c>
      <c r="E21" s="1357"/>
      <c r="F21" s="1358">
        <f t="shared" si="0"/>
      </c>
      <c r="G21" s="1357" t="s">
        <v>3642</v>
      </c>
      <c r="H21" s="1359"/>
      <c r="I21" s="1359"/>
      <c r="J21" s="1359"/>
      <c r="K21" s="1359"/>
      <c r="L21" s="1360"/>
      <c r="M21" s="1361" t="s">
        <v>3635</v>
      </c>
      <c r="N21" s="1362" t="s">
        <v>3636</v>
      </c>
      <c r="O21" s="1363" t="s">
        <v>3637</v>
      </c>
      <c r="P21" s="1355" t="s">
        <v>3665</v>
      </c>
      <c r="Q21" s="1364"/>
      <c r="R21" s="1365"/>
      <c r="S21" s="1364"/>
      <c r="T21" s="1365"/>
      <c r="U21" s="1366"/>
      <c r="V21" s="1342" t="s">
        <v>3635</v>
      </c>
      <c r="W21" s="1337" t="s">
        <v>3639</v>
      </c>
      <c r="X21" s="1338" t="s">
        <v>3640</v>
      </c>
      <c r="Y21" s="1325" t="s">
        <v>3666</v>
      </c>
      <c r="Z21" s="1367"/>
      <c r="AA21" s="1365"/>
      <c r="AB21" s="1364"/>
      <c r="AC21" s="1365"/>
    </row>
    <row customHeight="true" ht="16.071428571428573" r="22">
      <c r="A22" s="1353"/>
      <c r="B22" s="1354">
        <f>IFERROR(VLOOKUP(C22,'字段信息'!A:C,3,),"")</f>
      </c>
      <c r="C22" s="1355" t="s">
        <v>3667</v>
      </c>
      <c r="D22" s="1356">
        <f>IFERROR(VLOOKUP(C22,'字段信息'!A:C,2,),"")</f>
      </c>
      <c r="E22" s="1357"/>
      <c r="F22" s="1358">
        <f t="shared" si="0"/>
      </c>
      <c r="G22" s="1357" t="s">
        <v>3642</v>
      </c>
      <c r="H22" s="1359"/>
      <c r="I22" s="1359"/>
      <c r="J22" s="1359"/>
      <c r="K22" s="1359"/>
      <c r="L22" s="1360"/>
      <c r="M22" s="1361" t="s">
        <v>3635</v>
      </c>
      <c r="N22" s="1362" t="s">
        <v>3636</v>
      </c>
      <c r="O22" s="1363" t="s">
        <v>3637</v>
      </c>
      <c r="P22" s="1355" t="s">
        <v>3667</v>
      </c>
      <c r="Q22" s="1364"/>
      <c r="R22" s="1365"/>
      <c r="S22" s="1364"/>
      <c r="T22" s="1365"/>
      <c r="U22" s="1366"/>
      <c r="V22" s="1342" t="s">
        <v>3635</v>
      </c>
      <c r="W22" s="1337" t="s">
        <v>3639</v>
      </c>
      <c r="X22" s="1338" t="s">
        <v>3640</v>
      </c>
      <c r="Y22" s="1325" t="s">
        <v>3668</v>
      </c>
      <c r="Z22" s="1364"/>
      <c r="AA22" s="1365"/>
      <c r="AB22" s="1364"/>
      <c r="AC22" s="1365"/>
    </row>
    <row r="23">
      <c r="A23" s="1368"/>
      <c r="B23" s="1369">
        <f>IFERROR(VLOOKUP(C23,'字段信息'!A:C,3,),"")</f>
      </c>
      <c r="C23" s="1370" t="s">
        <v>3669</v>
      </c>
      <c r="D23" s="1371">
        <f>IFERROR(VLOOKUP(C23,'字段信息'!A:C,2,),"")</f>
      </c>
      <c r="E23" s="1372"/>
      <c r="F23" s="1373">
        <f t="shared" si="0"/>
      </c>
      <c r="G23" s="1372" t="s">
        <v>3642</v>
      </c>
      <c r="H23" s="1374"/>
      <c r="I23" s="1374"/>
      <c r="J23" s="1374"/>
      <c r="K23" s="1374"/>
      <c r="L23" s="1375" t="s">
        <v>3643</v>
      </c>
      <c r="M23" s="1376" t="s">
        <v>3635</v>
      </c>
      <c r="N23" s="1377" t="s">
        <v>3636</v>
      </c>
      <c r="O23" s="1378" t="s">
        <v>3637</v>
      </c>
      <c r="P23" s="1370" t="s">
        <v>3669</v>
      </c>
      <c r="Q23" s="1379"/>
      <c r="R23" s="1380"/>
      <c r="S23" s="1381"/>
      <c r="T23" s="1382"/>
      <c r="U23" s="1383"/>
      <c r="V23" s="1376"/>
      <c r="W23" s="1377"/>
      <c r="X23" s="1378"/>
      <c r="Y23" s="1376"/>
      <c r="Z23" s="1379"/>
      <c r="AA23" s="1380"/>
      <c r="AB23" s="1381"/>
      <c r="AC23" s="1382"/>
    </row>
    <row customHeight="true" ht="16.071428571428573" r="24">
      <c r="A24" s="1292"/>
      <c r="B24" s="1324">
        <f>IFERROR(VLOOKUP(C24,'字段信息'!A:C,3,),"")</f>
      </c>
      <c r="C24" s="1325" t="s">
        <v>3670</v>
      </c>
      <c r="D24" s="1326">
        <f>IFERROR(VLOOKUP(C24,'字段信息'!A:C,2,),"")</f>
      </c>
      <c r="E24" s="1327"/>
      <c r="F24" s="1328">
        <f t="shared" si="0"/>
      </c>
      <c r="G24" s="1327" t="s">
        <v>3642</v>
      </c>
      <c r="H24" s="1329"/>
      <c r="I24" s="1329"/>
      <c r="J24" s="1329"/>
      <c r="K24" s="1329"/>
      <c r="L24" s="1349"/>
      <c r="M24" s="1331" t="s">
        <v>3671</v>
      </c>
      <c r="N24" s="1332"/>
      <c r="O24" s="1333"/>
      <c r="P24" s="1331"/>
      <c r="Q24" s="1384"/>
      <c r="R24" s="1385"/>
      <c r="S24" s="1334"/>
      <c r="T24" s="1335"/>
      <c r="U24" s="1320"/>
      <c r="V24" s="1331" t="s">
        <v>3672</v>
      </c>
      <c r="W24" s="1332"/>
      <c r="X24" s="1333"/>
      <c r="Y24" s="1331"/>
      <c r="Z24" s="1384"/>
      <c r="AA24" s="1385"/>
      <c r="AB24" s="1334"/>
      <c r="AC24" s="1335"/>
    </row>
    <row r="25">
      <c r="A25" s="1292"/>
      <c r="B25" s="1324">
        <f>IFERROR(VLOOKUP(C25,'字段信息'!A:C,3,),"")</f>
      </c>
      <c r="C25" s="1325" t="s">
        <v>3673</v>
      </c>
      <c r="D25" s="1326">
        <f>IFERROR(VLOOKUP(C25,'字段信息'!A:C,2,),"")</f>
      </c>
      <c r="E25" s="1327"/>
      <c r="F25" s="1328">
        <f t="shared" si="0"/>
      </c>
      <c r="G25" s="1327" t="s">
        <v>3642</v>
      </c>
      <c r="H25" s="1329"/>
      <c r="I25" s="1329"/>
      <c r="J25" s="1329"/>
      <c r="K25" s="1329"/>
      <c r="L25" s="1349" t="s">
        <v>3643</v>
      </c>
      <c r="M25" s="1331" t="s">
        <v>3635</v>
      </c>
      <c r="N25" s="1332" t="s">
        <v>3636</v>
      </c>
      <c r="O25" s="1333" t="s">
        <v>3637</v>
      </c>
      <c r="P25" s="1331" t="s">
        <v>3673</v>
      </c>
      <c r="Q25" s="1384"/>
      <c r="R25" s="1385"/>
      <c r="S25" s="1334"/>
      <c r="T25" s="1335"/>
      <c r="U25" s="1320"/>
      <c r="V25" s="1341" t="s">
        <v>3671</v>
      </c>
      <c r="W25" s="1332" t="s">
        <v>3639</v>
      </c>
      <c r="X25" s="1333" t="s">
        <v>3640</v>
      </c>
      <c r="Y25" s="1331"/>
      <c r="Z25" s="1384"/>
      <c r="AA25" s="1385"/>
      <c r="AB25" s="1334"/>
      <c r="AC25" s="1335"/>
    </row>
    <row r="26">
      <c r="A26" s="1292"/>
      <c r="B26" s="1324">
        <f>IFERROR(VLOOKUP(C26,'字段信息'!A:C,3,),"")</f>
      </c>
      <c r="C26" s="1325" t="s">
        <v>3674</v>
      </c>
      <c r="D26" s="1326">
        <f>IFERROR(VLOOKUP(C26,'字段信息'!A:C,2,),"")</f>
      </c>
      <c r="E26" s="1327"/>
      <c r="F26" s="1328">
        <f t="shared" si="0"/>
      </c>
      <c r="G26" s="1327" t="s">
        <v>3642</v>
      </c>
      <c r="H26" s="1329"/>
      <c r="I26" s="1329"/>
      <c r="J26" s="1329"/>
      <c r="K26" s="1329"/>
      <c r="L26" s="1349"/>
      <c r="M26" s="1331" t="s">
        <v>3635</v>
      </c>
      <c r="N26" s="1332" t="s">
        <v>3636</v>
      </c>
      <c r="O26" s="1333" t="s">
        <v>3637</v>
      </c>
      <c r="P26" s="1331" t="s">
        <v>3674</v>
      </c>
      <c r="Q26" s="1386"/>
      <c r="R26" s="1335"/>
      <c r="S26" s="1334"/>
      <c r="T26" s="1335"/>
      <c r="U26" s="1320"/>
      <c r="V26" s="1331" t="s">
        <v>3671</v>
      </c>
      <c r="W26" s="1332" t="s">
        <v>3639</v>
      </c>
      <c r="X26" s="1333" t="s">
        <v>3640</v>
      </c>
      <c r="Y26" s="1331"/>
      <c r="Z26" s="1386"/>
      <c r="AA26" s="1335"/>
      <c r="AB26" s="1334"/>
      <c r="AC26" s="1335"/>
    </row>
    <row r="27">
      <c r="A27" s="1292"/>
      <c r="B27" s="1324">
        <f>IFERROR(VLOOKUP(C27,'字段信息'!A:C,3,),"")</f>
      </c>
      <c r="C27" s="1325" t="s">
        <v>3675</v>
      </c>
      <c r="D27" s="1326">
        <f>IFERROR(VLOOKUP(C27,'字段信息'!A:C,2,),"")</f>
      </c>
      <c r="E27" s="1327"/>
      <c r="F27" s="1328">
        <f t="shared" si="0"/>
      </c>
      <c r="G27" s="1327" t="s">
        <v>3642</v>
      </c>
      <c r="H27" s="1329"/>
      <c r="I27" s="1329"/>
      <c r="J27" s="1329"/>
      <c r="K27" s="1329"/>
      <c r="L27" s="1349" t="s">
        <v>3643</v>
      </c>
      <c r="M27" s="1331" t="s">
        <v>3635</v>
      </c>
      <c r="N27" s="1332" t="s">
        <v>3636</v>
      </c>
      <c r="O27" s="1333" t="s">
        <v>3637</v>
      </c>
      <c r="P27" s="1331" t="s">
        <v>3675</v>
      </c>
      <c r="Q27" s="1334"/>
      <c r="R27" s="1335"/>
      <c r="S27" s="1334"/>
      <c r="T27" s="1335"/>
      <c r="U27" s="1320"/>
      <c r="V27" s="1331" t="s">
        <v>3635</v>
      </c>
      <c r="W27" s="1332" t="s">
        <v>3639</v>
      </c>
      <c r="X27" s="1333" t="s">
        <v>3640</v>
      </c>
      <c r="Y27" s="1325" t="s">
        <v>3676</v>
      </c>
      <c r="Z27" s="1334"/>
      <c r="AA27" s="1335"/>
      <c r="AB27" s="1334"/>
      <c r="AC27" s="1335"/>
    </row>
    <row r="28">
      <c r="A28" s="1292"/>
      <c r="B28" s="1324">
        <f>IFERROR(VLOOKUP(C28,'字段信息'!A:C,3,),"")</f>
      </c>
      <c r="C28" s="1325" t="s">
        <v>3677</v>
      </c>
      <c r="D28" s="1326">
        <f>IFERROR(VLOOKUP(C28,'字段信息'!A:C,2,),"")</f>
      </c>
      <c r="E28" s="1327"/>
      <c r="F28" s="1328">
        <f t="shared" si="0"/>
      </c>
      <c r="G28" s="1327" t="s">
        <v>3642</v>
      </c>
      <c r="H28" s="1329"/>
      <c r="I28" s="1329"/>
      <c r="J28" s="1329"/>
      <c r="K28" s="1329"/>
      <c r="L28" s="1349" t="s">
        <v>3643</v>
      </c>
      <c r="M28" s="1331" t="s">
        <v>3635</v>
      </c>
      <c r="N28" s="1332" t="s">
        <v>3636</v>
      </c>
      <c r="O28" s="1333" t="s">
        <v>3637</v>
      </c>
      <c r="P28" s="1331" t="s">
        <v>3677</v>
      </c>
      <c r="Q28" s="1334"/>
      <c r="R28" s="1335"/>
      <c r="S28" s="1334"/>
      <c r="T28" s="1335"/>
      <c r="U28" s="1320"/>
      <c r="V28" s="1331" t="s">
        <v>3635</v>
      </c>
      <c r="W28" s="1332" t="s">
        <v>3639</v>
      </c>
      <c r="X28" s="1333" t="s">
        <v>3640</v>
      </c>
      <c r="Y28" s="1325" t="s">
        <v>3678</v>
      </c>
      <c r="Z28" s="1334"/>
      <c r="AA28" s="1335"/>
      <c r="AB28" s="1334"/>
      <c r="AC28" s="1335"/>
    </row>
    <row r="29">
      <c r="A29" s="1292"/>
      <c r="B29" s="1324">
        <f>IFERROR(VLOOKUP(C29,'字段信息'!A:C,3,),"")</f>
      </c>
      <c r="C29" s="1325" t="s">
        <v>3679</v>
      </c>
      <c r="D29" s="1326">
        <f>IFERROR(VLOOKUP(C28,'字段信息'!A:C,2,),"")</f>
      </c>
      <c r="E29" s="1327"/>
      <c r="F29" s="1328">
        <f t="shared" si="0"/>
      </c>
      <c r="G29" s="1327" t="s">
        <v>3642</v>
      </c>
      <c r="H29" s="1329"/>
      <c r="I29" s="1329"/>
      <c r="J29" s="1329"/>
      <c r="K29" s="1329"/>
      <c r="L29" s="1349" t="s">
        <v>3643</v>
      </c>
      <c r="M29" s="1331" t="s">
        <v>3635</v>
      </c>
      <c r="N29" s="1332" t="s">
        <v>3636</v>
      </c>
      <c r="O29" s="1333" t="s">
        <v>3637</v>
      </c>
      <c r="P29" s="1331" t="s">
        <v>3679</v>
      </c>
      <c r="Q29" s="1350"/>
      <c r="R29" s="1335"/>
      <c r="S29" s="1334"/>
      <c r="T29" s="1335"/>
      <c r="U29" s="1320"/>
      <c r="V29" s="1331" t="s">
        <v>3671</v>
      </c>
      <c r="W29" s="1332"/>
      <c r="X29" s="1333"/>
      <c r="Y29" s="1331"/>
      <c r="Z29" s="1350"/>
      <c r="AA29" s="1335"/>
      <c r="AB29" s="1334"/>
      <c r="AC29" s="1335"/>
    </row>
    <row r="30">
      <c r="A30" s="1387"/>
      <c r="B30" s="1324">
        <f>IFERROR(VLOOKUP(C30,'字段信息'!A:C,3,),"")</f>
      </c>
      <c r="C30" s="1325" t="s">
        <v>3680</v>
      </c>
      <c r="D30" s="1326">
        <f>IFERROR(VLOOKUP(C29,'字段信息'!A:C,2,),"")</f>
      </c>
      <c r="E30" s="1327"/>
      <c r="F30" s="1328">
        <f t="shared" si="0"/>
      </c>
      <c r="G30" s="1327" t="s">
        <v>3642</v>
      </c>
      <c r="H30" s="1329"/>
      <c r="I30" s="1329"/>
      <c r="J30" s="1329"/>
      <c r="K30" s="1329"/>
      <c r="L30" s="1349" t="s">
        <v>3643</v>
      </c>
      <c r="M30" s="1331" t="s">
        <v>3635</v>
      </c>
      <c r="N30" s="1332" t="s">
        <v>3636</v>
      </c>
      <c r="O30" s="1333" t="s">
        <v>3637</v>
      </c>
      <c r="P30" s="1331" t="s">
        <v>3680</v>
      </c>
      <c r="Q30" s="1388"/>
      <c r="R30" s="1335"/>
      <c r="S30" s="1334"/>
      <c r="T30" s="1335"/>
      <c r="U30" s="1320"/>
      <c r="V30" s="1331" t="s">
        <v>3681</v>
      </c>
      <c r="W30" s="1332"/>
      <c r="X30" s="1333"/>
      <c r="Y30" s="1331"/>
      <c r="Z30" s="1388"/>
      <c r="AA30" s="1335"/>
      <c r="AB30" s="1334"/>
      <c r="AC30" s="1335"/>
    </row>
    <row r="31">
      <c r="A31" s="1292"/>
      <c r="B31" s="1324">
        <f>IFERROR(VLOOKUP(C31,'字段信息'!A:C,3,),"")</f>
      </c>
      <c r="C31" s="1325" t="s">
        <v>3682</v>
      </c>
      <c r="D31" s="1326">
        <f>IFERROR(VLOOKUP(C30,'字段信息'!A:C,2,),"")</f>
      </c>
      <c r="E31" s="1327"/>
      <c r="F31" s="1328">
        <f t="shared" si="0"/>
      </c>
      <c r="G31" s="1327" t="s">
        <v>3642</v>
      </c>
      <c r="H31" s="1329"/>
      <c r="I31" s="1329"/>
      <c r="J31" s="1329"/>
      <c r="K31" s="1329"/>
      <c r="L31" s="1349"/>
      <c r="M31" s="1331" t="s">
        <v>3683</v>
      </c>
      <c r="N31" s="1332" t="s">
        <v>3636</v>
      </c>
      <c r="O31" s="1333" t="s">
        <v>3637</v>
      </c>
      <c r="P31" s="1325" t="s">
        <v>3684</v>
      </c>
      <c r="Q31" s="1334"/>
      <c r="R31" s="1335"/>
      <c r="S31" s="1334"/>
      <c r="T31" s="1335"/>
      <c r="U31" s="1320"/>
      <c r="V31" s="1347" t="s">
        <v>3635</v>
      </c>
      <c r="W31" s="1332" t="s">
        <v>3639</v>
      </c>
      <c r="X31" s="1333" t="s">
        <v>3640</v>
      </c>
      <c r="Y31" s="1333" t="s">
        <v>3685</v>
      </c>
      <c r="Z31" s="1334"/>
      <c r="AA31" s="1335"/>
      <c r="AB31" s="1334"/>
      <c r="AC31" s="1335"/>
    </row>
    <row r="32">
      <c r="A32" s="1292"/>
      <c r="B32" s="1324">
        <f>IFERROR(VLOOKUP(C32,'字段信息'!A:C,3,),"")</f>
      </c>
      <c r="C32" s="1325" t="s">
        <v>3686</v>
      </c>
      <c r="D32" s="1326">
        <f>IFERROR(VLOOKUP(C31,'字段信息'!A:C,2,),"")</f>
      </c>
      <c r="E32" s="1327"/>
      <c r="F32" s="1328">
        <f t="shared" si="0"/>
      </c>
      <c r="G32" s="1327" t="s">
        <v>3642</v>
      </c>
      <c r="H32" s="1329"/>
      <c r="I32" s="1329"/>
      <c r="J32" s="1329"/>
      <c r="K32" s="1329"/>
      <c r="L32" s="1349"/>
      <c r="M32" s="1331" t="s">
        <v>3635</v>
      </c>
      <c r="N32" s="1332" t="s">
        <v>3636</v>
      </c>
      <c r="O32" s="1333" t="s">
        <v>3637</v>
      </c>
      <c r="P32" s="1388" t="s">
        <v>3687</v>
      </c>
      <c r="Q32" s="1334"/>
      <c r="R32" s="1335"/>
      <c r="S32" s="1334"/>
      <c r="T32" s="1335"/>
      <c r="U32" s="1320"/>
      <c r="V32" s="1331"/>
      <c r="W32" s="1332"/>
      <c r="X32" s="1333"/>
      <c r="Y32" s="1388"/>
      <c r="Z32" s="1334"/>
      <c r="AA32" s="1335"/>
      <c r="AB32" s="1334"/>
      <c r="AC32" s="1335"/>
    </row>
    <row r="33">
      <c r="A33" s="1292"/>
      <c r="B33" s="1324">
        <f>IFERROR(VLOOKUP(C33,'字段信息'!A:C,3,),"")</f>
      </c>
      <c r="C33" s="1325" t="s">
        <v>3688</v>
      </c>
      <c r="D33" s="1326">
        <f>IFERROR(VLOOKUP(C32,'字段信息'!A:C,2,),"")</f>
      </c>
      <c r="E33" s="1327"/>
      <c r="F33" s="1328">
        <f t="shared" si="0"/>
      </c>
      <c r="G33" s="1327" t="s">
        <v>3642</v>
      </c>
      <c r="H33" s="1329"/>
      <c r="I33" s="1329"/>
      <c r="J33" s="1329"/>
      <c r="K33" s="1329"/>
      <c r="L33" s="1349"/>
      <c r="M33" s="1331" t="s">
        <v>3635</v>
      </c>
      <c r="N33" s="1332" t="s">
        <v>3636</v>
      </c>
      <c r="O33" s="1333" t="s">
        <v>3637</v>
      </c>
      <c r="P33" s="1325" t="s">
        <v>3689</v>
      </c>
      <c r="Q33" s="1334"/>
      <c r="R33" s="1335"/>
      <c r="S33" s="1334"/>
      <c r="T33" s="1335"/>
      <c r="U33" s="1320"/>
      <c r="V33" s="1331"/>
      <c r="W33" s="1332"/>
      <c r="X33" s="1333"/>
      <c r="Y33" s="1325"/>
      <c r="Z33" s="1334"/>
      <c r="AA33" s="1335"/>
      <c r="AB33" s="1334"/>
      <c r="AC33" s="1335"/>
    </row>
    <row r="34">
      <c r="A34" s="1292"/>
      <c r="B34" s="1324">
        <f>IFERROR(VLOOKUP(C34,'字段信息'!A:C,3,),"")</f>
      </c>
      <c r="C34" s="1325" t="s">
        <v>3690</v>
      </c>
      <c r="D34" s="1326">
        <f>IFERROR(VLOOKUP(C33,'字段信息'!A:C,2,),"")</f>
      </c>
      <c r="E34" s="1327"/>
      <c r="F34" s="1328">
        <f t="shared" si="0"/>
      </c>
      <c r="G34" s="1327" t="s">
        <v>3642</v>
      </c>
      <c r="H34" s="1329"/>
      <c r="I34" s="1329"/>
      <c r="J34" s="1329"/>
      <c r="K34" s="1329"/>
      <c r="L34" s="1349"/>
      <c r="M34" s="1331" t="s">
        <v>3635</v>
      </c>
      <c r="N34" s="1332" t="s">
        <v>3636</v>
      </c>
      <c r="O34" s="1333"/>
      <c r="P34" s="1325" t="s">
        <v>3691</v>
      </c>
      <c r="Q34" s="1334"/>
      <c r="R34" s="1335"/>
      <c r="S34" s="1334"/>
      <c r="T34" s="1335"/>
      <c r="U34" s="1320"/>
      <c r="V34" s="1331"/>
      <c r="W34" s="1332"/>
      <c r="X34" s="1333"/>
      <c r="Y34" s="1325"/>
      <c r="Z34" s="1334"/>
      <c r="AA34" s="1335"/>
      <c r="AB34" s="1334"/>
      <c r="AC34" s="1335"/>
    </row>
    <row r="35">
      <c r="A35" s="1292"/>
      <c r="B35" s="1324">
        <f>IFERROR(VLOOKUP(C35,'字段信息'!A:C,3,),"")</f>
      </c>
      <c r="C35" s="1325" t="s">
        <v>3692</v>
      </c>
      <c r="D35" s="1326">
        <f>IFERROR(VLOOKUP(C34,'字段信息'!A:C,2,),"")</f>
      </c>
      <c r="E35" s="1327"/>
      <c r="F35" s="1328">
        <f t="shared" si="0"/>
      </c>
      <c r="G35" s="1327" t="s">
        <v>3642</v>
      </c>
      <c r="H35" s="1329"/>
      <c r="I35" s="1329"/>
      <c r="J35" s="1329"/>
      <c r="K35" s="1329"/>
      <c r="L35" s="1349"/>
      <c r="M35" s="1331" t="s">
        <v>3693</v>
      </c>
      <c r="N35" s="1332" t="s">
        <v>3636</v>
      </c>
      <c r="O35" s="1333" t="s">
        <v>3637</v>
      </c>
      <c r="P35" s="1325" t="s">
        <v>3694</v>
      </c>
      <c r="Q35" s="1334"/>
      <c r="R35" s="1335"/>
      <c r="S35" s="1334"/>
      <c r="T35" s="1335"/>
      <c r="U35" s="1320"/>
      <c r="V35" s="1331"/>
      <c r="W35" s="1332"/>
      <c r="X35" s="1333"/>
      <c r="Y35" s="1325"/>
      <c r="Z35" s="1334"/>
      <c r="AA35" s="1335"/>
      <c r="AB35" s="1334"/>
      <c r="AC35" s="1335"/>
    </row>
    <row r="36">
      <c r="A36" s="1292"/>
      <c r="B36" s="1324">
        <f>IFERROR(VLOOKUP(C36,'字段信息'!A:C,3,),"")</f>
      </c>
      <c r="C36" s="1325" t="s">
        <v>3695</v>
      </c>
      <c r="D36" s="1326">
        <f>IFERROR(VLOOKUP(C35,'字段信息'!A:C,2,),"")</f>
      </c>
      <c r="E36" s="1327"/>
      <c r="F36" s="1328">
        <f t="shared" si="0"/>
      </c>
      <c r="G36" s="1327" t="s">
        <v>3642</v>
      </c>
      <c r="H36" s="1329"/>
      <c r="I36" s="1329"/>
      <c r="J36" s="1329"/>
      <c r="K36" s="1329"/>
      <c r="L36" s="1349"/>
      <c r="M36" s="1331" t="s">
        <v>3635</v>
      </c>
      <c r="N36" s="1332" t="s">
        <v>3636</v>
      </c>
      <c r="O36" s="1333" t="s">
        <v>3637</v>
      </c>
      <c r="P36" s="1325" t="s">
        <v>3696</v>
      </c>
      <c r="Q36" s="1334"/>
      <c r="R36" s="1335"/>
      <c r="S36" s="1334"/>
      <c r="T36" s="1335"/>
      <c r="U36" s="1320"/>
      <c r="V36" s="1331"/>
      <c r="W36" s="1332"/>
      <c r="X36" s="1333"/>
      <c r="Y36" s="1325"/>
      <c r="Z36" s="1334"/>
      <c r="AA36" s="1335"/>
      <c r="AB36" s="1334"/>
      <c r="AC36" s="1335"/>
    </row>
    <row r="37">
      <c r="A37" s="1292"/>
      <c r="B37" s="1324">
        <f>IFERROR(VLOOKUP(C37,'字段信息'!A:C,3,),"")</f>
      </c>
      <c r="C37" s="1325" t="s">
        <v>3697</v>
      </c>
      <c r="D37" s="1326">
        <f>IFERROR(VLOOKUP(C36,'字段信息'!A:C,2,),"")</f>
      </c>
      <c r="E37" s="1327"/>
      <c r="F37" s="1328">
        <f t="shared" si="0"/>
      </c>
      <c r="G37" s="1327" t="s">
        <v>3642</v>
      </c>
      <c r="H37" s="1329"/>
      <c r="I37" s="1329"/>
      <c r="J37" s="1329"/>
      <c r="K37" s="1329"/>
      <c r="L37" s="1349"/>
      <c r="M37" s="1331" t="s">
        <v>3635</v>
      </c>
      <c r="N37" s="1332" t="s">
        <v>3636</v>
      </c>
      <c r="O37" s="1333" t="s">
        <v>3637</v>
      </c>
      <c r="P37" s="1325" t="s">
        <v>3698</v>
      </c>
      <c r="Q37" s="1334"/>
      <c r="R37" s="1335"/>
      <c r="S37" s="1334"/>
      <c r="T37" s="1335"/>
      <c r="U37" s="1320"/>
      <c r="V37" s="1331"/>
      <c r="W37" s="1332"/>
      <c r="X37" s="1333"/>
      <c r="Y37" s="1325"/>
      <c r="Z37" s="1334"/>
      <c r="AA37" s="1335"/>
      <c r="AB37" s="1334"/>
      <c r="AC37" s="1335"/>
    </row>
    <row customHeight="true" ht="44.357660215682216" r="38">
      <c r="A38" s="1292"/>
      <c r="B38" s="1324">
        <f>IFERROR(VLOOKUP(C38,'字段信息'!A:C,3,),"")</f>
      </c>
      <c r="C38" s="1325" t="s">
        <v>3699</v>
      </c>
      <c r="D38" s="1326">
        <f>IFERROR(VLOOKUP(C37,'字段信息'!A:C,2,),"")</f>
      </c>
      <c r="E38" s="1327"/>
      <c r="F38" s="1328">
        <f t="shared" si="0"/>
      </c>
      <c r="G38" s="1327" t="s">
        <v>3642</v>
      </c>
      <c r="H38" s="1329"/>
      <c r="I38" s="1329"/>
      <c r="J38" s="1329"/>
      <c r="K38" s="1329"/>
      <c r="L38" s="1349"/>
      <c r="M38" s="1389" t="s">
        <v>3700</v>
      </c>
      <c r="N38" s="1332" t="s">
        <v>3636</v>
      </c>
      <c r="O38" s="1384" t="s">
        <v>3701</v>
      </c>
      <c r="P38" s="1331" t="s">
        <v>3702</v>
      </c>
      <c r="Q38" s="1334"/>
      <c r="R38" s="1335"/>
      <c r="S38" s="1334"/>
      <c r="T38" s="1335"/>
      <c r="U38" s="1320"/>
      <c r="V38" s="1389"/>
      <c r="W38" s="1332"/>
      <c r="X38" s="1333"/>
      <c r="Y38" s="1331"/>
      <c r="Z38" s="1334"/>
      <c r="AA38" s="1335"/>
      <c r="AB38" s="1334"/>
      <c r="AC38" s="1335"/>
    </row>
    <row customHeight="true" ht="44.357660215682216" r="39">
      <c r="A39" s="1292"/>
      <c r="B39" s="1324">
        <f>IFERROR(VLOOKUP(C39,'字段信息'!A:C,3,),"")</f>
      </c>
      <c r="C39" s="1325" t="s">
        <v>3703</v>
      </c>
      <c r="D39" s="1326">
        <f>IFERROR(VLOOKUP(C38,'字段信息'!A:C,2,),"")</f>
      </c>
      <c r="E39" s="1327"/>
      <c r="F39" s="1328">
        <f t="shared" si="0"/>
      </c>
      <c r="G39" s="1327" t="s">
        <v>3642</v>
      </c>
      <c r="H39" s="1329"/>
      <c r="I39" s="1329"/>
      <c r="J39" s="1329"/>
      <c r="K39" s="1329"/>
      <c r="L39" s="1349"/>
      <c r="M39" s="1389" t="s">
        <v>3704</v>
      </c>
      <c r="N39" s="1332" t="s">
        <v>3636</v>
      </c>
      <c r="O39" s="1384" t="s">
        <v>3701</v>
      </c>
      <c r="P39" s="1331" t="s">
        <v>3702</v>
      </c>
      <c r="Q39" s="1334"/>
      <c r="R39" s="1335"/>
      <c r="S39" s="1334"/>
      <c r="T39" s="1335"/>
      <c r="U39" s="1320"/>
      <c r="V39" s="1389"/>
      <c r="W39" s="1332"/>
      <c r="X39" s="1333"/>
      <c r="Y39" s="1331"/>
      <c r="Z39" s="1334"/>
      <c r="AA39" s="1335"/>
      <c r="AB39" s="1334"/>
      <c r="AC39" s="1335"/>
    </row>
  </sheetData>
  <autoFilter ref="A8:U39"/>
  <mergeCells>
    <mergeCell ref="V7:AC7"/>
    <mergeCell ref="C6:G6"/>
    <mergeCell ref="B7:G7"/>
    <mergeCell ref="M7:T7"/>
    <mergeCell ref="C2:F2"/>
    <mergeCell ref="B1:D1"/>
  </mergeCells>
  <hyperlinks>
    <hyperlink ref="A2" location="'规则库'!A1" display="规则库"/>
    <hyperlink ref="A1" location="'2. 0 DWM层目录'!A1" display="返回"/>
  </hyperlinks>
  <picture r:id="rId1"/>
</worksheet>
</file>

<file path=xl/worksheets/sheet2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1" min="1" style="0" width="5.23943661971831"/>
    <col collapsed="false" customWidth="true" hidden="false" max="9" min="9" style="0" width="8.732394366197184"/>
    <col collapsed="false" customWidth="true" hidden="true" max="9" min="9" style="0" width="8.732394366197184"/>
    <col collapsed="false" customWidth="true" hidden="false" max="17" min="17" style="0" width="26.422535076947355"/>
    <col collapsed="false" customWidth="true" hidden="false" max="25" min="25" style="0" width="16.056338028169016"/>
    <col collapsed="false" customWidth="true" hidden="false" max="8" min="8" style="0" width="7.154929577464789"/>
    <col collapsed="false" customWidth="true" hidden="true" max="8" min="8" style="0" width="7.154929577464789"/>
    <col collapsed="false" customWidth="true" hidden="false" max="16" min="16" style="0" width="16.09394268100855"/>
    <col collapsed="false" customWidth="true" hidden="false" max="24" min="24" style="0" width="23.830985915492956"/>
    <col collapsed="false" customWidth="true" hidden="false" max="7" min="7" style="0" width="8.732394366197184"/>
    <col collapsed="false" customWidth="true" hidden="false" max="15" min="15" style="0" width="23.868590568332493"/>
    <col collapsed="false" customWidth="true" hidden="false" max="23" min="23" style="0" width="7.154929577464789"/>
    <col collapsed="false" customWidth="true" hidden="false" max="6" min="6" style="0" width="17.070422535211268"/>
    <col collapsed="false" customWidth="true" hidden="false" max="14" min="14" style="0" width="7.154929577464789"/>
    <col collapsed="false" customWidth="true" hidden="false" max="22" min="22" style="0" width="41.070422535211264"/>
    <col collapsed="false" customWidth="true" hidden="false" max="5" min="5" style="0" width="10.647887323943662"/>
    <col collapsed="false" customWidth="true" hidden="false" max="13" min="13" style="0" width="33.78404181962451"/>
    <col collapsed="false" customWidth="true" hidden="false" max="21" min="21" style="0" width="4.206582325351429"/>
    <col collapsed="false" customWidth="true" hidden="false" max="29" min="29" style="0" width="5.577464788732394"/>
    <col collapsed="false" customWidth="true" hidden="false" max="4" min="4" style="0" width="12.56338028169014"/>
    <col collapsed="false" customWidth="true" hidden="false" max="12" min="12" style="0" width="9.746478873239436"/>
    <col collapsed="false" customWidth="true" hidden="true" max="12" min="12" style="0" width="9.746478873239436"/>
    <col collapsed="false" customWidth="true" hidden="false" max="20" min="20" style="0" width="5.577464788732394"/>
    <col collapsed="false" customWidth="true" hidden="false" max="28" min="28" style="0" width="23.267605633802816"/>
    <col collapsed="false" customWidth="true" hidden="false" max="3" min="3" style="0" width="19.774647887323944"/>
    <col collapsed="false" customWidth="true" hidden="false" max="11" min="11" style="0" width="8.732394366197184"/>
    <col collapsed="false" customWidth="true" hidden="true" max="11" min="11" style="0" width="8.732394366197184"/>
    <col collapsed="false" customWidth="true" hidden="false" max="19" min="19" style="0" width="42.760560514781744"/>
    <col collapsed="false" customWidth="true" hidden="false" max="27" min="27" style="0" width="31.6056338028169"/>
    <col collapsed="false" customWidth="true" hidden="false" max="2" min="2" style="0" width="23.718309859154928"/>
    <col collapsed="false" customWidth="true" hidden="false" max="10" min="10" style="0" width="13.80281690140845"/>
    <col collapsed="false" customWidth="true" hidden="true" max="10" min="10" style="0" width="13.80281690140845"/>
    <col collapsed="false" customWidth="true" hidden="false" max="18" min="18" style="0" width="31.680755330176627"/>
    <col collapsed="false" customWidth="true" hidden="false" max="26" min="26" style="0" width="26.309859154929576"/>
  </cols>
  <sheetData>
    <row r="1">
      <c r="A1" s="1390" t="s">
        <v>3705</v>
      </c>
      <c r="B1" s="1391" t="s">
        <v>3706</v>
      </c>
      <c r="C1" s="1392"/>
      <c r="D1" s="1392"/>
      <c r="E1" s="1393"/>
      <c r="F1" s="1394"/>
      <c r="G1" s="1393"/>
      <c r="H1" s="1395"/>
      <c r="I1" s="1395"/>
      <c r="J1" s="1395"/>
      <c r="K1" s="1395"/>
      <c r="L1" s="1395"/>
      <c r="M1" s="1396"/>
      <c r="N1" s="1397"/>
      <c r="O1" s="1394"/>
      <c r="P1" s="1394"/>
      <c r="Q1" s="1394"/>
      <c r="R1" s="1393"/>
      <c r="S1" s="1394"/>
      <c r="T1" s="1393"/>
      <c r="V1" s="1396"/>
      <c r="W1" s="1397"/>
      <c r="X1" s="1394"/>
      <c r="Y1" s="1394"/>
      <c r="Z1" s="1394"/>
      <c r="AA1" s="1393"/>
      <c r="AB1" s="1394"/>
      <c r="AC1" s="1393"/>
    </row>
    <row r="2">
      <c r="A2" s="1390" t="s">
        <v>3707</v>
      </c>
      <c r="B2" s="1398" t="s">
        <v>3708</v>
      </c>
      <c r="C2" s="1399" t="s">
        <v>3709</v>
      </c>
      <c r="D2" s="1400"/>
      <c r="E2" s="1400"/>
      <c r="F2" s="1401"/>
      <c r="G2" s="1400"/>
      <c r="H2" s="1395"/>
      <c r="I2" s="1395"/>
      <c r="J2" s="1395"/>
      <c r="K2" s="1395"/>
      <c r="L2" s="1395"/>
      <c r="M2" s="1396"/>
      <c r="N2" s="1397"/>
      <c r="O2" s="1394"/>
      <c r="P2" s="1394"/>
      <c r="Q2" s="1394"/>
      <c r="R2" s="1393"/>
      <c r="S2" s="1394"/>
      <c r="T2" s="1393"/>
      <c r="V2" s="1396"/>
      <c r="W2" s="1397"/>
      <c r="X2" s="1394"/>
      <c r="Y2" s="1394"/>
      <c r="Z2" s="1394"/>
      <c r="AA2" s="1393"/>
      <c r="AB2" s="1394"/>
      <c r="AC2" s="1393"/>
    </row>
    <row r="3">
      <c r="A3" s="1402"/>
      <c r="B3" s="1403" t="s">
        <v>3710</v>
      </c>
      <c r="C3" s="1404" t="s">
        <v>3711</v>
      </c>
      <c r="D3" s="1405" t="s">
        <v>3712</v>
      </c>
      <c r="E3" s="1406" t="s">
        <v>3713</v>
      </c>
      <c r="F3" s="1403" t="s">
        <v>3714</v>
      </c>
      <c r="G3" s="1404" t="s">
        <v>3715</v>
      </c>
      <c r="H3" s="1395"/>
      <c r="I3" s="1395"/>
      <c r="J3" s="1395"/>
      <c r="K3" s="1395"/>
      <c r="L3" s="1395"/>
      <c r="M3" s="1396"/>
      <c r="N3" s="1397"/>
      <c r="O3" s="1394"/>
      <c r="P3" s="1394"/>
      <c r="Q3" s="1394"/>
      <c r="R3" s="1393"/>
      <c r="S3" s="1394"/>
      <c r="T3" s="1393"/>
      <c r="V3" s="1396"/>
      <c r="W3" s="1397"/>
      <c r="X3" s="1394"/>
      <c r="Y3" s="1394"/>
      <c r="Z3" s="1394"/>
      <c r="AA3" s="1393"/>
      <c r="AB3" s="1394"/>
      <c r="AC3" s="1393"/>
    </row>
    <row r="4">
      <c r="A4" s="1402"/>
      <c r="B4" s="1403" t="s">
        <v>3716</v>
      </c>
      <c r="C4" s="1407" t="s">
        <v>3717</v>
      </c>
      <c r="D4" s="1408" t="s">
        <v>3718</v>
      </c>
      <c r="E4" s="1409" t="s">
        <v>3719</v>
      </c>
      <c r="F4" s="1410" t="s">
        <v>3720</v>
      </c>
      <c r="G4" s="1404" t="s">
        <v>3721</v>
      </c>
      <c r="H4" s="1395"/>
      <c r="I4" s="1395"/>
      <c r="J4" s="1395"/>
      <c r="K4" s="1395"/>
      <c r="L4" s="1395"/>
      <c r="M4" s="1396"/>
      <c r="N4" s="1397"/>
      <c r="O4" s="1394"/>
      <c r="P4" s="1394"/>
      <c r="Q4" s="1394"/>
      <c r="R4" s="1393"/>
      <c r="S4" s="1394"/>
      <c r="T4" s="1393"/>
      <c r="V4" s="1396"/>
      <c r="W4" s="1397"/>
      <c r="X4" s="1394"/>
      <c r="Y4" s="1394"/>
      <c r="Z4" s="1394"/>
      <c r="AA4" s="1393"/>
      <c r="AB4" s="1394"/>
      <c r="AC4" s="1393"/>
    </row>
    <row r="5">
      <c r="A5" s="1402"/>
      <c r="B5" s="1403" t="s">
        <v>3722</v>
      </c>
      <c r="C5" s="1404" t="s">
        <v>3723</v>
      </c>
      <c r="D5" s="1405" t="s">
        <v>3724</v>
      </c>
      <c r="E5" s="1411"/>
      <c r="F5" s="1412" t="s">
        <v>3725</v>
      </c>
      <c r="G5" s="1413"/>
      <c r="H5" s="1395"/>
      <c r="I5" s="1395"/>
      <c r="J5" s="1395"/>
      <c r="K5" s="1395"/>
      <c r="L5" s="1395"/>
      <c r="M5" s="1396"/>
      <c r="N5" s="1397"/>
      <c r="O5" s="1394"/>
      <c r="P5" s="1394"/>
      <c r="Q5" s="1394"/>
      <c r="R5" s="1393"/>
      <c r="S5" s="1394"/>
      <c r="T5" s="1393"/>
      <c r="V5" s="1396"/>
      <c r="W5" s="1397"/>
      <c r="X5" s="1394"/>
      <c r="Y5" s="1394"/>
      <c r="Z5" s="1394"/>
      <c r="AA5" s="1393"/>
      <c r="AB5" s="1394"/>
      <c r="AC5" s="1393"/>
    </row>
    <row r="6">
      <c r="A6" s="1402"/>
      <c r="B6" s="1414" t="s">
        <v>3726</v>
      </c>
      <c r="C6" s="1415" t="s">
        <v>3727</v>
      </c>
      <c r="D6" s="1415"/>
      <c r="E6" s="1415"/>
      <c r="F6" s="1415"/>
      <c r="G6" s="1415"/>
      <c r="H6" s="1395"/>
      <c r="I6" s="1395"/>
      <c r="J6" s="1395"/>
      <c r="K6" s="1395"/>
      <c r="L6" s="1395"/>
      <c r="M6" s="1396"/>
      <c r="N6" s="1397"/>
      <c r="O6" s="1394"/>
      <c r="P6" s="1394"/>
      <c r="Q6" s="1394"/>
      <c r="R6" s="1393"/>
      <c r="S6" s="1394"/>
      <c r="T6" s="1393"/>
      <c r="V6" s="1416" t="s">
        <v>3728</v>
      </c>
      <c r="W6" s="1397"/>
      <c r="X6" s="1394"/>
      <c r="Y6" s="1394"/>
      <c r="Z6" s="1394"/>
      <c r="AA6" s="1393"/>
      <c r="AB6" s="1394"/>
      <c r="AC6" s="1393"/>
    </row>
    <row r="7">
      <c r="A7" s="1417"/>
      <c r="B7" s="1418" t="s">
        <v>3729</v>
      </c>
      <c r="C7" s="1419"/>
      <c r="D7" s="1419"/>
      <c r="E7" s="1419"/>
      <c r="F7" s="1418"/>
      <c r="G7" s="1419"/>
      <c r="H7" s="1419"/>
      <c r="I7" s="1419"/>
      <c r="J7" s="1419"/>
      <c r="K7" s="1419"/>
      <c r="L7" s="1419"/>
      <c r="M7" s="1420" t="s">
        <v>3730</v>
      </c>
      <c r="N7" s="1418"/>
      <c r="O7" s="1418"/>
      <c r="P7" s="1418"/>
      <c r="Q7" s="1418"/>
      <c r="R7" s="1419"/>
      <c r="S7" s="1418"/>
      <c r="T7" s="1419"/>
      <c r="U7" s="1421"/>
      <c r="V7" s="1420" t="s">
        <v>3731</v>
      </c>
      <c r="W7" s="1420"/>
      <c r="X7" s="1420"/>
      <c r="Y7" s="1420"/>
      <c r="Z7" s="1420"/>
      <c r="AA7" s="1420"/>
      <c r="AB7" s="1420"/>
      <c r="AC7" s="1420"/>
    </row>
    <row r="8">
      <c r="A8" s="1417"/>
      <c r="B8" s="1422" t="s">
        <v>3732</v>
      </c>
      <c r="C8" s="1423" t="s">
        <v>3733</v>
      </c>
      <c r="D8" s="1423" t="s">
        <v>3734</v>
      </c>
      <c r="E8" s="1423" t="s">
        <v>3735</v>
      </c>
      <c r="F8" s="1422" t="s">
        <v>3736</v>
      </c>
      <c r="G8" s="1423" t="s">
        <v>3737</v>
      </c>
      <c r="H8" s="1423" t="s">
        <v>3738</v>
      </c>
      <c r="I8" s="1423" t="s">
        <v>3739</v>
      </c>
      <c r="J8" s="1423" t="s">
        <v>3740</v>
      </c>
      <c r="K8" s="1423" t="s">
        <v>3741</v>
      </c>
      <c r="L8" s="1423" t="s">
        <v>3742</v>
      </c>
      <c r="M8" s="1424" t="s">
        <v>3743</v>
      </c>
      <c r="N8" s="1424" t="s">
        <v>3744</v>
      </c>
      <c r="O8" s="1424" t="s">
        <v>3745</v>
      </c>
      <c r="P8" s="1422" t="s">
        <v>3746</v>
      </c>
      <c r="Q8" s="1422" t="s">
        <v>3747</v>
      </c>
      <c r="R8" s="1423" t="s">
        <v>3748</v>
      </c>
      <c r="S8" s="1422" t="s">
        <v>3749</v>
      </c>
      <c r="T8" s="1423" t="s">
        <v>3750</v>
      </c>
      <c r="U8" s="1421"/>
      <c r="V8" s="1424" t="s">
        <v>3743</v>
      </c>
      <c r="W8" s="1424" t="s">
        <v>3744</v>
      </c>
      <c r="X8" s="1424" t="s">
        <v>3745</v>
      </c>
      <c r="Y8" s="1424" t="s">
        <v>3746</v>
      </c>
      <c r="Z8" s="1422" t="s">
        <v>3747</v>
      </c>
      <c r="AA8" s="1423" t="s">
        <v>3748</v>
      </c>
      <c r="AB8" s="1422" t="s">
        <v>3749</v>
      </c>
      <c r="AC8" s="1423" t="s">
        <v>3750</v>
      </c>
    </row>
    <row r="9">
      <c r="A9" s="1395"/>
      <c r="B9" s="1425">
        <f>IFERROR(VLOOKUP(C9,'字段信息'!A:C,3,),"")</f>
      </c>
      <c r="C9" s="1426" t="s">
        <v>3751</v>
      </c>
      <c r="D9" s="1427">
        <f>IFERROR(VLOOKUP(C9,'字段信息'!A:C,2,),"")</f>
      </c>
      <c r="E9" s="1428"/>
      <c r="F9" s="1429">
        <f t="shared" ref="F9:F26" si="0">B9</f>
      </c>
      <c r="G9" s="1428"/>
      <c r="H9" s="1430"/>
      <c r="I9" s="1430"/>
      <c r="J9" s="1430"/>
      <c r="K9" s="1430"/>
      <c r="L9" s="1431"/>
      <c r="M9" s="1432" t="s">
        <v>3752</v>
      </c>
      <c r="N9" s="1433" t="s">
        <v>3753</v>
      </c>
      <c r="O9" s="1434" t="s">
        <v>3754</v>
      </c>
      <c r="P9" s="1435" t="s">
        <v>3751</v>
      </c>
      <c r="Q9" s="1436"/>
      <c r="R9" s="1437" t="s">
        <v>3755</v>
      </c>
      <c r="S9" s="1436"/>
      <c r="T9" s="1438"/>
      <c r="U9" s="1421"/>
      <c r="V9" s="1439"/>
      <c r="W9" s="1440"/>
      <c r="X9" s="1441"/>
      <c r="Y9" s="1442"/>
      <c r="Z9" s="1443"/>
      <c r="AA9" s="1438"/>
      <c r="AB9" s="1436"/>
      <c r="AC9" s="1438"/>
    </row>
    <row r="10">
      <c r="A10" s="1395"/>
      <c r="B10" s="1425">
        <f>IFERROR(VLOOKUP(C10,'字段信息'!A:C,3,),"")</f>
      </c>
      <c r="C10" s="1426" t="s">
        <v>3756</v>
      </c>
      <c r="D10" s="1427">
        <f>IFERROR(VLOOKUP(C10,'字段信息'!A:C,2,),"")</f>
      </c>
      <c r="E10" s="1428"/>
      <c r="F10" s="1429">
        <f t="shared" si="0"/>
      </c>
      <c r="G10" s="1428" t="s">
        <v>3757</v>
      </c>
      <c r="H10" s="1430"/>
      <c r="I10" s="1430"/>
      <c r="J10" s="1430"/>
      <c r="K10" s="1430"/>
      <c r="L10" s="1431" t="s">
        <v>3758</v>
      </c>
      <c r="M10" s="1432" t="s">
        <v>3752</v>
      </c>
      <c r="N10" s="1433" t="s">
        <v>3753</v>
      </c>
      <c r="O10" s="1434" t="s">
        <v>3754</v>
      </c>
      <c r="P10" s="1435" t="s">
        <v>3756</v>
      </c>
      <c r="Q10" s="1436"/>
      <c r="R10" s="1438"/>
      <c r="S10" s="1436"/>
      <c r="T10" s="1438"/>
      <c r="U10" s="1421"/>
      <c r="V10" s="1439"/>
      <c r="W10" s="1440"/>
      <c r="X10" s="1441"/>
      <c r="Y10" s="1442"/>
      <c r="Z10" s="1443"/>
      <c r="AA10" s="1438"/>
      <c r="AB10" s="1436"/>
      <c r="AC10" s="1438"/>
    </row>
    <row r="11">
      <c r="A11" s="1395"/>
      <c r="B11" s="1425">
        <f>IFERROR(VLOOKUP(C11,'字段信息'!A:C,3,),"")</f>
      </c>
      <c r="C11" s="1426" t="s">
        <v>3759</v>
      </c>
      <c r="D11" s="1427">
        <f>IFERROR(VLOOKUP(C11,'字段信息'!A:C,2,),"")</f>
      </c>
      <c r="E11" s="1428"/>
      <c r="F11" s="1429">
        <f t="shared" si="0"/>
      </c>
      <c r="G11" s="1428" t="s">
        <v>3757</v>
      </c>
      <c r="H11" s="1430"/>
      <c r="I11" s="1430"/>
      <c r="J11" s="1430"/>
      <c r="K11" s="1430"/>
      <c r="L11" s="1431" t="s">
        <v>3758</v>
      </c>
      <c r="M11" s="1444" t="s">
        <v>3760</v>
      </c>
      <c r="N11" s="1433" t="s">
        <v>3753</v>
      </c>
      <c r="O11" s="1434" t="s">
        <v>3754</v>
      </c>
      <c r="P11" s="1435" t="s">
        <v>3759</v>
      </c>
      <c r="Q11" s="1436"/>
      <c r="R11" s="1438"/>
      <c r="S11" s="1436"/>
      <c r="T11" s="1438"/>
      <c r="U11" s="1421"/>
      <c r="V11" s="1445"/>
      <c r="W11" s="1440"/>
      <c r="X11" s="1441"/>
      <c r="Y11" s="1446"/>
      <c r="Z11" s="1443"/>
      <c r="AA11" s="1438"/>
      <c r="AB11" s="1436"/>
      <c r="AC11" s="1438"/>
    </row>
    <row r="12">
      <c r="A12" s="1395"/>
      <c r="B12" s="1425">
        <f>IFERROR(VLOOKUP(C12,'字段信息'!A:C,3,),"")</f>
      </c>
      <c r="C12" s="1426" t="s">
        <v>3761</v>
      </c>
      <c r="D12" s="1427">
        <f>IFERROR(VLOOKUP(C12,'字段信息'!A:C,2,),"")</f>
      </c>
      <c r="E12" s="1428"/>
      <c r="F12" s="1429">
        <f t="shared" si="0"/>
      </c>
      <c r="G12" s="1428" t="s">
        <v>3757</v>
      </c>
      <c r="H12" s="1430"/>
      <c r="I12" s="1430"/>
      <c r="J12" s="1430"/>
      <c r="K12" s="1430"/>
      <c r="L12" s="1431" t="s">
        <v>3758</v>
      </c>
      <c r="M12" s="1447" t="s">
        <v>3762</v>
      </c>
      <c r="N12" s="1433"/>
      <c r="O12" s="1434"/>
      <c r="P12" s="1435"/>
      <c r="Q12" s="1436"/>
      <c r="R12" s="1438"/>
      <c r="S12" s="1436"/>
      <c r="T12" s="1438"/>
      <c r="U12" s="1421"/>
      <c r="V12" s="1448"/>
      <c r="W12" s="1440"/>
      <c r="X12" s="1441"/>
      <c r="Y12" s="1434"/>
      <c r="Z12" s="1443"/>
      <c r="AA12" s="1438"/>
      <c r="AB12" s="1436"/>
      <c r="AC12" s="1438"/>
    </row>
    <row r="13">
      <c r="A13" s="1395"/>
      <c r="B13" s="1425">
        <f>IFERROR(VLOOKUP(C13,'字段信息'!A:C,3,),"")</f>
      </c>
      <c r="C13" s="1426" t="s">
        <v>3763</v>
      </c>
      <c r="D13" s="1427">
        <f>IFERROR(VLOOKUP(C13,'字段信息'!A:C,2,),"")</f>
      </c>
      <c r="E13" s="1428"/>
      <c r="F13" s="1429">
        <f t="shared" si="0"/>
      </c>
      <c r="G13" s="1428" t="s">
        <v>3757</v>
      </c>
      <c r="H13" s="1430"/>
      <c r="I13" s="1430"/>
      <c r="J13" s="1430"/>
      <c r="K13" s="1430"/>
      <c r="L13" s="1431" t="s">
        <v>3758</v>
      </c>
      <c r="M13" s="1449" t="s">
        <v>3764</v>
      </c>
      <c r="N13" s="1433"/>
      <c r="O13" s="1434"/>
      <c r="P13" s="1435"/>
      <c r="Q13" s="1436"/>
      <c r="R13" s="1438"/>
      <c r="S13" s="1436"/>
      <c r="T13" s="1438"/>
      <c r="U13" s="1421"/>
      <c r="V13" s="1450"/>
      <c r="W13" s="1440"/>
      <c r="X13" s="1441"/>
      <c r="Y13" s="1434"/>
      <c r="Z13" s="1443"/>
      <c r="AA13" s="1438"/>
      <c r="AB13" s="1436"/>
      <c r="AC13" s="1438"/>
    </row>
    <row r="14">
      <c r="A14" s="1395"/>
      <c r="B14" s="1425">
        <f>IFERROR(VLOOKUP(C14,'字段信息'!A:C,3,),"")</f>
      </c>
      <c r="C14" s="1426" t="s">
        <v>3765</v>
      </c>
      <c r="D14" s="1427">
        <f>IFERROR(VLOOKUP(C14,'字段信息'!A:C,2,),"")</f>
      </c>
      <c r="E14" s="1428"/>
      <c r="F14" s="1429">
        <f t="shared" si="0"/>
      </c>
      <c r="G14" s="1428" t="s">
        <v>3757</v>
      </c>
      <c r="H14" s="1430"/>
      <c r="I14" s="1430"/>
      <c r="J14" s="1430"/>
      <c r="K14" s="1430"/>
      <c r="L14" s="1451" t="s">
        <v>3758</v>
      </c>
      <c r="M14" s="1432" t="s">
        <v>3752</v>
      </c>
      <c r="N14" s="1433" t="s">
        <v>3753</v>
      </c>
      <c r="O14" s="1434" t="s">
        <v>3754</v>
      </c>
      <c r="P14" s="1435" t="s">
        <v>3765</v>
      </c>
      <c r="Q14" s="1436"/>
      <c r="R14" s="1437"/>
      <c r="S14" s="1437"/>
      <c r="T14" s="1438"/>
      <c r="U14" s="1421"/>
      <c r="V14" s="1452"/>
      <c r="W14" s="1440"/>
      <c r="X14" s="1441"/>
      <c r="Y14" s="1446"/>
      <c r="Z14" s="1443"/>
      <c r="AA14" s="1437"/>
      <c r="AB14" s="1437"/>
      <c r="AC14" s="1438"/>
    </row>
    <row r="15">
      <c r="A15" s="1395"/>
      <c r="B15" s="1425">
        <f>IFERROR(VLOOKUP(C15,'字段信息'!A:C,3,),"")</f>
      </c>
      <c r="C15" s="1426" t="s">
        <v>3766</v>
      </c>
      <c r="D15" s="1427">
        <f>IFERROR(VLOOKUP(C15,'字段信息'!A:C,2,),"")</f>
      </c>
      <c r="E15" s="1428"/>
      <c r="F15" s="1429">
        <f t="shared" si="0"/>
      </c>
      <c r="G15" s="1428" t="s">
        <v>3757</v>
      </c>
      <c r="H15" s="1430"/>
      <c r="I15" s="1430"/>
      <c r="J15" s="1430"/>
      <c r="K15" s="1430"/>
      <c r="L15" s="1451" t="s">
        <v>3758</v>
      </c>
      <c r="M15" s="1432" t="s">
        <v>3752</v>
      </c>
      <c r="N15" s="1433" t="s">
        <v>3753</v>
      </c>
      <c r="O15" s="1434" t="s">
        <v>3754</v>
      </c>
      <c r="P15" s="1435" t="s">
        <v>3766</v>
      </c>
      <c r="Q15" s="1436"/>
      <c r="R15" s="1438"/>
      <c r="S15" s="1436"/>
      <c r="T15" s="1438"/>
      <c r="U15" s="1421"/>
      <c r="V15" s="1452"/>
      <c r="W15" s="1440"/>
      <c r="X15" s="1441"/>
      <c r="Y15" s="1446"/>
      <c r="Z15" s="1443"/>
      <c r="AA15" s="1438"/>
      <c r="AB15" s="1436"/>
      <c r="AC15" s="1438"/>
    </row>
    <row customHeight="true" ht="16.071428571428573" r="16">
      <c r="A16" s="1395"/>
      <c r="B16" s="1425">
        <f>IFERROR(VLOOKUP(C16,'字段信息'!A:C,3,),"")</f>
      </c>
      <c r="C16" s="1426" t="s">
        <v>3767</v>
      </c>
      <c r="D16" s="1427">
        <f>IFERROR(VLOOKUP(C16,'字段信息'!A:C,2,),"")</f>
      </c>
      <c r="E16" s="1428"/>
      <c r="F16" s="1429">
        <f t="shared" si="0"/>
      </c>
      <c r="G16" s="1428" t="s">
        <v>3757</v>
      </c>
      <c r="H16" s="1430"/>
      <c r="I16" s="1430"/>
      <c r="J16" s="1430"/>
      <c r="K16" s="1430"/>
      <c r="L16" s="1451"/>
      <c r="M16" s="1432" t="s">
        <v>3752</v>
      </c>
      <c r="N16" s="1433" t="s">
        <v>3753</v>
      </c>
      <c r="O16" s="1434" t="s">
        <v>3754</v>
      </c>
      <c r="P16" s="1435" t="s">
        <v>3767</v>
      </c>
      <c r="Q16" s="1436"/>
      <c r="R16" s="1438"/>
      <c r="S16" s="1436"/>
      <c r="T16" s="1438"/>
      <c r="U16" s="1421"/>
      <c r="V16" s="1452"/>
      <c r="W16" s="1440"/>
      <c r="X16" s="1441"/>
      <c r="Y16" s="1453"/>
      <c r="Z16" s="1443"/>
      <c r="AA16" s="1438"/>
      <c r="AB16" s="1436"/>
      <c r="AC16" s="1438"/>
    </row>
    <row r="17">
      <c r="A17" s="1454"/>
      <c r="B17" s="1455">
        <f>IFERROR(VLOOKUP(C17,'字段信息'!A:C,3,),"")</f>
      </c>
      <c r="C17" s="1456" t="s">
        <v>3768</v>
      </c>
      <c r="D17" s="1457">
        <f>IFERROR(VLOOKUP(C17,'字段信息'!A:C,2,),"")</f>
      </c>
      <c r="E17" s="1458"/>
      <c r="F17" s="1459">
        <f t="shared" si="0"/>
      </c>
      <c r="G17" s="1458" t="s">
        <v>3757</v>
      </c>
      <c r="H17" s="1460"/>
      <c r="I17" s="1460"/>
      <c r="J17" s="1460"/>
      <c r="K17" s="1460"/>
      <c r="L17" s="1461"/>
      <c r="M17" s="1462" t="s">
        <v>3769</v>
      </c>
      <c r="N17" s="1463" t="s">
        <v>3753</v>
      </c>
      <c r="O17" s="1464" t="s">
        <v>3754</v>
      </c>
      <c r="P17" s="1465"/>
      <c r="Q17" s="1466"/>
      <c r="R17" s="1467" t="s">
        <v>3770</v>
      </c>
      <c r="S17" s="1466"/>
      <c r="T17" s="1468"/>
      <c r="U17" s="1469"/>
      <c r="V17" s="1470"/>
      <c r="W17" s="1471"/>
      <c r="X17" s="1472"/>
      <c r="Y17" s="1473"/>
      <c r="Z17" s="1474"/>
      <c r="AA17" s="1468"/>
      <c r="AB17" s="1466"/>
      <c r="AC17" s="1468"/>
    </row>
    <row r="18">
      <c r="A18" s="1454"/>
      <c r="B18" s="1455">
        <f>IFERROR(VLOOKUP(C18,'字段信息'!A:C,3,),"")</f>
      </c>
      <c r="C18" s="1456" t="s">
        <v>3771</v>
      </c>
      <c r="D18" s="1457">
        <f>IFERROR(VLOOKUP(C18,'字段信息'!A:C,2,),"")</f>
      </c>
      <c r="E18" s="1458"/>
      <c r="F18" s="1459">
        <f t="shared" si="0"/>
      </c>
      <c r="G18" s="1458" t="s">
        <v>3757</v>
      </c>
      <c r="H18" s="1460"/>
      <c r="I18" s="1460"/>
      <c r="J18" s="1460"/>
      <c r="K18" s="1460"/>
      <c r="L18" s="1461"/>
      <c r="M18" s="1462" t="s">
        <v>3772</v>
      </c>
      <c r="N18" s="1463" t="s">
        <v>3753</v>
      </c>
      <c r="O18" s="1464" t="s">
        <v>3754</v>
      </c>
      <c r="P18" s="1465"/>
      <c r="Q18" s="1466"/>
      <c r="R18" s="1467" t="s">
        <v>3770</v>
      </c>
      <c r="S18" s="1466"/>
      <c r="T18" s="1468"/>
      <c r="U18" s="1469"/>
      <c r="V18" s="1462"/>
      <c r="W18" s="1475"/>
      <c r="X18" s="1476"/>
      <c r="Y18" s="1477"/>
      <c r="Z18" s="1466"/>
      <c r="AA18" s="1468"/>
      <c r="AB18" s="1466"/>
      <c r="AC18" s="1468"/>
    </row>
    <row customHeight="true" ht="16.071428571428573" r="19">
      <c r="A19" s="1395"/>
      <c r="B19" s="1425">
        <f>IFERROR(VLOOKUP(C19,'字段信息'!A:C,3,),"")</f>
      </c>
      <c r="C19" s="1426" t="s">
        <v>3773</v>
      </c>
      <c r="D19" s="1427">
        <f>IFERROR(VLOOKUP(C19,'字段信息'!A:C,2,),"")</f>
      </c>
      <c r="E19" s="1428"/>
      <c r="F19" s="1429">
        <f t="shared" si="0"/>
      </c>
      <c r="G19" s="1428" t="s">
        <v>3757</v>
      </c>
      <c r="H19" s="1430"/>
      <c r="I19" s="1430"/>
      <c r="J19" s="1430"/>
      <c r="K19" s="1430"/>
      <c r="L19" s="1451"/>
      <c r="M19" s="1432" t="s">
        <v>3774</v>
      </c>
      <c r="N19" s="1433"/>
      <c r="O19" s="1434" t="s">
        <v>3754</v>
      </c>
      <c r="P19" s="1435"/>
      <c r="Q19" s="1478"/>
      <c r="R19" s="1479"/>
      <c r="S19" s="1436"/>
      <c r="T19" s="1438"/>
      <c r="U19" s="1421"/>
      <c r="V19" s="1432"/>
      <c r="W19" s="1480"/>
      <c r="X19" s="1481"/>
      <c r="Y19" s="1432"/>
      <c r="Z19" s="1478"/>
      <c r="AA19" s="1479"/>
      <c r="AB19" s="1436"/>
      <c r="AC19" s="1438"/>
    </row>
    <row r="20">
      <c r="A20" s="1395"/>
      <c r="B20" s="1425">
        <f>IFERROR(VLOOKUP(C20,'字段信息'!A:C,3,),"")</f>
      </c>
      <c r="C20" s="1426" t="s">
        <v>3775</v>
      </c>
      <c r="D20" s="1427">
        <f>IFERROR(VLOOKUP(C20,'字段信息'!A:C,2,),"")</f>
      </c>
      <c r="E20" s="1428"/>
      <c r="F20" s="1429">
        <f t="shared" si="0"/>
      </c>
      <c r="G20" s="1428" t="s">
        <v>3757</v>
      </c>
      <c r="H20" s="1430"/>
      <c r="I20" s="1430"/>
      <c r="J20" s="1430"/>
      <c r="K20" s="1430"/>
      <c r="L20" s="1451" t="s">
        <v>3758</v>
      </c>
      <c r="M20" s="1432" t="s">
        <v>3752</v>
      </c>
      <c r="N20" s="1433" t="s">
        <v>3753</v>
      </c>
      <c r="O20" s="1434" t="s">
        <v>3754</v>
      </c>
      <c r="P20" s="1435" t="s">
        <v>3775</v>
      </c>
      <c r="Q20" s="1478"/>
      <c r="R20" s="1479"/>
      <c r="S20" s="1436"/>
      <c r="T20" s="1438"/>
      <c r="U20" s="1421"/>
      <c r="V20" s="1432"/>
      <c r="W20" s="1480"/>
      <c r="X20" s="1481"/>
      <c r="Y20" s="1432"/>
      <c r="Z20" s="1478"/>
      <c r="AA20" s="1479"/>
      <c r="AB20" s="1436"/>
      <c r="AC20" s="1438"/>
    </row>
    <row r="21">
      <c r="A21" s="1395"/>
      <c r="B21" s="1425">
        <f>IFERROR(VLOOKUP(C21,'字段信息'!A:C,3,),"")</f>
      </c>
      <c r="C21" s="1426" t="s">
        <v>3776</v>
      </c>
      <c r="D21" s="1427">
        <f>IFERROR(VLOOKUP(C21,'字段信息'!A:C,2,),"")</f>
      </c>
      <c r="E21" s="1428"/>
      <c r="F21" s="1429">
        <f t="shared" si="0"/>
      </c>
      <c r="G21" s="1428" t="s">
        <v>3757</v>
      </c>
      <c r="H21" s="1430"/>
      <c r="I21" s="1430"/>
      <c r="J21" s="1430"/>
      <c r="K21" s="1430"/>
      <c r="L21" s="1451"/>
      <c r="M21" s="1432" t="s">
        <v>3752</v>
      </c>
      <c r="N21" s="1433" t="s">
        <v>3753</v>
      </c>
      <c r="O21" s="1434" t="s">
        <v>3754</v>
      </c>
      <c r="P21" s="1435" t="s">
        <v>3776</v>
      </c>
      <c r="Q21" s="1482"/>
      <c r="R21" s="1438"/>
      <c r="S21" s="1436"/>
      <c r="T21" s="1438"/>
      <c r="U21" s="1421"/>
      <c r="V21" s="1432"/>
      <c r="W21" s="1480"/>
      <c r="X21" s="1481"/>
      <c r="Y21" s="1432"/>
      <c r="Z21" s="1482"/>
      <c r="AA21" s="1438"/>
      <c r="AB21" s="1436"/>
      <c r="AC21" s="1438"/>
    </row>
    <row r="22">
      <c r="A22" s="1395"/>
      <c r="B22" s="1425">
        <f>IFERROR(VLOOKUP(C22,'字段信息'!A:C,3,),"")</f>
      </c>
      <c r="C22" s="1426" t="s">
        <v>3777</v>
      </c>
      <c r="D22" s="1427">
        <f>IFERROR(VLOOKUP(C22,'字段信息'!A:C,2,),"")</f>
      </c>
      <c r="E22" s="1428"/>
      <c r="F22" s="1429">
        <f t="shared" si="0"/>
      </c>
      <c r="G22" s="1428" t="s">
        <v>3757</v>
      </c>
      <c r="H22" s="1430"/>
      <c r="I22" s="1430"/>
      <c r="J22" s="1430"/>
      <c r="K22" s="1430"/>
      <c r="L22" s="1451" t="s">
        <v>3758</v>
      </c>
      <c r="M22" s="1432" t="s">
        <v>3752</v>
      </c>
      <c r="N22" s="1433" t="s">
        <v>3753</v>
      </c>
      <c r="O22" s="1434" t="s">
        <v>3754</v>
      </c>
      <c r="P22" s="1435" t="s">
        <v>3777</v>
      </c>
      <c r="Q22" s="1436"/>
      <c r="R22" s="1438"/>
      <c r="S22" s="1436"/>
      <c r="T22" s="1438"/>
      <c r="U22" s="1421"/>
      <c r="V22" s="1432"/>
      <c r="W22" s="1480"/>
      <c r="X22" s="1481"/>
      <c r="Y22" s="1432"/>
      <c r="Z22" s="1436"/>
      <c r="AA22" s="1438"/>
      <c r="AB22" s="1436"/>
      <c r="AC22" s="1438"/>
    </row>
    <row r="23">
      <c r="A23" s="1395"/>
      <c r="B23" s="1425">
        <f>IFERROR(VLOOKUP(C23,'字段信息'!A:C,3,),"")</f>
      </c>
      <c r="C23" s="1426" t="s">
        <v>3778</v>
      </c>
      <c r="D23" s="1427">
        <f>IFERROR(VLOOKUP(C23,'字段信息'!A:C,2,),"")</f>
      </c>
      <c r="E23" s="1428"/>
      <c r="F23" s="1429">
        <f t="shared" si="0"/>
      </c>
      <c r="G23" s="1428" t="s">
        <v>3757</v>
      </c>
      <c r="H23" s="1430"/>
      <c r="I23" s="1430"/>
      <c r="J23" s="1430"/>
      <c r="K23" s="1430"/>
      <c r="L23" s="1451" t="s">
        <v>3758</v>
      </c>
      <c r="M23" s="1432" t="s">
        <v>3752</v>
      </c>
      <c r="N23" s="1433" t="s">
        <v>3753</v>
      </c>
      <c r="O23" s="1434" t="s">
        <v>3754</v>
      </c>
      <c r="P23" s="1435" t="s">
        <v>3778</v>
      </c>
      <c r="Q23" s="1436"/>
      <c r="R23" s="1438"/>
      <c r="S23" s="1436"/>
      <c r="T23" s="1438"/>
      <c r="U23" s="1421"/>
      <c r="V23" s="1432"/>
      <c r="W23" s="1480"/>
      <c r="X23" s="1481"/>
      <c r="Y23" s="1432"/>
      <c r="Z23" s="1436"/>
      <c r="AA23" s="1438"/>
      <c r="AB23" s="1436"/>
      <c r="AC23" s="1438"/>
    </row>
    <row r="24">
      <c r="A24" s="1395"/>
      <c r="B24" s="1425">
        <f>IFERROR(VLOOKUP(C24,'字段信息'!A:C,3,),"")</f>
      </c>
      <c r="C24" s="1426" t="s">
        <v>3779</v>
      </c>
      <c r="D24" s="1427">
        <f>IFERROR(VLOOKUP(C23,'字段信息'!A:C,2,),"")</f>
      </c>
      <c r="E24" s="1428"/>
      <c r="F24" s="1429">
        <f t="shared" si="0"/>
      </c>
      <c r="G24" s="1428" t="s">
        <v>3757</v>
      </c>
      <c r="H24" s="1430"/>
      <c r="I24" s="1430"/>
      <c r="J24" s="1430"/>
      <c r="K24" s="1430"/>
      <c r="L24" s="1451" t="s">
        <v>3758</v>
      </c>
      <c r="M24" s="1432" t="s">
        <v>3752</v>
      </c>
      <c r="N24" s="1433" t="s">
        <v>3753</v>
      </c>
      <c r="O24" s="1434" t="s">
        <v>3754</v>
      </c>
      <c r="P24" s="1435" t="s">
        <v>3779</v>
      </c>
      <c r="Q24" s="1437"/>
      <c r="R24" s="1438"/>
      <c r="S24" s="1436"/>
      <c r="T24" s="1438"/>
      <c r="U24" s="1421"/>
      <c r="V24" s="1432"/>
      <c r="W24" s="1480"/>
      <c r="X24" s="1481"/>
      <c r="Y24" s="1432"/>
      <c r="Z24" s="1437"/>
      <c r="AA24" s="1438"/>
      <c r="AB24" s="1436"/>
      <c r="AC24" s="1438"/>
    </row>
    <row r="25">
      <c r="A25" s="1483"/>
      <c r="B25" s="1425">
        <f>IFERROR(VLOOKUP(C25,'字段信息'!A:C,3,),"")</f>
      </c>
      <c r="C25" s="1426" t="s">
        <v>3780</v>
      </c>
      <c r="D25" s="1427">
        <f>IFERROR(VLOOKUP(C24,'字段信息'!A:C,2,),"")</f>
      </c>
      <c r="E25" s="1428"/>
      <c r="F25" s="1429">
        <f t="shared" si="0"/>
      </c>
      <c r="G25" s="1428" t="s">
        <v>3757</v>
      </c>
      <c r="H25" s="1430"/>
      <c r="I25" s="1430"/>
      <c r="J25" s="1430"/>
      <c r="K25" s="1430"/>
      <c r="L25" s="1451" t="s">
        <v>3758</v>
      </c>
      <c r="M25" s="1432" t="s">
        <v>3752</v>
      </c>
      <c r="N25" s="1433" t="s">
        <v>3753</v>
      </c>
      <c r="O25" s="1434" t="s">
        <v>3754</v>
      </c>
      <c r="P25" s="1435" t="s">
        <v>3780</v>
      </c>
      <c r="Q25" s="1484"/>
      <c r="R25" s="1438"/>
      <c r="S25" s="1436"/>
      <c r="T25" s="1438"/>
      <c r="U25" s="1421"/>
      <c r="V25" s="1432"/>
      <c r="W25" s="1480"/>
      <c r="X25" s="1481"/>
      <c r="Y25" s="1432"/>
      <c r="Z25" s="1484"/>
      <c r="AA25" s="1438"/>
      <c r="AB25" s="1436"/>
      <c r="AC25" s="1438"/>
    </row>
    <row r="26">
      <c r="A26" s="1395"/>
      <c r="B26" s="1425">
        <f>IFERROR(VLOOKUP(C26,'字段信息'!A:C,3,),"")</f>
      </c>
      <c r="C26" s="1426" t="s">
        <v>3781</v>
      </c>
      <c r="D26" s="1427">
        <f>IFERROR(VLOOKUP(C25,'字段信息'!A:C,2,),"")</f>
      </c>
      <c r="E26" s="1428"/>
      <c r="F26" s="1429">
        <f t="shared" si="0"/>
      </c>
      <c r="G26" s="1428" t="s">
        <v>3757</v>
      </c>
      <c r="H26" s="1430"/>
      <c r="I26" s="1430"/>
      <c r="J26" s="1430"/>
      <c r="K26" s="1430"/>
      <c r="L26" s="1451"/>
      <c r="M26" s="1432" t="s">
        <v>3782</v>
      </c>
      <c r="N26" s="1433" t="s">
        <v>3753</v>
      </c>
      <c r="O26" s="1434" t="s">
        <v>3754</v>
      </c>
      <c r="P26" s="1485"/>
      <c r="Q26" s="1436"/>
      <c r="R26" s="1438"/>
      <c r="S26" s="1437" t="s">
        <v>3783</v>
      </c>
      <c r="T26" s="1438"/>
      <c r="U26" s="1421"/>
      <c r="V26" s="1432"/>
      <c r="W26" s="1480"/>
      <c r="X26" s="1481"/>
      <c r="Y26" s="1481"/>
      <c r="Z26" s="1436"/>
      <c r="AA26" s="1438"/>
      <c r="AB26" s="1436"/>
      <c r="AC26" s="1438"/>
    </row>
  </sheetData>
  <autoFilter ref="A8:U26"/>
  <mergeCells>
    <mergeCell ref="C6:G6"/>
    <mergeCell ref="B1:D1"/>
    <mergeCell ref="C2:F2"/>
    <mergeCell ref="M7:T7"/>
    <mergeCell ref="B7:G7"/>
    <mergeCell ref="V7:AC7"/>
  </mergeCells>
  <hyperlinks>
    <hyperlink ref="A1" location="'2. 0 DWM层目录'!A1" display="返回"/>
    <hyperlink ref="A2" location="'规则库'!A1" display="规则库"/>
  </hyperlinks>
  <picture r:id="rId1"/>
</worksheet>
</file>

<file path=xl/worksheets/sheet2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14" min="14" style="0" width="7.154929577464789"/>
    <col collapsed="false" customWidth="true" hidden="false" max="18" min="18" style="0" width="31.680755330176627"/>
    <col collapsed="false" customWidth="true" hidden="false" max="2" min="2" style="0" width="23.718309859154928"/>
    <col collapsed="false" customWidth="true" hidden="false" max="6" min="6" style="0" width="17.070422535211268"/>
    <col collapsed="false" customWidth="true" hidden="false" max="10" min="10" style="0" width="13.80281690140845"/>
    <col collapsed="false" customWidth="true" hidden="true" max="10" min="10" style="0" width="13.80281690140845"/>
    <col collapsed="false" customWidth="true" hidden="false" max="13" min="13" style="0" width="33.78404181962451"/>
    <col collapsed="false" customWidth="true" hidden="false" max="17" min="17" style="0" width="26.422535076947355"/>
    <col collapsed="false" customWidth="true" hidden="false" max="1" min="1" style="0" width="5.23943661971831"/>
    <col collapsed="false" customWidth="true" hidden="false" max="5" min="5" style="0" width="10.647887323943662"/>
    <col collapsed="false" customWidth="true" hidden="false" max="9" min="9" style="0" width="8.732394366197184"/>
    <col collapsed="false" customWidth="true" hidden="true" max="9" min="9" style="0" width="8.732394366197184"/>
    <col collapsed="false" customWidth="true" hidden="false" max="16" min="16" style="0" width="16.09394268100855"/>
    <col collapsed="false" customWidth="true" hidden="false" max="20" min="20" style="0" width="5.577464788732394"/>
    <col collapsed="false" customWidth="true" hidden="false" max="4" min="4" style="0" width="12.56338028169014"/>
    <col collapsed="false" customWidth="true" hidden="false" max="8" min="8" style="0" width="7.154929577464789"/>
    <col collapsed="false" customWidth="true" hidden="true" max="8" min="8" style="0" width="7.154929577464789"/>
    <col collapsed="false" customWidth="true" hidden="false" max="12" min="12" style="0" width="9.746478873239436"/>
    <col collapsed="false" customWidth="true" hidden="true" max="12" min="12" style="0" width="9.746478873239436"/>
    <col collapsed="false" customWidth="true" hidden="false" max="15" min="15" style="0" width="23.868590568332493"/>
    <col collapsed="false" customWidth="true" hidden="false" max="19" min="19" style="0" width="42.760560514781744"/>
    <col collapsed="false" customWidth="true" hidden="false" max="3" min="3" style="0" width="19.774647887323944"/>
    <col collapsed="false" customWidth="true" hidden="false" max="7" min="7" style="0" width="8.732394366197184"/>
    <col collapsed="false" customWidth="true" hidden="false" max="11" min="11" style="0" width="8.732394366197184"/>
    <col collapsed="false" customWidth="true" hidden="true" max="11" min="11" style="0" width="8.732394366197184"/>
  </cols>
  <sheetData>
    <row r="1">
      <c r="A1" s="1486" t="s">
        <v>3784</v>
      </c>
      <c r="B1" s="1487" t="s">
        <v>3785</v>
      </c>
      <c r="C1" s="1488"/>
      <c r="D1" s="1488"/>
      <c r="E1" s="1489"/>
      <c r="F1" s="1490"/>
      <c r="G1" s="1489"/>
      <c r="H1" s="1491"/>
      <c r="I1" s="1491"/>
      <c r="J1" s="1491"/>
      <c r="K1" s="1491"/>
      <c r="L1" s="1491"/>
      <c r="M1" s="1492"/>
      <c r="N1" s="1493"/>
      <c r="O1" s="1490"/>
      <c r="P1" s="1490"/>
      <c r="Q1" s="1490"/>
      <c r="R1" s="1489"/>
      <c r="S1" s="1490"/>
      <c r="T1" s="1489"/>
    </row>
    <row r="2">
      <c r="A2" s="1486" t="s">
        <v>3786</v>
      </c>
      <c r="B2" s="1494" t="s">
        <v>3787</v>
      </c>
      <c r="C2" s="1495" t="s">
        <v>3788</v>
      </c>
      <c r="D2" s="1496"/>
      <c r="E2" s="1496"/>
      <c r="F2" s="1497"/>
      <c r="G2" s="1496"/>
      <c r="H2" s="1491"/>
      <c r="I2" s="1491"/>
      <c r="J2" s="1491"/>
      <c r="K2" s="1491"/>
      <c r="L2" s="1491"/>
      <c r="M2" s="1492"/>
      <c r="N2" s="1493"/>
      <c r="O2" s="1490"/>
      <c r="P2" s="1490"/>
      <c r="Q2" s="1490"/>
      <c r="R2" s="1489"/>
      <c r="S2" s="1490"/>
      <c r="T2" s="1489"/>
    </row>
    <row r="3">
      <c r="A3" s="1498"/>
      <c r="B3" s="1499" t="s">
        <v>3789</v>
      </c>
      <c r="C3" s="1500" t="s">
        <v>3790</v>
      </c>
      <c r="D3" s="1501" t="s">
        <v>3791</v>
      </c>
      <c r="E3" s="1502" t="s">
        <v>3792</v>
      </c>
      <c r="F3" s="1499" t="s">
        <v>3793</v>
      </c>
      <c r="G3" s="1503" t="s">
        <v>3794</v>
      </c>
      <c r="H3" s="1491"/>
      <c r="I3" s="1491"/>
      <c r="J3" s="1491"/>
      <c r="K3" s="1491"/>
      <c r="L3" s="1491"/>
      <c r="M3" s="1492"/>
      <c r="N3" s="1493"/>
      <c r="O3" s="1490"/>
      <c r="P3" s="1490"/>
      <c r="Q3" s="1490"/>
      <c r="R3" s="1489"/>
      <c r="S3" s="1490"/>
      <c r="T3" s="1489"/>
    </row>
    <row r="4">
      <c r="A4" s="1498"/>
      <c r="B4" s="1499" t="s">
        <v>3795</v>
      </c>
      <c r="C4" s="1504" t="s">
        <v>3796</v>
      </c>
      <c r="D4" s="1505" t="s">
        <v>3797</v>
      </c>
      <c r="E4" s="1506" t="s">
        <v>3798</v>
      </c>
      <c r="F4" s="1507" t="s">
        <v>3799</v>
      </c>
      <c r="G4" s="1503" t="s">
        <v>3800</v>
      </c>
      <c r="H4" s="1491"/>
      <c r="I4" s="1491"/>
      <c r="J4" s="1491"/>
      <c r="K4" s="1491"/>
      <c r="L4" s="1491"/>
      <c r="M4" s="1492"/>
      <c r="N4" s="1493"/>
      <c r="O4" s="1490"/>
      <c r="P4" s="1490"/>
      <c r="Q4" s="1490"/>
      <c r="R4" s="1489"/>
      <c r="S4" s="1490"/>
      <c r="T4" s="1489"/>
    </row>
    <row r="5">
      <c r="A5" s="1498"/>
      <c r="B5" s="1499" t="s">
        <v>3801</v>
      </c>
      <c r="C5" s="1503" t="s">
        <v>3802</v>
      </c>
      <c r="D5" s="1501" t="s">
        <v>3803</v>
      </c>
      <c r="E5" s="1508"/>
      <c r="F5" s="1509" t="s">
        <v>3804</v>
      </c>
      <c r="G5" s="1510"/>
      <c r="H5" s="1491"/>
      <c r="I5" s="1491"/>
      <c r="J5" s="1491"/>
      <c r="K5" s="1491"/>
      <c r="L5" s="1491"/>
      <c r="M5" s="1492"/>
      <c r="N5" s="1493"/>
      <c r="O5" s="1490"/>
      <c r="P5" s="1490"/>
      <c r="Q5" s="1490"/>
      <c r="R5" s="1489"/>
      <c r="S5" s="1490"/>
      <c r="T5" s="1489"/>
    </row>
    <row r="6">
      <c r="A6" s="1498"/>
      <c r="B6" s="1511" t="s">
        <v>3805</v>
      </c>
      <c r="C6" s="1512" t="s">
        <v>3806</v>
      </c>
      <c r="D6" s="1513"/>
      <c r="E6" s="1513"/>
      <c r="F6" s="1513"/>
      <c r="G6" s="1513"/>
      <c r="H6" s="1491"/>
      <c r="I6" s="1491"/>
      <c r="J6" s="1491"/>
      <c r="K6" s="1491"/>
      <c r="L6" s="1491"/>
      <c r="M6" s="1492"/>
      <c r="N6" s="1493"/>
      <c r="O6" s="1490"/>
      <c r="P6" s="1490"/>
      <c r="Q6" s="1490"/>
      <c r="R6" s="1489"/>
      <c r="S6" s="1490"/>
      <c r="T6" s="1489"/>
    </row>
    <row r="7">
      <c r="A7" s="1514"/>
      <c r="B7" s="1515" t="s">
        <v>3807</v>
      </c>
      <c r="C7" s="1516"/>
      <c r="D7" s="1516"/>
      <c r="E7" s="1516"/>
      <c r="F7" s="1515"/>
      <c r="G7" s="1516"/>
      <c r="H7" s="1516"/>
      <c r="I7" s="1516"/>
      <c r="J7" s="1516"/>
      <c r="K7" s="1516"/>
      <c r="L7" s="1516"/>
      <c r="M7" s="1517" t="s">
        <v>3788</v>
      </c>
      <c r="N7" s="1515"/>
      <c r="O7" s="1515"/>
      <c r="P7" s="1515"/>
      <c r="Q7" s="1515"/>
      <c r="R7" s="1516"/>
      <c r="S7" s="1515"/>
      <c r="T7" s="1516"/>
    </row>
    <row r="8">
      <c r="A8" s="1514"/>
      <c r="B8" s="1518" t="s">
        <v>3808</v>
      </c>
      <c r="C8" s="1519" t="s">
        <v>3809</v>
      </c>
      <c r="D8" s="1519" t="s">
        <v>3810</v>
      </c>
      <c r="E8" s="1519" t="s">
        <v>3811</v>
      </c>
      <c r="F8" s="1518" t="s">
        <v>3812</v>
      </c>
      <c r="G8" s="1519" t="s">
        <v>3813</v>
      </c>
      <c r="H8" s="1519" t="s">
        <v>3814</v>
      </c>
      <c r="I8" s="1519" t="s">
        <v>3815</v>
      </c>
      <c r="J8" s="1519" t="s">
        <v>3816</v>
      </c>
      <c r="K8" s="1519" t="s">
        <v>3817</v>
      </c>
      <c r="L8" s="1519" t="s">
        <v>3818</v>
      </c>
      <c r="M8" s="1520" t="s">
        <v>3819</v>
      </c>
      <c r="N8" s="1520" t="s">
        <v>3820</v>
      </c>
      <c r="O8" s="1520" t="s">
        <v>3821</v>
      </c>
      <c r="P8" s="1518" t="s">
        <v>3822</v>
      </c>
      <c r="Q8" s="1518" t="s">
        <v>3823</v>
      </c>
      <c r="R8" s="1519" t="s">
        <v>3824</v>
      </c>
      <c r="S8" s="1518" t="s">
        <v>3825</v>
      </c>
      <c r="T8" s="1519" t="s">
        <v>3826</v>
      </c>
    </row>
    <row r="9">
      <c r="A9" s="1491"/>
      <c r="B9" s="1521">
        <f>IFERROR(VLOOKUP(C9,'字段信息'!A:C,3,),"")</f>
      </c>
      <c r="C9" s="1522" t="s">
        <v>3827</v>
      </c>
      <c r="D9" s="1523">
        <f>IFERROR(VLOOKUP(C9,'字段信息'!A:C,2,),"")</f>
      </c>
      <c r="E9" s="1524"/>
      <c r="F9" s="1525">
        <f t="shared" ref="F9:F28" si="0">B9</f>
      </c>
      <c r="G9" s="1524"/>
      <c r="H9" s="1526"/>
      <c r="I9" s="1526"/>
      <c r="J9" s="1526"/>
      <c r="K9" s="1526"/>
      <c r="L9" s="1527"/>
      <c r="M9" s="1528"/>
      <c r="N9" s="1529"/>
      <c r="O9" s="1530"/>
      <c r="P9" s="1531"/>
      <c r="Q9" s="1532"/>
      <c r="R9" s="1533"/>
      <c r="S9" s="1532"/>
      <c r="T9" s="1534"/>
    </row>
    <row r="10">
      <c r="A10" s="1491"/>
      <c r="B10" s="1521">
        <f>IFERROR(VLOOKUP(C10,'字段信息'!A:C,3,),"")</f>
      </c>
      <c r="C10" s="1522" t="s">
        <v>3828</v>
      </c>
      <c r="D10" s="1523">
        <f>IFERROR(VLOOKUP(C10,'字段信息'!A:C,2,),"")</f>
      </c>
      <c r="E10" s="1524"/>
      <c r="F10" s="1525">
        <f t="shared" si="0"/>
      </c>
      <c r="G10" s="1524" t="s">
        <v>3829</v>
      </c>
      <c r="H10" s="1526"/>
      <c r="I10" s="1526"/>
      <c r="J10" s="1526"/>
      <c r="K10" s="1526"/>
      <c r="L10" s="1527" t="s">
        <v>3830</v>
      </c>
      <c r="M10" s="1528"/>
      <c r="N10" s="1529"/>
      <c r="O10" s="1530"/>
      <c r="P10" s="1531"/>
      <c r="Q10" s="1532"/>
      <c r="R10" s="1534"/>
      <c r="S10" s="1532"/>
      <c r="T10" s="1534"/>
    </row>
    <row r="11">
      <c r="A11" s="1491"/>
      <c r="B11" s="1521">
        <f>IFERROR(VLOOKUP(C11,'字段信息'!A:C,3,),"")</f>
      </c>
      <c r="C11" s="1522" t="s">
        <v>3831</v>
      </c>
      <c r="D11" s="1523">
        <f>IFERROR(VLOOKUP(C11,'字段信息'!A:C,2,),"")</f>
      </c>
      <c r="E11" s="1524"/>
      <c r="F11" s="1525">
        <f t="shared" si="0"/>
      </c>
      <c r="G11" s="1524" t="s">
        <v>3829</v>
      </c>
      <c r="H11" s="1526"/>
      <c r="I11" s="1526"/>
      <c r="J11" s="1526"/>
      <c r="K11" s="1526"/>
      <c r="L11" s="1527" t="s">
        <v>3830</v>
      </c>
      <c r="M11" s="1535"/>
      <c r="N11" s="1529"/>
      <c r="O11" s="1530"/>
      <c r="P11" s="1531"/>
      <c r="Q11" s="1532"/>
      <c r="R11" s="1534"/>
      <c r="S11" s="1532"/>
      <c r="T11" s="1534"/>
    </row>
    <row r="12">
      <c r="A12" s="1491"/>
      <c r="B12" s="1521">
        <f>IFERROR(VLOOKUP(C12,'字段信息'!A:C,3,),"")</f>
      </c>
      <c r="C12" s="1522" t="s">
        <v>3832</v>
      </c>
      <c r="D12" s="1523">
        <f>IFERROR(VLOOKUP(C12,'字段信息'!A:C,2,),"")</f>
      </c>
      <c r="E12" s="1524"/>
      <c r="F12" s="1525">
        <f t="shared" si="0"/>
      </c>
      <c r="G12" s="1524" t="s">
        <v>3829</v>
      </c>
      <c r="H12" s="1526"/>
      <c r="I12" s="1526"/>
      <c r="J12" s="1526"/>
      <c r="K12" s="1526"/>
      <c r="L12" s="1527" t="s">
        <v>3830</v>
      </c>
      <c r="M12" s="1536"/>
      <c r="N12" s="1529"/>
      <c r="O12" s="1530"/>
      <c r="P12" s="1531"/>
      <c r="Q12" s="1532"/>
      <c r="R12" s="1534"/>
      <c r="S12" s="1532"/>
      <c r="T12" s="1534"/>
    </row>
    <row r="13">
      <c r="A13" s="1491"/>
      <c r="B13" s="1521">
        <f>IFERROR(VLOOKUP(C13,'字段信息'!A:C,3,),"")</f>
      </c>
      <c r="C13" s="1522" t="s">
        <v>3833</v>
      </c>
      <c r="D13" s="1523">
        <f>IFERROR(VLOOKUP(C13,'字段信息'!A:C,2,),"")</f>
      </c>
      <c r="E13" s="1524"/>
      <c r="F13" s="1525">
        <f t="shared" si="0"/>
      </c>
      <c r="G13" s="1524" t="s">
        <v>3829</v>
      </c>
      <c r="H13" s="1526"/>
      <c r="I13" s="1526"/>
      <c r="J13" s="1526"/>
      <c r="K13" s="1526"/>
      <c r="L13" s="1527" t="s">
        <v>3830</v>
      </c>
      <c r="M13" s="1537"/>
      <c r="N13" s="1529"/>
      <c r="O13" s="1530"/>
      <c r="P13" s="1531"/>
      <c r="Q13" s="1532"/>
      <c r="R13" s="1534"/>
      <c r="S13" s="1532"/>
      <c r="T13" s="1534"/>
    </row>
    <row r="14">
      <c r="A14" s="1491"/>
      <c r="B14" s="1521">
        <f>IFERROR(VLOOKUP(C14,'字段信息'!A:C,3,),"")</f>
      </c>
      <c r="C14" s="1522" t="s">
        <v>3834</v>
      </c>
      <c r="D14" s="1523">
        <f>IFERROR(VLOOKUP(C14,'字段信息'!A:C,2,),"")</f>
      </c>
      <c r="E14" s="1524"/>
      <c r="F14" s="1525">
        <f t="shared" si="0"/>
      </c>
      <c r="G14" s="1524" t="s">
        <v>3829</v>
      </c>
      <c r="H14" s="1526"/>
      <c r="I14" s="1526"/>
      <c r="J14" s="1526"/>
      <c r="K14" s="1526"/>
      <c r="L14" s="1538" t="s">
        <v>3830</v>
      </c>
      <c r="M14" s="1528"/>
      <c r="N14" s="1529"/>
      <c r="O14" s="1530"/>
      <c r="P14" s="1531"/>
      <c r="Q14" s="1532"/>
      <c r="R14" s="1533"/>
      <c r="S14" s="1533"/>
      <c r="T14" s="1534"/>
    </row>
    <row r="15">
      <c r="A15" s="1491"/>
      <c r="B15" s="1521">
        <f>IFERROR(VLOOKUP(C15,'字段信息'!A:C,3,),"")</f>
      </c>
      <c r="C15" s="1522" t="s">
        <v>3835</v>
      </c>
      <c r="D15" s="1523">
        <f>IFERROR(VLOOKUP(C15,'字段信息'!A:C,2,),"")</f>
      </c>
      <c r="E15" s="1524"/>
      <c r="F15" s="1525">
        <f t="shared" si="0"/>
      </c>
      <c r="G15" s="1524" t="s">
        <v>3829</v>
      </c>
      <c r="H15" s="1526"/>
      <c r="I15" s="1526"/>
      <c r="J15" s="1526"/>
      <c r="K15" s="1526"/>
      <c r="L15" s="1538" t="s">
        <v>3830</v>
      </c>
      <c r="M15" s="1528"/>
      <c r="N15" s="1529"/>
      <c r="O15" s="1530"/>
      <c r="P15" s="1531"/>
      <c r="Q15" s="1532"/>
      <c r="R15" s="1534"/>
      <c r="S15" s="1532"/>
      <c r="T15" s="1534"/>
    </row>
    <row customHeight="true" ht="16.071428571428573" r="16">
      <c r="A16" s="1491"/>
      <c r="B16" s="1521">
        <f>IFERROR(VLOOKUP(C16,'字段信息'!A:C,3,),"")</f>
      </c>
      <c r="C16" s="1522" t="s">
        <v>3836</v>
      </c>
      <c r="D16" s="1523">
        <f>IFERROR(VLOOKUP(C16,'字段信息'!A:C,2,),"")</f>
      </c>
      <c r="E16" s="1524"/>
      <c r="F16" s="1525">
        <f t="shared" si="0"/>
      </c>
      <c r="G16" s="1524" t="s">
        <v>3829</v>
      </c>
      <c r="H16" s="1526"/>
      <c r="I16" s="1526"/>
      <c r="J16" s="1526"/>
      <c r="K16" s="1526"/>
      <c r="L16" s="1538"/>
      <c r="M16" s="1528"/>
      <c r="N16" s="1529"/>
      <c r="O16" s="1530"/>
      <c r="P16" s="1531"/>
      <c r="Q16" s="1532"/>
      <c r="R16" s="1534"/>
      <c r="S16" s="1532"/>
      <c r="T16" s="1534"/>
    </row>
    <row r="17">
      <c r="A17" s="1539"/>
      <c r="B17" s="1540">
        <f>IFERROR(VLOOKUP(C17,'字段信息'!A:C,3,),"")</f>
      </c>
      <c r="C17" s="1541" t="s">
        <v>3837</v>
      </c>
      <c r="D17" s="1542">
        <f>IFERROR(VLOOKUP(C17,'字段信息'!A:C,2,),"")</f>
      </c>
      <c r="E17" s="1543"/>
      <c r="F17" s="1544">
        <f t="shared" si="0"/>
      </c>
      <c r="G17" s="1543" t="s">
        <v>3829</v>
      </c>
      <c r="H17" s="1545"/>
      <c r="I17" s="1545"/>
      <c r="J17" s="1545"/>
      <c r="K17" s="1545"/>
      <c r="L17" s="1546"/>
      <c r="M17" s="1547"/>
      <c r="N17" s="1548"/>
      <c r="O17" s="1549"/>
      <c r="P17" s="1550"/>
      <c r="Q17" s="1551"/>
      <c r="R17" s="1552"/>
      <c r="S17" s="1551"/>
      <c r="T17" s="1553"/>
    </row>
    <row r="18">
      <c r="A18" s="1539"/>
      <c r="B18" s="1540">
        <f>IFERROR(VLOOKUP(C18,'字段信息'!A:C,3,),"")</f>
      </c>
      <c r="C18" s="1541" t="s">
        <v>3838</v>
      </c>
      <c r="D18" s="1542">
        <f>IFERROR(VLOOKUP(C18,'字段信息'!A:C,2,),"")</f>
      </c>
      <c r="E18" s="1543"/>
      <c r="F18" s="1544">
        <f t="shared" si="0"/>
      </c>
      <c r="G18" s="1543" t="s">
        <v>3829</v>
      </c>
      <c r="H18" s="1545"/>
      <c r="I18" s="1545"/>
      <c r="J18" s="1545"/>
      <c r="K18" s="1545"/>
      <c r="L18" s="1546"/>
      <c r="M18" s="1547"/>
      <c r="N18" s="1548"/>
      <c r="O18" s="1549"/>
      <c r="P18" s="1550"/>
      <c r="Q18" s="1551"/>
      <c r="R18" s="1552"/>
      <c r="S18" s="1551"/>
      <c r="T18" s="1553"/>
    </row>
    <row customHeight="true" ht="16.071428571428573" r="19">
      <c r="A19" s="1491"/>
      <c r="B19" s="1521">
        <f>IFERROR(VLOOKUP(C19,'字段信息'!A:C,3,),"")</f>
      </c>
      <c r="C19" s="1522" t="s">
        <v>3839</v>
      </c>
      <c r="D19" s="1523">
        <f>IFERROR(VLOOKUP(C19,'字段信息'!A:C,2,),"")</f>
      </c>
      <c r="E19" s="1524"/>
      <c r="F19" s="1525">
        <f t="shared" si="0"/>
      </c>
      <c r="G19" s="1524" t="s">
        <v>3829</v>
      </c>
      <c r="H19" s="1526"/>
      <c r="I19" s="1526"/>
      <c r="J19" s="1526"/>
      <c r="K19" s="1526"/>
      <c r="L19" s="1538"/>
      <c r="M19" s="1528"/>
      <c r="N19" s="1529"/>
      <c r="O19" s="1530"/>
      <c r="P19" s="1531"/>
      <c r="Q19" s="1554"/>
      <c r="R19" s="1555"/>
      <c r="S19" s="1532"/>
      <c r="T19" s="1534"/>
    </row>
    <row r="20">
      <c r="A20" s="1491"/>
      <c r="B20" s="1521">
        <f>IFERROR(VLOOKUP(C20,'字段信息'!A:C,3,),"")</f>
      </c>
      <c r="C20" s="1522" t="s">
        <v>3840</v>
      </c>
      <c r="D20" s="1523">
        <f>IFERROR(VLOOKUP(C20,'字段信息'!A:C,2,),"")</f>
      </c>
      <c r="E20" s="1524"/>
      <c r="F20" s="1525">
        <f t="shared" si="0"/>
      </c>
      <c r="G20" s="1524" t="s">
        <v>3829</v>
      </c>
      <c r="H20" s="1526"/>
      <c r="I20" s="1526"/>
      <c r="J20" s="1526"/>
      <c r="K20" s="1526"/>
      <c r="L20" s="1538" t="s">
        <v>3830</v>
      </c>
      <c r="M20" s="1528"/>
      <c r="N20" s="1529"/>
      <c r="O20" s="1530"/>
      <c r="P20" s="1531"/>
      <c r="Q20" s="1554"/>
      <c r="R20" s="1555"/>
      <c r="S20" s="1532"/>
      <c r="T20" s="1534"/>
    </row>
    <row r="21">
      <c r="A21" s="1491"/>
      <c r="B21" s="1521">
        <f>IFERROR(VLOOKUP(C21,'字段信息'!A:C,3,),"")</f>
      </c>
      <c r="C21" s="1522" t="s">
        <v>3841</v>
      </c>
      <c r="D21" s="1523">
        <f>IFERROR(VLOOKUP(C21,'字段信息'!A:C,2,),"")</f>
      </c>
      <c r="E21" s="1524"/>
      <c r="F21" s="1525">
        <f t="shared" si="0"/>
      </c>
      <c r="G21" s="1524" t="s">
        <v>3829</v>
      </c>
      <c r="H21" s="1526"/>
      <c r="I21" s="1526"/>
      <c r="J21" s="1526"/>
      <c r="K21" s="1526"/>
      <c r="L21" s="1538"/>
      <c r="M21" s="1528"/>
      <c r="N21" s="1529"/>
      <c r="O21" s="1530"/>
      <c r="P21" s="1531"/>
      <c r="Q21" s="1556"/>
      <c r="R21" s="1534"/>
      <c r="S21" s="1532"/>
      <c r="T21" s="1534"/>
    </row>
    <row r="22">
      <c r="A22" s="1491"/>
      <c r="B22" s="1521">
        <f>IFERROR(VLOOKUP(C22,'字段信息'!A:C,3,),"")</f>
      </c>
      <c r="C22" s="1522" t="s">
        <v>3842</v>
      </c>
      <c r="D22" s="1523">
        <f>IFERROR(VLOOKUP(C22,'字段信息'!A:C,2,),"")</f>
      </c>
      <c r="E22" s="1524"/>
      <c r="F22" s="1525">
        <f t="shared" si="0"/>
      </c>
      <c r="G22" s="1524" t="s">
        <v>3829</v>
      </c>
      <c r="H22" s="1526"/>
      <c r="I22" s="1526"/>
      <c r="J22" s="1526"/>
      <c r="K22" s="1526"/>
      <c r="L22" s="1538" t="s">
        <v>3830</v>
      </c>
      <c r="M22" s="1528"/>
      <c r="N22" s="1529"/>
      <c r="O22" s="1530"/>
      <c r="P22" s="1531"/>
      <c r="Q22" s="1532"/>
      <c r="R22" s="1534"/>
      <c r="S22" s="1532"/>
      <c r="T22" s="1534"/>
    </row>
    <row r="23">
      <c r="A23" s="1491"/>
      <c r="B23" s="1521">
        <f>IFERROR(VLOOKUP(C23,'字段信息'!A:C,3,),"")</f>
      </c>
      <c r="C23" s="1522" t="s">
        <v>3843</v>
      </c>
      <c r="D23" s="1523">
        <f>IFERROR(VLOOKUP(C23,'字段信息'!A:C,2,),"")</f>
      </c>
      <c r="E23" s="1524"/>
      <c r="F23" s="1525">
        <f t="shared" si="0"/>
      </c>
      <c r="G23" s="1524" t="s">
        <v>3829</v>
      </c>
      <c r="H23" s="1526"/>
      <c r="I23" s="1526"/>
      <c r="J23" s="1526"/>
      <c r="K23" s="1526"/>
      <c r="L23" s="1538" t="s">
        <v>3830</v>
      </c>
      <c r="M23" s="1528"/>
      <c r="N23" s="1529"/>
      <c r="O23" s="1530"/>
      <c r="P23" s="1531"/>
      <c r="Q23" s="1532"/>
      <c r="R23" s="1534"/>
      <c r="S23" s="1532"/>
      <c r="T23" s="1534"/>
    </row>
    <row r="24">
      <c r="A24" s="1491"/>
      <c r="B24" s="1521">
        <f>IFERROR(VLOOKUP(C24,'字段信息'!A:C,3,),"")</f>
      </c>
      <c r="C24" s="1522" t="s">
        <v>3844</v>
      </c>
      <c r="D24" s="1523">
        <f>IFERROR(VLOOKUP(C23,'字段信息'!A:C,2,),"")</f>
      </c>
      <c r="E24" s="1524"/>
      <c r="F24" s="1525">
        <f t="shared" si="0"/>
      </c>
      <c r="G24" s="1524" t="s">
        <v>3829</v>
      </c>
      <c r="H24" s="1526"/>
      <c r="I24" s="1526"/>
      <c r="J24" s="1526"/>
      <c r="K24" s="1526"/>
      <c r="L24" s="1538" t="s">
        <v>3830</v>
      </c>
      <c r="M24" s="1528"/>
      <c r="N24" s="1529"/>
      <c r="O24" s="1530"/>
      <c r="P24" s="1531"/>
      <c r="Q24" s="1533"/>
      <c r="R24" s="1534"/>
      <c r="S24" s="1532"/>
      <c r="T24" s="1534"/>
    </row>
    <row r="25">
      <c r="A25" s="1557"/>
      <c r="B25" s="1521">
        <f>IFERROR(VLOOKUP(C25,'字段信息'!A:C,3,),"")</f>
      </c>
      <c r="C25" s="1522" t="s">
        <v>3845</v>
      </c>
      <c r="D25" s="1523">
        <f>IFERROR(VLOOKUP(C24,'字段信息'!A:C,2,),"")</f>
      </c>
      <c r="E25" s="1524"/>
      <c r="F25" s="1525">
        <f t="shared" si="0"/>
      </c>
      <c r="G25" s="1524" t="s">
        <v>3829</v>
      </c>
      <c r="H25" s="1526"/>
      <c r="I25" s="1526"/>
      <c r="J25" s="1526"/>
      <c r="K25" s="1526"/>
      <c r="L25" s="1538" t="s">
        <v>3830</v>
      </c>
      <c r="M25" s="1528"/>
      <c r="N25" s="1529"/>
      <c r="O25" s="1530"/>
      <c r="P25" s="1531"/>
      <c r="Q25" s="1558"/>
      <c r="R25" s="1534"/>
      <c r="S25" s="1532"/>
      <c r="T25" s="1534"/>
    </row>
    <row r="26">
      <c r="A26" s="1491"/>
      <c r="B26" s="1521">
        <f>IFERROR(VLOOKUP(C26,'字段信息'!A:C,3,),"")</f>
      </c>
      <c r="C26" s="1522" t="s">
        <v>3846</v>
      </c>
      <c r="D26" s="1523">
        <f>IFERROR(VLOOKUP(C25,'字段信息'!A:C,2,),"")</f>
      </c>
      <c r="E26" s="1524"/>
      <c r="F26" s="1525">
        <f t="shared" si="0"/>
      </c>
      <c r="G26" s="1559" t="s">
        <v>3829</v>
      </c>
      <c r="H26" s="1526"/>
      <c r="I26" s="1526"/>
      <c r="J26" s="1526"/>
      <c r="K26" s="1526"/>
      <c r="L26" s="1538"/>
      <c r="M26" s="1528"/>
      <c r="N26" s="1529"/>
      <c r="O26" s="1530"/>
      <c r="P26" s="1560"/>
      <c r="Q26" s="1532"/>
      <c r="R26" s="1534"/>
      <c r="S26" s="1533"/>
      <c r="T26" s="1534"/>
    </row>
    <row r="27">
      <c r="A27" s="1561"/>
      <c r="B27" s="1521">
        <f>IFERROR(VLOOKUP(C27,'字段信息'!A:C,3,),"")</f>
      </c>
      <c r="C27" s="1522" t="s">
        <v>3847</v>
      </c>
      <c r="D27" s="1562">
        <f>IFERROR(VLOOKUP(C26,'字段信息'!A:C,2,),"")</f>
      </c>
      <c r="E27" s="1559"/>
      <c r="F27" s="1563">
        <f t="shared" si="0"/>
      </c>
      <c r="G27" s="1559" t="s">
        <v>3829</v>
      </c>
      <c r="H27" s="1564"/>
      <c r="I27" s="1564"/>
      <c r="J27" s="1564"/>
      <c r="K27" s="1564"/>
      <c r="L27" s="1565"/>
      <c r="M27" s="1566"/>
      <c r="N27" s="1567"/>
      <c r="O27" s="1568"/>
      <c r="P27" s="1569"/>
      <c r="Q27" s="1570"/>
      <c r="R27" s="1571"/>
      <c r="S27" s="1572"/>
      <c r="T27" s="1571"/>
    </row>
    <row r="28">
      <c r="A28" s="1561"/>
      <c r="B28" s="1521">
        <f>IFERROR(VLOOKUP(C28,'字段信息'!A:C,3,),"")</f>
      </c>
      <c r="C28" s="1522" t="s">
        <v>3848</v>
      </c>
      <c r="D28" s="1562">
        <f>IFERROR(VLOOKUP(C27,'字段信息'!A:C,2,),"")</f>
      </c>
      <c r="E28" s="1559"/>
      <c r="F28" s="1563">
        <f t="shared" si="0"/>
      </c>
      <c r="G28" s="1559" t="s">
        <v>3829</v>
      </c>
      <c r="H28" s="1564"/>
      <c r="I28" s="1564"/>
      <c r="J28" s="1564"/>
      <c r="K28" s="1564"/>
      <c r="L28" s="1565"/>
      <c r="M28" s="1566"/>
      <c r="N28" s="1567"/>
      <c r="O28" s="1568"/>
      <c r="P28" s="1569"/>
      <c r="Q28" s="1570"/>
      <c r="R28" s="1571"/>
      <c r="S28" s="1572"/>
      <c r="T28" s="1571"/>
    </row>
  </sheetData>
  <autoFilter ref="A8:T28"/>
  <mergeCells>
    <mergeCell ref="C6:G6"/>
    <mergeCell ref="B1:D1"/>
    <mergeCell ref="C2:F2"/>
    <mergeCell ref="M7:T7"/>
    <mergeCell ref="B7:G7"/>
  </mergeCells>
  <hyperlinks>
    <hyperlink ref="A2" location="'规则库'!A1" display="规则库"/>
    <hyperlink ref="A1" location="'2. 0 DWM层目录'!A1" display="返回"/>
  </hyperlinks>
  <picture r:id="rId1"/>
</worksheet>
</file>

<file path=xl/worksheets/sheet2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sheetData/>
  <picture r:id="rId1"/>
</worksheet>
</file>

<file path=xl/worksheets/sheet2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cols>
    <col collapsed="false" customWidth="true" hidden="false" max="3" min="3" style="0" width="47.51173729441348"/>
    <col collapsed="false" customWidth="true" hidden="false" max="4" min="4" style="0" width="21.596244336667002"/>
    <col collapsed="false" customWidth="true" hidden="false" max="5" min="5" style="0" width="46.04694856201912"/>
    <col collapsed="false" customWidth="true" hidden="false" max="6" min="6" style="0" width="29.35211267605634"/>
    <col collapsed="false" customWidth="true" hidden="false" max="7" min="7" style="0" width="2.1971830985915495"/>
    <col collapsed="false" customWidth="true" hidden="false" max="1" min="1" style="0" width="20.694835885962775"/>
    <col collapsed="false" customWidth="true" hidden="false" max="2" min="2" style="0" width="34.87323943661972"/>
  </cols>
  <sheetData>
    <row r="1">
      <c r="A1" s="1573" t="s">
        <v>3849</v>
      </c>
      <c r="B1" s="1574"/>
      <c r="C1" s="1574"/>
      <c r="D1" s="1574"/>
      <c r="E1" s="1574"/>
      <c r="G1" s="1575"/>
    </row>
    <row r="2">
      <c r="A2" s="1576" t="s">
        <v>3850</v>
      </c>
      <c r="B2" s="1574"/>
      <c r="C2" s="1574"/>
      <c r="D2" s="1574"/>
      <c r="E2" s="1574"/>
      <c r="G2" s="1575"/>
    </row>
    <row r="3">
      <c r="A3" s="1574"/>
      <c r="B3" s="1574"/>
      <c r="C3" s="1574"/>
      <c r="D3" s="1574"/>
      <c r="E3" s="1574"/>
      <c r="G3" s="1575"/>
    </row>
    <row customHeight="true" ht="16.071428571428573" r="4">
      <c r="A4" s="1577" t="s">
        <v>3851</v>
      </c>
      <c r="B4" s="1577" t="s">
        <v>3852</v>
      </c>
      <c r="C4" s="1577" t="s">
        <v>3853</v>
      </c>
      <c r="D4" s="1577" t="s">
        <v>3854</v>
      </c>
      <c r="E4" s="1577"/>
      <c r="G4" s="1575"/>
    </row>
    <row r="5">
      <c r="A5" s="1577"/>
      <c r="B5" s="1577"/>
      <c r="C5" s="1577"/>
      <c r="D5" s="1577"/>
      <c r="E5" s="1577"/>
      <c r="G5" s="1575"/>
    </row>
    <row r="6">
      <c r="A6" s="1578" t="s">
        <v>3855</v>
      </c>
      <c r="B6" s="1578" t="s">
        <v>3856</v>
      </c>
      <c r="C6" s="1579" t="s">
        <v>3857</v>
      </c>
      <c r="D6" s="1580" t="s">
        <v>3858</v>
      </c>
      <c r="E6" s="1580"/>
      <c r="G6" s="1575"/>
    </row>
    <row r="7">
      <c r="A7" s="1580"/>
      <c r="B7" s="1580"/>
      <c r="C7" s="1581"/>
      <c r="D7" s="1580"/>
      <c r="E7" s="1580"/>
      <c r="G7" s="1575"/>
    </row>
    <row r="8">
      <c r="A8" s="1574"/>
      <c r="B8" s="1574"/>
      <c r="C8" s="1574"/>
      <c r="D8" s="1574"/>
      <c r="E8" s="1574"/>
    </row>
    <row r="9">
      <c r="A9" s="1582" t="s">
        <v>3859</v>
      </c>
      <c r="B9" s="1583" t="s">
        <v>3860</v>
      </c>
      <c r="C9" s="1582" t="s">
        <v>3861</v>
      </c>
      <c r="D9" s="1582" t="s">
        <v>3862</v>
      </c>
      <c r="E9" s="1582" t="s">
        <v>3863</v>
      </c>
    </row>
    <row r="10">
      <c r="A10" s="1584">
        <v>1</v>
      </c>
      <c r="B10" s="1585" t="s">
        <v>3864</v>
      </c>
      <c r="C10" s="1586" t="s">
        <v>3865</v>
      </c>
      <c r="D10" s="1587" t="s">
        <v>3866</v>
      </c>
      <c r="E10" s="1588" t="s">
        <v>3867</v>
      </c>
      <c r="F10" s="1589"/>
    </row>
    <row r="11">
      <c r="A11" s="1574"/>
      <c r="B11" s="1574"/>
      <c r="C11" s="1574"/>
      <c r="D11" s="1574"/>
      <c r="E11" s="1574"/>
    </row>
    <row customHeight="true" ht="16.071428571428573" r="12">
      <c r="A12" s="1577" t="s">
        <v>3851</v>
      </c>
      <c r="B12" s="1577" t="s">
        <v>3852</v>
      </c>
      <c r="C12" s="1577" t="s">
        <v>3853</v>
      </c>
      <c r="D12" s="1577" t="s">
        <v>3854</v>
      </c>
      <c r="E12" s="1577"/>
    </row>
    <row r="13">
      <c r="A13" s="1577"/>
      <c r="B13" s="1577"/>
      <c r="C13" s="1577"/>
      <c r="D13" s="1577"/>
      <c r="E13" s="1577"/>
    </row>
    <row r="14">
      <c r="A14" s="1578" t="s">
        <v>3868</v>
      </c>
      <c r="B14" s="1578" t="s">
        <v>3869</v>
      </c>
      <c r="C14" s="1579" t="s">
        <v>3857</v>
      </c>
      <c r="D14" s="1580" t="s">
        <v>3858</v>
      </c>
      <c r="E14" s="1580"/>
    </row>
    <row r="15">
      <c r="A15" s="1578"/>
      <c r="B15" s="1580"/>
      <c r="C15" s="1579"/>
      <c r="D15" s="1580"/>
      <c r="E15" s="1580"/>
    </row>
    <row r="16">
      <c r="A16" s="1574"/>
      <c r="B16" s="1574"/>
      <c r="C16" s="1574"/>
      <c r="D16" s="1574"/>
      <c r="E16" s="1574"/>
    </row>
    <row r="17">
      <c r="A17" s="1583" t="s">
        <v>3859</v>
      </c>
      <c r="B17" s="1583" t="s">
        <v>3860</v>
      </c>
      <c r="C17" s="1582" t="s">
        <v>3861</v>
      </c>
      <c r="D17" s="1582" t="s">
        <v>3862</v>
      </c>
      <c r="E17" s="1582" t="s">
        <v>3863</v>
      </c>
      <c r="F17" s="1589"/>
      <c r="G17" s="1589"/>
      <c r="H17" s="1589"/>
      <c r="I17" s="1589"/>
      <c r="J17" s="1589"/>
      <c r="K17" s="1589"/>
      <c r="L17" s="1589"/>
      <c r="M17" s="1589"/>
      <c r="N17" s="1589"/>
      <c r="O17" s="1589"/>
      <c r="P17" s="1589"/>
      <c r="Q17" s="1589"/>
      <c r="R17" s="1589"/>
      <c r="S17" s="1589"/>
      <c r="T17" s="1589"/>
    </row>
    <row r="18">
      <c r="A18" s="1580">
        <v>1</v>
      </c>
      <c r="B18" s="1590" t="s">
        <v>3870</v>
      </c>
      <c r="C18" s="1586" t="s">
        <v>3871</v>
      </c>
      <c r="D18" s="1578" t="s">
        <v>3872</v>
      </c>
      <c r="E18" s="1591" t="s">
        <v>3873</v>
      </c>
    </row>
  </sheetData>
  <mergeCells>
    <mergeCell ref="A14:A15"/>
    <mergeCell ref="D12:E13"/>
    <mergeCell ref="C12:C13"/>
    <mergeCell ref="B12:B13"/>
    <mergeCell ref="A12:A13"/>
    <mergeCell ref="D14:E15"/>
    <mergeCell ref="B14:B15"/>
    <mergeCell ref="A4:A5"/>
    <mergeCell ref="B4:B5"/>
    <mergeCell ref="C4:C5"/>
    <mergeCell ref="D4:E5"/>
    <mergeCell ref="A6:A7"/>
    <mergeCell ref="B6:B7"/>
    <mergeCell ref="C6:C7"/>
    <mergeCell ref="D6:E7"/>
    <mergeCell ref="C14:C15"/>
  </mergeCells>
  <hyperlinks>
    <hyperlink ref="B10" location="'DWS-ARPS01-周转计算汇总表'!A1" display="ARP001_STEP_1"/>
    <hyperlink ref="B18" location="'DWS-CPRS01-核心利润'!A1" display="ARP002_STEP_1"/>
  </hyperlinks>
  <picture r:id="rId1"/>
</worksheet>
</file>

<file path=xl/worksheets/sheet2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5" min="5" style="0" width="10.647887323943662"/>
    <col collapsed="false" customWidth="true" hidden="false" max="13" min="13" style="0" width="33.78404181962451"/>
    <col collapsed="false" customWidth="true" hidden="false" max="20" min="20" style="0" width="5.577464788732394"/>
    <col collapsed="false" customWidth="true" hidden="false" max="1" min="1" style="0" width="5.23943661971831"/>
    <col collapsed="false" customWidth="true" hidden="false" max="8" min="8" style="0" width="7.154929577464789"/>
    <col collapsed="false" customWidth="true" hidden="true" max="8" min="8" style="0" width="7.154929577464789"/>
    <col collapsed="false" customWidth="true" hidden="false" max="12" min="12" style="0" width="9.746478873239436"/>
    <col collapsed="false" customWidth="true" hidden="true" max="12" min="12" style="0" width="9.746478873239436"/>
    <col collapsed="false" customWidth="true" hidden="false" max="16" min="16" style="0" width="16.09394268100855"/>
    <col collapsed="false" customWidth="true" hidden="false" max="19" min="19" style="0" width="23.342732556362098"/>
    <col collapsed="false" customWidth="true" hidden="false" max="4" min="4" style="0" width="12.56338028169014"/>
    <col collapsed="false" customWidth="true" hidden="false" max="7" min="7" style="0" width="8.732394366197184"/>
    <col collapsed="false" customWidth="true" hidden="false" max="10" min="10" style="0" width="13.80281690140845"/>
    <col collapsed="false" customWidth="true" hidden="true" max="10" min="10" style="0" width="13.80281690140845"/>
    <col collapsed="false" customWidth="true" hidden="false" max="11" min="11" style="0" width="8.732394366197184"/>
    <col collapsed="false" customWidth="true" hidden="true" max="11" min="11" style="0" width="8.732394366197184"/>
    <col collapsed="false" customWidth="true" hidden="false" max="15" min="15" style="0" width="35.66197183098591"/>
    <col collapsed="false" customWidth="true" hidden="false" max="18" min="18" style="0" width="31.680755330176627"/>
    <col collapsed="false" customWidth="true" hidden="false" max="3" min="3" style="0" width="19.774647887323944"/>
    <col collapsed="false" customWidth="true" hidden="false" max="6" min="6" style="0" width="17.070422535211268"/>
    <col collapsed="false" customWidth="true" hidden="false" max="9" min="9" style="0" width="8.732394366197184"/>
    <col collapsed="false" customWidth="true" hidden="true" max="9" min="9" style="0" width="8.732394366197184"/>
    <col collapsed="false" customWidth="true" hidden="false" max="14" min="14" style="0" width="7.154929577464789"/>
    <col collapsed="false" customWidth="true" hidden="false" max="17" min="17" style="0" width="26.422535076947355"/>
    <col collapsed="false" customWidth="true" hidden="false" max="2" min="2" style="0" width="23.718309859154928"/>
  </cols>
  <sheetData>
    <row r="1">
      <c r="A1" s="1592" t="s">
        <v>3874</v>
      </c>
      <c r="B1" s="1593" t="s">
        <v>3875</v>
      </c>
      <c r="C1" s="1594"/>
      <c r="D1" s="1594"/>
      <c r="E1" s="1595"/>
      <c r="F1" s="1596"/>
      <c r="G1" s="1595"/>
      <c r="H1" s="1597"/>
      <c r="I1" s="1597"/>
      <c r="J1" s="1597"/>
      <c r="K1" s="1597"/>
      <c r="L1" s="1597"/>
      <c r="M1" s="1598"/>
      <c r="N1" s="1599"/>
      <c r="O1" s="1596"/>
      <c r="P1" s="1596"/>
      <c r="Q1" s="1596"/>
      <c r="R1" s="1595"/>
      <c r="S1" s="1596"/>
      <c r="T1" s="1595"/>
    </row>
    <row r="2">
      <c r="A2" s="1600" t="s">
        <v>3876</v>
      </c>
      <c r="B2" s="1601" t="s">
        <v>3877</v>
      </c>
      <c r="C2" s="1602" t="s">
        <v>3878</v>
      </c>
      <c r="D2" s="1603"/>
      <c r="E2" s="1603"/>
      <c r="F2" s="1604"/>
      <c r="G2" s="1603"/>
      <c r="H2" s="1597"/>
      <c r="I2" s="1597"/>
      <c r="J2" s="1597"/>
      <c r="K2" s="1597"/>
      <c r="L2" s="1597"/>
      <c r="M2" s="1598"/>
      <c r="N2" s="1599"/>
      <c r="O2" s="1596"/>
      <c r="P2" s="1596"/>
      <c r="Q2" s="1596"/>
      <c r="R2" s="1595"/>
      <c r="S2" s="1596"/>
      <c r="T2" s="1595"/>
    </row>
    <row r="3">
      <c r="A3" s="1605"/>
      <c r="B3" s="1606" t="s">
        <v>3879</v>
      </c>
      <c r="C3" s="1607" t="s">
        <v>3880</v>
      </c>
      <c r="D3" s="1608" t="s">
        <v>3881</v>
      </c>
      <c r="E3" s="1609" t="s">
        <v>3882</v>
      </c>
      <c r="F3" s="1606" t="s">
        <v>3883</v>
      </c>
      <c r="G3" s="1607" t="s">
        <v>3884</v>
      </c>
      <c r="H3" s="1597"/>
      <c r="I3" s="1597"/>
      <c r="J3" s="1597"/>
      <c r="K3" s="1597"/>
      <c r="L3" s="1597"/>
      <c r="M3" s="1598"/>
      <c r="N3" s="1599"/>
      <c r="O3" s="1596"/>
      <c r="P3" s="1596"/>
      <c r="Q3" s="1596"/>
      <c r="R3" s="1595"/>
      <c r="S3" s="1596"/>
      <c r="T3" s="1595"/>
    </row>
    <row r="4">
      <c r="A4" s="1605"/>
      <c r="B4" s="1606" t="s">
        <v>3885</v>
      </c>
      <c r="C4" s="1610" t="s">
        <v>3886</v>
      </c>
      <c r="D4" s="1611" t="s">
        <v>3887</v>
      </c>
      <c r="E4" s="1612" t="s">
        <v>3888</v>
      </c>
      <c r="F4" s="1613" t="s">
        <v>3889</v>
      </c>
      <c r="G4" s="1607" t="s">
        <v>3890</v>
      </c>
      <c r="H4" s="1597"/>
      <c r="I4" s="1597"/>
      <c r="J4" s="1597"/>
      <c r="K4" s="1597"/>
      <c r="L4" s="1597"/>
      <c r="M4" s="1598"/>
      <c r="N4" s="1599"/>
      <c r="O4" s="1596"/>
      <c r="P4" s="1596"/>
      <c r="Q4" s="1596"/>
      <c r="R4" s="1595"/>
      <c r="S4" s="1596"/>
      <c r="T4" s="1595"/>
    </row>
    <row r="5">
      <c r="A5" s="1605"/>
      <c r="B5" s="1606" t="s">
        <v>3891</v>
      </c>
      <c r="C5" s="1607" t="s">
        <v>3892</v>
      </c>
      <c r="D5" s="1608" t="s">
        <v>3893</v>
      </c>
      <c r="E5" s="1614"/>
      <c r="F5" s="1615" t="s">
        <v>3894</v>
      </c>
      <c r="G5" s="1616"/>
      <c r="H5" s="1597"/>
      <c r="I5" s="1597"/>
      <c r="J5" s="1597"/>
      <c r="K5" s="1597"/>
      <c r="L5" s="1597"/>
      <c r="M5" s="1598"/>
      <c r="N5" s="1599"/>
      <c r="O5" s="1596"/>
      <c r="P5" s="1596"/>
      <c r="Q5" s="1596"/>
      <c r="R5" s="1595"/>
      <c r="S5" s="1596"/>
      <c r="T5" s="1595"/>
    </row>
    <row r="6">
      <c r="A6" s="1605"/>
      <c r="B6" s="1617" t="s">
        <v>3895</v>
      </c>
      <c r="C6" s="1618" t="s">
        <v>3896</v>
      </c>
      <c r="D6" s="1619"/>
      <c r="E6" s="1619"/>
      <c r="F6" s="1619"/>
      <c r="G6" s="1619"/>
      <c r="H6" s="1597"/>
      <c r="I6" s="1597"/>
      <c r="J6" s="1597"/>
      <c r="K6" s="1597"/>
      <c r="L6" s="1597"/>
      <c r="M6" s="1598"/>
      <c r="N6" s="1599"/>
      <c r="O6" s="1596"/>
      <c r="P6" s="1596"/>
      <c r="Q6" s="1596"/>
      <c r="R6" s="1595"/>
      <c r="S6" s="1596"/>
      <c r="T6" s="1595"/>
    </row>
    <row r="7">
      <c r="A7" s="1620"/>
      <c r="B7" s="1621" t="s">
        <v>3897</v>
      </c>
      <c r="C7" s="1622"/>
      <c r="D7" s="1622"/>
      <c r="E7" s="1622"/>
      <c r="F7" s="1621"/>
      <c r="G7" s="1622"/>
      <c r="H7" s="1622"/>
      <c r="I7" s="1622"/>
      <c r="J7" s="1622"/>
      <c r="K7" s="1622"/>
      <c r="L7" s="1622"/>
      <c r="M7" s="1623" t="s">
        <v>3898</v>
      </c>
      <c r="N7" s="1621"/>
      <c r="O7" s="1621"/>
      <c r="P7" s="1621"/>
      <c r="Q7" s="1621"/>
      <c r="R7" s="1622"/>
      <c r="S7" s="1621"/>
      <c r="T7" s="1622"/>
    </row>
    <row r="8">
      <c r="A8" s="1620"/>
      <c r="B8" s="1624" t="s">
        <v>3899</v>
      </c>
      <c r="C8" s="1625" t="s">
        <v>3900</v>
      </c>
      <c r="D8" s="1625" t="s">
        <v>3901</v>
      </c>
      <c r="E8" s="1625" t="s">
        <v>3902</v>
      </c>
      <c r="F8" s="1624" t="s">
        <v>3903</v>
      </c>
      <c r="G8" s="1625" t="s">
        <v>3904</v>
      </c>
      <c r="H8" s="1625" t="s">
        <v>3905</v>
      </c>
      <c r="I8" s="1625" t="s">
        <v>3906</v>
      </c>
      <c r="J8" s="1625" t="s">
        <v>3907</v>
      </c>
      <c r="K8" s="1625" t="s">
        <v>3908</v>
      </c>
      <c r="L8" s="1625" t="s">
        <v>3909</v>
      </c>
      <c r="M8" s="1624" t="s">
        <v>3910</v>
      </c>
      <c r="N8" s="1624" t="s">
        <v>3911</v>
      </c>
      <c r="O8" s="1624" t="s">
        <v>3912</v>
      </c>
      <c r="P8" s="1624" t="s">
        <v>3913</v>
      </c>
      <c r="Q8" s="1624" t="s">
        <v>3914</v>
      </c>
      <c r="R8" s="1625" t="s">
        <v>3915</v>
      </c>
      <c r="S8" s="1624" t="s">
        <v>3916</v>
      </c>
      <c r="T8" s="1625" t="s">
        <v>3917</v>
      </c>
    </row>
    <row r="9">
      <c r="A9" s="1597"/>
      <c r="B9" s="1626">
        <f>IFERROR(VLOOKUP(C9,'字段信息'!A:C,3,),"")</f>
      </c>
      <c r="C9" s="1627" t="s">
        <v>3918</v>
      </c>
      <c r="D9" s="1628">
        <f>IFERROR(VLOOKUP(C9,'字段信息'!A:C,2,),"")</f>
      </c>
      <c r="E9" s="1629"/>
      <c r="F9" s="1630">
        <f t="shared" ref="F9:F40" si="0">B9</f>
      </c>
      <c r="G9" s="1629"/>
      <c r="H9" s="1631"/>
      <c r="I9" s="1631"/>
      <c r="J9" s="1631"/>
      <c r="K9" s="1631"/>
      <c r="L9" s="1632"/>
      <c r="M9" s="1633" t="s">
        <v>3919</v>
      </c>
      <c r="N9" s="1634" t="s">
        <v>3920</v>
      </c>
      <c r="O9" s="1635" t="s">
        <v>3921</v>
      </c>
      <c r="P9" s="1627" t="s">
        <v>3918</v>
      </c>
      <c r="Q9" s="1636"/>
      <c r="R9" s="1637"/>
      <c r="S9" s="1636"/>
      <c r="T9" s="1637"/>
    </row>
    <row r="10">
      <c r="A10" s="1597"/>
      <c r="B10" s="1626">
        <f>IFERROR(VLOOKUP(C10,'字段信息'!A:C,3,),"")</f>
      </c>
      <c r="C10" s="1627" t="s">
        <v>3922</v>
      </c>
      <c r="D10" s="1628">
        <f>IFERROR(VLOOKUP(C10,'字段信息'!A:C,2,),"")</f>
      </c>
      <c r="E10" s="1629"/>
      <c r="F10" s="1630">
        <f t="shared" si="0"/>
      </c>
      <c r="G10" s="1629" t="s">
        <v>3923</v>
      </c>
      <c r="H10" s="1631"/>
      <c r="I10" s="1631"/>
      <c r="J10" s="1631"/>
      <c r="K10" s="1631"/>
      <c r="L10" s="1632" t="s">
        <v>3924</v>
      </c>
      <c r="M10" s="1633" t="s">
        <v>3919</v>
      </c>
      <c r="N10" s="1634" t="s">
        <v>3920</v>
      </c>
      <c r="O10" s="1635" t="s">
        <v>3921</v>
      </c>
      <c r="P10" s="1627" t="s">
        <v>3922</v>
      </c>
      <c r="Q10" s="1636"/>
      <c r="R10" s="1637"/>
      <c r="S10" s="1636"/>
      <c r="T10" s="1637"/>
    </row>
    <row r="11">
      <c r="A11" s="1597"/>
      <c r="B11" s="1626">
        <f>IFERROR(VLOOKUP(C11,'字段信息'!A:C,3,),"")</f>
      </c>
      <c r="C11" s="1638" t="s">
        <v>3925</v>
      </c>
      <c r="D11" s="1628">
        <f>IFERROR(VLOOKUP(C11,'字段信息'!A:C,2,),"")</f>
      </c>
      <c r="E11" s="1629"/>
      <c r="F11" s="1630">
        <f t="shared" si="0"/>
      </c>
      <c r="G11" s="1629" t="s">
        <v>3923</v>
      </c>
      <c r="H11" s="1631"/>
      <c r="I11" s="1631"/>
      <c r="J11" s="1631"/>
      <c r="K11" s="1631"/>
      <c r="L11" s="1632" t="s">
        <v>3924</v>
      </c>
      <c r="M11" s="1639" t="s">
        <v>3926</v>
      </c>
      <c r="N11" s="1640" t="s">
        <v>3920</v>
      </c>
      <c r="O11" s="1641" t="s">
        <v>3927</v>
      </c>
      <c r="P11" s="1642" t="s">
        <v>3928</v>
      </c>
      <c r="Q11" s="1639" t="s">
        <v>3929</v>
      </c>
      <c r="R11" s="1639" t="s">
        <v>3930</v>
      </c>
      <c r="S11" s="1636"/>
      <c r="T11" s="1637"/>
    </row>
    <row r="12">
      <c r="A12" s="1597"/>
      <c r="B12" s="1626">
        <f>IFERROR(VLOOKUP(C12,'字段信息'!A:C,3,),"")</f>
      </c>
      <c r="C12" s="1627" t="s">
        <v>3931</v>
      </c>
      <c r="D12" s="1628">
        <f>IFERROR(VLOOKUP(C12,'字段信息'!A:C,2,),"")</f>
      </c>
      <c r="E12" s="1629"/>
      <c r="F12" s="1630">
        <f t="shared" si="0"/>
      </c>
      <c r="G12" s="1629" t="s">
        <v>3923</v>
      </c>
      <c r="H12" s="1631"/>
      <c r="I12" s="1631"/>
      <c r="J12" s="1631"/>
      <c r="K12" s="1631"/>
      <c r="L12" s="1632" t="s">
        <v>3924</v>
      </c>
      <c r="M12" s="1643" t="s">
        <v>3932</v>
      </c>
      <c r="N12" s="1640" t="s">
        <v>3920</v>
      </c>
      <c r="O12" s="1644" t="s">
        <v>3933</v>
      </c>
      <c r="P12" s="1627" t="s">
        <v>3931</v>
      </c>
      <c r="Q12" s="1636"/>
      <c r="R12" s="1637"/>
      <c r="S12" s="1636"/>
      <c r="T12" s="1637"/>
    </row>
    <row r="13">
      <c r="A13" s="1597"/>
      <c r="B13" s="1626">
        <f>IFERROR(VLOOKUP(C13,'字段信息'!A:C,3,),"")</f>
      </c>
      <c r="C13" s="1627" t="s">
        <v>3934</v>
      </c>
      <c r="D13" s="1628">
        <f>IFERROR(VLOOKUP(C13,'字段信息'!A:C,2,),"")</f>
      </c>
      <c r="E13" s="1629"/>
      <c r="F13" s="1630">
        <f t="shared" si="0"/>
      </c>
      <c r="G13" s="1629" t="s">
        <v>3923</v>
      </c>
      <c r="H13" s="1631"/>
      <c r="I13" s="1631"/>
      <c r="J13" s="1631"/>
      <c r="K13" s="1631"/>
      <c r="L13" s="1632" t="s">
        <v>3924</v>
      </c>
      <c r="M13" s="1633" t="s">
        <v>3919</v>
      </c>
      <c r="N13" s="1634" t="s">
        <v>3920</v>
      </c>
      <c r="O13" s="1635" t="s">
        <v>3921</v>
      </c>
      <c r="P13" s="1627" t="s">
        <v>3934</v>
      </c>
      <c r="Q13" s="1636"/>
      <c r="R13" s="1637"/>
      <c r="S13" s="1636"/>
      <c r="T13" s="1637"/>
    </row>
    <row r="14">
      <c r="A14" s="1597"/>
      <c r="B14" s="1626">
        <f>IFERROR(VLOOKUP(C14,'字段信息'!A:C,3,),"")</f>
      </c>
      <c r="C14" s="1627" t="s">
        <v>3935</v>
      </c>
      <c r="D14" s="1628">
        <f>IFERROR(VLOOKUP(C14,'字段信息'!A:C,2,),"")</f>
      </c>
      <c r="E14" s="1629"/>
      <c r="F14" s="1630">
        <f t="shared" si="0"/>
      </c>
      <c r="G14" s="1629" t="s">
        <v>3923</v>
      </c>
      <c r="H14" s="1631"/>
      <c r="I14" s="1631"/>
      <c r="J14" s="1631"/>
      <c r="K14" s="1631"/>
      <c r="L14" s="1632" t="s">
        <v>3924</v>
      </c>
      <c r="M14" s="1633" t="s">
        <v>3919</v>
      </c>
      <c r="N14" s="1634" t="s">
        <v>3920</v>
      </c>
      <c r="O14" s="1635" t="s">
        <v>3921</v>
      </c>
      <c r="P14" s="1627" t="s">
        <v>3935</v>
      </c>
      <c r="Q14" s="1636"/>
      <c r="R14" s="1637"/>
      <c r="S14" s="1636"/>
      <c r="T14" s="1637"/>
    </row>
    <row r="15">
      <c r="A15" s="1597"/>
      <c r="B15" s="1626">
        <f>IFERROR(VLOOKUP(C15,'字段信息'!A:C,3,),"")</f>
      </c>
      <c r="C15" s="1627" t="s">
        <v>3936</v>
      </c>
      <c r="D15" s="1628">
        <f>IFERROR(VLOOKUP(C15,'字段信息'!A:C,2,),"")</f>
      </c>
      <c r="E15" s="1629"/>
      <c r="F15" s="1630">
        <f t="shared" si="0"/>
      </c>
      <c r="G15" s="1629" t="s">
        <v>3923</v>
      </c>
      <c r="H15" s="1631"/>
      <c r="I15" s="1631"/>
      <c r="J15" s="1631"/>
      <c r="K15" s="1631"/>
      <c r="L15" s="1632" t="s">
        <v>3924</v>
      </c>
      <c r="M15" s="1633" t="s">
        <v>3937</v>
      </c>
      <c r="N15" s="1634" t="s">
        <v>3920</v>
      </c>
      <c r="O15" s="1635" t="s">
        <v>3921</v>
      </c>
      <c r="P15" s="1627" t="s">
        <v>3936</v>
      </c>
      <c r="Q15" s="1636"/>
      <c r="R15" s="1645"/>
      <c r="S15" s="1645"/>
      <c r="T15" s="1637"/>
    </row>
    <row r="16">
      <c r="A16" s="1597"/>
      <c r="B16" s="1626">
        <f>IFERROR(VLOOKUP(C16,'字段信息'!A:C,3,),"")</f>
      </c>
      <c r="C16" s="1627" t="s">
        <v>3938</v>
      </c>
      <c r="D16" s="1628">
        <f>IFERROR(VLOOKUP(C16,'字段信息'!A:C,2,),"")</f>
      </c>
      <c r="E16" s="1629"/>
      <c r="F16" s="1630">
        <f t="shared" si="0"/>
      </c>
      <c r="G16" s="1629" t="s">
        <v>3923</v>
      </c>
      <c r="H16" s="1631"/>
      <c r="I16" s="1631"/>
      <c r="J16" s="1631"/>
      <c r="K16" s="1631"/>
      <c r="L16" s="1632" t="s">
        <v>3924</v>
      </c>
      <c r="M16" s="1633" t="s">
        <v>3919</v>
      </c>
      <c r="N16" s="1634" t="s">
        <v>3920</v>
      </c>
      <c r="O16" s="1635" t="s">
        <v>3921</v>
      </c>
      <c r="P16" s="1627" t="s">
        <v>3938</v>
      </c>
      <c r="Q16" s="1636"/>
      <c r="R16" s="1637"/>
      <c r="S16" s="1636"/>
      <c r="T16" s="1637"/>
    </row>
    <row r="17">
      <c r="A17" s="1597"/>
      <c r="B17" s="1626">
        <f>IFERROR(VLOOKUP(C17,'字段信息'!A:C,3,),"")</f>
      </c>
      <c r="C17" s="1627" t="s">
        <v>3939</v>
      </c>
      <c r="D17" s="1628">
        <f>IFERROR(VLOOKUP(C17,'字段信息'!A:C,2,),"")</f>
      </c>
      <c r="E17" s="1629"/>
      <c r="F17" s="1630">
        <f t="shared" si="0"/>
      </c>
      <c r="G17" s="1629" t="s">
        <v>3923</v>
      </c>
      <c r="H17" s="1631"/>
      <c r="I17" s="1631"/>
      <c r="J17" s="1631"/>
      <c r="K17" s="1631"/>
      <c r="L17" s="1632" t="s">
        <v>3924</v>
      </c>
      <c r="M17" s="1633" t="s">
        <v>3919</v>
      </c>
      <c r="N17" s="1634" t="s">
        <v>3920</v>
      </c>
      <c r="O17" s="1635" t="s">
        <v>3921</v>
      </c>
      <c r="P17" s="1627" t="s">
        <v>3939</v>
      </c>
      <c r="Q17" s="1636"/>
      <c r="R17" s="1637"/>
      <c r="S17" s="1636"/>
      <c r="T17" s="1637"/>
    </row>
    <row customHeight="true" ht="47.61904761904762" r="18">
      <c r="A18" s="1597"/>
      <c r="B18" s="1626">
        <f>IFERROR(VLOOKUP(C18,'字段信息'!A:C,3,),"")</f>
      </c>
      <c r="C18" s="1627" t="s">
        <v>3940</v>
      </c>
      <c r="D18" s="1628">
        <f>IFERROR(VLOOKUP(C18,'字段信息'!A:C,2,),"")</f>
      </c>
      <c r="E18" s="1629"/>
      <c r="F18" s="1630">
        <f t="shared" si="0"/>
      </c>
      <c r="G18" s="1629" t="s">
        <v>3923</v>
      </c>
      <c r="H18" s="1631"/>
      <c r="I18" s="1631"/>
      <c r="J18" s="1631"/>
      <c r="K18" s="1631"/>
      <c r="L18" s="1632"/>
      <c r="M18" s="1633" t="s">
        <v>3919</v>
      </c>
      <c r="N18" s="1634" t="s">
        <v>3920</v>
      </c>
      <c r="O18" s="1635" t="s">
        <v>3921</v>
      </c>
      <c r="P18" s="1627" t="s">
        <v>3940</v>
      </c>
      <c r="Q18" s="1636"/>
      <c r="R18" s="1637"/>
      <c r="S18" s="1636"/>
      <c r="T18" s="1637"/>
    </row>
    <row customHeight="true" ht="47.61904761904762" r="19">
      <c r="A19" s="1597"/>
      <c r="B19" s="1626">
        <f>IFERROR(VLOOKUP(C19,'字段信息'!A:C,3,),"")</f>
      </c>
      <c r="C19" s="1627" t="s">
        <v>3941</v>
      </c>
      <c r="D19" s="1628">
        <f>IFERROR(VLOOKUP(C19,'字段信息'!A:C,2,),"")</f>
      </c>
      <c r="E19" s="1629"/>
      <c r="F19" s="1630">
        <f t="shared" si="0"/>
      </c>
      <c r="G19" s="1629" t="s">
        <v>3923</v>
      </c>
      <c r="H19" s="1631"/>
      <c r="I19" s="1631"/>
      <c r="J19" s="1631"/>
      <c r="K19" s="1631"/>
      <c r="L19" s="1632"/>
      <c r="M19" s="1633" t="s">
        <v>3919</v>
      </c>
      <c r="N19" s="1634" t="s">
        <v>3920</v>
      </c>
      <c r="O19" s="1635" t="s">
        <v>3921</v>
      </c>
      <c r="P19" s="1627" t="s">
        <v>3941</v>
      </c>
      <c r="Q19" s="1636"/>
      <c r="R19" s="1637"/>
      <c r="S19" s="1636"/>
      <c r="T19" s="1637"/>
    </row>
    <row r="20">
      <c r="A20" s="1597"/>
      <c r="B20" s="1626">
        <f>IFERROR(VLOOKUP(C20,'字段信息'!A:C,3,),"")</f>
      </c>
      <c r="C20" s="1627" t="s">
        <v>3942</v>
      </c>
      <c r="D20" s="1628">
        <f>IFERROR(VLOOKUP(C20,'字段信息'!A:C,2,),"")</f>
      </c>
      <c r="E20" s="1629"/>
      <c r="F20" s="1630">
        <f t="shared" si="0"/>
      </c>
      <c r="G20" s="1629" t="s">
        <v>3923</v>
      </c>
      <c r="H20" s="1631"/>
      <c r="I20" s="1631"/>
      <c r="J20" s="1631"/>
      <c r="K20" s="1631"/>
      <c r="L20" s="1632" t="s">
        <v>3924</v>
      </c>
      <c r="M20" s="1633" t="s">
        <v>3919</v>
      </c>
      <c r="N20" s="1634" t="s">
        <v>3920</v>
      </c>
      <c r="O20" s="1635" t="s">
        <v>3921</v>
      </c>
      <c r="P20" s="1627" t="s">
        <v>3942</v>
      </c>
      <c r="Q20" s="1636"/>
      <c r="R20" s="1637"/>
      <c r="S20" s="1636"/>
      <c r="T20" s="1637"/>
    </row>
    <row customHeight="true" ht="16.071428571428573" r="21">
      <c r="A21" s="1597"/>
      <c r="B21" s="1626">
        <f>IFERROR(VLOOKUP(C21,'字段信息'!A:C,3,),"")</f>
      </c>
      <c r="C21" s="1627" t="s">
        <v>3943</v>
      </c>
      <c r="D21" s="1628">
        <f>IFERROR(VLOOKUP(C21,'字段信息'!A:C,2,),"")</f>
      </c>
      <c r="E21" s="1629"/>
      <c r="F21" s="1630">
        <f t="shared" si="0"/>
      </c>
      <c r="G21" s="1629" t="s">
        <v>3923</v>
      </c>
      <c r="H21" s="1631"/>
      <c r="I21" s="1631"/>
      <c r="J21" s="1631"/>
      <c r="K21" s="1631"/>
      <c r="L21" s="1632"/>
      <c r="M21" s="1633" t="s">
        <v>3919</v>
      </c>
      <c r="N21" s="1634" t="s">
        <v>3920</v>
      </c>
      <c r="O21" s="1635" t="s">
        <v>3921</v>
      </c>
      <c r="P21" s="1627" t="s">
        <v>3943</v>
      </c>
      <c r="Q21" s="1636"/>
      <c r="R21" s="1637"/>
      <c r="S21" s="1636"/>
      <c r="T21" s="1637"/>
    </row>
    <row customHeight="true" ht="16.071428571428573" r="22">
      <c r="A22" s="1646"/>
      <c r="B22" s="1647">
        <f>IFERROR(VLOOKUP(C22,'字段信息'!A:C,3,),"")</f>
      </c>
      <c r="C22" s="1648" t="s">
        <v>3944</v>
      </c>
      <c r="D22" s="1649">
        <f>IFERROR(VLOOKUP(C22,'字段信息'!A:C,2,),"")</f>
      </c>
      <c r="E22" s="1650"/>
      <c r="F22" s="1651">
        <f t="shared" si="0"/>
      </c>
      <c r="G22" s="1650" t="s">
        <v>3923</v>
      </c>
      <c r="H22" s="1652"/>
      <c r="I22" s="1652"/>
      <c r="J22" s="1652"/>
      <c r="K22" s="1652"/>
      <c r="L22" s="1653"/>
      <c r="M22" s="1633" t="s">
        <v>3919</v>
      </c>
      <c r="N22" s="1634" t="s">
        <v>3920</v>
      </c>
      <c r="O22" s="1635" t="s">
        <v>3921</v>
      </c>
      <c r="P22" s="1648" t="s">
        <v>3944</v>
      </c>
      <c r="Q22" s="1654"/>
      <c r="R22" s="1655"/>
      <c r="S22" s="1654"/>
      <c r="T22" s="1655"/>
    </row>
    <row customHeight="true" ht="16.071428571428573" r="23">
      <c r="A23" s="1646"/>
      <c r="B23" s="1647">
        <f>IFERROR(VLOOKUP(C23,'字段信息'!A:C,3,),"")</f>
      </c>
      <c r="C23" s="1648" t="s">
        <v>3945</v>
      </c>
      <c r="D23" s="1649">
        <f>IFERROR(VLOOKUP(C23,'字段信息'!A:C,2,),"")</f>
      </c>
      <c r="E23" s="1650"/>
      <c r="F23" s="1651">
        <f t="shared" si="0"/>
      </c>
      <c r="G23" s="1650" t="s">
        <v>3923</v>
      </c>
      <c r="H23" s="1652"/>
      <c r="I23" s="1652"/>
      <c r="J23" s="1652"/>
      <c r="K23" s="1652"/>
      <c r="L23" s="1653"/>
      <c r="M23" s="1633" t="s">
        <v>3919</v>
      </c>
      <c r="N23" s="1634" t="s">
        <v>3920</v>
      </c>
      <c r="O23" s="1635" t="s">
        <v>3921</v>
      </c>
      <c r="P23" s="1648" t="s">
        <v>3945</v>
      </c>
      <c r="Q23" s="1654"/>
      <c r="R23" s="1655"/>
      <c r="S23" s="1654"/>
      <c r="T23" s="1655"/>
    </row>
    <row customHeight="true" ht="16.071428571428573" r="24">
      <c r="A24" s="1597"/>
      <c r="B24" s="1626">
        <f>IFERROR(VLOOKUP(C24,'字段信息'!A:C,3,),"")</f>
      </c>
      <c r="C24" s="1627" t="s">
        <v>3946</v>
      </c>
      <c r="D24" s="1628">
        <f>IFERROR(VLOOKUP(C24,'字段信息'!A:C,2,),"")</f>
      </c>
      <c r="E24" s="1629"/>
      <c r="F24" s="1630">
        <f t="shared" si="0"/>
      </c>
      <c r="G24" s="1629" t="s">
        <v>3923</v>
      </c>
      <c r="H24" s="1631"/>
      <c r="I24" s="1631"/>
      <c r="J24" s="1631"/>
      <c r="K24" s="1631"/>
      <c r="L24" s="1632"/>
      <c r="M24" s="1633" t="s">
        <v>3919</v>
      </c>
      <c r="N24" s="1634" t="s">
        <v>3920</v>
      </c>
      <c r="O24" s="1635" t="s">
        <v>3921</v>
      </c>
      <c r="P24" s="1627" t="s">
        <v>3946</v>
      </c>
      <c r="Q24" s="1656"/>
      <c r="R24" s="1637"/>
      <c r="S24" s="1636"/>
      <c r="T24" s="1637"/>
    </row>
    <row r="25">
      <c r="A25" s="1597"/>
      <c r="B25" s="1626">
        <f>IFERROR(VLOOKUP(C25,'字段信息'!A:C,3,),"")</f>
      </c>
      <c r="C25" s="1627" t="s">
        <v>3947</v>
      </c>
      <c r="D25" s="1628">
        <f>IFERROR(VLOOKUP(C25,'字段信息'!A:C,2,),"")</f>
      </c>
      <c r="E25" s="1629"/>
      <c r="F25" s="1630">
        <f t="shared" si="0"/>
      </c>
      <c r="G25" s="1629" t="s">
        <v>3923</v>
      </c>
      <c r="H25" s="1631"/>
      <c r="I25" s="1631"/>
      <c r="J25" s="1631"/>
      <c r="K25" s="1631"/>
      <c r="L25" s="1632" t="s">
        <v>3924</v>
      </c>
      <c r="M25" s="1633" t="s">
        <v>3919</v>
      </c>
      <c r="N25" s="1634" t="s">
        <v>3920</v>
      </c>
      <c r="O25" s="1635" t="s">
        <v>3921</v>
      </c>
      <c r="P25" s="1627" t="s">
        <v>3947</v>
      </c>
      <c r="Q25" s="1656"/>
      <c r="R25" s="1637"/>
      <c r="S25" s="1636"/>
      <c r="T25" s="1637"/>
    </row>
    <row r="26">
      <c r="A26" s="1597"/>
      <c r="B26" s="1626">
        <f>IFERROR(VLOOKUP(C26,'字段信息'!A:C,3,),"")</f>
      </c>
      <c r="C26" s="1627" t="s">
        <v>3948</v>
      </c>
      <c r="D26" s="1628">
        <f>IFERROR(VLOOKUP(C26,'字段信息'!A:C,2,),"")</f>
      </c>
      <c r="E26" s="1629"/>
      <c r="F26" s="1630">
        <f t="shared" si="0"/>
      </c>
      <c r="G26" s="1629" t="s">
        <v>3923</v>
      </c>
      <c r="H26" s="1631"/>
      <c r="I26" s="1631"/>
      <c r="J26" s="1631"/>
      <c r="K26" s="1631"/>
      <c r="L26" s="1632"/>
      <c r="M26" s="1633" t="s">
        <v>3919</v>
      </c>
      <c r="N26" s="1634" t="s">
        <v>3920</v>
      </c>
      <c r="O26" s="1635" t="s">
        <v>3921</v>
      </c>
      <c r="P26" s="1627" t="s">
        <v>3948</v>
      </c>
      <c r="Q26" s="1656"/>
      <c r="R26" s="1637"/>
      <c r="S26" s="1636"/>
      <c r="T26" s="1637"/>
    </row>
    <row r="27">
      <c r="A27" s="1597"/>
      <c r="B27" s="1626">
        <f>IFERROR(VLOOKUP(C27,'字段信息'!A:C,3,),"")</f>
      </c>
      <c r="C27" s="1627" t="s">
        <v>3949</v>
      </c>
      <c r="D27" s="1628">
        <f>IFERROR(VLOOKUP(C27,'字段信息'!A:C,2,),"")</f>
      </c>
      <c r="E27" s="1629"/>
      <c r="F27" s="1630">
        <f t="shared" si="0"/>
      </c>
      <c r="G27" s="1629" t="s">
        <v>3923</v>
      </c>
      <c r="H27" s="1631"/>
      <c r="I27" s="1631"/>
      <c r="J27" s="1631"/>
      <c r="K27" s="1631"/>
      <c r="L27" s="1632" t="s">
        <v>3924</v>
      </c>
      <c r="M27" s="1633" t="s">
        <v>3919</v>
      </c>
      <c r="N27" s="1634" t="s">
        <v>3920</v>
      </c>
      <c r="O27" s="1635" t="s">
        <v>3921</v>
      </c>
      <c r="P27" s="1627" t="s">
        <v>3949</v>
      </c>
      <c r="Q27" s="1636"/>
      <c r="R27" s="1637"/>
      <c r="S27" s="1636"/>
      <c r="T27" s="1637"/>
    </row>
    <row r="28">
      <c r="A28" s="1597"/>
      <c r="B28" s="1626">
        <f>IFERROR(VLOOKUP(C28,'字段信息'!A:C,3,),"")</f>
      </c>
      <c r="C28" s="1627" t="s">
        <v>3950</v>
      </c>
      <c r="D28" s="1628">
        <f>IFERROR(VLOOKUP(C28,'字段信息'!A:C,2,),"")</f>
      </c>
      <c r="E28" s="1629"/>
      <c r="F28" s="1630">
        <f t="shared" si="0"/>
      </c>
      <c r="G28" s="1629" t="s">
        <v>3923</v>
      </c>
      <c r="H28" s="1631"/>
      <c r="I28" s="1631"/>
      <c r="J28" s="1631"/>
      <c r="K28" s="1631"/>
      <c r="L28" s="1632" t="s">
        <v>3924</v>
      </c>
      <c r="M28" s="1633" t="s">
        <v>3919</v>
      </c>
      <c r="N28" s="1634" t="s">
        <v>3920</v>
      </c>
      <c r="O28" s="1635" t="s">
        <v>3921</v>
      </c>
      <c r="P28" s="1627" t="s">
        <v>3950</v>
      </c>
      <c r="Q28" s="1636"/>
      <c r="R28" s="1637"/>
      <c r="S28" s="1636"/>
      <c r="T28" s="1637"/>
    </row>
    <row r="29">
      <c r="A29" s="1597"/>
      <c r="B29" s="1626">
        <f>IFERROR(VLOOKUP(C29,'字段信息'!A:C,3,),"")</f>
      </c>
      <c r="C29" s="1627" t="s">
        <v>3951</v>
      </c>
      <c r="D29" s="1628">
        <f>IFERROR(VLOOKUP(C28,'字段信息'!A:C,2,),"")</f>
      </c>
      <c r="E29" s="1629"/>
      <c r="F29" s="1630">
        <f t="shared" si="0"/>
      </c>
      <c r="G29" s="1629" t="s">
        <v>3923</v>
      </c>
      <c r="H29" s="1631"/>
      <c r="I29" s="1631"/>
      <c r="J29" s="1631"/>
      <c r="K29" s="1631"/>
      <c r="L29" s="1632" t="s">
        <v>3924</v>
      </c>
      <c r="M29" s="1633" t="s">
        <v>3919</v>
      </c>
      <c r="N29" s="1634" t="s">
        <v>3920</v>
      </c>
      <c r="O29" s="1635" t="s">
        <v>3921</v>
      </c>
      <c r="P29" s="1627" t="s">
        <v>3951</v>
      </c>
      <c r="Q29" s="1645"/>
      <c r="R29" s="1637"/>
      <c r="S29" s="1636"/>
      <c r="T29" s="1637"/>
    </row>
    <row r="30">
      <c r="A30" s="1657"/>
      <c r="B30" s="1626">
        <f>IFERROR(VLOOKUP(C30,'字段信息'!A:C,3,),"")</f>
      </c>
      <c r="C30" s="1627" t="s">
        <v>3952</v>
      </c>
      <c r="D30" s="1628">
        <f>IFERROR(VLOOKUP(C29,'字段信息'!A:C,2,),"")</f>
      </c>
      <c r="E30" s="1629"/>
      <c r="F30" s="1630">
        <f t="shared" si="0"/>
      </c>
      <c r="G30" s="1629" t="s">
        <v>3923</v>
      </c>
      <c r="H30" s="1631"/>
      <c r="I30" s="1631"/>
      <c r="J30" s="1631"/>
      <c r="K30" s="1631"/>
      <c r="L30" s="1632" t="s">
        <v>3924</v>
      </c>
      <c r="M30" s="1633" t="s">
        <v>3919</v>
      </c>
      <c r="N30" s="1634" t="s">
        <v>3920</v>
      </c>
      <c r="O30" s="1635" t="s">
        <v>3921</v>
      </c>
      <c r="P30" s="1627" t="s">
        <v>3952</v>
      </c>
      <c r="Q30" s="1656"/>
      <c r="R30" s="1637"/>
      <c r="S30" s="1636"/>
      <c r="T30" s="1637"/>
    </row>
    <row r="31">
      <c r="A31" s="1597"/>
      <c r="B31" s="1626">
        <f>IFERROR(VLOOKUP(C31,'字段信息'!A:C,3,),"")</f>
      </c>
      <c r="C31" s="1627" t="s">
        <v>3953</v>
      </c>
      <c r="D31" s="1628">
        <f>IFERROR(VLOOKUP(C30,'字段信息'!A:C,2,),"")</f>
      </c>
      <c r="E31" s="1629"/>
      <c r="F31" s="1630">
        <f t="shared" si="0"/>
      </c>
      <c r="G31" s="1629" t="s">
        <v>3923</v>
      </c>
      <c r="H31" s="1631"/>
      <c r="I31" s="1631"/>
      <c r="J31" s="1631"/>
      <c r="K31" s="1631"/>
      <c r="L31" s="1632"/>
      <c r="M31" s="1633" t="s">
        <v>3919</v>
      </c>
      <c r="N31" s="1634" t="s">
        <v>3920</v>
      </c>
      <c r="O31" s="1635" t="s">
        <v>3921</v>
      </c>
      <c r="P31" s="1627" t="s">
        <v>3953</v>
      </c>
      <c r="Q31" s="1636"/>
      <c r="R31" s="1637"/>
      <c r="S31" s="1636"/>
      <c r="T31" s="1637"/>
    </row>
    <row r="32">
      <c r="A32" s="1597"/>
      <c r="B32" s="1626">
        <f>IFERROR(VLOOKUP(C32,'字段信息'!A:C,3,),"")</f>
      </c>
      <c r="C32" s="1627" t="s">
        <v>3954</v>
      </c>
      <c r="D32" s="1628">
        <f>IFERROR(VLOOKUP(C31,'字段信息'!A:C,2,),"")</f>
      </c>
      <c r="E32" s="1629"/>
      <c r="F32" s="1630">
        <f t="shared" si="0"/>
      </c>
      <c r="G32" s="1629" t="s">
        <v>3923</v>
      </c>
      <c r="H32" s="1631"/>
      <c r="I32" s="1631"/>
      <c r="J32" s="1631"/>
      <c r="K32" s="1631"/>
      <c r="L32" s="1632"/>
      <c r="M32" s="1633" t="s">
        <v>3919</v>
      </c>
      <c r="N32" s="1634" t="s">
        <v>3920</v>
      </c>
      <c r="O32" s="1658" t="s">
        <v>3955</v>
      </c>
      <c r="P32" s="1627" t="s">
        <v>3954</v>
      </c>
      <c r="Q32" s="1645" t="s">
        <v>3956</v>
      </c>
      <c r="R32" s="1637"/>
      <c r="S32" s="1645"/>
      <c r="T32" s="1637"/>
    </row>
    <row r="33">
      <c r="A33" s="1597"/>
      <c r="B33" s="1626">
        <f>IFERROR(VLOOKUP(C33,'字段信息'!A:C,3,),"")</f>
      </c>
      <c r="C33" s="1627" t="s">
        <v>3957</v>
      </c>
      <c r="D33" s="1628">
        <f>IFERROR(VLOOKUP(C31,'字段信息'!A:C,2,),"")</f>
      </c>
      <c r="E33" s="1629"/>
      <c r="F33" s="1630">
        <f t="shared" si="0"/>
      </c>
      <c r="G33" s="1629" t="s">
        <v>3923</v>
      </c>
      <c r="H33" s="1631"/>
      <c r="I33" s="1631"/>
      <c r="J33" s="1631"/>
      <c r="K33" s="1631"/>
      <c r="L33" s="1632"/>
      <c r="M33" s="1633" t="s">
        <v>3919</v>
      </c>
      <c r="N33" s="1634" t="s">
        <v>3920</v>
      </c>
      <c r="O33" s="1635" t="s">
        <v>3921</v>
      </c>
      <c r="P33" s="1627" t="s">
        <v>3957</v>
      </c>
      <c r="Q33" s="1636"/>
      <c r="R33" s="1637"/>
      <c r="S33" s="1636"/>
      <c r="T33" s="1637"/>
    </row>
    <row r="34">
      <c r="A34" s="1597"/>
      <c r="B34" s="1626">
        <f>IFERROR(VLOOKUP(C34,'字段信息'!A:C,3,),"")</f>
      </c>
      <c r="C34" s="1627" t="s">
        <v>3958</v>
      </c>
      <c r="D34" s="1628">
        <f>IFERROR(VLOOKUP(C33,'字段信息'!A:C,2,),"")</f>
      </c>
      <c r="E34" s="1629"/>
      <c r="F34" s="1630">
        <f t="shared" si="0"/>
      </c>
      <c r="G34" s="1629" t="s">
        <v>3923</v>
      </c>
      <c r="H34" s="1631"/>
      <c r="I34" s="1631"/>
      <c r="J34" s="1631"/>
      <c r="K34" s="1631"/>
      <c r="L34" s="1632"/>
      <c r="M34" s="1633" t="s">
        <v>3919</v>
      </c>
      <c r="N34" s="1634" t="s">
        <v>3920</v>
      </c>
      <c r="O34" s="1635" t="s">
        <v>3921</v>
      </c>
      <c r="P34" s="1627" t="s">
        <v>3958</v>
      </c>
      <c r="Q34" s="1636"/>
      <c r="R34" s="1637"/>
      <c r="S34" s="1636"/>
      <c r="T34" s="1637"/>
    </row>
    <row r="35">
      <c r="A35" s="1597"/>
      <c r="B35" s="1626">
        <f>IFERROR(VLOOKUP(C35,'字段信息'!A:C,3,),"")</f>
      </c>
      <c r="C35" s="1627" t="s">
        <v>3959</v>
      </c>
      <c r="D35" s="1628">
        <f>IFERROR(VLOOKUP(C34,'字段信息'!A:C,2,),"")</f>
      </c>
      <c r="E35" s="1629"/>
      <c r="F35" s="1630">
        <f t="shared" si="0"/>
      </c>
      <c r="G35" s="1629" t="s">
        <v>3923</v>
      </c>
      <c r="H35" s="1631"/>
      <c r="I35" s="1631"/>
      <c r="J35" s="1631"/>
      <c r="K35" s="1631"/>
      <c r="L35" s="1632"/>
      <c r="M35" s="1633" t="s">
        <v>3919</v>
      </c>
      <c r="N35" s="1634" t="s">
        <v>3920</v>
      </c>
      <c r="O35" s="1635" t="s">
        <v>3921</v>
      </c>
      <c r="P35" s="1627" t="s">
        <v>3959</v>
      </c>
      <c r="Q35" s="1636"/>
      <c r="R35" s="1637"/>
      <c r="S35" s="1636"/>
      <c r="T35" s="1637"/>
    </row>
    <row r="36">
      <c r="A36" s="1597"/>
      <c r="B36" s="1626">
        <f>IFERROR(VLOOKUP(C36,'字段信息'!A:C,3,),"")</f>
      </c>
      <c r="C36" s="1627" t="s">
        <v>3960</v>
      </c>
      <c r="D36" s="1628">
        <f>IFERROR(VLOOKUP(C35,'字段信息'!A:C,2,),"")</f>
      </c>
      <c r="E36" s="1629"/>
      <c r="F36" s="1630">
        <f t="shared" si="0"/>
      </c>
      <c r="G36" s="1629" t="s">
        <v>3923</v>
      </c>
      <c r="H36" s="1631"/>
      <c r="I36" s="1631"/>
      <c r="J36" s="1631"/>
      <c r="K36" s="1631"/>
      <c r="L36" s="1632"/>
      <c r="M36" s="1633" t="s">
        <v>3919</v>
      </c>
      <c r="N36" s="1634" t="s">
        <v>3920</v>
      </c>
      <c r="O36" s="1635" t="s">
        <v>3921</v>
      </c>
      <c r="P36" s="1627" t="s">
        <v>3960</v>
      </c>
      <c r="Q36" s="1636"/>
      <c r="R36" s="1637"/>
      <c r="S36" s="1636"/>
      <c r="T36" s="1637"/>
    </row>
    <row r="37">
      <c r="A37" s="1597"/>
      <c r="B37" s="1626">
        <f>IFERROR(VLOOKUP(C37,'字段信息'!A:C,3,),"")</f>
      </c>
      <c r="C37" s="1627" t="s">
        <v>3961</v>
      </c>
      <c r="D37" s="1628">
        <f>IFERROR(VLOOKUP(C36,'字段信息'!A:C,2,),"")</f>
      </c>
      <c r="E37" s="1629"/>
      <c r="F37" s="1630">
        <f t="shared" si="0"/>
      </c>
      <c r="G37" s="1629" t="s">
        <v>3923</v>
      </c>
      <c r="H37" s="1631"/>
      <c r="I37" s="1631"/>
      <c r="J37" s="1631"/>
      <c r="K37" s="1631"/>
      <c r="L37" s="1632"/>
      <c r="M37" s="1633" t="s">
        <v>3919</v>
      </c>
      <c r="N37" s="1634" t="s">
        <v>3920</v>
      </c>
      <c r="O37" s="1635" t="s">
        <v>3921</v>
      </c>
      <c r="P37" s="1627" t="s">
        <v>3961</v>
      </c>
      <c r="Q37" s="1636"/>
      <c r="R37" s="1637"/>
      <c r="S37" s="1636"/>
      <c r="T37" s="1637"/>
    </row>
    <row r="38">
      <c r="A38" s="1597"/>
      <c r="B38" s="1626">
        <f>IFERROR(VLOOKUP(C38,'字段信息'!A:C,3,),"")</f>
      </c>
      <c r="C38" s="1627" t="s">
        <v>3962</v>
      </c>
      <c r="D38" s="1628">
        <f>IFERROR(VLOOKUP(C37,'字段信息'!A:C,2,),"")</f>
      </c>
      <c r="E38" s="1629"/>
      <c r="F38" s="1630">
        <f t="shared" si="0"/>
      </c>
      <c r="G38" s="1629" t="s">
        <v>3923</v>
      </c>
      <c r="H38" s="1631"/>
      <c r="I38" s="1631"/>
      <c r="J38" s="1631"/>
      <c r="K38" s="1631"/>
      <c r="L38" s="1632"/>
      <c r="M38" s="1633" t="s">
        <v>3919</v>
      </c>
      <c r="N38" s="1634" t="s">
        <v>3920</v>
      </c>
      <c r="O38" s="1635" t="s">
        <v>3921</v>
      </c>
      <c r="P38" s="1627" t="s">
        <v>3962</v>
      </c>
      <c r="Q38" s="1636"/>
      <c r="R38" s="1637"/>
      <c r="S38" s="1636"/>
      <c r="T38" s="1637"/>
    </row>
    <row customHeight="true" ht="44.357660215682216" r="39">
      <c r="A39" s="1597"/>
      <c r="B39" s="1626">
        <f>IFERROR(VLOOKUP(C39,'字段信息'!A:C,3,),"")</f>
      </c>
      <c r="C39" s="1627" t="s">
        <v>3963</v>
      </c>
      <c r="D39" s="1628">
        <f>IFERROR(VLOOKUP(C38,'字段信息'!A:C,2,),"")</f>
      </c>
      <c r="E39" s="1629"/>
      <c r="F39" s="1630">
        <f t="shared" si="0"/>
      </c>
      <c r="G39" s="1629" t="s">
        <v>3923</v>
      </c>
      <c r="H39" s="1631"/>
      <c r="I39" s="1631"/>
      <c r="J39" s="1631"/>
      <c r="K39" s="1631"/>
      <c r="L39" s="1632"/>
      <c r="M39" s="1633" t="s">
        <v>3919</v>
      </c>
      <c r="N39" s="1634" t="s">
        <v>3920</v>
      </c>
      <c r="O39" s="1635" t="s">
        <v>3921</v>
      </c>
      <c r="P39" s="1627" t="s">
        <v>3963</v>
      </c>
      <c r="Q39" s="1636"/>
      <c r="R39" s="1637"/>
      <c r="S39" s="1636"/>
      <c r="T39" s="1637"/>
    </row>
    <row customHeight="true" ht="44.357660215682216" r="40">
      <c r="A40" s="1597"/>
      <c r="B40" s="1626">
        <f>IFERROR(VLOOKUP(C40,'字段信息'!A:C,3,),"")</f>
      </c>
      <c r="C40" s="1627" t="s">
        <v>3964</v>
      </c>
      <c r="D40" s="1628">
        <f>IFERROR(VLOOKUP(C39,'字段信息'!A:C,2,),"")</f>
      </c>
      <c r="E40" s="1629"/>
      <c r="F40" s="1630">
        <f t="shared" si="0"/>
      </c>
      <c r="G40" s="1629" t="s">
        <v>3923</v>
      </c>
      <c r="H40" s="1631"/>
      <c r="I40" s="1631"/>
      <c r="J40" s="1631"/>
      <c r="K40" s="1631"/>
      <c r="L40" s="1632"/>
      <c r="M40" s="1633" t="s">
        <v>3919</v>
      </c>
      <c r="N40" s="1634" t="s">
        <v>3920</v>
      </c>
      <c r="O40" s="1635" t="s">
        <v>3921</v>
      </c>
      <c r="P40" s="1627" t="s">
        <v>3964</v>
      </c>
      <c r="Q40" s="1636"/>
      <c r="R40" s="1637"/>
      <c r="S40" s="1636"/>
      <c r="T40" s="1637"/>
    </row>
  </sheetData>
  <autoFilter ref="A8:T40"/>
  <mergeCells>
    <mergeCell ref="M7:T7"/>
    <mergeCell ref="C6:G6"/>
    <mergeCell ref="B7:G7"/>
    <mergeCell ref="C2:F2"/>
    <mergeCell ref="B1:D1"/>
  </mergeCells>
  <hyperlinks>
    <hyperlink ref="A1" location="'3. 0 DWS层目录'!A1" display="返回"/>
    <hyperlink ref="A2" location="'规则库'!A1" display="规则库"/>
  </hyperlinks>
  <picture r:id="rId1"/>
</worksheet>
</file>

<file path=xl/worksheets/sheet3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2" min="2" style="0" width="23.718309859154928"/>
    <col collapsed="false" customWidth="true" hidden="false" max="6" min="6" style="0" width="17.070422535211268"/>
    <col collapsed="false" customWidth="true" hidden="false" max="11" min="11" style="0" width="8.732394366197184"/>
    <col collapsed="false" customWidth="true" hidden="true" max="11" min="11" style="0" width="8.732394366197184"/>
    <col collapsed="false" customWidth="true" hidden="false" max="15" min="15" style="0" width="18.985915492957748"/>
    <col collapsed="false" customWidth="true" hidden="false" max="19" min="19" style="0" width="23.342732556362098"/>
    <col collapsed="false" customWidth="true" hidden="false" max="3" min="3" style="0" width="19.774647887323944"/>
    <col collapsed="false" customWidth="true" hidden="false" max="7" min="7" style="0" width="8.732394366197184"/>
    <col collapsed="false" customWidth="true" hidden="false" max="12" min="12" style="0" width="9.746478873239436"/>
    <col collapsed="false" customWidth="true" hidden="true" max="12" min="12" style="0" width="9.746478873239436"/>
    <col collapsed="false" customWidth="true" hidden="false" max="16" min="16" style="0" width="16.09394268100855"/>
    <col collapsed="false" customWidth="true" hidden="false" max="20" min="20" style="0" width="5.577464788732394"/>
    <col collapsed="false" customWidth="true" hidden="false" max="4" min="4" style="0" width="12.56338028169014"/>
    <col collapsed="false" customWidth="true" hidden="false" max="8" min="8" style="0" width="7.154929577464789"/>
    <col collapsed="false" customWidth="true" hidden="true" max="8" min="8" style="0" width="7.154929577464789"/>
    <col collapsed="false" customWidth="true" hidden="false" max="9" min="9" style="0" width="8.732394366197184"/>
    <col collapsed="false" customWidth="true" hidden="true" max="9" min="9" style="0" width="8.732394366197184"/>
    <col collapsed="false" customWidth="true" hidden="false" max="13" min="13" style="0" width="33.78404181962451"/>
    <col collapsed="false" customWidth="true" hidden="false" max="17" min="17" style="0" width="26.422535076947355"/>
    <col collapsed="false" customWidth="true" hidden="false" max="1" min="1" style="0" width="5.23943661971831"/>
    <col collapsed="false" customWidth="true" hidden="false" max="5" min="5" style="0" width="10.647887323943662"/>
    <col collapsed="false" customWidth="true" hidden="false" max="10" min="10" style="0" width="13.80281690140845"/>
    <col collapsed="false" customWidth="true" hidden="true" max="10" min="10" style="0" width="13.80281690140845"/>
    <col collapsed="false" customWidth="true" hidden="false" max="14" min="14" style="0" width="7.154929577464789"/>
    <col collapsed="false" customWidth="true" hidden="false" max="18" min="18" style="0" width="31.680755330176627"/>
  </cols>
  <sheetData>
    <row r="1">
      <c r="A1" s="1659" t="s">
        <v>3965</v>
      </c>
      <c r="B1" s="1660" t="s">
        <v>3966</v>
      </c>
      <c r="C1" s="1661"/>
      <c r="D1" s="1661"/>
      <c r="E1" s="1662"/>
      <c r="F1" s="1663"/>
      <c r="G1" s="1662"/>
      <c r="H1" s="1664"/>
      <c r="I1" s="1664"/>
      <c r="J1" s="1664"/>
      <c r="K1" s="1664"/>
      <c r="L1" s="1664"/>
      <c r="M1" s="1665"/>
      <c r="N1" s="1666"/>
      <c r="O1" s="1663"/>
      <c r="P1" s="1663"/>
      <c r="Q1" s="1663"/>
      <c r="R1" s="1662"/>
      <c r="S1" s="1663"/>
      <c r="T1" s="1662"/>
    </row>
    <row r="2">
      <c r="A2" s="1667" t="s">
        <v>3967</v>
      </c>
      <c r="B2" s="1668" t="s">
        <v>3968</v>
      </c>
      <c r="C2" s="1669" t="s">
        <v>3969</v>
      </c>
      <c r="D2" s="1670"/>
      <c r="E2" s="1670"/>
      <c r="F2" s="1671"/>
      <c r="G2" s="1670"/>
      <c r="H2" s="1664"/>
      <c r="I2" s="1664"/>
      <c r="J2" s="1664"/>
      <c r="K2" s="1664"/>
      <c r="L2" s="1664"/>
      <c r="M2" s="1665"/>
      <c r="N2" s="1666"/>
      <c r="O2" s="1663"/>
      <c r="P2" s="1663"/>
      <c r="Q2" s="1663"/>
      <c r="R2" s="1662"/>
      <c r="S2" s="1663"/>
      <c r="T2" s="1662"/>
    </row>
    <row r="3">
      <c r="A3" s="1672"/>
      <c r="B3" s="1673" t="s">
        <v>3970</v>
      </c>
      <c r="C3" s="1674" t="s">
        <v>3971</v>
      </c>
      <c r="D3" s="1675" t="s">
        <v>3972</v>
      </c>
      <c r="E3" s="1676" t="s">
        <v>3973</v>
      </c>
      <c r="F3" s="1673" t="s">
        <v>3974</v>
      </c>
      <c r="G3" s="1674" t="s">
        <v>3975</v>
      </c>
      <c r="H3" s="1664"/>
      <c r="I3" s="1664"/>
      <c r="J3" s="1664"/>
      <c r="K3" s="1664"/>
      <c r="L3" s="1664"/>
      <c r="M3" s="1665"/>
      <c r="N3" s="1666"/>
      <c r="O3" s="1663"/>
      <c r="P3" s="1663"/>
      <c r="Q3" s="1663"/>
      <c r="R3" s="1662"/>
      <c r="S3" s="1663"/>
      <c r="T3" s="1662"/>
    </row>
    <row r="4">
      <c r="A4" s="1672"/>
      <c r="B4" s="1673" t="s">
        <v>3976</v>
      </c>
      <c r="C4" s="1677" t="s">
        <v>3977</v>
      </c>
      <c r="D4" s="1678" t="s">
        <v>3978</v>
      </c>
      <c r="E4" s="1679" t="s">
        <v>3979</v>
      </c>
      <c r="F4" s="1680" t="s">
        <v>3980</v>
      </c>
      <c r="G4" s="1674" t="s">
        <v>3981</v>
      </c>
      <c r="H4" s="1664"/>
      <c r="I4" s="1664"/>
      <c r="J4" s="1664"/>
      <c r="K4" s="1664"/>
      <c r="L4" s="1664"/>
      <c r="M4" s="1665"/>
      <c r="N4" s="1666"/>
      <c r="O4" s="1663"/>
      <c r="P4" s="1663"/>
      <c r="Q4" s="1663"/>
      <c r="R4" s="1662"/>
      <c r="S4" s="1663"/>
      <c r="T4" s="1662"/>
    </row>
    <row r="5">
      <c r="A5" s="1672"/>
      <c r="B5" s="1673" t="s">
        <v>3982</v>
      </c>
      <c r="C5" s="1674" t="s">
        <v>3983</v>
      </c>
      <c r="D5" s="1675" t="s">
        <v>3984</v>
      </c>
      <c r="E5" s="1681"/>
      <c r="F5" s="1682" t="s">
        <v>3985</v>
      </c>
      <c r="G5" s="1683"/>
      <c r="H5" s="1664"/>
      <c r="I5" s="1664"/>
      <c r="J5" s="1664"/>
      <c r="K5" s="1664"/>
      <c r="L5" s="1664"/>
      <c r="M5" s="1665"/>
      <c r="N5" s="1666"/>
      <c r="O5" s="1663"/>
      <c r="P5" s="1663"/>
      <c r="Q5" s="1663"/>
      <c r="R5" s="1662"/>
      <c r="S5" s="1663"/>
      <c r="T5" s="1662"/>
    </row>
    <row r="6">
      <c r="A6" s="1672"/>
      <c r="B6" s="1684" t="s">
        <v>3986</v>
      </c>
      <c r="C6" s="1685" t="s">
        <v>3987</v>
      </c>
      <c r="D6" s="1686"/>
      <c r="E6" s="1686"/>
      <c r="F6" s="1686"/>
      <c r="G6" s="1686"/>
      <c r="H6" s="1664"/>
      <c r="I6" s="1664"/>
      <c r="J6" s="1664"/>
      <c r="K6" s="1664"/>
      <c r="L6" s="1664"/>
      <c r="M6" s="1665"/>
      <c r="N6" s="1666"/>
      <c r="O6" s="1663"/>
      <c r="P6" s="1663"/>
      <c r="Q6" s="1663"/>
      <c r="R6" s="1662"/>
      <c r="S6" s="1663"/>
      <c r="T6" s="1662"/>
    </row>
    <row r="7">
      <c r="A7" s="1687"/>
      <c r="B7" s="1688" t="s">
        <v>3988</v>
      </c>
      <c r="C7" s="1689"/>
      <c r="D7" s="1689"/>
      <c r="E7" s="1689"/>
      <c r="F7" s="1688"/>
      <c r="G7" s="1689"/>
      <c r="H7" s="1689"/>
      <c r="I7" s="1689"/>
      <c r="J7" s="1689"/>
      <c r="K7" s="1689"/>
      <c r="L7" s="1689"/>
      <c r="M7" s="1690" t="s">
        <v>3989</v>
      </c>
      <c r="N7" s="1688"/>
      <c r="O7" s="1688"/>
      <c r="P7" s="1688"/>
      <c r="Q7" s="1688"/>
      <c r="R7" s="1689"/>
      <c r="S7" s="1688"/>
      <c r="T7" s="1689"/>
    </row>
    <row r="8">
      <c r="A8" s="1687"/>
      <c r="B8" s="1691" t="s">
        <v>3990</v>
      </c>
      <c r="C8" s="1692" t="s">
        <v>3991</v>
      </c>
      <c r="D8" s="1692" t="s">
        <v>3992</v>
      </c>
      <c r="E8" s="1692" t="s">
        <v>3993</v>
      </c>
      <c r="F8" s="1691" t="s">
        <v>3994</v>
      </c>
      <c r="G8" s="1692" t="s">
        <v>3995</v>
      </c>
      <c r="H8" s="1692" t="s">
        <v>3996</v>
      </c>
      <c r="I8" s="1692" t="s">
        <v>3997</v>
      </c>
      <c r="J8" s="1692" t="s">
        <v>3998</v>
      </c>
      <c r="K8" s="1692" t="s">
        <v>3999</v>
      </c>
      <c r="L8" s="1692" t="s">
        <v>4000</v>
      </c>
      <c r="M8" s="1691" t="s">
        <v>4001</v>
      </c>
      <c r="N8" s="1691" t="s">
        <v>4002</v>
      </c>
      <c r="O8" s="1691" t="s">
        <v>4003</v>
      </c>
      <c r="P8" s="1691" t="s">
        <v>4004</v>
      </c>
      <c r="Q8" s="1691" t="s">
        <v>4005</v>
      </c>
      <c r="R8" s="1692" t="s">
        <v>4006</v>
      </c>
      <c r="S8" s="1691" t="s">
        <v>4007</v>
      </c>
      <c r="T8" s="1692" t="s">
        <v>4008</v>
      </c>
    </row>
    <row r="9">
      <c r="A9" s="1664"/>
      <c r="B9" s="1693">
        <f>IFERROR(VLOOKUP(C9,'字段信息'!A:C,3,),"")</f>
      </c>
      <c r="C9" s="1694" t="s">
        <v>4009</v>
      </c>
      <c r="D9" s="1695">
        <f>IFERROR(VLOOKUP(C9,'字段信息'!A:C,2,),"")</f>
      </c>
      <c r="E9" s="1696"/>
      <c r="F9" s="1697">
        <f t="shared" ref="F9:F33" si="0">B9</f>
      </c>
      <c r="G9" s="1696"/>
      <c r="H9" s="1698"/>
      <c r="I9" s="1698"/>
      <c r="J9" s="1698"/>
      <c r="K9" s="1698"/>
      <c r="L9" s="1699"/>
      <c r="M9" s="1700" t="s">
        <v>4010</v>
      </c>
      <c r="N9" s="1701" t="s">
        <v>4011</v>
      </c>
      <c r="O9" s="1702" t="s">
        <v>4012</v>
      </c>
      <c r="P9" s="1694" t="s">
        <v>4009</v>
      </c>
      <c r="Q9" s="1703"/>
      <c r="R9" s="1704"/>
      <c r="S9" s="1703"/>
      <c r="T9" s="1704"/>
    </row>
    <row r="10">
      <c r="A10" s="1664"/>
      <c r="B10" s="1693">
        <f>IFERROR(VLOOKUP(C10,'字段信息'!A:C,3,),"")</f>
      </c>
      <c r="C10" s="1694" t="s">
        <v>4013</v>
      </c>
      <c r="D10" s="1695">
        <f>IFERROR(VLOOKUP(C10,'字段信息'!A:C,2,),"")</f>
      </c>
      <c r="E10" s="1696"/>
      <c r="F10" s="1697">
        <f t="shared" si="0"/>
      </c>
      <c r="G10" s="1696" t="s">
        <v>4014</v>
      </c>
      <c r="H10" s="1698"/>
      <c r="I10" s="1698"/>
      <c r="J10" s="1698"/>
      <c r="K10" s="1698"/>
      <c r="L10" s="1699" t="s">
        <v>4015</v>
      </c>
      <c r="M10" s="1700" t="s">
        <v>4010</v>
      </c>
      <c r="N10" s="1701" t="s">
        <v>4011</v>
      </c>
      <c r="O10" s="1702" t="s">
        <v>4012</v>
      </c>
      <c r="P10" s="1694" t="s">
        <v>4013</v>
      </c>
      <c r="Q10" s="1703"/>
      <c r="R10" s="1704"/>
      <c r="S10" s="1703"/>
      <c r="T10" s="1704"/>
    </row>
    <row r="11">
      <c r="A11" s="1664"/>
      <c r="B11" s="1693">
        <f>IFERROR(VLOOKUP(C11,'字段信息'!A:C,3,),"")</f>
      </c>
      <c r="C11" s="1705" t="s">
        <v>4016</v>
      </c>
      <c r="D11" s="1695">
        <f>IFERROR(VLOOKUP(C11,'字段信息'!A:C,2,),"")</f>
      </c>
      <c r="E11" s="1696"/>
      <c r="F11" s="1697">
        <f t="shared" si="0"/>
      </c>
      <c r="G11" s="1696" t="s">
        <v>4014</v>
      </c>
      <c r="H11" s="1698"/>
      <c r="I11" s="1698"/>
      <c r="J11" s="1698"/>
      <c r="K11" s="1698"/>
      <c r="L11" s="1699" t="s">
        <v>4015</v>
      </c>
      <c r="M11" s="1700" t="s">
        <v>4017</v>
      </c>
      <c r="N11" s="1706" t="s">
        <v>4011</v>
      </c>
      <c r="O11" s="1702" t="s">
        <v>4012</v>
      </c>
      <c r="P11" s="1707" t="s">
        <v>4018</v>
      </c>
      <c r="Q11" s="1708"/>
      <c r="R11" s="1709"/>
      <c r="S11" s="1703"/>
      <c r="T11" s="1704"/>
    </row>
    <row r="12">
      <c r="A12" s="1664"/>
      <c r="B12" s="1693">
        <f>IFERROR(VLOOKUP(C12,'字段信息'!A:C,3,),"")</f>
      </c>
      <c r="C12" s="1694" t="s">
        <v>4019</v>
      </c>
      <c r="D12" s="1695">
        <f>IFERROR(VLOOKUP(C12,'字段信息'!A:C,2,),"")</f>
      </c>
      <c r="E12" s="1696"/>
      <c r="F12" s="1697">
        <f t="shared" si="0"/>
      </c>
      <c r="G12" s="1696" t="s">
        <v>4014</v>
      </c>
      <c r="H12" s="1698"/>
      <c r="I12" s="1698"/>
      <c r="J12" s="1698"/>
      <c r="K12" s="1698"/>
      <c r="L12" s="1699" t="s">
        <v>4015</v>
      </c>
      <c r="M12" s="1700" t="s">
        <v>4017</v>
      </c>
      <c r="N12" s="1706" t="s">
        <v>4011</v>
      </c>
      <c r="O12" s="1702" t="s">
        <v>4012</v>
      </c>
      <c r="P12" s="1694" t="s">
        <v>4019</v>
      </c>
      <c r="Q12" s="1703"/>
      <c r="R12" s="1704"/>
      <c r="S12" s="1703"/>
      <c r="T12" s="1704"/>
    </row>
    <row r="13">
      <c r="A13" s="1664"/>
      <c r="B13" s="1693">
        <f>IFERROR(VLOOKUP(C13,'字段信息'!A:C,3,),"")</f>
      </c>
      <c r="C13" s="1694" t="s">
        <v>4020</v>
      </c>
      <c r="D13" s="1695">
        <f>IFERROR(VLOOKUP(C13,'字段信息'!A:C,2,),"")</f>
      </c>
      <c r="E13" s="1696"/>
      <c r="F13" s="1697">
        <f t="shared" si="0"/>
      </c>
      <c r="G13" s="1696" t="s">
        <v>4014</v>
      </c>
      <c r="H13" s="1698"/>
      <c r="I13" s="1698"/>
      <c r="J13" s="1698"/>
      <c r="K13" s="1698"/>
      <c r="L13" s="1699" t="s">
        <v>4015</v>
      </c>
      <c r="M13" s="1700" t="s">
        <v>4017</v>
      </c>
      <c r="N13" s="1701" t="s">
        <v>4011</v>
      </c>
      <c r="O13" s="1702" t="s">
        <v>4012</v>
      </c>
      <c r="P13" s="1694" t="s">
        <v>4020</v>
      </c>
      <c r="Q13" s="1703"/>
      <c r="R13" s="1704"/>
      <c r="S13" s="1703"/>
      <c r="T13" s="1704"/>
    </row>
    <row r="14">
      <c r="A14" s="1664"/>
      <c r="B14" s="1693">
        <f>IFERROR(VLOOKUP(C14,'字段信息'!A:C,3,),"")</f>
      </c>
      <c r="C14" s="1694" t="s">
        <v>4021</v>
      </c>
      <c r="D14" s="1695">
        <f>IFERROR(VLOOKUP(C14,'字段信息'!A:C,2,),"")</f>
      </c>
      <c r="E14" s="1696"/>
      <c r="F14" s="1697">
        <f t="shared" si="0"/>
      </c>
      <c r="G14" s="1696" t="s">
        <v>4014</v>
      </c>
      <c r="H14" s="1698"/>
      <c r="I14" s="1698"/>
      <c r="J14" s="1698"/>
      <c r="K14" s="1698"/>
      <c r="L14" s="1699" t="s">
        <v>4015</v>
      </c>
      <c r="M14" s="1700" t="s">
        <v>4022</v>
      </c>
      <c r="N14" s="1701"/>
      <c r="O14" s="1702"/>
      <c r="P14" s="1694"/>
      <c r="Q14" s="1703"/>
      <c r="R14" s="1704"/>
      <c r="S14" s="1703"/>
      <c r="T14" s="1704"/>
    </row>
    <row customHeight="true" ht="16.071428571428573" r="15">
      <c r="A15" s="1664"/>
      <c r="B15" s="1693" t="s">
        <v>4023</v>
      </c>
      <c r="C15" s="1705" t="s">
        <v>4024</v>
      </c>
      <c r="D15" s="1695">
        <f>IFERROR(VLOOKUP(C15,'字段信息'!A:C,2,),"")</f>
      </c>
      <c r="E15" s="1696"/>
      <c r="F15" s="1697">
        <f t="shared" si="0"/>
      </c>
      <c r="G15" s="1696" t="s">
        <v>4014</v>
      </c>
      <c r="H15" s="1698"/>
      <c r="I15" s="1698"/>
      <c r="J15" s="1698"/>
      <c r="K15" s="1698"/>
      <c r="L15" s="1699"/>
      <c r="M15" s="1708" t="s">
        <v>4010</v>
      </c>
      <c r="N15" s="1701" t="s">
        <v>4011</v>
      </c>
      <c r="O15" s="1702" t="s">
        <v>4012</v>
      </c>
      <c r="P15" s="1705" t="s">
        <v>4024</v>
      </c>
      <c r="Q15" s="1708"/>
      <c r="R15" s="1709"/>
      <c r="S15" s="1703"/>
      <c r="T15" s="1704"/>
    </row>
    <row r="16">
      <c r="A16" s="1664"/>
      <c r="B16" s="1693">
        <f>IFERROR(VLOOKUP(C16,'字段信息'!A:C,3,),"")</f>
      </c>
      <c r="C16" s="1705" t="s">
        <v>4025</v>
      </c>
      <c r="D16" s="1695">
        <f>IFERROR(VLOOKUP(C16,'字段信息'!A:C,2,),"")</f>
      </c>
      <c r="E16" s="1696"/>
      <c r="F16" s="1697">
        <f t="shared" si="0"/>
      </c>
      <c r="G16" s="1696" t="s">
        <v>4014</v>
      </c>
      <c r="H16" s="1698"/>
      <c r="I16" s="1698"/>
      <c r="J16" s="1698"/>
      <c r="K16" s="1698"/>
      <c r="L16" s="1699" t="s">
        <v>4015</v>
      </c>
      <c r="M16" s="1700" t="s">
        <v>4017</v>
      </c>
      <c r="N16" s="1706" t="s">
        <v>4011</v>
      </c>
      <c r="O16" s="1702" t="s">
        <v>4012</v>
      </c>
      <c r="P16" s="1707" t="s">
        <v>4025</v>
      </c>
      <c r="Q16" s="1708"/>
      <c r="R16" s="1709"/>
      <c r="S16" s="1703"/>
      <c r="T16" s="1704"/>
    </row>
    <row r="17">
      <c r="A17" s="1664"/>
      <c r="B17" s="1693">
        <f>IFERROR(VLOOKUP(C17,'字段信息'!A:C,3,),"")</f>
      </c>
      <c r="C17" s="1705" t="s">
        <v>4026</v>
      </c>
      <c r="D17" s="1695">
        <f>IFERROR(VLOOKUP(C17,'字段信息'!A:C,2,),"")</f>
      </c>
      <c r="E17" s="1696"/>
      <c r="F17" s="1697">
        <f t="shared" si="0"/>
      </c>
      <c r="G17" s="1696" t="s">
        <v>4014</v>
      </c>
      <c r="H17" s="1698"/>
      <c r="I17" s="1698"/>
      <c r="J17" s="1698"/>
      <c r="K17" s="1698"/>
      <c r="L17" s="1699"/>
      <c r="M17" s="1700" t="s">
        <v>4017</v>
      </c>
      <c r="N17" s="1706" t="s">
        <v>4011</v>
      </c>
      <c r="O17" s="1702" t="s">
        <v>4012</v>
      </c>
      <c r="P17" s="1707" t="s">
        <v>4026</v>
      </c>
      <c r="Q17" s="1708"/>
      <c r="R17" s="1709"/>
      <c r="S17" s="1703"/>
      <c r="T17" s="1704"/>
    </row>
    <row r="18">
      <c r="A18" s="1664"/>
      <c r="B18" s="1693">
        <f>IFERROR(VLOOKUP(C18,'字段信息'!A:C,3,),"")</f>
      </c>
      <c r="C18" s="1705" t="s">
        <v>4027</v>
      </c>
      <c r="D18" s="1695">
        <f>IFERROR(VLOOKUP(C18,'字段信息'!A:C,2,),"")</f>
      </c>
      <c r="E18" s="1696"/>
      <c r="F18" s="1697">
        <f t="shared" si="0"/>
      </c>
      <c r="G18" s="1696" t="s">
        <v>4014</v>
      </c>
      <c r="H18" s="1698"/>
      <c r="I18" s="1698"/>
      <c r="J18" s="1698"/>
      <c r="K18" s="1698"/>
      <c r="L18" s="1699" t="s">
        <v>4015</v>
      </c>
      <c r="M18" s="1700" t="s">
        <v>4017</v>
      </c>
      <c r="N18" s="1706" t="s">
        <v>4011</v>
      </c>
      <c r="O18" s="1702" t="s">
        <v>4012</v>
      </c>
      <c r="P18" s="1707" t="s">
        <v>4027</v>
      </c>
      <c r="Q18" s="1708"/>
      <c r="R18" s="1709"/>
      <c r="S18" s="1703"/>
      <c r="T18" s="1704"/>
    </row>
    <row r="19">
      <c r="A19" s="1664"/>
      <c r="B19" s="1693">
        <f>IFERROR(VLOOKUP(C19,'字段信息'!A:C,3,),"")</f>
      </c>
      <c r="C19" s="1705" t="s">
        <v>4028</v>
      </c>
      <c r="D19" s="1695">
        <f>IFERROR(VLOOKUP(C19,'字段信息'!A:C,2,),"")</f>
      </c>
      <c r="E19" s="1696"/>
      <c r="F19" s="1697">
        <f t="shared" si="0"/>
      </c>
      <c r="G19" s="1696" t="s">
        <v>4014</v>
      </c>
      <c r="H19" s="1698"/>
      <c r="I19" s="1698"/>
      <c r="J19" s="1698"/>
      <c r="K19" s="1698"/>
      <c r="L19" s="1699" t="s">
        <v>4015</v>
      </c>
      <c r="M19" s="1700" t="s">
        <v>4017</v>
      </c>
      <c r="N19" s="1706" t="s">
        <v>4011</v>
      </c>
      <c r="O19" s="1702" t="s">
        <v>4012</v>
      </c>
      <c r="P19" s="1707" t="s">
        <v>4028</v>
      </c>
      <c r="Q19" s="1708"/>
      <c r="R19" s="1709"/>
      <c r="S19" s="1703"/>
      <c r="T19" s="1704"/>
    </row>
    <row r="20">
      <c r="A20" s="1664"/>
      <c r="B20" s="1693">
        <f>IFERROR(VLOOKUP(C20,'字段信息'!A:C,3,),"")</f>
      </c>
      <c r="C20" s="1705" t="s">
        <v>4029</v>
      </c>
      <c r="D20" s="1695">
        <f>IFERROR(VLOOKUP(C19,'字段信息'!A:C,2,),"")</f>
      </c>
      <c r="E20" s="1696"/>
      <c r="F20" s="1697">
        <f t="shared" si="0"/>
      </c>
      <c r="G20" s="1696" t="s">
        <v>4014</v>
      </c>
      <c r="H20" s="1698"/>
      <c r="I20" s="1698"/>
      <c r="J20" s="1698"/>
      <c r="K20" s="1698"/>
      <c r="L20" s="1699" t="s">
        <v>4015</v>
      </c>
      <c r="M20" s="1700" t="s">
        <v>4017</v>
      </c>
      <c r="N20" s="1706" t="s">
        <v>4011</v>
      </c>
      <c r="O20" s="1702" t="s">
        <v>4012</v>
      </c>
      <c r="P20" s="1707" t="s">
        <v>4029</v>
      </c>
      <c r="Q20" s="1708"/>
      <c r="R20" s="1709"/>
      <c r="S20" s="1703"/>
      <c r="T20" s="1704"/>
    </row>
    <row customHeight="true" ht="16.071428571428573" r="21">
      <c r="A21" s="1664"/>
      <c r="B21" s="1693" t="s">
        <v>4030</v>
      </c>
      <c r="C21" s="1705" t="s">
        <v>4031</v>
      </c>
      <c r="D21" s="1695">
        <f>IFERROR(VLOOKUP(C20,'字段信息'!A:C,2,),"")</f>
      </c>
      <c r="E21" s="1696"/>
      <c r="F21" s="1697">
        <f t="shared" si="0"/>
      </c>
      <c r="G21" s="1696" t="s">
        <v>4014</v>
      </c>
      <c r="H21" s="1698"/>
      <c r="I21" s="1698"/>
      <c r="J21" s="1698"/>
      <c r="K21" s="1698"/>
      <c r="L21" s="1699"/>
      <c r="M21" s="1709" t="s">
        <v>4032</v>
      </c>
      <c r="N21" s="1706"/>
      <c r="O21" s="1710"/>
      <c r="P21" s="1707"/>
      <c r="Q21" s="1708"/>
      <c r="R21" s="1709"/>
      <c r="S21" s="1703"/>
      <c r="T21" s="1704"/>
    </row>
    <row customHeight="true" ht="16.071428571428573" r="22">
      <c r="A22" s="1664"/>
      <c r="B22" s="1693" t="s">
        <v>4033</v>
      </c>
      <c r="C22" s="1705" t="s">
        <v>4034</v>
      </c>
      <c r="D22" s="1695" t="s">
        <v>4035</v>
      </c>
      <c r="E22" s="1696"/>
      <c r="F22" s="1697">
        <f t="shared" si="0"/>
      </c>
      <c r="G22" s="1696" t="s">
        <v>4014</v>
      </c>
      <c r="H22" s="1698"/>
      <c r="I22" s="1698"/>
      <c r="J22" s="1698"/>
      <c r="K22" s="1698"/>
      <c r="L22" s="1699"/>
      <c r="M22" s="1709" t="s">
        <v>4032</v>
      </c>
      <c r="N22" s="1706"/>
      <c r="O22" s="1710"/>
      <c r="P22" s="1707"/>
      <c r="Q22" s="1708"/>
      <c r="R22" s="1709"/>
      <c r="S22" s="1703"/>
      <c r="T22" s="1704"/>
    </row>
    <row customHeight="true" ht="16.071428571428573" r="23">
      <c r="A23" s="1664"/>
      <c r="B23" s="1693" t="s">
        <v>4036</v>
      </c>
      <c r="C23" s="1705" t="s">
        <v>4037</v>
      </c>
      <c r="D23" s="1695" t="s">
        <v>4035</v>
      </c>
      <c r="E23" s="1696"/>
      <c r="F23" s="1697">
        <f t="shared" si="0"/>
      </c>
      <c r="G23" s="1696" t="s">
        <v>4014</v>
      </c>
      <c r="H23" s="1698"/>
      <c r="I23" s="1698"/>
      <c r="J23" s="1698"/>
      <c r="K23" s="1698"/>
      <c r="L23" s="1699"/>
      <c r="M23" s="1709" t="s">
        <v>4032</v>
      </c>
      <c r="N23" s="1706"/>
      <c r="O23" s="1710"/>
      <c r="P23" s="1707"/>
      <c r="Q23" s="1708"/>
      <c r="R23" s="1709"/>
      <c r="S23" s="1703"/>
      <c r="T23" s="1704"/>
    </row>
    <row customHeight="true" ht="16.071428571428573" r="24">
      <c r="A24" s="1664"/>
      <c r="B24" s="1693" t="s">
        <v>4038</v>
      </c>
      <c r="C24" s="1705" t="s">
        <v>4039</v>
      </c>
      <c r="D24" s="1695" t="s">
        <v>4035</v>
      </c>
      <c r="E24" s="1696"/>
      <c r="F24" s="1697">
        <f t="shared" si="0"/>
      </c>
      <c r="G24" s="1696" t="s">
        <v>4014</v>
      </c>
      <c r="H24" s="1698"/>
      <c r="I24" s="1698"/>
      <c r="J24" s="1698"/>
      <c r="K24" s="1698"/>
      <c r="L24" s="1699"/>
      <c r="M24" s="1709" t="s">
        <v>4032</v>
      </c>
      <c r="N24" s="1706"/>
      <c r="O24" s="1710"/>
      <c r="P24" s="1707"/>
      <c r="Q24" s="1708"/>
      <c r="R24" s="1709"/>
      <c r="S24" s="1703"/>
      <c r="T24" s="1704"/>
    </row>
    <row customHeight="true" ht="16.071428571428573" r="25">
      <c r="A25" s="1664"/>
      <c r="B25" s="1693" t="s">
        <v>4040</v>
      </c>
      <c r="C25" s="1705" t="s">
        <v>4041</v>
      </c>
      <c r="D25" s="1695" t="s">
        <v>4035</v>
      </c>
      <c r="E25" s="1696"/>
      <c r="F25" s="1697">
        <f t="shared" si="0"/>
      </c>
      <c r="G25" s="1696" t="s">
        <v>4014</v>
      </c>
      <c r="H25" s="1698"/>
      <c r="I25" s="1698"/>
      <c r="J25" s="1698"/>
      <c r="K25" s="1698"/>
      <c r="L25" s="1699"/>
      <c r="M25" s="1709" t="s">
        <v>4032</v>
      </c>
      <c r="N25" s="1706"/>
      <c r="O25" s="1710"/>
      <c r="P25" s="1707"/>
      <c r="Q25" s="1708"/>
      <c r="R25" s="1709"/>
      <c r="S25" s="1703"/>
      <c r="T25" s="1704"/>
    </row>
    <row customHeight="true" ht="16.071428571428573" r="26">
      <c r="A26" s="1664"/>
      <c r="B26" s="1693" t="s">
        <v>4042</v>
      </c>
      <c r="C26" s="1705" t="s">
        <v>4043</v>
      </c>
      <c r="D26" s="1695" t="s">
        <v>4035</v>
      </c>
      <c r="E26" s="1696"/>
      <c r="F26" s="1697">
        <f t="shared" si="0"/>
      </c>
      <c r="G26" s="1696" t="s">
        <v>4014</v>
      </c>
      <c r="H26" s="1698"/>
      <c r="I26" s="1698"/>
      <c r="J26" s="1698"/>
      <c r="K26" s="1698"/>
      <c r="L26" s="1699"/>
      <c r="M26" s="1709" t="s">
        <v>4032</v>
      </c>
      <c r="N26" s="1706"/>
      <c r="O26" s="1710"/>
      <c r="P26" s="1707"/>
      <c r="Q26" s="1708"/>
      <c r="R26" s="1709"/>
      <c r="S26" s="1703"/>
      <c r="T26" s="1704"/>
    </row>
    <row customHeight="true" ht="16.071428571428573" r="27">
      <c r="A27" s="1664"/>
      <c r="B27" s="1693" t="s">
        <v>4044</v>
      </c>
      <c r="C27" s="1705" t="s">
        <v>4045</v>
      </c>
      <c r="D27" s="1695">
        <f>IFERROR(VLOOKUP(C26,'字段信息'!A:C,2,),"")</f>
      </c>
      <c r="E27" s="1696"/>
      <c r="F27" s="1697">
        <f t="shared" si="0"/>
      </c>
      <c r="G27" s="1696" t="s">
        <v>4014</v>
      </c>
      <c r="H27" s="1698"/>
      <c r="I27" s="1698"/>
      <c r="J27" s="1698"/>
      <c r="K27" s="1698"/>
      <c r="L27" s="1699"/>
      <c r="M27" s="1709" t="s">
        <v>4032</v>
      </c>
      <c r="N27" s="1706"/>
      <c r="O27" s="1710"/>
      <c r="P27" s="1707"/>
      <c r="Q27" s="1708"/>
      <c r="R27" s="1709"/>
      <c r="S27" s="1703"/>
      <c r="T27" s="1704"/>
    </row>
    <row customHeight="true" ht="16.071428571428573" r="28">
      <c r="A28" s="1664"/>
      <c r="B28" s="1693" t="s">
        <v>4046</v>
      </c>
      <c r="C28" s="1705" t="s">
        <v>4047</v>
      </c>
      <c r="D28" s="1695" t="s">
        <v>4035</v>
      </c>
      <c r="E28" s="1696"/>
      <c r="F28" s="1697">
        <f t="shared" si="0"/>
      </c>
      <c r="G28" s="1696" t="s">
        <v>4014</v>
      </c>
      <c r="H28" s="1698"/>
      <c r="I28" s="1698"/>
      <c r="J28" s="1698"/>
      <c r="K28" s="1698"/>
      <c r="L28" s="1699"/>
      <c r="M28" s="1709" t="s">
        <v>4032</v>
      </c>
      <c r="N28" s="1706"/>
      <c r="O28" s="1710"/>
      <c r="P28" s="1707"/>
      <c r="Q28" s="1708"/>
      <c r="R28" s="1709"/>
      <c r="S28" s="1703"/>
      <c r="T28" s="1704"/>
    </row>
    <row r="29">
      <c r="A29" s="1664"/>
      <c r="B29" s="1693" t="s">
        <v>4048</v>
      </c>
      <c r="C29" s="1711" t="s">
        <v>4049</v>
      </c>
      <c r="D29" s="1695" t="s">
        <v>4035</v>
      </c>
      <c r="E29" s="1696"/>
      <c r="F29" s="1697">
        <f t="shared" si="0"/>
      </c>
      <c r="G29" s="1696" t="s">
        <v>4014</v>
      </c>
      <c r="H29" s="1698"/>
      <c r="I29" s="1698"/>
      <c r="J29" s="1698"/>
      <c r="K29" s="1698"/>
      <c r="L29" s="1699"/>
      <c r="M29" s="1700" t="s">
        <v>4017</v>
      </c>
      <c r="N29" s="1706"/>
      <c r="O29" s="1710"/>
      <c r="P29" s="1707"/>
      <c r="Q29" s="1708"/>
      <c r="R29" s="1709"/>
      <c r="S29" s="1703"/>
      <c r="T29" s="1704"/>
    </row>
    <row r="30">
      <c r="A30" s="1664"/>
      <c r="B30" s="1693">
        <f>IFERROR(VLOOKUP(C30,'字段信息'!A:C,3,),"")</f>
      </c>
      <c r="C30" s="1705" t="s">
        <v>4050</v>
      </c>
      <c r="D30" s="1695">
        <f>IFERROR(VLOOKUP(C20,'字段信息'!A:C,2,),"")</f>
      </c>
      <c r="E30" s="1696"/>
      <c r="F30" s="1697">
        <f t="shared" si="0"/>
      </c>
      <c r="G30" s="1696" t="s">
        <v>4014</v>
      </c>
      <c r="H30" s="1698"/>
      <c r="I30" s="1698"/>
      <c r="J30" s="1698"/>
      <c r="K30" s="1698"/>
      <c r="L30" s="1699" t="s">
        <v>4015</v>
      </c>
      <c r="M30" s="1708" t="s">
        <v>4010</v>
      </c>
      <c r="N30" s="1706" t="s">
        <v>4011</v>
      </c>
      <c r="O30" s="1710"/>
      <c r="P30" s="1707" t="s">
        <v>4050</v>
      </c>
      <c r="Q30" s="1708"/>
      <c r="R30" s="1709"/>
      <c r="S30" s="1703"/>
      <c r="T30" s="1704"/>
    </row>
    <row customHeight="true" ht="16.071428571428573" r="31">
      <c r="A31" s="1664"/>
      <c r="B31" s="1693" t="s">
        <v>4051</v>
      </c>
      <c r="C31" s="1705" t="s">
        <v>4052</v>
      </c>
      <c r="D31" s="1695">
        <f>IFERROR(VLOOKUP(C30,'字段信息'!A:C,2,),"")</f>
      </c>
      <c r="E31" s="1696"/>
      <c r="F31" s="1697">
        <f t="shared" si="0"/>
      </c>
      <c r="G31" s="1696" t="s">
        <v>4014</v>
      </c>
      <c r="H31" s="1698"/>
      <c r="I31" s="1698"/>
      <c r="J31" s="1698"/>
      <c r="K31" s="1698"/>
      <c r="L31" s="1699"/>
      <c r="M31" s="1708" t="s">
        <v>4010</v>
      </c>
      <c r="N31" s="1706" t="s">
        <v>4011</v>
      </c>
      <c r="O31" s="1710"/>
      <c r="P31" s="1707" t="s">
        <v>4050</v>
      </c>
      <c r="Q31" s="1708"/>
      <c r="R31" s="1709"/>
      <c r="S31" s="1703"/>
      <c r="T31" s="1704"/>
    </row>
    <row r="32">
      <c r="A32" s="1664"/>
      <c r="B32" s="1693" t="s">
        <v>4053</v>
      </c>
      <c r="C32" s="1705" t="s">
        <v>4054</v>
      </c>
      <c r="D32" s="1695">
        <f>IFERROR(VLOOKUP(C31,'字段信息'!A:C,2,),"")</f>
      </c>
      <c r="E32" s="1696"/>
      <c r="F32" s="1697">
        <f t="shared" si="0"/>
      </c>
      <c r="G32" s="1696" t="s">
        <v>4014</v>
      </c>
      <c r="H32" s="1698"/>
      <c r="I32" s="1698"/>
      <c r="J32" s="1698"/>
      <c r="K32" s="1698"/>
      <c r="L32" s="1699"/>
      <c r="M32" s="1709" t="s">
        <v>4055</v>
      </c>
      <c r="N32" s="1706"/>
      <c r="O32" s="1710"/>
      <c r="P32" s="1707"/>
      <c r="Q32" s="1708"/>
      <c r="R32" s="1709"/>
      <c r="S32" s="1703"/>
      <c r="T32" s="1704"/>
    </row>
    <row r="33">
      <c r="A33" s="1664"/>
      <c r="B33" s="1693" t="s">
        <v>4056</v>
      </c>
      <c r="C33" s="1705" t="s">
        <v>4057</v>
      </c>
      <c r="D33" s="1695">
        <f>IFERROR(VLOOKUP(C32:C31,'字段信息'!A:C,2,),"")</f>
      </c>
      <c r="E33" s="1696"/>
      <c r="F33" s="1697">
        <f t="shared" si="0"/>
      </c>
      <c r="G33" s="1696" t="s">
        <v>4014</v>
      </c>
      <c r="H33" s="1698"/>
      <c r="I33" s="1698"/>
      <c r="J33" s="1698"/>
      <c r="K33" s="1698"/>
      <c r="L33" s="1699"/>
      <c r="M33" s="1709" t="s">
        <v>4058</v>
      </c>
      <c r="N33" s="1706"/>
      <c r="O33" s="1710"/>
      <c r="P33" s="1707"/>
      <c r="Q33" s="1708"/>
      <c r="R33" s="1709"/>
      <c r="S33" s="1703"/>
      <c r="T33" s="1704"/>
    </row>
  </sheetData>
  <autoFilter ref="A8:T33"/>
  <mergeCells>
    <mergeCell ref="M7:T7"/>
    <mergeCell ref="C6:G6"/>
    <mergeCell ref="B7:G7"/>
    <mergeCell ref="C2:F2"/>
    <mergeCell ref="B1:D1"/>
  </mergeCells>
  <hyperlinks>
    <hyperlink ref="A1" location="'3. 0 DWS层目录'!A1" display="返回"/>
    <hyperlink ref="A2" location="'规则库'!A1" display="规则库"/>
  </hyperlinks>
  <picture r:id="rId1"/>
</worksheet>
</file>

<file path=xl/worksheets/sheet3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sheetData/>
  <picture r:id="rId1"/>
</worksheet>
</file>

<file path=xl/worksheets/sheet3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cols>
    <col collapsed="false" customWidth="true" hidden="false" max="4" min="4" style="0" width="21.596244336667002"/>
    <col collapsed="false" customWidth="true" hidden="false" max="5" min="5" style="0" width="46.04694856201912"/>
    <col collapsed="false" customWidth="true" hidden="false" max="6" min="6" style="0" width="29.35211267605634"/>
    <col collapsed="false" customWidth="true" hidden="false" max="7" min="7" style="0" width="2.1971830985915495"/>
    <col collapsed="false" customWidth="true" hidden="false" max="1" min="1" style="0" width="20.694835885962775"/>
    <col collapsed="false" customWidth="true" hidden="false" max="2" min="2" style="0" width="34.87323943661972"/>
    <col collapsed="false" customWidth="true" hidden="false" max="3" min="3" style="0" width="47.51173729441348"/>
  </cols>
  <sheetData>
    <row r="1">
      <c r="A1" s="1712" t="s">
        <v>4059</v>
      </c>
      <c r="B1" s="1713"/>
      <c r="C1" s="1713"/>
      <c r="D1" s="1713"/>
      <c r="E1" s="1713"/>
      <c r="G1" s="1714"/>
    </row>
    <row r="2">
      <c r="A2" s="1715" t="s">
        <v>4060</v>
      </c>
      <c r="B2" s="1713"/>
      <c r="C2" s="1713"/>
      <c r="D2" s="1713"/>
      <c r="E2" s="1713"/>
      <c r="G2" s="1714"/>
    </row>
    <row r="3">
      <c r="A3" s="1713"/>
      <c r="B3" s="1713"/>
      <c r="C3" s="1713"/>
      <c r="D3" s="1713"/>
      <c r="E3" s="1713"/>
      <c r="G3" s="1714"/>
    </row>
    <row customHeight="true" ht="16.071428571428573" r="4">
      <c r="A4" s="1716" t="s">
        <v>4061</v>
      </c>
      <c r="B4" s="1716" t="s">
        <v>4062</v>
      </c>
      <c r="C4" s="1716" t="s">
        <v>4063</v>
      </c>
      <c r="D4" s="1716" t="s">
        <v>4064</v>
      </c>
      <c r="E4" s="1716"/>
      <c r="G4" s="1714"/>
    </row>
    <row r="5">
      <c r="A5" s="1716"/>
      <c r="B5" s="1716"/>
      <c r="C5" s="1716"/>
      <c r="D5" s="1716"/>
      <c r="E5" s="1716"/>
      <c r="G5" s="1714"/>
    </row>
    <row r="6">
      <c r="A6" s="1717" t="s">
        <v>4065</v>
      </c>
      <c r="B6" s="1717" t="s">
        <v>4066</v>
      </c>
      <c r="C6" s="1718" t="s">
        <v>4067</v>
      </c>
      <c r="D6" s="1719" t="s">
        <v>4068</v>
      </c>
      <c r="E6" s="1719"/>
      <c r="G6" s="1714"/>
    </row>
    <row r="7">
      <c r="A7" s="1719"/>
      <c r="B7" s="1719"/>
      <c r="C7" s="1720"/>
      <c r="D7" s="1719"/>
      <c r="E7" s="1719"/>
      <c r="G7" s="1714"/>
    </row>
    <row r="8">
      <c r="A8" s="1713"/>
      <c r="B8" s="1713"/>
      <c r="C8" s="1713"/>
      <c r="D8" s="1713"/>
      <c r="E8" s="1713"/>
    </row>
    <row r="9">
      <c r="A9" s="1721" t="s">
        <v>4069</v>
      </c>
      <c r="B9" s="1722" t="s">
        <v>4070</v>
      </c>
      <c r="C9" s="1721" t="s">
        <v>4071</v>
      </c>
      <c r="D9" s="1721" t="s">
        <v>4072</v>
      </c>
      <c r="E9" s="1721" t="s">
        <v>4073</v>
      </c>
    </row>
    <row r="10">
      <c r="A10" s="1723">
        <v>1</v>
      </c>
      <c r="B10" s="1724" t="s">
        <v>4074</v>
      </c>
      <c r="C10" s="1725" t="s">
        <v>4075</v>
      </c>
      <c r="D10" s="1726" t="s">
        <v>4076</v>
      </c>
      <c r="E10" s="1727" t="s">
        <v>4077</v>
      </c>
      <c r="F10" s="1728"/>
    </row>
    <row r="11">
      <c r="A11" s="1713"/>
      <c r="B11" s="1713"/>
      <c r="C11" s="1713"/>
      <c r="D11" s="1713"/>
      <c r="E11" s="1713"/>
    </row>
    <row customHeight="true" ht="16.071428571428573" r="12">
      <c r="A12" s="1716" t="s">
        <v>4061</v>
      </c>
      <c r="B12" s="1716" t="s">
        <v>4062</v>
      </c>
      <c r="C12" s="1716" t="s">
        <v>4063</v>
      </c>
      <c r="D12" s="1716" t="s">
        <v>4064</v>
      </c>
      <c r="E12" s="1716"/>
    </row>
    <row r="13">
      <c r="A13" s="1716"/>
      <c r="B13" s="1716"/>
      <c r="C13" s="1716"/>
      <c r="D13" s="1716"/>
      <c r="E13" s="1716"/>
    </row>
    <row r="14">
      <c r="A14" s="1717" t="s">
        <v>4078</v>
      </c>
      <c r="B14" s="1717" t="s">
        <v>4079</v>
      </c>
      <c r="C14" s="1718" t="s">
        <v>4067</v>
      </c>
      <c r="D14" s="1719" t="s">
        <v>4068</v>
      </c>
      <c r="E14" s="1719"/>
    </row>
    <row r="15">
      <c r="A15" s="1717"/>
      <c r="B15" s="1719"/>
      <c r="C15" s="1718"/>
      <c r="D15" s="1719"/>
      <c r="E15" s="1719"/>
    </row>
    <row r="16">
      <c r="A16" s="1713"/>
      <c r="B16" s="1713"/>
      <c r="C16" s="1713"/>
      <c r="D16" s="1713"/>
      <c r="E16" s="1713"/>
    </row>
    <row r="17">
      <c r="A17" s="1722" t="s">
        <v>4069</v>
      </c>
      <c r="B17" s="1722" t="s">
        <v>4070</v>
      </c>
      <c r="C17" s="1721" t="s">
        <v>4071</v>
      </c>
      <c r="D17" s="1721" t="s">
        <v>4072</v>
      </c>
      <c r="E17" s="1721" t="s">
        <v>4073</v>
      </c>
      <c r="F17" s="1728"/>
      <c r="G17" s="1728"/>
      <c r="H17" s="1728"/>
      <c r="I17" s="1728"/>
      <c r="J17" s="1728"/>
      <c r="K17" s="1728"/>
      <c r="L17" s="1728"/>
      <c r="M17" s="1728"/>
      <c r="N17" s="1728"/>
      <c r="O17" s="1728"/>
      <c r="P17" s="1728"/>
      <c r="Q17" s="1728"/>
      <c r="R17" s="1728"/>
      <c r="S17" s="1728"/>
      <c r="T17" s="1728"/>
    </row>
    <row r="18">
      <c r="A18" s="1719">
        <v>1</v>
      </c>
      <c r="B18" s="1729" t="s">
        <v>4080</v>
      </c>
      <c r="C18" s="1725" t="s">
        <v>4081</v>
      </c>
      <c r="D18" s="1730"/>
      <c r="E18" s="1731" t="s">
        <v>4082</v>
      </c>
    </row>
  </sheetData>
  <mergeCells>
    <mergeCell ref="D12:E13"/>
    <mergeCell ref="C12:C13"/>
    <mergeCell ref="B12:B13"/>
    <mergeCell ref="A12:A13"/>
    <mergeCell ref="D14:E15"/>
    <mergeCell ref="B14:B15"/>
    <mergeCell ref="A4:A5"/>
    <mergeCell ref="B4:B5"/>
    <mergeCell ref="C4:C5"/>
    <mergeCell ref="D4:E5"/>
    <mergeCell ref="A6:A7"/>
    <mergeCell ref="B6:B7"/>
    <mergeCell ref="C6:C7"/>
    <mergeCell ref="D6:E7"/>
    <mergeCell ref="A14:A15"/>
    <mergeCell ref="C14:C15"/>
  </mergeCells>
  <hyperlinks>
    <hyperlink ref="B10" location="'ADS-ARPS01-账龄展示表'!A1" display="AW_MR7_ARPS01_000001"/>
    <hyperlink ref="B18" location="'ADS-ARPS02-周转展示表'!A1" display="AW_MR7_ARPS02_000001"/>
  </hyperlinks>
  <picture r:id="rId1"/>
</worksheet>
</file>

<file path=xl/worksheets/sheet3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10" min="10" style="0" width="13.80281690140845"/>
    <col collapsed="false" customWidth="true" hidden="true" max="10" min="10" style="0" width="13.80281690140845"/>
    <col collapsed="false" customWidth="true" hidden="false" max="14" min="14" style="0" width="7.154929577464789"/>
    <col collapsed="false" customWidth="true" hidden="false" max="18" min="18" style="0" width="31.680755330176627"/>
    <col collapsed="false" customWidth="true" hidden="false" max="2" min="2" style="0" width="23.718309859154928"/>
    <col collapsed="false" customWidth="true" hidden="false" max="6" min="6" style="0" width="17.070422535211268"/>
    <col collapsed="false" customWidth="true" hidden="false" max="9" min="9" style="0" width="8.732394366197184"/>
    <col collapsed="false" customWidth="true" hidden="true" max="9" min="9" style="0" width="8.732394366197184"/>
    <col collapsed="false" customWidth="true" hidden="false" max="13" min="13" style="0" width="41.070422535211264"/>
    <col collapsed="false" customWidth="true" hidden="false" max="17" min="17" style="0" width="26.422535076947355"/>
    <col collapsed="false" customWidth="true" hidden="false" max="21" min="21" style="0" width="4.206582325351429"/>
    <col collapsed="false" customWidth="true" hidden="false" max="1" min="1" style="0" width="5.23943661971831"/>
    <col collapsed="false" customWidth="true" hidden="false" max="5" min="5" style="0" width="10.647887323943662"/>
    <col collapsed="false" customWidth="true" hidden="false" max="12" min="12" style="0" width="9.746478873239436"/>
    <col collapsed="false" customWidth="true" hidden="true" max="12" min="12" style="0" width="9.746478873239436"/>
    <col collapsed="false" customWidth="true" hidden="false" max="16" min="16" style="0" width="24.5446051999062"/>
    <col collapsed="false" customWidth="true" hidden="false" max="20" min="20" style="0" width="5.577464788732394"/>
    <col collapsed="false" customWidth="true" hidden="false" max="4" min="4" style="0" width="12.56338028169014"/>
    <col collapsed="false" customWidth="true" hidden="false" max="8" min="8" style="0" width="7.154929577464789"/>
    <col collapsed="false" customWidth="true" hidden="true" max="8" min="8" style="0" width="7.154929577464789"/>
    <col collapsed="false" customWidth="true" hidden="false" max="11" min="11" style="0" width="8.732394366197184"/>
    <col collapsed="false" customWidth="true" hidden="true" max="11" min="11" style="0" width="8.732394366197184"/>
    <col collapsed="false" customWidth="true" hidden="false" max="15" min="15" style="0" width="23.868590568332493"/>
    <col collapsed="false" customWidth="true" hidden="false" max="19" min="19" style="0" width="81.16432880422467"/>
    <col collapsed="false" customWidth="true" hidden="false" max="3" min="3" style="0" width="19.774647887323944"/>
    <col collapsed="false" customWidth="true" hidden="false" max="7" min="7" style="0" width="8.732394366197184"/>
  </cols>
  <sheetData>
    <row r="1">
      <c r="A1" s="1732" t="s">
        <v>4083</v>
      </c>
      <c r="B1" s="1733" t="s">
        <v>4084</v>
      </c>
      <c r="C1" s="1734"/>
      <c r="D1" s="1734"/>
      <c r="E1" s="1735"/>
      <c r="F1" s="1736"/>
      <c r="G1" s="1735"/>
      <c r="H1" s="1737"/>
      <c r="I1" s="1737"/>
      <c r="J1" s="1737"/>
      <c r="K1" s="1737"/>
      <c r="L1" s="1737"/>
      <c r="M1" s="1738"/>
      <c r="N1" s="1739"/>
      <c r="O1" s="1736"/>
      <c r="P1" s="1736"/>
      <c r="Q1" s="1736"/>
      <c r="R1" s="1735"/>
      <c r="S1" s="1736"/>
      <c r="T1" s="1735"/>
    </row>
    <row r="2">
      <c r="A2" s="1740"/>
      <c r="B2" s="1741" t="s">
        <v>4085</v>
      </c>
      <c r="C2" s="1742" t="s">
        <v>4086</v>
      </c>
      <c r="D2" s="1743"/>
      <c r="E2" s="1743"/>
      <c r="F2" s="1744"/>
      <c r="G2" s="1743"/>
      <c r="H2" s="1737"/>
      <c r="I2" s="1737"/>
      <c r="J2" s="1737"/>
      <c r="K2" s="1737"/>
      <c r="L2" s="1737"/>
      <c r="M2" s="1738"/>
      <c r="N2" s="1739"/>
      <c r="O2" s="1736"/>
      <c r="P2" s="1736"/>
      <c r="Q2" s="1736"/>
      <c r="R2" s="1735"/>
      <c r="S2" s="1736"/>
      <c r="T2" s="1735"/>
    </row>
    <row r="3">
      <c r="A3" s="1740"/>
      <c r="B3" s="1745" t="s">
        <v>4087</v>
      </c>
      <c r="C3" s="1746" t="s">
        <v>4088</v>
      </c>
      <c r="D3" s="1747" t="s">
        <v>4089</v>
      </c>
      <c r="E3" s="1748" t="s">
        <v>4090</v>
      </c>
      <c r="F3" s="1745" t="s">
        <v>4091</v>
      </c>
      <c r="G3" s="1746" t="s">
        <v>4092</v>
      </c>
      <c r="H3" s="1737"/>
      <c r="I3" s="1737"/>
      <c r="J3" s="1737"/>
      <c r="K3" s="1737"/>
      <c r="L3" s="1737"/>
      <c r="M3" s="1738"/>
      <c r="N3" s="1739"/>
      <c r="O3" s="1736"/>
      <c r="P3" s="1736"/>
      <c r="Q3" s="1736"/>
      <c r="R3" s="1735"/>
      <c r="S3" s="1736"/>
      <c r="T3" s="1735"/>
    </row>
    <row r="4">
      <c r="A4" s="1740"/>
      <c r="B4" s="1745" t="s">
        <v>4093</v>
      </c>
      <c r="C4" s="1749" t="s">
        <v>4094</v>
      </c>
      <c r="D4" s="1750" t="s">
        <v>4095</v>
      </c>
      <c r="E4" s="1751" t="s">
        <v>4096</v>
      </c>
      <c r="F4" s="1752" t="s">
        <v>4097</v>
      </c>
      <c r="G4" s="1746" t="s">
        <v>4098</v>
      </c>
      <c r="H4" s="1737"/>
      <c r="I4" s="1737"/>
      <c r="J4" s="1737"/>
      <c r="K4" s="1737"/>
      <c r="L4" s="1737"/>
      <c r="M4" s="1738"/>
      <c r="N4" s="1739"/>
      <c r="O4" s="1736"/>
      <c r="P4" s="1736"/>
      <c r="Q4" s="1736"/>
      <c r="R4" s="1735"/>
      <c r="S4" s="1736"/>
      <c r="T4" s="1735"/>
    </row>
    <row r="5">
      <c r="A5" s="1740"/>
      <c r="B5" s="1745" t="s">
        <v>4099</v>
      </c>
      <c r="C5" s="1746" t="s">
        <v>4100</v>
      </c>
      <c r="D5" s="1747" t="s">
        <v>4101</v>
      </c>
      <c r="E5" s="1753"/>
      <c r="F5" s="1754" t="s">
        <v>4102</v>
      </c>
      <c r="G5" s="1755"/>
      <c r="H5" s="1737"/>
      <c r="I5" s="1737"/>
      <c r="J5" s="1737"/>
      <c r="K5" s="1737"/>
      <c r="L5" s="1737"/>
      <c r="M5" s="1738"/>
      <c r="N5" s="1739"/>
      <c r="O5" s="1736"/>
      <c r="P5" s="1736"/>
      <c r="Q5" s="1736"/>
      <c r="R5" s="1735"/>
      <c r="S5" s="1736"/>
      <c r="T5" s="1735"/>
    </row>
    <row r="6">
      <c r="A6" s="1740"/>
      <c r="B6" s="1756" t="s">
        <v>4103</v>
      </c>
      <c r="C6" s="1757" t="s">
        <v>4104</v>
      </c>
      <c r="D6" s="1758"/>
      <c r="E6" s="1758"/>
      <c r="F6" s="1758"/>
      <c r="G6" s="1758"/>
      <c r="H6" s="1737"/>
      <c r="I6" s="1737"/>
      <c r="J6" s="1737"/>
      <c r="K6" s="1737"/>
      <c r="L6" s="1737"/>
      <c r="M6" s="1738"/>
      <c r="N6" s="1739"/>
      <c r="O6" s="1736"/>
      <c r="P6" s="1736"/>
      <c r="Q6" s="1736"/>
      <c r="R6" s="1735"/>
      <c r="S6" s="1736"/>
      <c r="T6" s="1735"/>
    </row>
    <row r="7">
      <c r="A7" s="1759"/>
      <c r="B7" s="1760" t="s">
        <v>4105</v>
      </c>
      <c r="C7" s="1761"/>
      <c r="D7" s="1761"/>
      <c r="E7" s="1761"/>
      <c r="F7" s="1760"/>
      <c r="G7" s="1761"/>
      <c r="H7" s="1761"/>
      <c r="I7" s="1761"/>
      <c r="J7" s="1761"/>
      <c r="K7" s="1761"/>
      <c r="L7" s="1761"/>
      <c r="M7" s="1762" t="s">
        <v>4106</v>
      </c>
      <c r="N7" s="1760"/>
      <c r="O7" s="1760"/>
      <c r="P7" s="1760"/>
      <c r="Q7" s="1760"/>
      <c r="R7" s="1761"/>
      <c r="S7" s="1760"/>
      <c r="T7" s="1761"/>
      <c r="U7" s="1763"/>
    </row>
    <row r="8">
      <c r="A8" s="1759"/>
      <c r="B8" s="1764" t="s">
        <v>4107</v>
      </c>
      <c r="C8" s="1765" t="s">
        <v>4108</v>
      </c>
      <c r="D8" s="1765" t="s">
        <v>4109</v>
      </c>
      <c r="E8" s="1765" t="s">
        <v>4110</v>
      </c>
      <c r="F8" s="1764" t="s">
        <v>4111</v>
      </c>
      <c r="G8" s="1765" t="s">
        <v>4112</v>
      </c>
      <c r="H8" s="1765" t="s">
        <v>4113</v>
      </c>
      <c r="I8" s="1765" t="s">
        <v>4114</v>
      </c>
      <c r="J8" s="1765" t="s">
        <v>4115</v>
      </c>
      <c r="K8" s="1765" t="s">
        <v>4116</v>
      </c>
      <c r="L8" s="1765" t="s">
        <v>4117</v>
      </c>
      <c r="M8" s="1766" t="s">
        <v>4118</v>
      </c>
      <c r="N8" s="1766" t="s">
        <v>4119</v>
      </c>
      <c r="O8" s="1766" t="s">
        <v>4120</v>
      </c>
      <c r="P8" s="1764" t="s">
        <v>4121</v>
      </c>
      <c r="Q8" s="1764" t="s">
        <v>4122</v>
      </c>
      <c r="R8" s="1765" t="s">
        <v>4123</v>
      </c>
      <c r="S8" s="1764" t="s">
        <v>4124</v>
      </c>
      <c r="T8" s="1765" t="s">
        <v>4125</v>
      </c>
      <c r="U8" s="1763"/>
    </row>
    <row r="9">
      <c r="A9" s="1737"/>
      <c r="B9" s="1767">
        <f>IFERROR(VLOOKUP(C9,'字段信息'!A:C,3,),"")</f>
      </c>
      <c r="C9" s="1768" t="s">
        <v>4126</v>
      </c>
      <c r="D9" s="1769">
        <f>IFERROR(VLOOKUP(C9,'字段信息'!A:C,2,),"")</f>
      </c>
      <c r="E9" s="1770"/>
      <c r="F9" s="1771">
        <f t="shared" ref="F9:F137" si="0">B9</f>
      </c>
      <c r="G9" s="1770"/>
      <c r="H9" s="1772"/>
      <c r="I9" s="1772"/>
      <c r="J9" s="1772"/>
      <c r="K9" s="1772"/>
      <c r="L9" s="1773"/>
      <c r="M9" s="1774" t="s">
        <v>4127</v>
      </c>
      <c r="N9" s="1775" t="s">
        <v>4128</v>
      </c>
      <c r="O9" s="1776" t="s">
        <v>4129</v>
      </c>
      <c r="P9" s="1774" t="s">
        <v>4126</v>
      </c>
      <c r="Q9" s="1777"/>
      <c r="R9" s="1778"/>
      <c r="S9" s="1777"/>
      <c r="T9" s="1778"/>
      <c r="U9" s="1763"/>
    </row>
    <row r="10">
      <c r="A10" s="1737"/>
      <c r="B10" s="1767">
        <f>IFERROR(VLOOKUP(C10,'字段信息'!A:C,3,),"")</f>
      </c>
      <c r="C10" s="1768" t="s">
        <v>4130</v>
      </c>
      <c r="D10" s="1769">
        <f>IFERROR(VLOOKUP(C10,'字段信息'!A:C,2,),"")</f>
      </c>
      <c r="E10" s="1770"/>
      <c r="F10" s="1771">
        <f t="shared" si="0"/>
      </c>
      <c r="G10" s="1770" t="s">
        <v>4131</v>
      </c>
      <c r="H10" s="1772"/>
      <c r="I10" s="1772"/>
      <c r="J10" s="1772"/>
      <c r="K10" s="1772"/>
      <c r="L10" s="1773" t="s">
        <v>4132</v>
      </c>
      <c r="M10" s="1774" t="s">
        <v>4127</v>
      </c>
      <c r="N10" s="1775" t="s">
        <v>4128</v>
      </c>
      <c r="O10" s="1776" t="s">
        <v>4129</v>
      </c>
      <c r="P10" s="1774" t="s">
        <v>4130</v>
      </c>
      <c r="Q10" s="1777"/>
      <c r="R10" s="1778"/>
      <c r="S10" s="1777"/>
      <c r="T10" s="1778"/>
      <c r="U10" s="1763"/>
    </row>
    <row r="11">
      <c r="A11" s="1737"/>
      <c r="B11" s="1767">
        <f>IFERROR(VLOOKUP(C11,'字段信息'!A:C,3,),"")</f>
      </c>
      <c r="C11" s="1768" t="s">
        <v>4133</v>
      </c>
      <c r="D11" s="1769">
        <f>IFERROR(VLOOKUP(C11,'字段信息'!A:C,2,),"")</f>
      </c>
      <c r="E11" s="1770"/>
      <c r="F11" s="1771">
        <f t="shared" si="0"/>
      </c>
      <c r="G11" s="1770" t="s">
        <v>4131</v>
      </c>
      <c r="H11" s="1772"/>
      <c r="I11" s="1772"/>
      <c r="J11" s="1772"/>
      <c r="K11" s="1772"/>
      <c r="L11" s="1773" t="s">
        <v>4132</v>
      </c>
      <c r="M11" s="1774" t="s">
        <v>4127</v>
      </c>
      <c r="N11" s="1775" t="s">
        <v>4128</v>
      </c>
      <c r="O11" s="1776" t="s">
        <v>4129</v>
      </c>
      <c r="P11" s="1774" t="s">
        <v>4133</v>
      </c>
      <c r="Q11" s="1777"/>
      <c r="R11" s="1778"/>
      <c r="S11" s="1777"/>
      <c r="T11" s="1778"/>
      <c r="U11" s="1763"/>
    </row>
    <row r="12">
      <c r="A12" s="1737"/>
      <c r="B12" s="1767">
        <f>IFERROR(VLOOKUP(C12,'字段信息'!A:C,3,),"")</f>
      </c>
      <c r="C12" s="1768" t="s">
        <v>4134</v>
      </c>
      <c r="D12" s="1769">
        <f>IFERROR(VLOOKUP(C12,'字段信息'!A:C,2,),"")</f>
      </c>
      <c r="E12" s="1770"/>
      <c r="F12" s="1771">
        <f t="shared" si="0"/>
      </c>
      <c r="G12" s="1770" t="s">
        <v>4131</v>
      </c>
      <c r="H12" s="1772"/>
      <c r="I12" s="1772"/>
      <c r="J12" s="1772"/>
      <c r="K12" s="1772"/>
      <c r="L12" s="1773" t="s">
        <v>4132</v>
      </c>
      <c r="M12" s="1774" t="s">
        <v>4127</v>
      </c>
      <c r="N12" s="1775" t="s">
        <v>4128</v>
      </c>
      <c r="O12" s="1776" t="s">
        <v>4129</v>
      </c>
      <c r="P12" s="1774" t="s">
        <v>4134</v>
      </c>
      <c r="Q12" s="1777"/>
      <c r="R12" s="1778"/>
      <c r="S12" s="1777"/>
      <c r="T12" s="1778"/>
      <c r="U12" s="1763"/>
    </row>
    <row r="13">
      <c r="A13" s="1737"/>
      <c r="B13" s="1767">
        <f>IFERROR(VLOOKUP(C13,'字段信息'!A:C,3,),"")</f>
      </c>
      <c r="C13" s="1768" t="s">
        <v>4135</v>
      </c>
      <c r="D13" s="1769">
        <f>IFERROR(VLOOKUP(C13,'字段信息'!A:C,2,),"")</f>
      </c>
      <c r="E13" s="1770"/>
      <c r="F13" s="1771">
        <f t="shared" si="0"/>
      </c>
      <c r="G13" s="1770" t="s">
        <v>4131</v>
      </c>
      <c r="H13" s="1772"/>
      <c r="I13" s="1772"/>
      <c r="J13" s="1772"/>
      <c r="K13" s="1772"/>
      <c r="L13" s="1773" t="s">
        <v>4132</v>
      </c>
      <c r="M13" s="1774" t="s">
        <v>4136</v>
      </c>
      <c r="N13" s="1779"/>
      <c r="O13" s="1780"/>
      <c r="P13" s="1774" t="s">
        <v>4137</v>
      </c>
      <c r="Q13" s="1777"/>
      <c r="R13" s="1778"/>
      <c r="S13" s="1777"/>
      <c r="T13" s="1778"/>
      <c r="U13" s="1763"/>
    </row>
    <row r="14">
      <c r="A14" s="1737"/>
      <c r="B14" s="1767">
        <f>IFERROR(VLOOKUP(C14,'字段信息'!A:C,3,),"")</f>
      </c>
      <c r="C14" s="1768" t="s">
        <v>4138</v>
      </c>
      <c r="D14" s="1769">
        <f>IFERROR(VLOOKUP(C14,'字段信息'!A:C,2,),"")</f>
      </c>
      <c r="E14" s="1770"/>
      <c r="F14" s="1771">
        <f t="shared" si="0"/>
      </c>
      <c r="G14" s="1770" t="s">
        <v>4131</v>
      </c>
      <c r="H14" s="1772"/>
      <c r="I14" s="1772"/>
      <c r="J14" s="1772"/>
      <c r="K14" s="1772"/>
      <c r="L14" s="1781" t="s">
        <v>4132</v>
      </c>
      <c r="M14" s="1774" t="s">
        <v>4127</v>
      </c>
      <c r="N14" s="1775" t="s">
        <v>4128</v>
      </c>
      <c r="O14" s="1776" t="s">
        <v>4129</v>
      </c>
      <c r="P14" s="1774" t="s">
        <v>4138</v>
      </c>
      <c r="Q14" s="1777"/>
      <c r="R14" s="1782"/>
      <c r="S14" s="1782"/>
      <c r="T14" s="1778"/>
      <c r="U14" s="1763"/>
    </row>
    <row r="15">
      <c r="A15" s="1737"/>
      <c r="B15" s="1767">
        <f>IFERROR(VLOOKUP(C15,'字段信息'!A:C,3,),"")</f>
      </c>
      <c r="C15" s="1768" t="s">
        <v>4139</v>
      </c>
      <c r="D15" s="1769">
        <f>IFERROR(VLOOKUP(C15,'字段信息'!A:C,2,),"")</f>
      </c>
      <c r="E15" s="1770"/>
      <c r="F15" s="1771">
        <f t="shared" si="0"/>
      </c>
      <c r="G15" s="1770" t="s">
        <v>4131</v>
      </c>
      <c r="H15" s="1772"/>
      <c r="I15" s="1772"/>
      <c r="J15" s="1772"/>
      <c r="K15" s="1772"/>
      <c r="L15" s="1781" t="s">
        <v>4132</v>
      </c>
      <c r="M15" s="1774" t="s">
        <v>4127</v>
      </c>
      <c r="N15" s="1775" t="s">
        <v>4128</v>
      </c>
      <c r="O15" s="1776" t="s">
        <v>4129</v>
      </c>
      <c r="P15" s="1774" t="s">
        <v>4139</v>
      </c>
      <c r="Q15" s="1777"/>
      <c r="R15" s="1778"/>
      <c r="S15" s="1777"/>
      <c r="T15" s="1778"/>
      <c r="U15" s="1763"/>
    </row>
    <row r="16">
      <c r="A16" s="1737"/>
      <c r="B16" s="1767">
        <f>IFERROR(VLOOKUP(C16,'字段信息'!A:C,3,),"")</f>
      </c>
      <c r="C16" s="1768" t="s">
        <v>4140</v>
      </c>
      <c r="D16" s="1769">
        <f>IFERROR(VLOOKUP(C16,'字段信息'!A:C,2,),"")</f>
      </c>
      <c r="E16" s="1770"/>
      <c r="F16" s="1771">
        <f t="shared" si="0"/>
      </c>
      <c r="G16" s="1770" t="s">
        <v>4131</v>
      </c>
      <c r="H16" s="1772"/>
      <c r="I16" s="1772"/>
      <c r="J16" s="1772"/>
      <c r="K16" s="1772"/>
      <c r="L16" s="1781" t="s">
        <v>4132</v>
      </c>
      <c r="M16" s="1774" t="s">
        <v>4127</v>
      </c>
      <c r="N16" s="1775" t="s">
        <v>4128</v>
      </c>
      <c r="O16" s="1776" t="s">
        <v>4129</v>
      </c>
      <c r="P16" s="1774" t="s">
        <v>4140</v>
      </c>
      <c r="Q16" s="1777"/>
      <c r="R16" s="1778"/>
      <c r="S16" s="1777"/>
      <c r="T16" s="1778"/>
      <c r="U16" s="1763"/>
    </row>
    <row r="17">
      <c r="A17" s="1737"/>
      <c r="B17" s="1767">
        <f>IFERROR(VLOOKUP(C17,'字段信息'!A:C,3,),"")</f>
      </c>
      <c r="C17" s="1768" t="s">
        <v>4141</v>
      </c>
      <c r="D17" s="1769">
        <f>IFERROR(VLOOKUP(C17,'字段信息'!A:C,2,),"")</f>
      </c>
      <c r="E17" s="1770"/>
      <c r="F17" s="1771">
        <f t="shared" si="0"/>
      </c>
      <c r="G17" s="1770" t="s">
        <v>4131</v>
      </c>
      <c r="H17" s="1772"/>
      <c r="I17" s="1772"/>
      <c r="J17" s="1772"/>
      <c r="K17" s="1772"/>
      <c r="L17" s="1781"/>
      <c r="M17" s="1774" t="s">
        <v>4127</v>
      </c>
      <c r="N17" s="1775" t="s">
        <v>4128</v>
      </c>
      <c r="O17" s="1776" t="s">
        <v>4129</v>
      </c>
      <c r="P17" s="1774" t="s">
        <v>4141</v>
      </c>
      <c r="Q17" s="1777"/>
      <c r="R17" s="1778"/>
      <c r="S17" s="1777"/>
      <c r="T17" s="1778"/>
      <c r="U17" s="1763"/>
    </row>
    <row r="18">
      <c r="A18" s="1737"/>
      <c r="B18" s="1767">
        <f>IFERROR(VLOOKUP(C18,'字段信息'!A:C,3,),"")</f>
      </c>
      <c r="C18" s="1768" t="s">
        <v>4142</v>
      </c>
      <c r="D18" s="1769">
        <f>IFERROR(VLOOKUP(C18,'字段信息'!A:C,2,),"")</f>
      </c>
      <c r="E18" s="1770"/>
      <c r="F18" s="1771">
        <f t="shared" si="0"/>
      </c>
      <c r="G18" s="1770" t="s">
        <v>4131</v>
      </c>
      <c r="H18" s="1772"/>
      <c r="I18" s="1772"/>
      <c r="J18" s="1772"/>
      <c r="K18" s="1772"/>
      <c r="L18" s="1781"/>
      <c r="M18" s="1774" t="s">
        <v>4127</v>
      </c>
      <c r="N18" s="1775" t="s">
        <v>4128</v>
      </c>
      <c r="O18" s="1776" t="s">
        <v>4129</v>
      </c>
      <c r="P18" s="1774" t="s">
        <v>4142</v>
      </c>
      <c r="Q18" s="1777"/>
      <c r="R18" s="1778"/>
      <c r="S18" s="1777"/>
      <c r="T18" s="1778"/>
      <c r="U18" s="1763"/>
    </row>
    <row r="19">
      <c r="A19" s="1737"/>
      <c r="B19" s="1767">
        <f>IFERROR(VLOOKUP(C19,'字段信息'!A:C,3,),"")</f>
      </c>
      <c r="C19" s="1768" t="s">
        <v>4143</v>
      </c>
      <c r="D19" s="1769">
        <f>IFERROR(VLOOKUP(C19,'字段信息'!A:C,2,),"")</f>
      </c>
      <c r="E19" s="1770"/>
      <c r="F19" s="1771">
        <f t="shared" si="0"/>
      </c>
      <c r="G19" s="1770" t="s">
        <v>4131</v>
      </c>
      <c r="H19" s="1772"/>
      <c r="I19" s="1772"/>
      <c r="J19" s="1772"/>
      <c r="K19" s="1772"/>
      <c r="L19" s="1781" t="s">
        <v>4132</v>
      </c>
      <c r="M19" s="1774" t="s">
        <v>4127</v>
      </c>
      <c r="N19" s="1775" t="s">
        <v>4128</v>
      </c>
      <c r="O19" s="1776" t="s">
        <v>4129</v>
      </c>
      <c r="P19" s="1774" t="s">
        <v>4143</v>
      </c>
      <c r="Q19" s="1777"/>
      <c r="R19" s="1778"/>
      <c r="S19" s="1777"/>
      <c r="T19" s="1778"/>
      <c r="U19" s="1763"/>
    </row>
    <row r="20">
      <c r="A20" s="1737"/>
      <c r="B20" s="1767">
        <f>IFERROR(VLOOKUP(C20,'字段信息'!A:C,3,),"")</f>
      </c>
      <c r="C20" s="1768" t="s">
        <v>4144</v>
      </c>
      <c r="D20" s="1769">
        <f>IFERROR(VLOOKUP(C20,'字段信息'!A:C,2,),"")</f>
      </c>
      <c r="E20" s="1770"/>
      <c r="F20" s="1771">
        <f t="shared" si="0"/>
      </c>
      <c r="G20" s="1770" t="s">
        <v>4131</v>
      </c>
      <c r="H20" s="1772"/>
      <c r="I20" s="1772"/>
      <c r="J20" s="1772"/>
      <c r="K20" s="1772"/>
      <c r="L20" s="1781"/>
      <c r="M20" s="1774" t="s">
        <v>4127</v>
      </c>
      <c r="N20" s="1775" t="s">
        <v>4128</v>
      </c>
      <c r="O20" s="1776" t="s">
        <v>4129</v>
      </c>
      <c r="P20" s="1774" t="s">
        <v>4144</v>
      </c>
      <c r="Q20" s="1777"/>
      <c r="R20" s="1778"/>
      <c r="S20" s="1777"/>
      <c r="T20" s="1778"/>
      <c r="U20" s="1763"/>
    </row>
    <row r="21">
      <c r="A21" s="1737"/>
      <c r="B21" s="1767">
        <f>IFERROR(VLOOKUP(C21,'字段信息'!A:C,3,),"")</f>
      </c>
      <c r="C21" s="1768" t="s">
        <v>4145</v>
      </c>
      <c r="D21" s="1769">
        <f>IFERROR(VLOOKUP(C21,'字段信息'!A:C,2,),"")</f>
      </c>
      <c r="E21" s="1770"/>
      <c r="F21" s="1771">
        <f t="shared" si="0"/>
      </c>
      <c r="G21" s="1770" t="s">
        <v>4131</v>
      </c>
      <c r="H21" s="1772"/>
      <c r="I21" s="1772"/>
      <c r="J21" s="1772"/>
      <c r="K21" s="1772"/>
      <c r="L21" s="1781"/>
      <c r="M21" s="1774" t="s">
        <v>4127</v>
      </c>
      <c r="N21" s="1775" t="s">
        <v>4128</v>
      </c>
      <c r="O21" s="1776" t="s">
        <v>4129</v>
      </c>
      <c r="P21" s="1774" t="s">
        <v>4145</v>
      </c>
      <c r="Q21" s="1777"/>
      <c r="R21" s="1778"/>
      <c r="S21" s="1777"/>
      <c r="T21" s="1778"/>
      <c r="U21" s="1763"/>
    </row>
    <row r="22">
      <c r="A22" s="1737"/>
      <c r="B22" s="1767">
        <f>IFERROR(VLOOKUP(C22,'字段信息'!A:C,3,),"")</f>
      </c>
      <c r="C22" s="1768" t="s">
        <v>4146</v>
      </c>
      <c r="D22" s="1769">
        <f>IFERROR(VLOOKUP(C22,'字段信息'!A:C,2,),"")</f>
      </c>
      <c r="E22" s="1770"/>
      <c r="F22" s="1771">
        <f t="shared" si="0"/>
      </c>
      <c r="G22" s="1770" t="s">
        <v>4131</v>
      </c>
      <c r="H22" s="1772"/>
      <c r="I22" s="1772"/>
      <c r="J22" s="1772"/>
      <c r="K22" s="1772"/>
      <c r="L22" s="1781"/>
      <c r="M22" s="1774" t="s">
        <v>4127</v>
      </c>
      <c r="N22" s="1775" t="s">
        <v>4128</v>
      </c>
      <c r="O22" s="1776" t="s">
        <v>4129</v>
      </c>
      <c r="P22" s="1774" t="s">
        <v>4146</v>
      </c>
      <c r="Q22" s="1777"/>
      <c r="R22" s="1778"/>
      <c r="S22" s="1777"/>
      <c r="T22" s="1778"/>
      <c r="U22" s="1763"/>
    </row>
    <row r="23">
      <c r="A23" s="1737"/>
      <c r="B23" s="1767">
        <f>IFERROR(VLOOKUP(C23,'字段信息'!A:C,3,),"")</f>
      </c>
      <c r="C23" s="1768" t="s">
        <v>4147</v>
      </c>
      <c r="D23" s="1769">
        <f>IFERROR(VLOOKUP(C23,'字段信息'!A:C,2,),"")</f>
      </c>
      <c r="E23" s="1770"/>
      <c r="F23" s="1771">
        <f t="shared" si="0"/>
      </c>
      <c r="G23" s="1770" t="s">
        <v>4131</v>
      </c>
      <c r="H23" s="1772"/>
      <c r="I23" s="1772"/>
      <c r="J23" s="1772"/>
      <c r="K23" s="1772"/>
      <c r="L23" s="1781"/>
      <c r="M23" s="1774" t="s">
        <v>4127</v>
      </c>
      <c r="N23" s="1775" t="s">
        <v>4128</v>
      </c>
      <c r="O23" s="1776" t="s">
        <v>4129</v>
      </c>
      <c r="P23" s="1774" t="s">
        <v>4147</v>
      </c>
      <c r="Q23" s="1777"/>
      <c r="R23" s="1778"/>
      <c r="S23" s="1777"/>
      <c r="T23" s="1778"/>
      <c r="U23" s="1763"/>
    </row>
    <row r="24">
      <c r="A24" s="1737"/>
      <c r="B24" s="1767">
        <f>IFERROR(VLOOKUP(C24,'字段信息'!A:C,3,),"")</f>
      </c>
      <c r="C24" s="1783" t="s">
        <v>4148</v>
      </c>
      <c r="D24" s="1769">
        <f>IFERROR(VLOOKUP(C24,'字段信息'!A:C,2,),"")</f>
      </c>
      <c r="E24" s="1770"/>
      <c r="F24" s="1771">
        <f t="shared" si="0"/>
      </c>
      <c r="G24" s="1770" t="s">
        <v>4131</v>
      </c>
      <c r="H24" s="1772"/>
      <c r="I24" s="1772"/>
      <c r="J24" s="1772"/>
      <c r="K24" s="1772"/>
      <c r="L24" s="1781" t="s">
        <v>4132</v>
      </c>
      <c r="M24" s="1774" t="s">
        <v>4127</v>
      </c>
      <c r="N24" s="1775" t="s">
        <v>4128</v>
      </c>
      <c r="O24" s="1776" t="s">
        <v>4129</v>
      </c>
      <c r="P24" s="1768" t="s">
        <v>4149</v>
      </c>
      <c r="Q24" s="1777"/>
      <c r="R24" s="1778"/>
      <c r="S24" s="1777"/>
      <c r="T24" s="1778"/>
      <c r="U24" s="1763"/>
    </row>
    <row r="25">
      <c r="A25" s="1737"/>
      <c r="B25" s="1767">
        <f>IFERROR(VLOOKUP(C25,'字段信息'!A:C,3,),"")</f>
      </c>
      <c r="C25" s="1768" t="s">
        <v>4150</v>
      </c>
      <c r="D25" s="1769">
        <f>IFERROR(VLOOKUP(C25,'字段信息'!A:C,2,),"")</f>
      </c>
      <c r="E25" s="1770"/>
      <c r="F25" s="1771">
        <f t="shared" si="0"/>
      </c>
      <c r="G25" s="1770" t="s">
        <v>4131</v>
      </c>
      <c r="H25" s="1772"/>
      <c r="I25" s="1772"/>
      <c r="J25" s="1772"/>
      <c r="K25" s="1772"/>
      <c r="L25" s="1781"/>
      <c r="M25" s="1774" t="s">
        <v>4127</v>
      </c>
      <c r="N25" s="1775" t="s">
        <v>4128</v>
      </c>
      <c r="O25" s="1776" t="s">
        <v>4129</v>
      </c>
      <c r="P25" s="1768" t="s">
        <v>4150</v>
      </c>
      <c r="Q25" s="1777"/>
      <c r="R25" s="1784"/>
      <c r="S25" s="1777"/>
      <c r="T25" s="1778"/>
      <c r="U25" s="1763"/>
    </row>
    <row r="26">
      <c r="A26" s="1737"/>
      <c r="B26" s="1767">
        <f>IFERROR(VLOOKUP(C26,'字段信息'!A:C,3,),"")</f>
      </c>
      <c r="C26" s="1783" t="s">
        <v>4151</v>
      </c>
      <c r="D26" s="1769">
        <f>IFERROR(VLOOKUP(C26,'字段信息'!A:C,2,),"")</f>
      </c>
      <c r="E26" s="1770"/>
      <c r="F26" s="1771">
        <f t="shared" si="0"/>
      </c>
      <c r="G26" s="1770" t="s">
        <v>4131</v>
      </c>
      <c r="H26" s="1772"/>
      <c r="I26" s="1772"/>
      <c r="J26" s="1772"/>
      <c r="K26" s="1772"/>
      <c r="L26" s="1781" t="s">
        <v>4132</v>
      </c>
      <c r="M26" s="1774" t="s">
        <v>4127</v>
      </c>
      <c r="N26" s="1775" t="s">
        <v>4128</v>
      </c>
      <c r="O26" s="1776" t="s">
        <v>4129</v>
      </c>
      <c r="P26" s="1768" t="s">
        <v>4152</v>
      </c>
      <c r="Q26" s="1777"/>
      <c r="R26" s="1784"/>
      <c r="S26" s="1777"/>
      <c r="T26" s="1778"/>
      <c r="U26" s="1763"/>
    </row>
    <row r="27">
      <c r="A27" s="1737"/>
      <c r="B27" s="1767">
        <f>IFERROR(VLOOKUP(C27,'字段信息'!A:C,3,),"")</f>
      </c>
      <c r="C27" s="1768" t="s">
        <v>4153</v>
      </c>
      <c r="D27" s="1769">
        <f>IFERROR(VLOOKUP(C27,'字段信息'!A:C,2,),"")</f>
      </c>
      <c r="E27" s="1770"/>
      <c r="F27" s="1771">
        <f t="shared" si="0"/>
      </c>
      <c r="G27" s="1770" t="s">
        <v>4131</v>
      </c>
      <c r="H27" s="1772"/>
      <c r="I27" s="1772"/>
      <c r="J27" s="1772"/>
      <c r="K27" s="1772"/>
      <c r="L27" s="1781"/>
      <c r="M27" s="1774" t="s">
        <v>4127</v>
      </c>
      <c r="N27" s="1775" t="s">
        <v>4128</v>
      </c>
      <c r="O27" s="1776" t="s">
        <v>4129</v>
      </c>
      <c r="P27" s="1768" t="s">
        <v>4153</v>
      </c>
      <c r="Q27" s="1785"/>
      <c r="R27" s="1784"/>
      <c r="S27" s="1777"/>
      <c r="T27" s="1778"/>
      <c r="U27" s="1763"/>
    </row>
    <row r="28">
      <c r="A28" s="1737"/>
      <c r="B28" s="1767">
        <f>IFERROR(VLOOKUP(C28,'字段信息'!A:C,3,),"")</f>
      </c>
      <c r="C28" s="1783" t="s">
        <v>4154</v>
      </c>
      <c r="D28" s="1769">
        <f>IFERROR(VLOOKUP(C28,'字段信息'!A:C,2,),"")</f>
      </c>
      <c r="E28" s="1770"/>
      <c r="F28" s="1771">
        <f t="shared" si="0"/>
      </c>
      <c r="G28" s="1770" t="s">
        <v>4131</v>
      </c>
      <c r="H28" s="1772"/>
      <c r="I28" s="1772"/>
      <c r="J28" s="1772"/>
      <c r="K28" s="1772"/>
      <c r="L28" s="1781" t="s">
        <v>4132</v>
      </c>
      <c r="M28" s="1774" t="s">
        <v>4127</v>
      </c>
      <c r="N28" s="1775" t="s">
        <v>4128</v>
      </c>
      <c r="O28" s="1776" t="s">
        <v>4129</v>
      </c>
      <c r="P28" s="1768" t="s">
        <v>4155</v>
      </c>
      <c r="Q28" s="1785"/>
      <c r="R28" s="1784"/>
      <c r="S28" s="1777"/>
      <c r="T28" s="1778"/>
      <c r="U28" s="1763"/>
    </row>
    <row r="29">
      <c r="A29" s="1737"/>
      <c r="B29" s="1767">
        <f>IFERROR(VLOOKUP(C29,'字段信息'!A:C,3,),"")</f>
      </c>
      <c r="C29" s="1768" t="s">
        <v>4156</v>
      </c>
      <c r="D29" s="1769">
        <f>IFERROR(VLOOKUP(C29,'字段信息'!A:C,2,),"")</f>
      </c>
      <c r="E29" s="1770"/>
      <c r="F29" s="1771">
        <f t="shared" si="0"/>
      </c>
      <c r="G29" s="1770" t="s">
        <v>4131</v>
      </c>
      <c r="H29" s="1772"/>
      <c r="I29" s="1772"/>
      <c r="J29" s="1772"/>
      <c r="K29" s="1772"/>
      <c r="L29" s="1781"/>
      <c r="M29" s="1774" t="s">
        <v>4127</v>
      </c>
      <c r="N29" s="1775" t="s">
        <v>4128</v>
      </c>
      <c r="O29" s="1776" t="s">
        <v>4129</v>
      </c>
      <c r="P29" s="1768" t="s">
        <v>4156</v>
      </c>
      <c r="Q29" s="1785"/>
      <c r="R29" s="1784"/>
      <c r="S29" s="1777"/>
      <c r="T29" s="1778"/>
      <c r="U29" s="1763"/>
    </row>
    <row r="30">
      <c r="A30" s="1737"/>
      <c r="B30" s="1767">
        <f>IFERROR(VLOOKUP(C30,'字段信息'!A:C,3,),"")</f>
      </c>
      <c r="C30" s="1768" t="s">
        <v>4157</v>
      </c>
      <c r="D30" s="1769">
        <f>IFERROR(VLOOKUP(C30,'字段信息'!A:C,2,),"")</f>
      </c>
      <c r="E30" s="1770"/>
      <c r="F30" s="1771">
        <f t="shared" si="0"/>
      </c>
      <c r="G30" s="1770" t="s">
        <v>4131</v>
      </c>
      <c r="H30" s="1772"/>
      <c r="I30" s="1772"/>
      <c r="J30" s="1772"/>
      <c r="K30" s="1772"/>
      <c r="L30" s="1781" t="s">
        <v>4132</v>
      </c>
      <c r="M30" s="1774" t="s">
        <v>4127</v>
      </c>
      <c r="N30" s="1775" t="s">
        <v>4128</v>
      </c>
      <c r="O30" s="1776" t="s">
        <v>4129</v>
      </c>
      <c r="P30" s="1774" t="s">
        <v>4157</v>
      </c>
      <c r="Q30" s="1785"/>
      <c r="R30" s="1784"/>
      <c r="S30" s="1777"/>
      <c r="T30" s="1778"/>
      <c r="U30" s="1763"/>
    </row>
    <row r="31">
      <c r="A31" s="1737"/>
      <c r="B31" s="1767">
        <f>IFERROR(VLOOKUP(C31,'字段信息'!A:C,3,),"")</f>
      </c>
      <c r="C31" s="1768" t="s">
        <v>4158</v>
      </c>
      <c r="D31" s="1786" t="s">
        <v>4159</v>
      </c>
      <c r="E31" s="1770"/>
      <c r="F31" s="1771">
        <f t="shared" si="0"/>
      </c>
      <c r="G31" s="1770" t="s">
        <v>4131</v>
      </c>
      <c r="H31" s="1772"/>
      <c r="I31" s="1772"/>
      <c r="J31" s="1772"/>
      <c r="K31" s="1772"/>
      <c r="L31" s="1781"/>
      <c r="M31" s="1774" t="s">
        <v>4127</v>
      </c>
      <c r="N31" s="1775" t="s">
        <v>4128</v>
      </c>
      <c r="O31" s="1776" t="s">
        <v>4129</v>
      </c>
      <c r="P31" s="1768" t="s">
        <v>4158</v>
      </c>
      <c r="Q31" s="1776"/>
      <c r="R31" s="1784"/>
      <c r="S31" s="1777"/>
      <c r="T31" s="1778"/>
      <c r="U31" s="1763"/>
    </row>
    <row r="32">
      <c r="A32" s="1737"/>
      <c r="B32" s="1767">
        <f>IFERROR(VLOOKUP(C32,'字段信息'!A:C,3,),"")</f>
      </c>
      <c r="C32" s="1768" t="s">
        <v>4160</v>
      </c>
      <c r="D32" s="1786" t="s">
        <v>4159</v>
      </c>
      <c r="E32" s="1770"/>
      <c r="F32" s="1771">
        <f t="shared" si="0"/>
      </c>
      <c r="G32" s="1770" t="s">
        <v>4131</v>
      </c>
      <c r="H32" s="1772"/>
      <c r="I32" s="1772"/>
      <c r="J32" s="1772"/>
      <c r="K32" s="1772"/>
      <c r="L32" s="1781"/>
      <c r="M32" s="1774" t="s">
        <v>4127</v>
      </c>
      <c r="N32" s="1775" t="s">
        <v>4128</v>
      </c>
      <c r="O32" s="1776" t="s">
        <v>4129</v>
      </c>
      <c r="P32" s="1768" t="s">
        <v>4160</v>
      </c>
      <c r="Q32" s="1776"/>
      <c r="R32" s="1784"/>
      <c r="S32" s="1777"/>
      <c r="T32" s="1778"/>
      <c r="U32" s="1763"/>
    </row>
    <row r="33">
      <c r="A33" s="1737"/>
      <c r="B33" s="1767">
        <f>IFERROR(VLOOKUP(C33,'字段信息'!A:C,3,),"")</f>
      </c>
      <c r="C33" s="1768" t="s">
        <v>4161</v>
      </c>
      <c r="D33" s="1786" t="s">
        <v>4159</v>
      </c>
      <c r="E33" s="1770"/>
      <c r="F33" s="1771">
        <f t="shared" si="0"/>
      </c>
      <c r="G33" s="1770" t="s">
        <v>4131</v>
      </c>
      <c r="H33" s="1772"/>
      <c r="I33" s="1772"/>
      <c r="J33" s="1772"/>
      <c r="K33" s="1772"/>
      <c r="L33" s="1781"/>
      <c r="M33" s="1774" t="s">
        <v>4127</v>
      </c>
      <c r="N33" s="1775" t="s">
        <v>4128</v>
      </c>
      <c r="O33" s="1776" t="s">
        <v>4129</v>
      </c>
      <c r="P33" s="1768" t="s">
        <v>4161</v>
      </c>
      <c r="Q33" s="1776"/>
      <c r="R33" s="1784"/>
      <c r="S33" s="1777"/>
      <c r="T33" s="1778"/>
      <c r="U33" s="1763"/>
    </row>
    <row r="34">
      <c r="A34" s="1737"/>
      <c r="B34" s="1767">
        <f>IFERROR(VLOOKUP(C34,'字段信息'!A:C,3,),"")</f>
      </c>
      <c r="C34" s="1768" t="s">
        <v>4162</v>
      </c>
      <c r="D34" s="1769">
        <f>IFERROR(VLOOKUP(C34,'字段信息'!A:C,2,),"")</f>
      </c>
      <c r="E34" s="1770"/>
      <c r="F34" s="1771">
        <f t="shared" si="0"/>
      </c>
      <c r="G34" s="1770" t="s">
        <v>4131</v>
      </c>
      <c r="H34" s="1772"/>
      <c r="I34" s="1772"/>
      <c r="J34" s="1772"/>
      <c r="K34" s="1772"/>
      <c r="L34" s="1781" t="s">
        <v>4132</v>
      </c>
      <c r="M34" s="1774" t="s">
        <v>4127</v>
      </c>
      <c r="N34" s="1775" t="s">
        <v>4128</v>
      </c>
      <c r="O34" s="1776" t="s">
        <v>4129</v>
      </c>
      <c r="P34" s="1774" t="s">
        <v>4162</v>
      </c>
      <c r="Q34" s="1776"/>
      <c r="R34" s="1784"/>
      <c r="S34" s="1777"/>
      <c r="T34" s="1778"/>
      <c r="U34" s="1763"/>
    </row>
    <row r="35">
      <c r="A35" s="1737"/>
      <c r="B35" s="1767">
        <f>IFERROR(VLOOKUP(C35,'字段信息'!A:C,3,),"")</f>
      </c>
      <c r="C35" s="1768" t="s">
        <v>4163</v>
      </c>
      <c r="D35" s="1769">
        <f>IFERROR(VLOOKUP(C35,'字段信息'!A:C,2,),"")</f>
      </c>
      <c r="E35" s="1770"/>
      <c r="F35" s="1771">
        <f t="shared" si="0"/>
      </c>
      <c r="G35" s="1770" t="s">
        <v>4131</v>
      </c>
      <c r="H35" s="1772"/>
      <c r="I35" s="1772"/>
      <c r="J35" s="1772"/>
      <c r="K35" s="1772"/>
      <c r="L35" s="1781"/>
      <c r="M35" s="1774" t="s">
        <v>4127</v>
      </c>
      <c r="N35" s="1775" t="s">
        <v>4128</v>
      </c>
      <c r="O35" s="1776" t="s">
        <v>4129</v>
      </c>
      <c r="P35" s="1774" t="s">
        <v>4163</v>
      </c>
      <c r="Q35" s="1787"/>
      <c r="R35" s="1778"/>
      <c r="S35" s="1777"/>
      <c r="T35" s="1778"/>
      <c r="U35" s="1763"/>
    </row>
    <row r="36">
      <c r="A36" s="1737"/>
      <c r="B36" s="1767">
        <f>IFERROR(VLOOKUP(C36,'字段信息'!A:C,3,),"")</f>
      </c>
      <c r="C36" s="1768" t="s">
        <v>4164</v>
      </c>
      <c r="D36" s="1769">
        <f>IFERROR(VLOOKUP(C36,'字段信息'!A:C,2,),"")</f>
      </c>
      <c r="E36" s="1770"/>
      <c r="F36" s="1771">
        <f t="shared" si="0"/>
      </c>
      <c r="G36" s="1770" t="s">
        <v>4131</v>
      </c>
      <c r="H36" s="1772"/>
      <c r="I36" s="1772"/>
      <c r="J36" s="1772"/>
      <c r="K36" s="1772"/>
      <c r="L36" s="1781" t="s">
        <v>4132</v>
      </c>
      <c r="M36" s="1774" t="s">
        <v>4127</v>
      </c>
      <c r="N36" s="1775" t="s">
        <v>4128</v>
      </c>
      <c r="O36" s="1776" t="s">
        <v>4129</v>
      </c>
      <c r="P36" s="1774" t="s">
        <v>4164</v>
      </c>
      <c r="Q36" s="1777"/>
      <c r="R36" s="1778"/>
      <c r="S36" s="1777"/>
      <c r="T36" s="1778"/>
      <c r="U36" s="1763"/>
    </row>
    <row r="37">
      <c r="A37" s="1737"/>
      <c r="B37" s="1767">
        <f>IFERROR(VLOOKUP(C37,'字段信息'!A:C,3,),"")</f>
      </c>
      <c r="C37" s="1768" t="s">
        <v>4165</v>
      </c>
      <c r="D37" s="1769">
        <f>IFERROR(VLOOKUP(C37,'字段信息'!A:C,2,),"")</f>
      </c>
      <c r="E37" s="1770"/>
      <c r="F37" s="1771">
        <f t="shared" si="0"/>
      </c>
      <c r="G37" s="1770" t="s">
        <v>4131</v>
      </c>
      <c r="H37" s="1772"/>
      <c r="I37" s="1772"/>
      <c r="J37" s="1772"/>
      <c r="K37" s="1772"/>
      <c r="L37" s="1781" t="s">
        <v>4132</v>
      </c>
      <c r="M37" s="1774" t="s">
        <v>4127</v>
      </c>
      <c r="N37" s="1775" t="s">
        <v>4128</v>
      </c>
      <c r="O37" s="1776" t="s">
        <v>4129</v>
      </c>
      <c r="P37" s="1774" t="s">
        <v>4165</v>
      </c>
      <c r="Q37" s="1777"/>
      <c r="R37" s="1778"/>
      <c r="S37" s="1777"/>
      <c r="T37" s="1778"/>
      <c r="U37" s="1763"/>
    </row>
    <row r="38">
      <c r="A38" s="1737"/>
      <c r="B38" s="1767">
        <f>IFERROR(VLOOKUP(C38,'字段信息'!A:C,3,),"")</f>
      </c>
      <c r="C38" s="1768" t="s">
        <v>4166</v>
      </c>
      <c r="D38" s="1769">
        <f>IFERROR(VLOOKUP(C37,'字段信息'!A:C,2,),"")</f>
      </c>
      <c r="E38" s="1770"/>
      <c r="F38" s="1771">
        <f t="shared" si="0"/>
      </c>
      <c r="G38" s="1770" t="s">
        <v>4131</v>
      </c>
      <c r="H38" s="1772"/>
      <c r="I38" s="1772"/>
      <c r="J38" s="1772"/>
      <c r="K38" s="1772"/>
      <c r="L38" s="1781" t="s">
        <v>4132</v>
      </c>
      <c r="M38" s="1774" t="s">
        <v>4127</v>
      </c>
      <c r="N38" s="1775" t="s">
        <v>4128</v>
      </c>
      <c r="O38" s="1776" t="s">
        <v>4129</v>
      </c>
      <c r="P38" s="1774" t="s">
        <v>4166</v>
      </c>
      <c r="Q38" s="1782"/>
      <c r="R38" s="1778"/>
      <c r="S38" s="1777"/>
      <c r="T38" s="1778"/>
      <c r="U38" s="1763"/>
    </row>
    <row r="39">
      <c r="A39" s="1788"/>
      <c r="B39" s="1767">
        <f>IFERROR(VLOOKUP(C39,'字段信息'!A:C,3,),"")</f>
      </c>
      <c r="C39" s="1768" t="s">
        <v>4167</v>
      </c>
      <c r="D39" s="1769">
        <f>IFERROR(VLOOKUP(C38,'字段信息'!A:C,2,),"")</f>
      </c>
      <c r="E39" s="1770"/>
      <c r="F39" s="1771">
        <f t="shared" si="0"/>
      </c>
      <c r="G39" s="1770" t="s">
        <v>4131</v>
      </c>
      <c r="H39" s="1772"/>
      <c r="I39" s="1772"/>
      <c r="J39" s="1772"/>
      <c r="K39" s="1772"/>
      <c r="L39" s="1781"/>
      <c r="M39" s="1774" t="s">
        <v>4127</v>
      </c>
      <c r="N39" s="1775" t="s">
        <v>4128</v>
      </c>
      <c r="O39" s="1776" t="s">
        <v>4129</v>
      </c>
      <c r="P39" s="1768" t="s">
        <v>4167</v>
      </c>
      <c r="Q39" s="1789"/>
      <c r="R39" s="1778"/>
      <c r="S39" s="1777"/>
      <c r="T39" s="1778"/>
      <c r="U39" s="1763"/>
    </row>
    <row r="40">
      <c r="A40" s="1788"/>
      <c r="B40" s="1767">
        <f>IFERROR(VLOOKUP(C40,'字段信息'!A:C,3,),"")</f>
      </c>
      <c r="C40" s="1768" t="s">
        <v>4168</v>
      </c>
      <c r="D40" s="1769">
        <f>IFERROR(VLOOKUP(C38,'字段信息'!A:C,2,),"")</f>
      </c>
      <c r="E40" s="1770"/>
      <c r="F40" s="1771">
        <f t="shared" si="0"/>
      </c>
      <c r="G40" s="1770" t="s">
        <v>4131</v>
      </c>
      <c r="H40" s="1772"/>
      <c r="I40" s="1772"/>
      <c r="J40" s="1772"/>
      <c r="K40" s="1772"/>
      <c r="L40" s="1781" t="s">
        <v>4132</v>
      </c>
      <c r="M40" s="1774" t="s">
        <v>4127</v>
      </c>
      <c r="N40" s="1775" t="s">
        <v>4128</v>
      </c>
      <c r="O40" s="1776" t="s">
        <v>4129</v>
      </c>
      <c r="P40" s="1774" t="s">
        <v>4168</v>
      </c>
      <c r="Q40" s="1789"/>
      <c r="R40" s="1778"/>
      <c r="S40" s="1777"/>
      <c r="T40" s="1778"/>
      <c r="U40" s="1763"/>
    </row>
    <row r="41">
      <c r="A41" s="1737"/>
      <c r="B41" s="1767">
        <f>IFERROR(VLOOKUP(C41,'字段信息'!A:C,3,),"")</f>
      </c>
      <c r="C41" s="1768" t="s">
        <v>4169</v>
      </c>
      <c r="D41" s="1769">
        <f>IFERROR(VLOOKUP(C41,'字段信息'!A:C,2,),"")</f>
      </c>
      <c r="E41" s="1770"/>
      <c r="F41" s="1771">
        <f t="shared" si="0"/>
      </c>
      <c r="G41" s="1770" t="s">
        <v>4131</v>
      </c>
      <c r="H41" s="1772"/>
      <c r="I41" s="1772"/>
      <c r="J41" s="1772"/>
      <c r="K41" s="1772"/>
      <c r="L41" s="1781" t="s">
        <v>4132</v>
      </c>
      <c r="M41" s="1774" t="s">
        <v>4127</v>
      </c>
      <c r="N41" s="1775" t="s">
        <v>4128</v>
      </c>
      <c r="O41" s="1776" t="s">
        <v>4129</v>
      </c>
      <c r="P41" s="1774" t="s">
        <v>4169</v>
      </c>
      <c r="Q41" s="1789"/>
      <c r="R41" s="1778"/>
      <c r="S41" s="1777"/>
      <c r="T41" s="1778"/>
      <c r="U41" s="1763"/>
    </row>
    <row r="42">
      <c r="A42" s="1790"/>
      <c r="B42" s="1791">
        <f>IFERROR(VLOOKUP(C42,'字段信息'!A:C,3,),"")</f>
      </c>
      <c r="C42" s="1792" t="s">
        <v>4170</v>
      </c>
      <c r="D42" s="1793">
        <f>IFERROR(VLOOKUP(C42,'字段信息'!A:C,2,),"")</f>
      </c>
      <c r="E42" s="1794"/>
      <c r="F42" s="1791">
        <f t="shared" si="0"/>
      </c>
      <c r="G42" s="1794" t="s">
        <v>4131</v>
      </c>
      <c r="H42" s="1795"/>
      <c r="I42" s="1795"/>
      <c r="J42" s="1795"/>
      <c r="K42" s="1795"/>
      <c r="L42" s="1796"/>
      <c r="M42" s="1793" t="s">
        <v>4171</v>
      </c>
      <c r="N42" s="1797" t="s">
        <v>4128</v>
      </c>
      <c r="O42" s="1798" t="s">
        <v>4129</v>
      </c>
      <c r="P42" s="1792" t="s">
        <v>4172</v>
      </c>
      <c r="Q42" s="1799"/>
      <c r="R42" s="1800"/>
      <c r="S42" s="1801"/>
      <c r="T42" s="1800"/>
      <c r="U42" s="1802"/>
    </row>
    <row r="43">
      <c r="A43" s="1790"/>
      <c r="B43" s="1791">
        <f>IFERROR(VLOOKUP(C43,'字段信息'!A:C,3,),"")</f>
      </c>
      <c r="C43" s="1792" t="s">
        <v>4173</v>
      </c>
      <c r="D43" s="1793">
        <f>IFERROR(VLOOKUP(C43,'字段信息'!A:C,2,),"")</f>
      </c>
      <c r="E43" s="1794"/>
      <c r="F43" s="1791">
        <f t="shared" si="0"/>
      </c>
      <c r="G43" s="1794" t="s">
        <v>4131</v>
      </c>
      <c r="H43" s="1795"/>
      <c r="I43" s="1795"/>
      <c r="J43" s="1795"/>
      <c r="K43" s="1795"/>
      <c r="L43" s="1796"/>
      <c r="M43" s="1793" t="s">
        <v>4174</v>
      </c>
      <c r="N43" s="1797" t="s">
        <v>4128</v>
      </c>
      <c r="O43" s="1798" t="s">
        <v>4129</v>
      </c>
      <c r="P43" s="1792" t="s">
        <v>4172</v>
      </c>
      <c r="Q43" s="1799"/>
      <c r="R43" s="1800"/>
      <c r="S43" s="1801"/>
      <c r="T43" s="1800"/>
      <c r="U43" s="1802"/>
    </row>
    <row r="44">
      <c r="A44" s="1737"/>
      <c r="B44" s="1767">
        <f>IFERROR(VLOOKUP(C44,'字段信息'!A:C,3,),"")</f>
      </c>
      <c r="C44" s="1768" t="s">
        <v>4172</v>
      </c>
      <c r="D44" s="1769">
        <f>IFERROR(VLOOKUP(C44,'字段信息'!A:C,2,),"")</f>
      </c>
      <c r="E44" s="1770"/>
      <c r="F44" s="1771">
        <f t="shared" si="0"/>
      </c>
      <c r="G44" s="1770" t="s">
        <v>4131</v>
      </c>
      <c r="H44" s="1772"/>
      <c r="I44" s="1772"/>
      <c r="J44" s="1772"/>
      <c r="K44" s="1772"/>
      <c r="L44" s="1781" t="s">
        <v>4132</v>
      </c>
      <c r="M44" s="1774" t="s">
        <v>4127</v>
      </c>
      <c r="N44" s="1775" t="s">
        <v>4128</v>
      </c>
      <c r="O44" s="1776" t="s">
        <v>4129</v>
      </c>
      <c r="P44" s="1774" t="s">
        <v>4175</v>
      </c>
      <c r="Q44" s="1789"/>
      <c r="R44" s="1778"/>
      <c r="S44" s="1777"/>
      <c r="T44" s="1778"/>
      <c r="U44" s="1763"/>
    </row>
    <row r="45">
      <c r="A45" s="1737"/>
      <c r="B45" s="1767">
        <f>IFERROR(VLOOKUP(C45,'字段信息'!A:C,3,),"")</f>
      </c>
      <c r="C45" s="1768" t="s">
        <v>4176</v>
      </c>
      <c r="D45" s="1769">
        <f>IFERROR(VLOOKUP(C45,'字段信息'!A:C,2,),"")</f>
      </c>
      <c r="E45" s="1770"/>
      <c r="F45" s="1771">
        <f t="shared" si="0"/>
      </c>
      <c r="G45" s="1770" t="s">
        <v>4131</v>
      </c>
      <c r="H45" s="1772"/>
      <c r="I45" s="1772"/>
      <c r="J45" s="1772"/>
      <c r="K45" s="1772"/>
      <c r="L45" s="1781" t="s">
        <v>4132</v>
      </c>
      <c r="M45" s="1774" t="s">
        <v>4127</v>
      </c>
      <c r="N45" s="1775" t="s">
        <v>4128</v>
      </c>
      <c r="O45" s="1776" t="s">
        <v>4129</v>
      </c>
      <c r="P45" s="1774" t="s">
        <v>4177</v>
      </c>
      <c r="Q45" s="1789"/>
      <c r="R45" s="1778"/>
      <c r="S45" s="1777"/>
      <c r="T45" s="1778"/>
      <c r="U45" s="1763"/>
    </row>
    <row r="46">
      <c r="A46" s="1737"/>
      <c r="B46" s="1767">
        <f>IFERROR(VLOOKUP(C46,'字段信息'!A:C,3,),"")</f>
      </c>
      <c r="C46" s="1768" t="s">
        <v>4178</v>
      </c>
      <c r="D46" s="1769">
        <f>IFERROR(VLOOKUP(C46,'字段信息'!A:C,2,),"")</f>
      </c>
      <c r="E46" s="1770"/>
      <c r="F46" s="1771">
        <f t="shared" si="0"/>
      </c>
      <c r="G46" s="1770" t="s">
        <v>4131</v>
      </c>
      <c r="H46" s="1772"/>
      <c r="I46" s="1772"/>
      <c r="J46" s="1772"/>
      <c r="K46" s="1772"/>
      <c r="L46" s="1781" t="s">
        <v>4132</v>
      </c>
      <c r="M46" s="1774" t="s">
        <v>4127</v>
      </c>
      <c r="N46" s="1775" t="s">
        <v>4128</v>
      </c>
      <c r="O46" s="1776" t="s">
        <v>4129</v>
      </c>
      <c r="P46" s="1774" t="s">
        <v>4179</v>
      </c>
      <c r="Q46" s="1789"/>
      <c r="R46" s="1778"/>
      <c r="S46" s="1777"/>
      <c r="T46" s="1778"/>
      <c r="U46" s="1763"/>
    </row>
    <row r="47">
      <c r="A47" s="1737"/>
      <c r="B47" s="1767">
        <f>IFERROR(VLOOKUP(C47,'字段信息'!A:C,3,),"")</f>
      </c>
      <c r="C47" s="1768" t="s">
        <v>4180</v>
      </c>
      <c r="D47" s="1769">
        <f>IFERROR(VLOOKUP(C47,'字段信息'!A:C,2,),"")</f>
      </c>
      <c r="E47" s="1770"/>
      <c r="F47" s="1771">
        <f t="shared" si="0"/>
      </c>
      <c r="G47" s="1770" t="s">
        <v>4131</v>
      </c>
      <c r="H47" s="1772"/>
      <c r="I47" s="1772"/>
      <c r="J47" s="1772"/>
      <c r="K47" s="1772"/>
      <c r="L47" s="1781" t="s">
        <v>4132</v>
      </c>
      <c r="M47" s="1774" t="s">
        <v>4127</v>
      </c>
      <c r="N47" s="1775" t="s">
        <v>4128</v>
      </c>
      <c r="O47" s="1776" t="s">
        <v>4129</v>
      </c>
      <c r="P47" s="1774" t="s">
        <v>4181</v>
      </c>
      <c r="Q47" s="1789"/>
      <c r="R47" s="1778"/>
      <c r="S47" s="1777"/>
      <c r="T47" s="1778"/>
      <c r="U47" s="1763"/>
    </row>
    <row r="48">
      <c r="A48" s="1788"/>
      <c r="B48" s="1767">
        <f>IFERROR(VLOOKUP(C48,'字段信息'!A:C,3,),"")</f>
      </c>
      <c r="C48" s="1768" t="s">
        <v>4182</v>
      </c>
      <c r="D48" s="1769">
        <f>IFERROR(VLOOKUP(C48,'字段信息'!A:C,2,),"")</f>
      </c>
      <c r="E48" s="1770"/>
      <c r="F48" s="1771">
        <f t="shared" si="0"/>
      </c>
      <c r="G48" s="1770" t="s">
        <v>4131</v>
      </c>
      <c r="H48" s="1772"/>
      <c r="I48" s="1772"/>
      <c r="J48" s="1772"/>
      <c r="K48" s="1772"/>
      <c r="L48" s="1781" t="s">
        <v>4132</v>
      </c>
      <c r="M48" s="1774" t="s">
        <v>4127</v>
      </c>
      <c r="N48" s="1775" t="s">
        <v>4128</v>
      </c>
      <c r="O48" s="1776" t="s">
        <v>4129</v>
      </c>
      <c r="P48" s="1774" t="s">
        <v>4183</v>
      </c>
      <c r="Q48" s="1777"/>
      <c r="R48" s="1778"/>
      <c r="S48" s="1777"/>
      <c r="T48" s="1778"/>
      <c r="U48" s="1763"/>
    </row>
    <row r="49">
      <c r="A49" s="1788"/>
      <c r="B49" s="1767">
        <f>IFERROR(VLOOKUP(C49,'字段信息'!A:C,3,),"")</f>
      </c>
      <c r="C49" s="1768" t="s">
        <v>4184</v>
      </c>
      <c r="D49" s="1769">
        <f>IFERROR(VLOOKUP(C49,'字段信息'!A:C,2,),"")</f>
      </c>
      <c r="E49" s="1770"/>
      <c r="F49" s="1771">
        <f t="shared" si="0"/>
      </c>
      <c r="G49" s="1770" t="s">
        <v>4131</v>
      </c>
      <c r="H49" s="1772"/>
      <c r="I49" s="1772"/>
      <c r="J49" s="1772"/>
      <c r="K49" s="1772"/>
      <c r="L49" s="1781" t="s">
        <v>4132</v>
      </c>
      <c r="M49" s="1774" t="s">
        <v>4127</v>
      </c>
      <c r="N49" s="1775" t="s">
        <v>4128</v>
      </c>
      <c r="O49" s="1776" t="s">
        <v>4129</v>
      </c>
      <c r="P49" s="1774" t="s">
        <v>4185</v>
      </c>
      <c r="Q49" s="1777"/>
      <c r="R49" s="1778"/>
      <c r="S49" s="1777"/>
      <c r="T49" s="1778"/>
      <c r="U49" s="1763"/>
    </row>
    <row r="50">
      <c r="A50" s="1737"/>
      <c r="B50" s="1767">
        <f>IFERROR(VLOOKUP(C50,'字段信息'!A:C,3,),"")</f>
      </c>
      <c r="C50" s="1768" t="s">
        <v>4186</v>
      </c>
      <c r="D50" s="1769">
        <f>IFERROR(VLOOKUP(C50,'字段信息'!A:C,2,),"")</f>
      </c>
      <c r="E50" s="1770"/>
      <c r="F50" s="1771">
        <f t="shared" si="0"/>
      </c>
      <c r="G50" s="1770" t="s">
        <v>4131</v>
      </c>
      <c r="H50" s="1772"/>
      <c r="I50" s="1772"/>
      <c r="J50" s="1772"/>
      <c r="K50" s="1772"/>
      <c r="L50" s="1781" t="s">
        <v>4132</v>
      </c>
      <c r="M50" s="1774" t="s">
        <v>4127</v>
      </c>
      <c r="N50" s="1775" t="s">
        <v>4128</v>
      </c>
      <c r="O50" s="1776" t="s">
        <v>4129</v>
      </c>
      <c r="P50" s="1774" t="s">
        <v>4187</v>
      </c>
      <c r="Q50" s="1777"/>
      <c r="R50" s="1778"/>
      <c r="S50" s="1777"/>
      <c r="T50" s="1778"/>
      <c r="U50" s="1763"/>
    </row>
    <row r="51">
      <c r="A51" s="1737"/>
      <c r="B51" s="1767">
        <f>IFERROR(VLOOKUP(C51,'字段信息'!A:C,3,),"")</f>
      </c>
      <c r="C51" s="1768" t="s">
        <v>4188</v>
      </c>
      <c r="D51" s="1769">
        <f>IFERROR(VLOOKUP(C51,'字段信息'!A:C,2,),"")</f>
      </c>
      <c r="E51" s="1770"/>
      <c r="F51" s="1771">
        <f t="shared" si="0"/>
      </c>
      <c r="G51" s="1770" t="s">
        <v>4131</v>
      </c>
      <c r="H51" s="1772"/>
      <c r="I51" s="1772"/>
      <c r="J51" s="1772"/>
      <c r="K51" s="1772"/>
      <c r="L51" s="1781" t="s">
        <v>4132</v>
      </c>
      <c r="M51" s="1774" t="s">
        <v>4127</v>
      </c>
      <c r="N51" s="1775" t="s">
        <v>4128</v>
      </c>
      <c r="O51" s="1776" t="s">
        <v>4129</v>
      </c>
      <c r="P51" s="1774" t="s">
        <v>4189</v>
      </c>
      <c r="Q51" s="1777"/>
      <c r="R51" s="1778"/>
      <c r="S51" s="1777"/>
      <c r="T51" s="1778"/>
      <c r="U51" s="1763"/>
    </row>
    <row r="52">
      <c r="A52" s="1737"/>
      <c r="B52" s="1767">
        <f>IFERROR(VLOOKUP(C52,'字段信息'!A:C,3,),"")</f>
      </c>
      <c r="C52" s="1768" t="s">
        <v>4190</v>
      </c>
      <c r="D52" s="1769">
        <f>IFERROR(VLOOKUP(C52,'字段信息'!A:C,2,),"")</f>
      </c>
      <c r="E52" s="1770"/>
      <c r="F52" s="1771">
        <f t="shared" si="0"/>
      </c>
      <c r="G52" s="1770" t="s">
        <v>4131</v>
      </c>
      <c r="H52" s="1772"/>
      <c r="I52" s="1772"/>
      <c r="J52" s="1772"/>
      <c r="K52" s="1772"/>
      <c r="L52" s="1781" t="s">
        <v>4132</v>
      </c>
      <c r="M52" s="1774" t="s">
        <v>4127</v>
      </c>
      <c r="N52" s="1775" t="s">
        <v>4128</v>
      </c>
      <c r="O52" s="1776" t="s">
        <v>4129</v>
      </c>
      <c r="P52" s="1774" t="s">
        <v>4191</v>
      </c>
      <c r="Q52" s="1777"/>
      <c r="R52" s="1778"/>
      <c r="S52" s="1777"/>
      <c r="T52" s="1778"/>
      <c r="U52" s="1763"/>
    </row>
    <row r="53">
      <c r="A53" s="1737"/>
      <c r="B53" s="1767">
        <f>IFERROR(VLOOKUP(C53,'字段信息'!A:C,3,),"")</f>
      </c>
      <c r="C53" s="1768" t="s">
        <v>4192</v>
      </c>
      <c r="D53" s="1769">
        <f>IFERROR(VLOOKUP(C53,'字段信息'!A:C,2,),"")</f>
      </c>
      <c r="E53" s="1770"/>
      <c r="F53" s="1771">
        <f t="shared" si="0"/>
      </c>
      <c r="G53" s="1770" t="s">
        <v>4131</v>
      </c>
      <c r="H53" s="1772"/>
      <c r="I53" s="1772"/>
      <c r="J53" s="1772"/>
      <c r="K53" s="1772"/>
      <c r="L53" s="1781" t="s">
        <v>4132</v>
      </c>
      <c r="M53" s="1774" t="s">
        <v>4127</v>
      </c>
      <c r="N53" s="1775" t="s">
        <v>4128</v>
      </c>
      <c r="O53" s="1776" t="s">
        <v>4129</v>
      </c>
      <c r="P53" s="1774" t="s">
        <v>4193</v>
      </c>
      <c r="Q53" s="1777"/>
      <c r="R53" s="1778"/>
      <c r="S53" s="1777"/>
      <c r="T53" s="1778"/>
      <c r="U53" s="1763"/>
    </row>
    <row r="54">
      <c r="A54" s="1788"/>
      <c r="B54" s="1767">
        <f>IFERROR(VLOOKUP(C54,'字段信息'!A:C,3,),"")</f>
      </c>
      <c r="C54" s="1768" t="s">
        <v>4194</v>
      </c>
      <c r="D54" s="1769">
        <f>IFERROR(VLOOKUP(C54,'字段信息'!A:C,2,),"")</f>
      </c>
      <c r="E54" s="1770"/>
      <c r="F54" s="1771">
        <f t="shared" si="0"/>
      </c>
      <c r="G54" s="1770" t="s">
        <v>4131</v>
      </c>
      <c r="H54" s="1772"/>
      <c r="I54" s="1772"/>
      <c r="J54" s="1772"/>
      <c r="K54" s="1772"/>
      <c r="L54" s="1781" t="s">
        <v>4132</v>
      </c>
      <c r="M54" s="1774" t="s">
        <v>4127</v>
      </c>
      <c r="N54" s="1775" t="s">
        <v>4128</v>
      </c>
      <c r="O54" s="1776" t="s">
        <v>4129</v>
      </c>
      <c r="P54" s="1774" t="s">
        <v>4195</v>
      </c>
      <c r="Q54" s="1782"/>
      <c r="R54" s="1778"/>
      <c r="S54" s="1777"/>
      <c r="T54" s="1778"/>
      <c r="U54" s="1763"/>
    </row>
    <row r="55">
      <c r="A55" s="1788"/>
      <c r="B55" s="1767">
        <f>IFERROR(VLOOKUP(C55,'字段信息'!A:C,3,),"")</f>
      </c>
      <c r="C55" s="1768" t="s">
        <v>4196</v>
      </c>
      <c r="D55" s="1769">
        <f>IFERROR(VLOOKUP(C55,'字段信息'!A:C,2,),"")</f>
      </c>
      <c r="E55" s="1770"/>
      <c r="F55" s="1771">
        <f t="shared" si="0"/>
      </c>
      <c r="G55" s="1770" t="s">
        <v>4131</v>
      </c>
      <c r="H55" s="1772"/>
      <c r="I55" s="1772"/>
      <c r="J55" s="1772"/>
      <c r="K55" s="1772"/>
      <c r="L55" s="1781" t="s">
        <v>4132</v>
      </c>
      <c r="M55" s="1774" t="s">
        <v>4127</v>
      </c>
      <c r="N55" s="1775" t="s">
        <v>4128</v>
      </c>
      <c r="O55" s="1776" t="s">
        <v>4129</v>
      </c>
      <c r="P55" s="1774" t="s">
        <v>4197</v>
      </c>
      <c r="Q55" s="1777"/>
      <c r="R55" s="1778"/>
      <c r="S55" s="1777"/>
      <c r="T55" s="1778"/>
      <c r="U55" s="1763"/>
    </row>
    <row r="56">
      <c r="A56" s="1788"/>
      <c r="B56" s="1767">
        <f>IFERROR(VLOOKUP(C56,'字段信息'!A:C,3,),"")</f>
      </c>
      <c r="C56" s="1768" t="s">
        <v>4198</v>
      </c>
      <c r="D56" s="1769">
        <f>IFERROR(VLOOKUP(C56,'字段信息'!A:C,2,),"")</f>
      </c>
      <c r="E56" s="1770"/>
      <c r="F56" s="1771">
        <f t="shared" si="0"/>
      </c>
      <c r="G56" s="1770" t="s">
        <v>4131</v>
      </c>
      <c r="H56" s="1772"/>
      <c r="I56" s="1772"/>
      <c r="J56" s="1772"/>
      <c r="K56" s="1772"/>
      <c r="L56" s="1781" t="s">
        <v>4132</v>
      </c>
      <c r="M56" s="1774" t="s">
        <v>4127</v>
      </c>
      <c r="N56" s="1775" t="s">
        <v>4128</v>
      </c>
      <c r="O56" s="1776" t="s">
        <v>4129</v>
      </c>
      <c r="P56" s="1774" t="s">
        <v>4199</v>
      </c>
      <c r="Q56" s="1777"/>
      <c r="R56" s="1778"/>
      <c r="S56" s="1777"/>
      <c r="T56" s="1778"/>
      <c r="U56" s="1763"/>
    </row>
    <row r="57">
      <c r="A57" s="1788"/>
      <c r="B57" s="1767">
        <f>IFERROR(VLOOKUP(C57,'字段信息'!A:C,3,),"")</f>
      </c>
      <c r="C57" s="1768" t="s">
        <v>4200</v>
      </c>
      <c r="D57" s="1769">
        <f>IFERROR(VLOOKUP(C57,'字段信息'!A:C,2,),"")</f>
      </c>
      <c r="E57" s="1770"/>
      <c r="F57" s="1771">
        <f t="shared" si="0"/>
      </c>
      <c r="G57" s="1770" t="s">
        <v>4131</v>
      </c>
      <c r="H57" s="1772"/>
      <c r="I57" s="1772"/>
      <c r="J57" s="1772"/>
      <c r="K57" s="1772"/>
      <c r="L57" s="1781" t="s">
        <v>4132</v>
      </c>
      <c r="M57" s="1774" t="s">
        <v>4127</v>
      </c>
      <c r="N57" s="1775" t="s">
        <v>4128</v>
      </c>
      <c r="O57" s="1776" t="s">
        <v>4129</v>
      </c>
      <c r="P57" s="1774" t="s">
        <v>4201</v>
      </c>
      <c r="Q57" s="1777"/>
      <c r="R57" s="1778"/>
      <c r="S57" s="1777"/>
      <c r="T57" s="1778"/>
      <c r="U57" s="1763"/>
    </row>
    <row r="58">
      <c r="A58" s="1737"/>
      <c r="B58" s="1767">
        <f>IFERROR(VLOOKUP(C58,'字段信息'!A:C,3,),"")</f>
      </c>
      <c r="C58" s="1768" t="s">
        <v>4202</v>
      </c>
      <c r="D58" s="1769">
        <f>IFERROR(VLOOKUP(C58,'字段信息'!A:C,2,),"")</f>
      </c>
      <c r="E58" s="1770"/>
      <c r="F58" s="1771">
        <f t="shared" si="0"/>
      </c>
      <c r="G58" s="1770" t="s">
        <v>4131</v>
      </c>
      <c r="H58" s="1772"/>
      <c r="I58" s="1772"/>
      <c r="J58" s="1772"/>
      <c r="K58" s="1772"/>
      <c r="L58" s="1781" t="s">
        <v>4132</v>
      </c>
      <c r="M58" s="1774" t="s">
        <v>4127</v>
      </c>
      <c r="N58" s="1775" t="s">
        <v>4128</v>
      </c>
      <c r="O58" s="1776" t="s">
        <v>4129</v>
      </c>
      <c r="P58" s="1774" t="s">
        <v>4203</v>
      </c>
      <c r="Q58" s="1803"/>
      <c r="R58" s="1778"/>
      <c r="S58" s="1777"/>
      <c r="T58" s="1778"/>
      <c r="U58" s="1763"/>
    </row>
    <row r="59">
      <c r="A59" s="1737"/>
      <c r="B59" s="1767">
        <f>IFERROR(VLOOKUP(C59,'字段信息'!A:C,3,),"")</f>
      </c>
      <c r="C59" s="1768" t="s">
        <v>4204</v>
      </c>
      <c r="D59" s="1769">
        <f>IFERROR(VLOOKUP(C59,'字段信息'!A:C,2,),"")</f>
      </c>
      <c r="E59" s="1770"/>
      <c r="F59" s="1771">
        <f t="shared" si="0"/>
      </c>
      <c r="G59" s="1770" t="s">
        <v>4131</v>
      </c>
      <c r="H59" s="1772"/>
      <c r="I59" s="1772"/>
      <c r="J59" s="1772"/>
      <c r="K59" s="1772"/>
      <c r="L59" s="1781" t="s">
        <v>4132</v>
      </c>
      <c r="M59" s="1774" t="s">
        <v>4127</v>
      </c>
      <c r="N59" s="1775" t="s">
        <v>4128</v>
      </c>
      <c r="O59" s="1776" t="s">
        <v>4129</v>
      </c>
      <c r="P59" s="1774" t="s">
        <v>4205</v>
      </c>
      <c r="Q59" s="1804"/>
      <c r="R59" s="1784"/>
      <c r="S59" s="1777"/>
      <c r="T59" s="1778"/>
      <c r="U59" s="1763"/>
    </row>
    <row r="60">
      <c r="A60" s="1737"/>
      <c r="B60" s="1767">
        <f>IFERROR(VLOOKUP(C60,'字段信息'!A:C,3,),"")</f>
      </c>
      <c r="C60" s="1768" t="s">
        <v>4206</v>
      </c>
      <c r="D60" s="1769">
        <f>IFERROR(VLOOKUP(C60,'字段信息'!A:C,2,),"")</f>
      </c>
      <c r="E60" s="1770"/>
      <c r="F60" s="1771">
        <f t="shared" si="0"/>
      </c>
      <c r="G60" s="1770" t="s">
        <v>4131</v>
      </c>
      <c r="H60" s="1772"/>
      <c r="I60" s="1772"/>
      <c r="J60" s="1772"/>
      <c r="K60" s="1772"/>
      <c r="L60" s="1781" t="s">
        <v>4132</v>
      </c>
      <c r="M60" s="1774" t="s">
        <v>4127</v>
      </c>
      <c r="N60" s="1775" t="s">
        <v>4128</v>
      </c>
      <c r="O60" s="1776" t="s">
        <v>4129</v>
      </c>
      <c r="P60" s="1774" t="s">
        <v>4207</v>
      </c>
      <c r="Q60" s="1805"/>
      <c r="R60" s="1778"/>
      <c r="S60" s="1777"/>
      <c r="T60" s="1778"/>
      <c r="U60" s="1763"/>
    </row>
    <row r="61">
      <c r="A61" s="1737"/>
      <c r="B61" s="1767">
        <f>IFERROR(VLOOKUP(C61,'字段信息'!A:C,3,),"")</f>
      </c>
      <c r="C61" s="1768" t="s">
        <v>4208</v>
      </c>
      <c r="D61" s="1769">
        <f>IFERROR(VLOOKUP(C61,'字段信息'!A:C,2,),"")</f>
      </c>
      <c r="E61" s="1770"/>
      <c r="F61" s="1771">
        <f t="shared" si="0"/>
      </c>
      <c r="G61" s="1770" t="s">
        <v>4131</v>
      </c>
      <c r="H61" s="1772"/>
      <c r="I61" s="1772"/>
      <c r="J61" s="1772"/>
      <c r="K61" s="1772"/>
      <c r="L61" s="1781" t="s">
        <v>4132</v>
      </c>
      <c r="M61" s="1774" t="s">
        <v>4127</v>
      </c>
      <c r="N61" s="1775" t="s">
        <v>4128</v>
      </c>
      <c r="O61" s="1776" t="s">
        <v>4129</v>
      </c>
      <c r="P61" s="1774" t="s">
        <v>4209</v>
      </c>
      <c r="Q61" s="1777"/>
      <c r="R61" s="1778"/>
      <c r="S61" s="1777"/>
      <c r="T61" s="1778"/>
      <c r="U61" s="1763"/>
    </row>
    <row r="62">
      <c r="A62" s="1737"/>
      <c r="B62" s="1767">
        <f>IFERROR(VLOOKUP(C62,'字段信息'!A:C,3,),"")</f>
      </c>
      <c r="C62" s="1768" t="s">
        <v>4210</v>
      </c>
      <c r="D62" s="1769">
        <f>IFERROR(VLOOKUP(C62,'字段信息'!A:C,2,),"")</f>
      </c>
      <c r="E62" s="1770"/>
      <c r="F62" s="1771">
        <f t="shared" si="0"/>
      </c>
      <c r="G62" s="1770" t="s">
        <v>4131</v>
      </c>
      <c r="H62" s="1772"/>
      <c r="I62" s="1772"/>
      <c r="J62" s="1772"/>
      <c r="K62" s="1772"/>
      <c r="L62" s="1781" t="s">
        <v>4132</v>
      </c>
      <c r="M62" s="1774" t="s">
        <v>4127</v>
      </c>
      <c r="N62" s="1775" t="s">
        <v>4128</v>
      </c>
      <c r="O62" s="1776" t="s">
        <v>4129</v>
      </c>
      <c r="P62" s="1774" t="s">
        <v>4211</v>
      </c>
      <c r="Q62" s="1777"/>
      <c r="R62" s="1778"/>
      <c r="S62" s="1777"/>
      <c r="T62" s="1778"/>
      <c r="U62" s="1763"/>
    </row>
    <row r="63">
      <c r="A63" s="1737"/>
      <c r="B63" s="1767">
        <f>IFERROR(VLOOKUP(C63,'字段信息'!A:C,3,),"")</f>
      </c>
      <c r="C63" s="1768" t="s">
        <v>4212</v>
      </c>
      <c r="D63" s="1769">
        <f>IFERROR(VLOOKUP(C63,'字段信息'!A:C,2,),"")</f>
      </c>
      <c r="E63" s="1770"/>
      <c r="F63" s="1771">
        <f t="shared" si="0"/>
      </c>
      <c r="G63" s="1770" t="s">
        <v>4131</v>
      </c>
      <c r="H63" s="1772"/>
      <c r="I63" s="1772"/>
      <c r="J63" s="1772"/>
      <c r="K63" s="1772"/>
      <c r="L63" s="1781" t="s">
        <v>4132</v>
      </c>
      <c r="M63" s="1774" t="s">
        <v>4127</v>
      </c>
      <c r="N63" s="1775" t="s">
        <v>4128</v>
      </c>
      <c r="O63" s="1776" t="s">
        <v>4129</v>
      </c>
      <c r="P63" s="1774" t="s">
        <v>4213</v>
      </c>
      <c r="Q63" s="1777"/>
      <c r="R63" s="1778"/>
      <c r="S63" s="1777"/>
      <c r="T63" s="1778"/>
      <c r="U63" s="1763"/>
    </row>
    <row r="64">
      <c r="A64" s="1737"/>
      <c r="B64" s="1767">
        <f>IFERROR(VLOOKUP(C64,'字段信息'!A:C,3,),"")</f>
      </c>
      <c r="C64" s="1768" t="s">
        <v>4214</v>
      </c>
      <c r="D64" s="1769">
        <f>IFERROR(VLOOKUP(C64,'字段信息'!A:C,2,),"")</f>
      </c>
      <c r="E64" s="1770"/>
      <c r="F64" s="1771">
        <f t="shared" si="0"/>
      </c>
      <c r="G64" s="1770" t="s">
        <v>4131</v>
      </c>
      <c r="H64" s="1772"/>
      <c r="I64" s="1772"/>
      <c r="J64" s="1772"/>
      <c r="K64" s="1772"/>
      <c r="L64" s="1781" t="s">
        <v>4132</v>
      </c>
      <c r="M64" s="1774" t="s">
        <v>4127</v>
      </c>
      <c r="N64" s="1775" t="s">
        <v>4128</v>
      </c>
      <c r="O64" s="1776" t="s">
        <v>4129</v>
      </c>
      <c r="P64" s="1774" t="s">
        <v>4215</v>
      </c>
      <c r="Q64" s="1777"/>
      <c r="R64" s="1778"/>
      <c r="S64" s="1777"/>
      <c r="T64" s="1778"/>
      <c r="U64" s="1763"/>
    </row>
    <row r="65">
      <c r="A65" s="1737"/>
      <c r="B65" s="1767">
        <f>IFERROR(VLOOKUP(C65,'字段信息'!A:C,3,),"")</f>
      </c>
      <c r="C65" s="1768" t="s">
        <v>4216</v>
      </c>
      <c r="D65" s="1769">
        <f>IFERROR(VLOOKUP(C65,'字段信息'!A:C,2,),"")</f>
      </c>
      <c r="E65" s="1770"/>
      <c r="F65" s="1771">
        <f t="shared" si="0"/>
      </c>
      <c r="G65" s="1770" t="s">
        <v>4131</v>
      </c>
      <c r="H65" s="1772"/>
      <c r="I65" s="1772"/>
      <c r="J65" s="1772"/>
      <c r="K65" s="1772"/>
      <c r="L65" s="1781" t="s">
        <v>4132</v>
      </c>
      <c r="M65" s="1774" t="s">
        <v>4127</v>
      </c>
      <c r="N65" s="1775" t="s">
        <v>4128</v>
      </c>
      <c r="O65" s="1776" t="s">
        <v>4129</v>
      </c>
      <c r="P65" s="1774" t="s">
        <v>4217</v>
      </c>
      <c r="Q65" s="1777"/>
      <c r="R65" s="1778"/>
      <c r="S65" s="1777"/>
      <c r="T65" s="1778"/>
      <c r="U65" s="1763"/>
    </row>
    <row r="66">
      <c r="A66" s="1737"/>
      <c r="B66" s="1767">
        <f>IFERROR(VLOOKUP(C66,'字段信息'!A:C,3,),"")</f>
      </c>
      <c r="C66" s="1768" t="s">
        <v>4218</v>
      </c>
      <c r="D66" s="1769">
        <f>IFERROR(VLOOKUP(C66,'字段信息'!A:C,2,),"")</f>
      </c>
      <c r="E66" s="1770"/>
      <c r="F66" s="1771">
        <f t="shared" si="0"/>
      </c>
      <c r="G66" s="1770" t="s">
        <v>4131</v>
      </c>
      <c r="H66" s="1772"/>
      <c r="I66" s="1772"/>
      <c r="J66" s="1772"/>
      <c r="K66" s="1772"/>
      <c r="L66" s="1781" t="s">
        <v>4132</v>
      </c>
      <c r="M66" s="1774" t="s">
        <v>4127</v>
      </c>
      <c r="N66" s="1775" t="s">
        <v>4128</v>
      </c>
      <c r="O66" s="1776" t="s">
        <v>4129</v>
      </c>
      <c r="P66" s="1774" t="s">
        <v>4219</v>
      </c>
      <c r="Q66" s="1777"/>
      <c r="R66" s="1778"/>
      <c r="S66" s="1782"/>
      <c r="T66" s="1778"/>
      <c r="U66" s="1763"/>
    </row>
    <row r="67">
      <c r="A67" s="1737"/>
      <c r="B67" s="1767">
        <f>IFERROR(VLOOKUP(C67,'字段信息'!A:C,3,),"")</f>
      </c>
      <c r="C67" s="1768" t="s">
        <v>4220</v>
      </c>
      <c r="D67" s="1769">
        <f>IFERROR(VLOOKUP(C67,'字段信息'!A:C,2,),"")</f>
      </c>
      <c r="E67" s="1770"/>
      <c r="F67" s="1771">
        <f t="shared" si="0"/>
      </c>
      <c r="G67" s="1770" t="s">
        <v>4131</v>
      </c>
      <c r="H67" s="1772"/>
      <c r="I67" s="1772"/>
      <c r="J67" s="1772"/>
      <c r="K67" s="1772"/>
      <c r="L67" s="1781" t="s">
        <v>4132</v>
      </c>
      <c r="M67" s="1774" t="s">
        <v>4127</v>
      </c>
      <c r="N67" s="1775" t="s">
        <v>4128</v>
      </c>
      <c r="O67" s="1776" t="s">
        <v>4129</v>
      </c>
      <c r="P67" s="1774" t="s">
        <v>4221</v>
      </c>
      <c r="Q67" s="1777"/>
      <c r="R67" s="1778"/>
      <c r="S67" s="1777"/>
      <c r="T67" s="1778"/>
      <c r="U67" s="1763"/>
    </row>
    <row r="68">
      <c r="A68" s="1737"/>
      <c r="B68" s="1767">
        <f>IFERROR(VLOOKUP(C68,'字段信息'!A:C,3,),"")</f>
      </c>
      <c r="C68" s="1768" t="s">
        <v>4222</v>
      </c>
      <c r="D68" s="1769">
        <f>IFERROR(VLOOKUP(C68,'字段信息'!A:C,2,),"")</f>
      </c>
      <c r="E68" s="1770"/>
      <c r="F68" s="1771">
        <f t="shared" si="0"/>
      </c>
      <c r="G68" s="1770" t="s">
        <v>4131</v>
      </c>
      <c r="H68" s="1772"/>
      <c r="I68" s="1772"/>
      <c r="J68" s="1772"/>
      <c r="K68" s="1772"/>
      <c r="L68" s="1781" t="s">
        <v>4132</v>
      </c>
      <c r="M68" s="1774" t="s">
        <v>4127</v>
      </c>
      <c r="N68" s="1775" t="s">
        <v>4128</v>
      </c>
      <c r="O68" s="1776" t="s">
        <v>4129</v>
      </c>
      <c r="P68" s="1774" t="s">
        <v>4223</v>
      </c>
      <c r="Q68" s="1777"/>
      <c r="R68" s="1778"/>
      <c r="S68" s="1777"/>
      <c r="T68" s="1778"/>
      <c r="U68" s="1763"/>
    </row>
    <row r="69">
      <c r="A69" s="1737"/>
      <c r="B69" s="1767">
        <f>IFERROR(VLOOKUP(C69,'字段信息'!A:C,3,),"")</f>
      </c>
      <c r="C69" s="1768" t="s">
        <v>4224</v>
      </c>
      <c r="D69" s="1769">
        <f>IFERROR(VLOOKUP(C69,'字段信息'!A:C,2,),"")</f>
      </c>
      <c r="E69" s="1770"/>
      <c r="F69" s="1771">
        <f t="shared" si="0"/>
      </c>
      <c r="G69" s="1770" t="s">
        <v>4131</v>
      </c>
      <c r="H69" s="1772"/>
      <c r="I69" s="1772"/>
      <c r="J69" s="1772"/>
      <c r="K69" s="1772"/>
      <c r="L69" s="1781" t="s">
        <v>4132</v>
      </c>
      <c r="M69" s="1774" t="s">
        <v>4127</v>
      </c>
      <c r="N69" s="1775" t="s">
        <v>4128</v>
      </c>
      <c r="O69" s="1776" t="s">
        <v>4129</v>
      </c>
      <c r="P69" s="1774" t="s">
        <v>4225</v>
      </c>
      <c r="Q69" s="1777"/>
      <c r="R69" s="1778"/>
      <c r="S69" s="1777"/>
      <c r="T69" s="1778"/>
      <c r="U69" s="1763"/>
    </row>
    <row r="70">
      <c r="A70" s="1737"/>
      <c r="B70" s="1767">
        <f>IFERROR(VLOOKUP(C70,'字段信息'!A:C,3,),"")</f>
      </c>
      <c r="C70" s="1768" t="s">
        <v>4226</v>
      </c>
      <c r="D70" s="1769">
        <f>IFERROR(VLOOKUP(C70,'字段信息'!A:C,2,),"")</f>
      </c>
      <c r="E70" s="1770"/>
      <c r="F70" s="1771">
        <f t="shared" si="0"/>
      </c>
      <c r="G70" s="1770" t="s">
        <v>4131</v>
      </c>
      <c r="H70" s="1772"/>
      <c r="I70" s="1772"/>
      <c r="J70" s="1772"/>
      <c r="K70" s="1772"/>
      <c r="L70" s="1781" t="s">
        <v>4132</v>
      </c>
      <c r="M70" s="1774" t="s">
        <v>4127</v>
      </c>
      <c r="N70" s="1775" t="s">
        <v>4128</v>
      </c>
      <c r="O70" s="1776" t="s">
        <v>4129</v>
      </c>
      <c r="P70" s="1774" t="s">
        <v>4227</v>
      </c>
      <c r="Q70" s="1777"/>
      <c r="R70" s="1778"/>
      <c r="S70" s="1777"/>
      <c r="T70" s="1778"/>
      <c r="U70" s="1763"/>
    </row>
    <row r="71">
      <c r="A71" s="1737"/>
      <c r="B71" s="1767">
        <f>IFERROR(VLOOKUP(C71,'字段信息'!A:C,3,),"")</f>
      </c>
      <c r="C71" s="1768" t="s">
        <v>4228</v>
      </c>
      <c r="D71" s="1769">
        <f>IFERROR(VLOOKUP(C71,'字段信息'!A:C,2,),"")</f>
      </c>
      <c r="E71" s="1770"/>
      <c r="F71" s="1771">
        <f t="shared" si="0"/>
      </c>
      <c r="G71" s="1770" t="s">
        <v>4131</v>
      </c>
      <c r="H71" s="1772"/>
      <c r="I71" s="1772"/>
      <c r="J71" s="1772"/>
      <c r="K71" s="1772"/>
      <c r="L71" s="1781"/>
      <c r="M71" s="1774" t="s">
        <v>4127</v>
      </c>
      <c r="N71" s="1775" t="s">
        <v>4128</v>
      </c>
      <c r="O71" s="1776" t="s">
        <v>4129</v>
      </c>
      <c r="P71" s="1774" t="s">
        <v>4229</v>
      </c>
      <c r="Q71" s="1777"/>
      <c r="R71" s="1778"/>
      <c r="S71" s="1777"/>
      <c r="T71" s="1778"/>
      <c r="U71" s="1763"/>
    </row>
    <row r="72">
      <c r="A72" s="1737"/>
      <c r="B72" s="1767">
        <f>IFERROR(VLOOKUP(C72,'字段信息'!A:C,3,),"")</f>
      </c>
      <c r="C72" s="1768" t="s">
        <v>4230</v>
      </c>
      <c r="D72" s="1769">
        <f>IFERROR(VLOOKUP(C72,'字段信息'!A:C,2,),"")</f>
      </c>
      <c r="E72" s="1770"/>
      <c r="F72" s="1771">
        <f t="shared" si="0"/>
      </c>
      <c r="G72" s="1770" t="s">
        <v>4131</v>
      </c>
      <c r="H72" s="1772"/>
      <c r="I72" s="1772"/>
      <c r="J72" s="1772"/>
      <c r="K72" s="1772"/>
      <c r="L72" s="1781"/>
      <c r="M72" s="1774" t="s">
        <v>4127</v>
      </c>
      <c r="N72" s="1775" t="s">
        <v>4128</v>
      </c>
      <c r="O72" s="1776" t="s">
        <v>4129</v>
      </c>
      <c r="P72" s="1774" t="s">
        <v>4231</v>
      </c>
      <c r="Q72" s="1777"/>
      <c r="R72" s="1778"/>
      <c r="S72" s="1777"/>
      <c r="T72" s="1778"/>
      <c r="U72" s="1763"/>
    </row>
    <row r="73">
      <c r="A73" s="1737"/>
      <c r="B73" s="1767">
        <f>IFERROR(VLOOKUP(C73,'字段信息'!A:C,3,),"")</f>
      </c>
      <c r="C73" s="1768" t="s">
        <v>4232</v>
      </c>
      <c r="D73" s="1769">
        <f>IFERROR(VLOOKUP(C73,'字段信息'!A:C,2,),"")</f>
      </c>
      <c r="E73" s="1770"/>
      <c r="F73" s="1771">
        <f t="shared" si="0"/>
      </c>
      <c r="G73" s="1770" t="s">
        <v>4131</v>
      </c>
      <c r="H73" s="1772"/>
      <c r="I73" s="1772"/>
      <c r="J73" s="1772"/>
      <c r="K73" s="1772"/>
      <c r="L73" s="1781"/>
      <c r="M73" s="1774" t="s">
        <v>4127</v>
      </c>
      <c r="N73" s="1775" t="s">
        <v>4128</v>
      </c>
      <c r="O73" s="1776" t="s">
        <v>4129</v>
      </c>
      <c r="P73" s="1774" t="s">
        <v>4233</v>
      </c>
      <c r="Q73" s="1777"/>
      <c r="R73" s="1778"/>
      <c r="S73" s="1777"/>
      <c r="T73" s="1778"/>
      <c r="U73" s="1763"/>
    </row>
    <row r="74">
      <c r="A74" s="1737"/>
      <c r="B74" s="1767">
        <f>IFERROR(VLOOKUP(C74,'字段信息'!A:C,3,),"")</f>
      </c>
      <c r="C74" s="1768" t="s">
        <v>4234</v>
      </c>
      <c r="D74" s="1769">
        <f>IFERROR(VLOOKUP(C74,'字段信息'!A:C,2,),"")</f>
      </c>
      <c r="E74" s="1770"/>
      <c r="F74" s="1771">
        <f t="shared" si="0"/>
      </c>
      <c r="G74" s="1770" t="s">
        <v>4131</v>
      </c>
      <c r="H74" s="1772"/>
      <c r="I74" s="1772"/>
      <c r="J74" s="1772"/>
      <c r="K74" s="1772"/>
      <c r="L74" s="1781"/>
      <c r="M74" s="1774" t="s">
        <v>4127</v>
      </c>
      <c r="N74" s="1775" t="s">
        <v>4128</v>
      </c>
      <c r="O74" s="1776" t="s">
        <v>4129</v>
      </c>
      <c r="P74" s="1774" t="s">
        <v>4235</v>
      </c>
      <c r="Q74" s="1777"/>
      <c r="R74" s="1778"/>
      <c r="S74" s="1777"/>
      <c r="T74" s="1778"/>
      <c r="U74" s="1763"/>
    </row>
    <row r="75">
      <c r="A75" s="1737"/>
      <c r="B75" s="1767">
        <f>IFERROR(VLOOKUP(C75,'字段信息'!A:C,3,),"")</f>
      </c>
      <c r="C75" s="1768" t="s">
        <v>4236</v>
      </c>
      <c r="D75" s="1769">
        <f>IFERROR(VLOOKUP(C75,'字段信息'!A:C,2,),"")</f>
      </c>
      <c r="E75" s="1770"/>
      <c r="F75" s="1771">
        <f t="shared" si="0"/>
      </c>
      <c r="G75" s="1770" t="s">
        <v>4131</v>
      </c>
      <c r="H75" s="1772"/>
      <c r="I75" s="1772"/>
      <c r="J75" s="1772"/>
      <c r="K75" s="1772"/>
      <c r="L75" s="1781"/>
      <c r="M75" s="1774" t="s">
        <v>4127</v>
      </c>
      <c r="N75" s="1775" t="s">
        <v>4128</v>
      </c>
      <c r="O75" s="1776" t="s">
        <v>4129</v>
      </c>
      <c r="P75" s="1774" t="s">
        <v>4237</v>
      </c>
      <c r="Q75" s="1777"/>
      <c r="R75" s="1778"/>
      <c r="S75" s="1777"/>
      <c r="T75" s="1778"/>
      <c r="U75" s="1763"/>
    </row>
    <row r="76">
      <c r="A76" s="1737"/>
      <c r="B76" s="1767">
        <f>IFERROR(VLOOKUP(C76,'字段信息'!A:C,3,),"")</f>
      </c>
      <c r="C76" s="1768" t="s">
        <v>4238</v>
      </c>
      <c r="D76" s="1769">
        <f>IFERROR(VLOOKUP(C76,'字段信息'!A:C,2,),"")</f>
      </c>
      <c r="E76" s="1770"/>
      <c r="F76" s="1771">
        <f t="shared" si="0"/>
      </c>
      <c r="G76" s="1770" t="s">
        <v>4131</v>
      </c>
      <c r="H76" s="1772"/>
      <c r="I76" s="1772"/>
      <c r="J76" s="1772"/>
      <c r="K76" s="1772"/>
      <c r="L76" s="1781"/>
      <c r="M76" s="1774" t="s">
        <v>4127</v>
      </c>
      <c r="N76" s="1775" t="s">
        <v>4128</v>
      </c>
      <c r="O76" s="1776" t="s">
        <v>4129</v>
      </c>
      <c r="P76" s="1768" t="s">
        <v>4238</v>
      </c>
      <c r="Q76" s="1777"/>
      <c r="R76" s="1778"/>
      <c r="S76" s="1777"/>
      <c r="T76" s="1778"/>
      <c r="U76" s="1763"/>
    </row>
    <row r="77">
      <c r="A77" s="1737"/>
      <c r="B77" s="1767">
        <f>IFERROR(VLOOKUP(C77,'字段信息'!A:C,3,),"")</f>
      </c>
      <c r="C77" s="1768" t="s">
        <v>4239</v>
      </c>
      <c r="D77" s="1769">
        <f>IFERROR(VLOOKUP(C77,'字段信息'!A:C,2,),"")</f>
      </c>
      <c r="E77" s="1770"/>
      <c r="F77" s="1771">
        <f t="shared" si="0"/>
      </c>
      <c r="G77" s="1770" t="s">
        <v>4131</v>
      </c>
      <c r="H77" s="1772"/>
      <c r="I77" s="1772"/>
      <c r="J77" s="1772"/>
      <c r="K77" s="1772"/>
      <c r="L77" s="1781"/>
      <c r="M77" s="1774" t="s">
        <v>4127</v>
      </c>
      <c r="N77" s="1775" t="s">
        <v>4128</v>
      </c>
      <c r="O77" s="1776" t="s">
        <v>4129</v>
      </c>
      <c r="P77" s="1768" t="s">
        <v>4239</v>
      </c>
      <c r="Q77" s="1777"/>
      <c r="R77" s="1778"/>
      <c r="S77" s="1777"/>
      <c r="T77" s="1778"/>
      <c r="U77" s="1763"/>
    </row>
    <row r="78">
      <c r="A78" s="1737"/>
      <c r="B78" s="1767">
        <f>IFERROR(VLOOKUP(C78,'字段信息'!A:C,3,),"")</f>
      </c>
      <c r="C78" s="1806" t="s">
        <v>4240</v>
      </c>
      <c r="D78" s="1769">
        <f>IFERROR(VLOOKUP(C78,'字段信息'!A:C,2,),"")</f>
      </c>
      <c r="E78" s="1770"/>
      <c r="F78" s="1771">
        <f t="shared" si="0"/>
      </c>
      <c r="G78" s="1770" t="s">
        <v>4131</v>
      </c>
      <c r="H78" s="1772"/>
      <c r="I78" s="1772"/>
      <c r="J78" s="1772"/>
      <c r="K78" s="1772"/>
      <c r="L78" s="1781"/>
      <c r="M78" s="1774" t="s">
        <v>4127</v>
      </c>
      <c r="N78" s="1775" t="s">
        <v>4128</v>
      </c>
      <c r="O78" s="1776" t="s">
        <v>4129</v>
      </c>
      <c r="P78" s="1806" t="s">
        <v>4240</v>
      </c>
      <c r="Q78" s="1777"/>
      <c r="R78" s="1778"/>
      <c r="S78" s="1777"/>
      <c r="T78" s="1778"/>
      <c r="U78" s="1763"/>
    </row>
    <row r="79">
      <c r="A79" s="1737"/>
      <c r="B79" s="1767">
        <f>IFERROR(VLOOKUP(C79,'字段信息'!A:C,3,),"")</f>
      </c>
      <c r="C79" s="1806" t="s">
        <v>4241</v>
      </c>
      <c r="D79" s="1769">
        <f>IFERROR(VLOOKUP(C79,'字段信息'!A:C,2,),"")</f>
      </c>
      <c r="E79" s="1770"/>
      <c r="F79" s="1771">
        <f t="shared" si="0"/>
      </c>
      <c r="G79" s="1770" t="s">
        <v>4131</v>
      </c>
      <c r="H79" s="1772"/>
      <c r="I79" s="1772"/>
      <c r="J79" s="1772"/>
      <c r="K79" s="1772"/>
      <c r="L79" s="1781"/>
      <c r="M79" s="1774" t="s">
        <v>4127</v>
      </c>
      <c r="N79" s="1775" t="s">
        <v>4128</v>
      </c>
      <c r="O79" s="1776" t="s">
        <v>4129</v>
      </c>
      <c r="P79" s="1806" t="s">
        <v>4241</v>
      </c>
      <c r="Q79" s="1777"/>
      <c r="R79" s="1778"/>
      <c r="S79" s="1777"/>
      <c r="T79" s="1778"/>
      <c r="U79" s="1763"/>
    </row>
    <row r="80">
      <c r="A80" s="1737"/>
      <c r="B80" s="1767">
        <f>IFERROR(VLOOKUP(C80,'字段信息'!A:C,3,),"")</f>
      </c>
      <c r="C80" s="1806" t="s">
        <v>4242</v>
      </c>
      <c r="D80" s="1769">
        <f>IFERROR(VLOOKUP(C80,'字段信息'!A:C,2,),"")</f>
      </c>
      <c r="E80" s="1770"/>
      <c r="F80" s="1771">
        <f t="shared" si="0"/>
      </c>
      <c r="G80" s="1770" t="s">
        <v>4131</v>
      </c>
      <c r="H80" s="1772"/>
      <c r="I80" s="1772"/>
      <c r="J80" s="1772"/>
      <c r="K80" s="1772"/>
      <c r="L80" s="1781"/>
      <c r="M80" s="1774" t="s">
        <v>4127</v>
      </c>
      <c r="N80" s="1775" t="s">
        <v>4128</v>
      </c>
      <c r="O80" s="1776" t="s">
        <v>4129</v>
      </c>
      <c r="P80" s="1806" t="s">
        <v>4242</v>
      </c>
      <c r="Q80" s="1777"/>
      <c r="R80" s="1778"/>
      <c r="S80" s="1777"/>
      <c r="T80" s="1778"/>
      <c r="U80" s="1763"/>
    </row>
    <row r="81">
      <c r="A81" s="1737"/>
      <c r="B81" s="1767">
        <f>IFERROR(VLOOKUP(C81,'字段信息'!A:C,3,),"")</f>
      </c>
      <c r="C81" s="1806" t="s">
        <v>4243</v>
      </c>
      <c r="D81" s="1769">
        <f>IFERROR(VLOOKUP(C81,'字段信息'!A:C,2,),"")</f>
      </c>
      <c r="E81" s="1770"/>
      <c r="F81" s="1771">
        <f t="shared" si="0"/>
      </c>
      <c r="G81" s="1770" t="s">
        <v>4131</v>
      </c>
      <c r="H81" s="1772"/>
      <c r="I81" s="1772"/>
      <c r="J81" s="1772"/>
      <c r="K81" s="1772"/>
      <c r="L81" s="1781"/>
      <c r="M81" s="1774" t="s">
        <v>4127</v>
      </c>
      <c r="N81" s="1775" t="s">
        <v>4128</v>
      </c>
      <c r="O81" s="1776" t="s">
        <v>4129</v>
      </c>
      <c r="P81" s="1806" t="s">
        <v>4243</v>
      </c>
      <c r="Q81" s="1777"/>
      <c r="R81" s="1778"/>
      <c r="S81" s="1777"/>
      <c r="T81" s="1778"/>
      <c r="U81" s="1763"/>
    </row>
    <row r="82">
      <c r="A82" s="1737"/>
      <c r="B82" s="1767">
        <f>IFERROR(VLOOKUP(C82,'字段信息'!A:C,3,),"")</f>
      </c>
      <c r="C82" s="1806" t="s">
        <v>4244</v>
      </c>
      <c r="D82" s="1769">
        <f>IFERROR(VLOOKUP(C82,'字段信息'!A:C,2,),"")</f>
      </c>
      <c r="E82" s="1770"/>
      <c r="F82" s="1771">
        <f t="shared" si="0"/>
      </c>
      <c r="G82" s="1770" t="s">
        <v>4131</v>
      </c>
      <c r="H82" s="1772"/>
      <c r="I82" s="1772"/>
      <c r="J82" s="1772"/>
      <c r="K82" s="1772"/>
      <c r="L82" s="1781"/>
      <c r="M82" s="1774" t="s">
        <v>4127</v>
      </c>
      <c r="N82" s="1775" t="s">
        <v>4128</v>
      </c>
      <c r="O82" s="1776" t="s">
        <v>4129</v>
      </c>
      <c r="P82" s="1806" t="s">
        <v>4244</v>
      </c>
      <c r="Q82" s="1777"/>
      <c r="R82" s="1778"/>
      <c r="S82" s="1777"/>
      <c r="T82" s="1778"/>
      <c r="U82" s="1763"/>
    </row>
    <row r="83">
      <c r="A83" s="1737"/>
      <c r="B83" s="1767">
        <f>IFERROR(VLOOKUP(C83,'字段信息'!A:C,3,),"")</f>
      </c>
      <c r="C83" s="1806" t="s">
        <v>4245</v>
      </c>
      <c r="D83" s="1769">
        <f>IFERROR(VLOOKUP(C83,'字段信息'!A:C,2,),"")</f>
      </c>
      <c r="E83" s="1770"/>
      <c r="F83" s="1771">
        <f t="shared" si="0"/>
      </c>
      <c r="G83" s="1770" t="s">
        <v>4131</v>
      </c>
      <c r="H83" s="1772"/>
      <c r="I83" s="1772"/>
      <c r="J83" s="1772"/>
      <c r="K83" s="1772"/>
      <c r="L83" s="1781"/>
      <c r="M83" s="1774" t="s">
        <v>4127</v>
      </c>
      <c r="N83" s="1775" t="s">
        <v>4128</v>
      </c>
      <c r="O83" s="1776" t="s">
        <v>4129</v>
      </c>
      <c r="P83" s="1806" t="s">
        <v>4245</v>
      </c>
      <c r="Q83" s="1777"/>
      <c r="R83" s="1778"/>
      <c r="S83" s="1777"/>
      <c r="T83" s="1778"/>
      <c r="U83" s="1763"/>
    </row>
    <row r="84">
      <c r="A84" s="1737"/>
      <c r="B84" s="1767">
        <f>IFERROR(VLOOKUP(C84,'字段信息'!A:C,3,),"")</f>
      </c>
      <c r="C84" s="1806" t="s">
        <v>4246</v>
      </c>
      <c r="D84" s="1769">
        <f>IFERROR(VLOOKUP(C84,'字段信息'!A:C,2,),"")</f>
      </c>
      <c r="E84" s="1770"/>
      <c r="F84" s="1771">
        <f t="shared" si="0"/>
      </c>
      <c r="G84" s="1770" t="s">
        <v>4131</v>
      </c>
      <c r="H84" s="1772"/>
      <c r="I84" s="1772"/>
      <c r="J84" s="1772"/>
      <c r="K84" s="1772"/>
      <c r="L84" s="1781"/>
      <c r="M84" s="1774" t="s">
        <v>4127</v>
      </c>
      <c r="N84" s="1775" t="s">
        <v>4128</v>
      </c>
      <c r="O84" s="1776" t="s">
        <v>4129</v>
      </c>
      <c r="P84" s="1806" t="s">
        <v>4246</v>
      </c>
      <c r="Q84" s="1777"/>
      <c r="R84" s="1778"/>
      <c r="S84" s="1777"/>
      <c r="T84" s="1778"/>
      <c r="U84" s="1763"/>
    </row>
    <row r="85">
      <c r="A85" s="1737"/>
      <c r="B85" s="1767">
        <f>IFERROR(VLOOKUP(C85,'字段信息'!A:C,3,),"")</f>
      </c>
      <c r="C85" s="1806" t="s">
        <v>4247</v>
      </c>
      <c r="D85" s="1769">
        <f>IFERROR(VLOOKUP(C85,'字段信息'!A:C,2,),"")</f>
      </c>
      <c r="E85" s="1770"/>
      <c r="F85" s="1771">
        <f t="shared" si="0"/>
      </c>
      <c r="G85" s="1770" t="s">
        <v>4131</v>
      </c>
      <c r="H85" s="1772"/>
      <c r="I85" s="1772"/>
      <c r="J85" s="1772"/>
      <c r="K85" s="1772"/>
      <c r="L85" s="1781"/>
      <c r="M85" s="1774" t="s">
        <v>4127</v>
      </c>
      <c r="N85" s="1775" t="s">
        <v>4128</v>
      </c>
      <c r="O85" s="1776" t="s">
        <v>4129</v>
      </c>
      <c r="P85" s="1806" t="s">
        <v>4247</v>
      </c>
      <c r="Q85" s="1777"/>
      <c r="R85" s="1778"/>
      <c r="S85" s="1777"/>
      <c r="T85" s="1778"/>
      <c r="U85" s="1763"/>
    </row>
    <row r="86">
      <c r="A86" s="1737"/>
      <c r="B86" s="1767">
        <f>IFERROR(VLOOKUP(C86,'字段信息'!A:C,3,),"")</f>
      </c>
      <c r="C86" s="1806" t="s">
        <v>4248</v>
      </c>
      <c r="D86" s="1769">
        <f>IFERROR(VLOOKUP(C86,'字段信息'!A:C,2,),"")</f>
      </c>
      <c r="E86" s="1770"/>
      <c r="F86" s="1771">
        <f t="shared" si="0"/>
      </c>
      <c r="G86" s="1770" t="s">
        <v>4131</v>
      </c>
      <c r="H86" s="1772"/>
      <c r="I86" s="1772"/>
      <c r="J86" s="1772"/>
      <c r="K86" s="1772"/>
      <c r="L86" s="1781"/>
      <c r="M86" s="1774" t="s">
        <v>4127</v>
      </c>
      <c r="N86" s="1775" t="s">
        <v>4128</v>
      </c>
      <c r="O86" s="1776" t="s">
        <v>4129</v>
      </c>
      <c r="P86" s="1806" t="s">
        <v>4248</v>
      </c>
      <c r="Q86" s="1777"/>
      <c r="R86" s="1778"/>
      <c r="S86" s="1777"/>
      <c r="T86" s="1778"/>
      <c r="U86" s="1763"/>
    </row>
    <row r="87">
      <c r="A87" s="1737"/>
      <c r="B87" s="1767">
        <f>IFERROR(VLOOKUP(C87,'字段信息'!A:C,3,),"")</f>
      </c>
      <c r="C87" s="1806" t="s">
        <v>4249</v>
      </c>
      <c r="D87" s="1769">
        <f>IFERROR(VLOOKUP(C87,'字段信息'!A:C,2,),"")</f>
      </c>
      <c r="E87" s="1770"/>
      <c r="F87" s="1771">
        <f t="shared" si="0"/>
      </c>
      <c r="G87" s="1770" t="s">
        <v>4131</v>
      </c>
      <c r="H87" s="1772"/>
      <c r="I87" s="1772"/>
      <c r="J87" s="1772"/>
      <c r="K87" s="1772"/>
      <c r="L87" s="1781"/>
      <c r="M87" s="1774" t="s">
        <v>4127</v>
      </c>
      <c r="N87" s="1775" t="s">
        <v>4128</v>
      </c>
      <c r="O87" s="1776" t="s">
        <v>4129</v>
      </c>
      <c r="P87" s="1806" t="s">
        <v>4249</v>
      </c>
      <c r="Q87" s="1777"/>
      <c r="R87" s="1778"/>
      <c r="S87" s="1777"/>
      <c r="T87" s="1778"/>
      <c r="U87" s="1763"/>
    </row>
    <row r="88">
      <c r="A88" s="1737"/>
      <c r="B88" s="1767">
        <f>IFERROR(VLOOKUP(C88,'字段信息'!A:C,3,),"")</f>
      </c>
      <c r="C88" s="1806" t="s">
        <v>4250</v>
      </c>
      <c r="D88" s="1769">
        <f>IFERROR(VLOOKUP(C88,'字段信息'!A:C,2,),"")</f>
      </c>
      <c r="E88" s="1770"/>
      <c r="F88" s="1771">
        <f t="shared" si="0"/>
      </c>
      <c r="G88" s="1770" t="s">
        <v>4131</v>
      </c>
      <c r="H88" s="1772"/>
      <c r="I88" s="1772"/>
      <c r="J88" s="1772"/>
      <c r="K88" s="1772"/>
      <c r="L88" s="1781"/>
      <c r="M88" s="1774" t="s">
        <v>4127</v>
      </c>
      <c r="N88" s="1775" t="s">
        <v>4128</v>
      </c>
      <c r="O88" s="1776" t="s">
        <v>4129</v>
      </c>
      <c r="P88" s="1806" t="s">
        <v>4250</v>
      </c>
      <c r="Q88" s="1777"/>
      <c r="R88" s="1778"/>
      <c r="S88" s="1777"/>
      <c r="T88" s="1778"/>
      <c r="U88" s="1763"/>
    </row>
    <row r="89">
      <c r="A89" s="1737"/>
      <c r="B89" s="1767">
        <f>IFERROR(VLOOKUP(C89,'字段信息'!A:C,3,),"")</f>
      </c>
      <c r="C89" s="1806" t="s">
        <v>4251</v>
      </c>
      <c r="D89" s="1769">
        <f>IFERROR(VLOOKUP(C89,'字段信息'!A:C,2,),"")</f>
      </c>
      <c r="E89" s="1770"/>
      <c r="F89" s="1771">
        <f t="shared" si="0"/>
      </c>
      <c r="G89" s="1770" t="s">
        <v>4131</v>
      </c>
      <c r="H89" s="1772"/>
      <c r="I89" s="1772"/>
      <c r="J89" s="1772"/>
      <c r="K89" s="1772"/>
      <c r="L89" s="1781"/>
      <c r="M89" s="1774" t="s">
        <v>4127</v>
      </c>
      <c r="N89" s="1775" t="s">
        <v>4128</v>
      </c>
      <c r="O89" s="1776" t="s">
        <v>4129</v>
      </c>
      <c r="P89" s="1806" t="s">
        <v>4251</v>
      </c>
      <c r="Q89" s="1777"/>
      <c r="R89" s="1778"/>
      <c r="S89" s="1777"/>
      <c r="T89" s="1778"/>
      <c r="U89" s="1763"/>
    </row>
    <row r="90">
      <c r="A90" s="1737"/>
      <c r="B90" s="1767">
        <f>IFERROR(VLOOKUP(C90,'字段信息'!A:C,3,),"")</f>
      </c>
      <c r="C90" s="1806" t="s">
        <v>4252</v>
      </c>
      <c r="D90" s="1769">
        <f>IFERROR(VLOOKUP(C90,'字段信息'!A:C,2,),"")</f>
      </c>
      <c r="E90" s="1770"/>
      <c r="F90" s="1771">
        <f t="shared" si="0"/>
      </c>
      <c r="G90" s="1770" t="s">
        <v>4131</v>
      </c>
      <c r="H90" s="1772"/>
      <c r="I90" s="1772"/>
      <c r="J90" s="1772"/>
      <c r="K90" s="1772"/>
      <c r="L90" s="1781"/>
      <c r="M90" s="1774" t="s">
        <v>4127</v>
      </c>
      <c r="N90" s="1775" t="s">
        <v>4128</v>
      </c>
      <c r="O90" s="1776" t="s">
        <v>4129</v>
      </c>
      <c r="P90" s="1806" t="s">
        <v>4252</v>
      </c>
      <c r="Q90" s="1777"/>
      <c r="R90" s="1778"/>
      <c r="S90" s="1777"/>
      <c r="T90" s="1778"/>
      <c r="U90" s="1763"/>
    </row>
    <row r="91">
      <c r="A91" s="1737"/>
      <c r="B91" s="1767">
        <f>IFERROR(VLOOKUP(C91,'字段信息'!A:C,3,),"")</f>
      </c>
      <c r="C91" s="1806" t="s">
        <v>4253</v>
      </c>
      <c r="D91" s="1769">
        <f>IFERROR(VLOOKUP(C91,'字段信息'!A:C,2,),"")</f>
      </c>
      <c r="E91" s="1770"/>
      <c r="F91" s="1771">
        <f t="shared" si="0"/>
      </c>
      <c r="G91" s="1770" t="s">
        <v>4131</v>
      </c>
      <c r="H91" s="1772"/>
      <c r="I91" s="1772"/>
      <c r="J91" s="1772"/>
      <c r="K91" s="1772"/>
      <c r="L91" s="1781"/>
      <c r="M91" s="1774" t="s">
        <v>4127</v>
      </c>
      <c r="N91" s="1775" t="s">
        <v>4128</v>
      </c>
      <c r="O91" s="1776" t="s">
        <v>4129</v>
      </c>
      <c r="P91" s="1806" t="s">
        <v>4253</v>
      </c>
      <c r="Q91" s="1777"/>
      <c r="R91" s="1778"/>
      <c r="S91" s="1777"/>
      <c r="T91" s="1778"/>
      <c r="U91" s="1763"/>
    </row>
    <row r="92">
      <c r="A92" s="1737"/>
      <c r="B92" s="1767">
        <f>IFERROR(VLOOKUP(C92,'字段信息'!A:C,3,),"")</f>
      </c>
      <c r="C92" s="1806" t="s">
        <v>4254</v>
      </c>
      <c r="D92" s="1769">
        <f>IFERROR(VLOOKUP(C92,'字段信息'!A:C,2,),"")</f>
      </c>
      <c r="E92" s="1770"/>
      <c r="F92" s="1771">
        <f t="shared" si="0"/>
      </c>
      <c r="G92" s="1770" t="s">
        <v>4131</v>
      </c>
      <c r="H92" s="1772"/>
      <c r="I92" s="1772"/>
      <c r="J92" s="1772"/>
      <c r="K92" s="1772"/>
      <c r="L92" s="1781"/>
      <c r="M92" s="1774" t="s">
        <v>4127</v>
      </c>
      <c r="N92" s="1775" t="s">
        <v>4128</v>
      </c>
      <c r="O92" s="1776" t="s">
        <v>4129</v>
      </c>
      <c r="P92" s="1806" t="s">
        <v>4254</v>
      </c>
      <c r="Q92" s="1777"/>
      <c r="R92" s="1778"/>
      <c r="S92" s="1777"/>
      <c r="T92" s="1778"/>
      <c r="U92" s="1763"/>
    </row>
    <row r="93">
      <c r="A93" s="1737"/>
      <c r="B93" s="1767">
        <f>IFERROR(VLOOKUP(C93,'字段信息'!A:C,3,),"")</f>
      </c>
      <c r="C93" s="1806" t="s">
        <v>4255</v>
      </c>
      <c r="D93" s="1769">
        <f>IFERROR(VLOOKUP(C93,'字段信息'!A:C,2,),"")</f>
      </c>
      <c r="E93" s="1770"/>
      <c r="F93" s="1771">
        <f t="shared" si="0"/>
      </c>
      <c r="G93" s="1770" t="s">
        <v>4131</v>
      </c>
      <c r="H93" s="1772"/>
      <c r="I93" s="1772"/>
      <c r="J93" s="1772"/>
      <c r="K93" s="1772"/>
      <c r="L93" s="1781"/>
      <c r="M93" s="1774" t="s">
        <v>4127</v>
      </c>
      <c r="N93" s="1775" t="s">
        <v>4128</v>
      </c>
      <c r="O93" s="1776" t="s">
        <v>4129</v>
      </c>
      <c r="P93" s="1806" t="s">
        <v>4255</v>
      </c>
      <c r="Q93" s="1777"/>
      <c r="R93" s="1778"/>
      <c r="S93" s="1777"/>
      <c r="T93" s="1778"/>
      <c r="U93" s="1763"/>
    </row>
    <row r="94">
      <c r="A94" s="1737"/>
      <c r="B94" s="1767">
        <f>IFERROR(VLOOKUP(C94,'字段信息'!A:C,3,),"")</f>
      </c>
      <c r="C94" s="1806" t="s">
        <v>4256</v>
      </c>
      <c r="D94" s="1769">
        <f>IFERROR(VLOOKUP(C94,'字段信息'!A:C,2,),"")</f>
      </c>
      <c r="E94" s="1770"/>
      <c r="F94" s="1771">
        <f t="shared" si="0"/>
      </c>
      <c r="G94" s="1770" t="s">
        <v>4131</v>
      </c>
      <c r="H94" s="1772"/>
      <c r="I94" s="1772"/>
      <c r="J94" s="1772"/>
      <c r="K94" s="1772"/>
      <c r="L94" s="1781"/>
      <c r="M94" s="1774" t="s">
        <v>4127</v>
      </c>
      <c r="N94" s="1775" t="s">
        <v>4128</v>
      </c>
      <c r="O94" s="1776" t="s">
        <v>4129</v>
      </c>
      <c r="P94" s="1806" t="s">
        <v>4256</v>
      </c>
      <c r="Q94" s="1777"/>
      <c r="R94" s="1778"/>
      <c r="S94" s="1777"/>
      <c r="T94" s="1778"/>
      <c r="U94" s="1763"/>
    </row>
    <row r="95">
      <c r="A95" s="1737"/>
      <c r="B95" s="1767">
        <f>IFERROR(VLOOKUP(C95,'字段信息'!A:C,3,),"")</f>
      </c>
      <c r="C95" s="1789" t="s">
        <v>4257</v>
      </c>
      <c r="D95" s="1769" t="s">
        <v>4258</v>
      </c>
      <c r="E95" s="1770"/>
      <c r="F95" s="1771">
        <f t="shared" si="0"/>
      </c>
      <c r="G95" s="1770" t="s">
        <v>4131</v>
      </c>
      <c r="H95" s="1772"/>
      <c r="I95" s="1772"/>
      <c r="J95" s="1772"/>
      <c r="K95" s="1772"/>
      <c r="L95" s="1781"/>
      <c r="M95" s="1774" t="s">
        <v>4127</v>
      </c>
      <c r="N95" s="1775" t="s">
        <v>4128</v>
      </c>
      <c r="O95" s="1776" t="s">
        <v>4129</v>
      </c>
      <c r="P95" s="1789" t="s">
        <v>4257</v>
      </c>
      <c r="Q95" s="1777"/>
      <c r="R95" s="1778"/>
      <c r="S95" s="1777"/>
      <c r="T95" s="1778"/>
      <c r="U95" s="1763"/>
    </row>
    <row r="96">
      <c r="A96" s="1737"/>
      <c r="B96" s="1767">
        <f>IFERROR(VLOOKUP(C96,'字段信息'!A:C,3,),"")</f>
      </c>
      <c r="C96" s="1780" t="s">
        <v>4259</v>
      </c>
      <c r="D96" s="1786" t="s">
        <v>4258</v>
      </c>
      <c r="E96" s="1770"/>
      <c r="F96" s="1771">
        <f t="shared" si="0"/>
      </c>
      <c r="G96" s="1770" t="s">
        <v>4131</v>
      </c>
      <c r="H96" s="1772"/>
      <c r="I96" s="1772"/>
      <c r="J96" s="1772"/>
      <c r="K96" s="1772"/>
      <c r="L96" s="1781"/>
      <c r="M96" s="1774" t="s">
        <v>4127</v>
      </c>
      <c r="N96" s="1775" t="s">
        <v>4128</v>
      </c>
      <c r="O96" s="1776" t="s">
        <v>4129</v>
      </c>
      <c r="P96" s="1780" t="s">
        <v>4259</v>
      </c>
      <c r="Q96" s="1777"/>
      <c r="R96" s="1778"/>
      <c r="S96" s="1777"/>
      <c r="T96" s="1778"/>
      <c r="U96" s="1763"/>
    </row>
    <row r="97">
      <c r="A97" s="1737"/>
      <c r="B97" s="1767">
        <f>IFERROR(VLOOKUP(C97,'字段信息'!A:C,3,),"")</f>
      </c>
      <c r="C97" s="1780" t="s">
        <v>4260</v>
      </c>
      <c r="D97" s="1786" t="s">
        <v>4258</v>
      </c>
      <c r="E97" s="1770"/>
      <c r="F97" s="1771">
        <f t="shared" si="0"/>
      </c>
      <c r="G97" s="1770" t="s">
        <v>4131</v>
      </c>
      <c r="H97" s="1772"/>
      <c r="I97" s="1772"/>
      <c r="J97" s="1772"/>
      <c r="K97" s="1772"/>
      <c r="L97" s="1781"/>
      <c r="M97" s="1774" t="s">
        <v>4127</v>
      </c>
      <c r="N97" s="1775" t="s">
        <v>4128</v>
      </c>
      <c r="O97" s="1776" t="s">
        <v>4129</v>
      </c>
      <c r="P97" s="1789" t="s">
        <v>4260</v>
      </c>
      <c r="Q97" s="1777"/>
      <c r="R97" s="1778"/>
      <c r="S97" s="1777"/>
      <c r="T97" s="1778"/>
      <c r="U97" s="1763"/>
    </row>
    <row r="98">
      <c r="A98" s="1737"/>
      <c r="B98" s="1767">
        <f>IFERROR(VLOOKUP(C98,'字段信息'!A:C,3,),"")</f>
      </c>
      <c r="C98" s="1780" t="s">
        <v>4261</v>
      </c>
      <c r="D98" s="1786" t="s">
        <v>4258</v>
      </c>
      <c r="E98" s="1770"/>
      <c r="F98" s="1771">
        <f t="shared" si="0"/>
      </c>
      <c r="G98" s="1770" t="s">
        <v>4131</v>
      </c>
      <c r="H98" s="1772"/>
      <c r="I98" s="1772"/>
      <c r="J98" s="1772"/>
      <c r="K98" s="1772"/>
      <c r="L98" s="1781"/>
      <c r="M98" s="1774" t="s">
        <v>4127</v>
      </c>
      <c r="N98" s="1775" t="s">
        <v>4128</v>
      </c>
      <c r="O98" s="1776" t="s">
        <v>4129</v>
      </c>
      <c r="P98" s="1780" t="s">
        <v>4261</v>
      </c>
      <c r="Q98" s="1777"/>
      <c r="R98" s="1778"/>
      <c r="S98" s="1777"/>
      <c r="T98" s="1778"/>
      <c r="U98" s="1763"/>
    </row>
    <row r="99">
      <c r="A99" s="1737"/>
      <c r="B99" s="1767">
        <f>IFERROR(VLOOKUP(C99,'字段信息'!A:C,3,),"")</f>
      </c>
      <c r="C99" s="1780" t="s">
        <v>4262</v>
      </c>
      <c r="D99" s="1786" t="s">
        <v>4258</v>
      </c>
      <c r="E99" s="1770"/>
      <c r="F99" s="1771">
        <f t="shared" si="0"/>
      </c>
      <c r="G99" s="1770" t="s">
        <v>4131</v>
      </c>
      <c r="H99" s="1772"/>
      <c r="I99" s="1772"/>
      <c r="J99" s="1772"/>
      <c r="K99" s="1772"/>
      <c r="L99" s="1781"/>
      <c r="M99" s="1774" t="s">
        <v>4127</v>
      </c>
      <c r="N99" s="1775" t="s">
        <v>4128</v>
      </c>
      <c r="O99" s="1776" t="s">
        <v>4129</v>
      </c>
      <c r="P99" s="1789" t="s">
        <v>4262</v>
      </c>
      <c r="Q99" s="1777"/>
      <c r="R99" s="1778"/>
      <c r="S99" s="1777"/>
      <c r="T99" s="1778"/>
      <c r="U99" s="1763"/>
    </row>
    <row r="100">
      <c r="A100" s="1737"/>
      <c r="B100" s="1767">
        <f>IFERROR(VLOOKUP(C100,'字段信息'!A:C,3,),"")</f>
      </c>
      <c r="C100" s="1780" t="s">
        <v>4263</v>
      </c>
      <c r="D100" s="1786" t="s">
        <v>4258</v>
      </c>
      <c r="E100" s="1770"/>
      <c r="F100" s="1771">
        <f t="shared" si="0"/>
      </c>
      <c r="G100" s="1770" t="s">
        <v>4131</v>
      </c>
      <c r="H100" s="1772"/>
      <c r="I100" s="1772"/>
      <c r="J100" s="1772"/>
      <c r="K100" s="1772"/>
      <c r="L100" s="1781"/>
      <c r="M100" s="1774" t="s">
        <v>4127</v>
      </c>
      <c r="N100" s="1775" t="s">
        <v>4128</v>
      </c>
      <c r="O100" s="1776" t="s">
        <v>4129</v>
      </c>
      <c r="P100" s="1780" t="s">
        <v>4263</v>
      </c>
      <c r="Q100" s="1777"/>
      <c r="R100" s="1778"/>
      <c r="S100" s="1777"/>
      <c r="T100" s="1778"/>
      <c r="U100" s="1763"/>
    </row>
    <row r="101">
      <c r="A101" s="1737"/>
      <c r="B101" s="1767">
        <f>IFERROR(VLOOKUP(C101,'字段信息'!A:C,3,),"")</f>
      </c>
      <c r="C101" s="1780" t="s">
        <v>4264</v>
      </c>
      <c r="D101" s="1786" t="s">
        <v>4258</v>
      </c>
      <c r="E101" s="1770"/>
      <c r="F101" s="1771">
        <f t="shared" si="0"/>
      </c>
      <c r="G101" s="1770" t="s">
        <v>4131</v>
      </c>
      <c r="H101" s="1772"/>
      <c r="I101" s="1772"/>
      <c r="J101" s="1772"/>
      <c r="K101" s="1772"/>
      <c r="L101" s="1781"/>
      <c r="M101" s="1774" t="s">
        <v>4127</v>
      </c>
      <c r="N101" s="1775" t="s">
        <v>4128</v>
      </c>
      <c r="O101" s="1776" t="s">
        <v>4129</v>
      </c>
      <c r="P101" s="1789" t="s">
        <v>4264</v>
      </c>
      <c r="Q101" s="1777"/>
      <c r="R101" s="1778"/>
      <c r="S101" s="1777"/>
      <c r="T101" s="1778"/>
      <c r="U101" s="1763"/>
    </row>
    <row r="102">
      <c r="A102" s="1737"/>
      <c r="B102" s="1767">
        <f>IFERROR(VLOOKUP(C102,'字段信息'!A:C,3,),"")</f>
      </c>
      <c r="C102" s="1780" t="s">
        <v>4265</v>
      </c>
      <c r="D102" s="1786" t="s">
        <v>4258</v>
      </c>
      <c r="E102" s="1770"/>
      <c r="F102" s="1771">
        <f t="shared" si="0"/>
      </c>
      <c r="G102" s="1770" t="s">
        <v>4131</v>
      </c>
      <c r="H102" s="1772"/>
      <c r="I102" s="1772"/>
      <c r="J102" s="1772"/>
      <c r="K102" s="1772"/>
      <c r="L102" s="1781"/>
      <c r="M102" s="1774" t="s">
        <v>4127</v>
      </c>
      <c r="N102" s="1775" t="s">
        <v>4128</v>
      </c>
      <c r="O102" s="1776" t="s">
        <v>4129</v>
      </c>
      <c r="P102" s="1780" t="s">
        <v>4265</v>
      </c>
      <c r="Q102" s="1777"/>
      <c r="R102" s="1778"/>
      <c r="S102" s="1777"/>
      <c r="T102" s="1778"/>
      <c r="U102" s="1763"/>
    </row>
    <row r="103">
      <c r="A103" s="1737"/>
      <c r="B103" s="1767">
        <f>IFERROR(VLOOKUP(C103,'字段信息'!A:C,3,),"")</f>
      </c>
      <c r="C103" s="1780" t="s">
        <v>4266</v>
      </c>
      <c r="D103" s="1786" t="s">
        <v>4258</v>
      </c>
      <c r="E103" s="1770"/>
      <c r="F103" s="1771">
        <f t="shared" si="0"/>
      </c>
      <c r="G103" s="1770" t="s">
        <v>4131</v>
      </c>
      <c r="H103" s="1772"/>
      <c r="I103" s="1772"/>
      <c r="J103" s="1772"/>
      <c r="K103" s="1772"/>
      <c r="L103" s="1781"/>
      <c r="M103" s="1774" t="s">
        <v>4127</v>
      </c>
      <c r="N103" s="1775" t="s">
        <v>4128</v>
      </c>
      <c r="O103" s="1776" t="s">
        <v>4129</v>
      </c>
      <c r="P103" s="1789" t="s">
        <v>4266</v>
      </c>
      <c r="Q103" s="1777"/>
      <c r="R103" s="1778"/>
      <c r="S103" s="1777"/>
      <c r="T103" s="1778"/>
      <c r="U103" s="1763"/>
    </row>
    <row r="104">
      <c r="A104" s="1737"/>
      <c r="B104" s="1767">
        <f>IFERROR(VLOOKUP(C104,'字段信息'!A:C,3,),"")</f>
      </c>
      <c r="C104" s="1780" t="s">
        <v>4267</v>
      </c>
      <c r="D104" s="1786" t="s">
        <v>4258</v>
      </c>
      <c r="E104" s="1770"/>
      <c r="F104" s="1771">
        <f t="shared" si="0"/>
      </c>
      <c r="G104" s="1770" t="s">
        <v>4131</v>
      </c>
      <c r="H104" s="1772"/>
      <c r="I104" s="1772"/>
      <c r="J104" s="1772"/>
      <c r="K104" s="1772"/>
      <c r="L104" s="1781"/>
      <c r="M104" s="1774" t="s">
        <v>4127</v>
      </c>
      <c r="N104" s="1775" t="s">
        <v>4128</v>
      </c>
      <c r="O104" s="1776" t="s">
        <v>4129</v>
      </c>
      <c r="P104" s="1780" t="s">
        <v>4267</v>
      </c>
      <c r="Q104" s="1777"/>
      <c r="R104" s="1778"/>
      <c r="S104" s="1777"/>
      <c r="T104" s="1778"/>
      <c r="U104" s="1763"/>
    </row>
    <row r="105">
      <c r="A105" s="1737"/>
      <c r="B105" s="1767">
        <f>IFERROR(VLOOKUP(C105,'字段信息'!A:C,3,),"")</f>
      </c>
      <c r="C105" s="1768" t="s">
        <v>4268</v>
      </c>
      <c r="D105" s="1786" t="s">
        <v>4258</v>
      </c>
      <c r="E105" s="1770"/>
      <c r="F105" s="1771">
        <f t="shared" si="0"/>
      </c>
      <c r="G105" s="1770" t="s">
        <v>4131</v>
      </c>
      <c r="H105" s="1772"/>
      <c r="I105" s="1772"/>
      <c r="J105" s="1772"/>
      <c r="K105" s="1772"/>
      <c r="L105" s="1781"/>
      <c r="M105" s="1774" t="s">
        <v>4127</v>
      </c>
      <c r="N105" s="1775" t="s">
        <v>4128</v>
      </c>
      <c r="O105" s="1776" t="s">
        <v>4129</v>
      </c>
      <c r="P105" s="1768" t="s">
        <v>4268</v>
      </c>
      <c r="Q105" s="1777"/>
      <c r="R105" s="1778"/>
      <c r="S105" s="1777"/>
      <c r="T105" s="1778"/>
      <c r="U105" s="1763"/>
    </row>
    <row r="106">
      <c r="A106" s="1737"/>
      <c r="B106" s="1767">
        <f>IFERROR(VLOOKUP(C106,'字段信息'!A:C,3,),"")</f>
      </c>
      <c r="C106" s="1768" t="s">
        <v>4269</v>
      </c>
      <c r="D106" s="1786" t="s">
        <v>4258</v>
      </c>
      <c r="E106" s="1770"/>
      <c r="F106" s="1771">
        <f t="shared" si="0"/>
      </c>
      <c r="G106" s="1770" t="s">
        <v>4131</v>
      </c>
      <c r="H106" s="1772"/>
      <c r="I106" s="1772"/>
      <c r="J106" s="1772"/>
      <c r="K106" s="1772"/>
      <c r="L106" s="1781"/>
      <c r="M106" s="1774" t="s">
        <v>4127</v>
      </c>
      <c r="N106" s="1775" t="s">
        <v>4128</v>
      </c>
      <c r="O106" s="1776" t="s">
        <v>4129</v>
      </c>
      <c r="P106" s="1768" t="s">
        <v>4269</v>
      </c>
      <c r="Q106" s="1777"/>
      <c r="R106" s="1778"/>
      <c r="S106" s="1777"/>
      <c r="T106" s="1778"/>
      <c r="U106" s="1763"/>
    </row>
    <row r="107">
      <c r="A107" s="1737"/>
      <c r="B107" s="1767">
        <f>IFERROR(VLOOKUP(C107,'字段信息'!A:C,3,),"")</f>
      </c>
      <c r="C107" s="1807" t="s">
        <v>4270</v>
      </c>
      <c r="D107" s="1786" t="s">
        <v>4258</v>
      </c>
      <c r="E107" s="1770"/>
      <c r="F107" s="1771">
        <f t="shared" si="0"/>
      </c>
      <c r="G107" s="1770" t="s">
        <v>4131</v>
      </c>
      <c r="H107" s="1772"/>
      <c r="I107" s="1772"/>
      <c r="J107" s="1772"/>
      <c r="K107" s="1772"/>
      <c r="L107" s="1781"/>
      <c r="M107" s="1774" t="s">
        <v>4127</v>
      </c>
      <c r="N107" s="1775" t="s">
        <v>4128</v>
      </c>
      <c r="O107" s="1776" t="s">
        <v>4129</v>
      </c>
      <c r="P107" s="1807" t="s">
        <v>4270</v>
      </c>
      <c r="Q107" s="1777"/>
      <c r="R107" s="1778"/>
      <c r="S107" s="1777"/>
      <c r="T107" s="1778"/>
      <c r="U107" s="1763"/>
    </row>
    <row r="108">
      <c r="A108" s="1737"/>
      <c r="B108" s="1767">
        <f>IFERROR(VLOOKUP(C108,'字段信息'!A:C,3,),"")</f>
      </c>
      <c r="C108" s="1768" t="s">
        <v>4271</v>
      </c>
      <c r="D108" s="1786" t="s">
        <v>4258</v>
      </c>
      <c r="E108" s="1770"/>
      <c r="F108" s="1771">
        <f t="shared" si="0"/>
      </c>
      <c r="G108" s="1770" t="s">
        <v>4131</v>
      </c>
      <c r="H108" s="1772"/>
      <c r="I108" s="1772"/>
      <c r="J108" s="1772"/>
      <c r="K108" s="1772"/>
      <c r="L108" s="1781"/>
      <c r="M108" s="1774" t="s">
        <v>4127</v>
      </c>
      <c r="N108" s="1775" t="s">
        <v>4128</v>
      </c>
      <c r="O108" s="1776" t="s">
        <v>4129</v>
      </c>
      <c r="P108" s="1768" t="s">
        <v>4271</v>
      </c>
      <c r="Q108" s="1777"/>
      <c r="R108" s="1778"/>
      <c r="S108" s="1777"/>
      <c r="T108" s="1778"/>
      <c r="U108" s="1763"/>
    </row>
    <row r="109">
      <c r="A109" s="1737"/>
      <c r="B109" s="1767">
        <f>IFERROR(VLOOKUP(C109,'字段信息'!A:C,3,),"")</f>
      </c>
      <c r="C109" s="1768" t="s">
        <v>4272</v>
      </c>
      <c r="D109" s="1786" t="s">
        <v>4258</v>
      </c>
      <c r="E109" s="1770"/>
      <c r="F109" s="1771">
        <f t="shared" si="0"/>
      </c>
      <c r="G109" s="1770" t="s">
        <v>4131</v>
      </c>
      <c r="H109" s="1772"/>
      <c r="I109" s="1772"/>
      <c r="J109" s="1772"/>
      <c r="K109" s="1772"/>
      <c r="L109" s="1781"/>
      <c r="M109" s="1774" t="s">
        <v>4127</v>
      </c>
      <c r="N109" s="1775" t="s">
        <v>4128</v>
      </c>
      <c r="O109" s="1776" t="s">
        <v>4129</v>
      </c>
      <c r="P109" s="1768" t="s">
        <v>4272</v>
      </c>
      <c r="Q109" s="1777"/>
      <c r="R109" s="1778"/>
      <c r="S109" s="1777"/>
      <c r="T109" s="1778"/>
      <c r="U109" s="1763"/>
    </row>
    <row r="110">
      <c r="A110" s="1737"/>
      <c r="B110" s="1767">
        <f>IFERROR(VLOOKUP(C110,'字段信息'!A:C,3,),"")</f>
      </c>
      <c r="C110" s="1808" t="s">
        <v>4273</v>
      </c>
      <c r="D110" s="1786" t="s">
        <v>4274</v>
      </c>
      <c r="E110" s="1770"/>
      <c r="F110" s="1771">
        <f t="shared" si="0"/>
      </c>
      <c r="G110" s="1770" t="s">
        <v>4131</v>
      </c>
      <c r="H110" s="1772"/>
      <c r="I110" s="1772"/>
      <c r="J110" s="1772"/>
      <c r="K110" s="1772"/>
      <c r="L110" s="1781"/>
      <c r="M110" s="1786" t="s">
        <v>4127</v>
      </c>
      <c r="N110" s="1775" t="s">
        <v>4128</v>
      </c>
      <c r="O110" s="1776" t="s">
        <v>4129</v>
      </c>
      <c r="P110" s="1809" t="s">
        <v>4273</v>
      </c>
      <c r="Q110" s="1777"/>
      <c r="R110" s="1778"/>
      <c r="S110" s="1777"/>
      <c r="T110" s="1778"/>
      <c r="U110" s="1763"/>
    </row>
    <row r="111">
      <c r="A111" s="1737"/>
      <c r="B111" s="1767">
        <f>IFERROR(VLOOKUP(C111,'字段信息'!A:C,3,),"")</f>
      </c>
      <c r="C111" s="1768" t="s">
        <v>4275</v>
      </c>
      <c r="D111" s="1786" t="s">
        <v>4159</v>
      </c>
      <c r="E111" s="1770"/>
      <c r="F111" s="1771">
        <f t="shared" si="0"/>
      </c>
      <c r="G111" s="1770" t="s">
        <v>4131</v>
      </c>
      <c r="H111" s="1772"/>
      <c r="I111" s="1772"/>
      <c r="J111" s="1772"/>
      <c r="K111" s="1772"/>
      <c r="L111" s="1781"/>
      <c r="M111" s="1786" t="s">
        <v>4127</v>
      </c>
      <c r="N111" s="1775" t="s">
        <v>4128</v>
      </c>
      <c r="O111" s="1776" t="s">
        <v>4129</v>
      </c>
      <c r="P111" s="1774" t="s">
        <v>4275</v>
      </c>
      <c r="Q111" s="1777"/>
      <c r="R111" s="1778"/>
      <c r="S111" s="1777"/>
      <c r="T111" s="1778"/>
      <c r="U111" s="1763"/>
    </row>
    <row r="112">
      <c r="A112" s="1737"/>
      <c r="B112" s="1767">
        <f>IFERROR(VLOOKUP(C112,'字段信息'!A:C,3,),"")</f>
      </c>
      <c r="C112" s="1768" t="s">
        <v>4276</v>
      </c>
      <c r="D112" s="1769" t="s">
        <v>4258</v>
      </c>
      <c r="E112" s="1770"/>
      <c r="F112" s="1771">
        <f t="shared" si="0"/>
      </c>
      <c r="G112" s="1770" t="s">
        <v>4131</v>
      </c>
      <c r="H112" s="1772"/>
      <c r="I112" s="1772"/>
      <c r="J112" s="1772"/>
      <c r="K112" s="1772"/>
      <c r="L112" s="1781"/>
      <c r="M112" s="1774" t="s">
        <v>4127</v>
      </c>
      <c r="N112" s="1775" t="s">
        <v>4128</v>
      </c>
      <c r="O112" s="1776" t="s">
        <v>4129</v>
      </c>
      <c r="P112" s="1768" t="s">
        <v>4276</v>
      </c>
      <c r="Q112" s="1777"/>
      <c r="R112" s="1778"/>
      <c r="S112" s="1777"/>
      <c r="T112" s="1778"/>
      <c r="U112" s="1763"/>
    </row>
    <row r="113">
      <c r="A113" s="1737"/>
      <c r="B113" s="1767">
        <f>IFERROR(VLOOKUP(C113,'字段信息'!A:C,3,),"")</f>
      </c>
      <c r="C113" s="1768" t="s">
        <v>4277</v>
      </c>
      <c r="D113" s="1769" t="s">
        <v>4258</v>
      </c>
      <c r="E113" s="1770"/>
      <c r="F113" s="1771">
        <f t="shared" si="0"/>
      </c>
      <c r="G113" s="1770" t="s">
        <v>4131</v>
      </c>
      <c r="H113" s="1772"/>
      <c r="I113" s="1772"/>
      <c r="J113" s="1772"/>
      <c r="K113" s="1772"/>
      <c r="L113" s="1781"/>
      <c r="M113" s="1786" t="s">
        <v>4127</v>
      </c>
      <c r="N113" s="1775" t="s">
        <v>4128</v>
      </c>
      <c r="O113" s="1776" t="s">
        <v>4129</v>
      </c>
      <c r="P113" s="1768" t="s">
        <v>4277</v>
      </c>
      <c r="Q113" s="1777"/>
      <c r="R113" s="1778"/>
      <c r="S113" s="1777"/>
      <c r="T113" s="1778"/>
      <c r="U113" s="1763"/>
    </row>
    <row r="114">
      <c r="A114" s="1737"/>
      <c r="B114" s="1767">
        <f>IFERROR(VLOOKUP(C114,'字段信息'!A:C,3,),"")</f>
      </c>
      <c r="C114" s="1768" t="s">
        <v>4278</v>
      </c>
      <c r="D114" s="1769">
        <f>IFERROR(VLOOKUP(C114,'字段信息'!A:C,2,),"")</f>
      </c>
      <c r="E114" s="1770"/>
      <c r="F114" s="1771">
        <f t="shared" si="0"/>
      </c>
      <c r="G114" s="1770" t="s">
        <v>4131</v>
      </c>
      <c r="H114" s="1772"/>
      <c r="I114" s="1772"/>
      <c r="J114" s="1772"/>
      <c r="K114" s="1772"/>
      <c r="L114" s="1781"/>
      <c r="M114" s="1774" t="s">
        <v>4127</v>
      </c>
      <c r="N114" s="1775" t="s">
        <v>4128</v>
      </c>
      <c r="O114" s="1776" t="s">
        <v>4129</v>
      </c>
      <c r="P114" s="1768" t="s">
        <v>4278</v>
      </c>
      <c r="Q114" s="1777"/>
      <c r="R114" s="1778"/>
      <c r="S114" s="1777"/>
      <c r="T114" s="1778"/>
      <c r="U114" s="1763"/>
    </row>
    <row r="115">
      <c r="A115" s="1810"/>
      <c r="B115" s="1791">
        <f>IFERROR(VLOOKUP(C115,'字段信息'!A:C,3,),"")</f>
      </c>
      <c r="C115" s="1792" t="s">
        <v>4279</v>
      </c>
      <c r="D115" s="1811">
        <f>IFERROR(VLOOKUP(C115,'字段信息'!A:C,2,),"")</f>
      </c>
      <c r="E115" s="1812"/>
      <c r="F115" s="1813">
        <f t="shared" si="0"/>
      </c>
      <c r="G115" s="1812" t="s">
        <v>4131</v>
      </c>
      <c r="H115" s="1814"/>
      <c r="I115" s="1814"/>
      <c r="J115" s="1814"/>
      <c r="K115" s="1814"/>
      <c r="L115" s="1815"/>
      <c r="M115" s="1774" t="s">
        <v>4127</v>
      </c>
      <c r="N115" s="1775" t="s">
        <v>4128</v>
      </c>
      <c r="O115" s="1776" t="s">
        <v>4129</v>
      </c>
      <c r="P115" s="1792" t="s">
        <v>4279</v>
      </c>
      <c r="Q115" s="1816"/>
      <c r="R115" s="1817"/>
      <c r="S115" s="1816"/>
      <c r="T115" s="1817"/>
      <c r="U115" s="1818"/>
    </row>
    <row r="116">
      <c r="A116" s="1810"/>
      <c r="B116" s="1791">
        <f>IFERROR(VLOOKUP(C116,'字段信息'!A:C,3,),"")</f>
      </c>
      <c r="C116" s="1792" t="s">
        <v>4280</v>
      </c>
      <c r="D116" s="1811">
        <f>IFERROR(VLOOKUP(C116,'字段信息'!A:C,2,),"")</f>
      </c>
      <c r="E116" s="1812"/>
      <c r="F116" s="1813">
        <f t="shared" si="0"/>
      </c>
      <c r="G116" s="1812" t="s">
        <v>4131</v>
      </c>
      <c r="H116" s="1814"/>
      <c r="I116" s="1814"/>
      <c r="J116" s="1814"/>
      <c r="K116" s="1814"/>
      <c r="L116" s="1815"/>
      <c r="M116" s="1774" t="s">
        <v>4127</v>
      </c>
      <c r="N116" s="1819" t="s">
        <v>4128</v>
      </c>
      <c r="O116" s="1776" t="s">
        <v>4129</v>
      </c>
      <c r="P116" s="1792" t="s">
        <v>4280</v>
      </c>
      <c r="Q116" s="1816"/>
      <c r="R116" s="1817"/>
      <c r="S116" s="1816"/>
      <c r="T116" s="1817"/>
      <c r="U116" s="1818"/>
    </row>
    <row r="117">
      <c r="A117" s="1810"/>
      <c r="B117" s="1791">
        <f>IFERROR(VLOOKUP(C117,'字段信息'!A:C,3,),"")</f>
      </c>
      <c r="C117" s="1792" t="s">
        <v>4281</v>
      </c>
      <c r="D117" s="1811">
        <f>IFERROR(VLOOKUP(C117,'字段信息'!A:C,2,),"")</f>
      </c>
      <c r="E117" s="1812"/>
      <c r="F117" s="1813">
        <f t="shared" si="0"/>
      </c>
      <c r="G117" s="1812" t="s">
        <v>4131</v>
      </c>
      <c r="H117" s="1814"/>
      <c r="I117" s="1814"/>
      <c r="J117" s="1814"/>
      <c r="K117" s="1814"/>
      <c r="L117" s="1820"/>
      <c r="M117" s="1774" t="s">
        <v>4127</v>
      </c>
      <c r="N117" s="1819" t="s">
        <v>4128</v>
      </c>
      <c r="O117" s="1776" t="s">
        <v>4129</v>
      </c>
      <c r="P117" s="1792" t="s">
        <v>4281</v>
      </c>
      <c r="Q117" s="1816"/>
      <c r="R117" s="1817"/>
      <c r="S117" s="1816"/>
      <c r="T117" s="1817"/>
      <c r="U117" s="1818"/>
    </row>
    <row r="118">
      <c r="A118" s="1810"/>
      <c r="B118" s="1791">
        <f>IFERROR(VLOOKUP(C118,'字段信息'!A:C,3,),"")</f>
      </c>
      <c r="C118" s="1792" t="s">
        <v>4282</v>
      </c>
      <c r="D118" s="1811">
        <f>IFERROR(VLOOKUP(C118,'字段信息'!A:C,2,),"")</f>
      </c>
      <c r="E118" s="1812"/>
      <c r="F118" s="1813">
        <f t="shared" si="0"/>
      </c>
      <c r="G118" s="1812" t="s">
        <v>4131</v>
      </c>
      <c r="H118" s="1814"/>
      <c r="I118" s="1814"/>
      <c r="J118" s="1814"/>
      <c r="K118" s="1814"/>
      <c r="L118" s="1820"/>
      <c r="M118" s="1774" t="s">
        <v>4127</v>
      </c>
      <c r="N118" s="1819" t="s">
        <v>4128</v>
      </c>
      <c r="O118" s="1776" t="s">
        <v>4129</v>
      </c>
      <c r="P118" s="1792" t="s">
        <v>4282</v>
      </c>
      <c r="Q118" s="1816"/>
      <c r="R118" s="1817"/>
      <c r="S118" s="1816"/>
      <c r="T118" s="1817"/>
      <c r="U118" s="1818"/>
    </row>
    <row r="119">
      <c r="A119" s="1737"/>
      <c r="B119" s="1767">
        <f>IFERROR(VLOOKUP(C119,'字段信息'!A:C,3,),"")</f>
      </c>
      <c r="C119" s="1768" t="s">
        <v>4283</v>
      </c>
      <c r="D119" s="1786">
        <f>IFERROR(VLOOKUP(C119,'字段信息'!A:C,2,),"")</f>
      </c>
      <c r="E119" s="1770"/>
      <c r="F119" s="1771">
        <f t="shared" si="0"/>
      </c>
      <c r="G119" s="1770" t="s">
        <v>4131</v>
      </c>
      <c r="H119" s="1772"/>
      <c r="I119" s="1772"/>
      <c r="J119" s="1772"/>
      <c r="K119" s="1772"/>
      <c r="L119" s="1781"/>
      <c r="M119" s="1774" t="s">
        <v>4127</v>
      </c>
      <c r="N119" s="1819" t="s">
        <v>4128</v>
      </c>
      <c r="O119" s="1776" t="s">
        <v>4129</v>
      </c>
      <c r="P119" s="1768" t="s">
        <v>4283</v>
      </c>
      <c r="Q119" s="1777"/>
      <c r="R119" s="1778"/>
      <c r="S119" s="1777"/>
      <c r="T119" s="1778"/>
      <c r="U119" s="1763"/>
    </row>
    <row r="120">
      <c r="A120" s="1737"/>
      <c r="B120" s="1767">
        <f>IFERROR(VLOOKUP(C120,'字段信息'!A:C,3,),"")</f>
      </c>
      <c r="C120" s="1768" t="s">
        <v>4284</v>
      </c>
      <c r="D120" s="1786">
        <f>IFERROR(VLOOKUP(C120,'字段信息'!A:C,2,),"")</f>
      </c>
      <c r="E120" s="1770"/>
      <c r="F120" s="1771">
        <f t="shared" si="0"/>
      </c>
      <c r="G120" s="1770" t="s">
        <v>4131</v>
      </c>
      <c r="H120" s="1772"/>
      <c r="I120" s="1772"/>
      <c r="J120" s="1772"/>
      <c r="K120" s="1772"/>
      <c r="L120" s="1781"/>
      <c r="M120" s="1774" t="s">
        <v>4127</v>
      </c>
      <c r="N120" s="1819" t="s">
        <v>4128</v>
      </c>
      <c r="O120" s="1776" t="s">
        <v>4129</v>
      </c>
      <c r="P120" s="1768" t="s">
        <v>4284</v>
      </c>
      <c r="Q120" s="1777"/>
      <c r="R120" s="1778"/>
      <c r="S120" s="1777"/>
      <c r="T120" s="1778"/>
      <c r="U120" s="1763"/>
    </row>
    <row r="121">
      <c r="A121" s="1737"/>
      <c r="B121" s="1767">
        <f>IFERROR(VLOOKUP(C121,'字段信息'!A:C,3,),"")</f>
      </c>
      <c r="C121" s="1768" t="s">
        <v>4285</v>
      </c>
      <c r="D121" s="1786">
        <f>IFERROR(VLOOKUP(C121,'字段信息'!A:C,2,),"")</f>
      </c>
      <c r="E121" s="1770"/>
      <c r="F121" s="1771">
        <f t="shared" si="0"/>
      </c>
      <c r="G121" s="1770" t="s">
        <v>4131</v>
      </c>
      <c r="H121" s="1772"/>
      <c r="I121" s="1772"/>
      <c r="J121" s="1772"/>
      <c r="K121" s="1772"/>
      <c r="L121" s="1781"/>
      <c r="M121" s="1774" t="s">
        <v>4127</v>
      </c>
      <c r="N121" s="1819" t="s">
        <v>4128</v>
      </c>
      <c r="O121" s="1776" t="s">
        <v>4129</v>
      </c>
      <c r="P121" s="1768" t="s">
        <v>4285</v>
      </c>
      <c r="Q121" s="1777"/>
      <c r="R121" s="1778"/>
      <c r="S121" s="1777"/>
      <c r="T121" s="1778"/>
      <c r="U121" s="1763"/>
    </row>
    <row r="122">
      <c r="A122" s="1737"/>
      <c r="B122" s="1767">
        <f>IFERROR(VLOOKUP(C122,'字段信息'!A:C,3,),"")</f>
      </c>
      <c r="C122" s="1768" t="s">
        <v>4286</v>
      </c>
      <c r="D122" s="1786">
        <f>IFERROR(VLOOKUP(C122,'字段信息'!A:C,2,),"")</f>
      </c>
      <c r="E122" s="1770"/>
      <c r="F122" s="1771">
        <f t="shared" si="0"/>
      </c>
      <c r="G122" s="1770" t="s">
        <v>4131</v>
      </c>
      <c r="H122" s="1772"/>
      <c r="I122" s="1772"/>
      <c r="J122" s="1772"/>
      <c r="K122" s="1772"/>
      <c r="L122" s="1781"/>
      <c r="M122" s="1774" t="s">
        <v>4127</v>
      </c>
      <c r="N122" s="1819" t="s">
        <v>4128</v>
      </c>
      <c r="O122" s="1776" t="s">
        <v>4129</v>
      </c>
      <c r="P122" s="1768" t="s">
        <v>4286</v>
      </c>
      <c r="Q122" s="1777"/>
      <c r="R122" s="1778"/>
      <c r="S122" s="1777"/>
      <c r="T122" s="1778"/>
      <c r="U122" s="1763"/>
    </row>
    <row r="123">
      <c r="A123" s="1737"/>
      <c r="B123" s="1767">
        <f>IFERROR(VLOOKUP(C123,'字段信息'!A:C,3,),"")</f>
      </c>
      <c r="C123" s="1768" t="s">
        <v>4287</v>
      </c>
      <c r="D123" s="1786">
        <f>IFERROR(VLOOKUP(C123,'字段信息'!A:C,2,),"")</f>
      </c>
      <c r="E123" s="1770"/>
      <c r="F123" s="1771">
        <f t="shared" si="0"/>
      </c>
      <c r="G123" s="1770" t="s">
        <v>4131</v>
      </c>
      <c r="H123" s="1772"/>
      <c r="I123" s="1772"/>
      <c r="J123" s="1772"/>
      <c r="K123" s="1772"/>
      <c r="L123" s="1781"/>
      <c r="M123" s="1774" t="s">
        <v>4127</v>
      </c>
      <c r="N123" s="1819" t="s">
        <v>4128</v>
      </c>
      <c r="O123" s="1776" t="s">
        <v>4129</v>
      </c>
      <c r="P123" s="1768" t="s">
        <v>4287</v>
      </c>
      <c r="Q123" s="1777"/>
      <c r="R123" s="1778"/>
      <c r="S123" s="1777"/>
      <c r="T123" s="1778"/>
      <c r="U123" s="1763"/>
    </row>
    <row r="124">
      <c r="A124" s="1737"/>
      <c r="B124" s="1767">
        <f>IFERROR(VLOOKUP(C124,'字段信息'!A:C,3,),"")</f>
      </c>
      <c r="C124" s="1768" t="s">
        <v>4288</v>
      </c>
      <c r="D124" s="1786">
        <f>IFERROR(VLOOKUP(C124,'字段信息'!A:C,2,),"")</f>
      </c>
      <c r="E124" s="1770"/>
      <c r="F124" s="1771">
        <f t="shared" si="0"/>
      </c>
      <c r="G124" s="1770" t="s">
        <v>4131</v>
      </c>
      <c r="H124" s="1772"/>
      <c r="I124" s="1772"/>
      <c r="J124" s="1772"/>
      <c r="K124" s="1772"/>
      <c r="L124" s="1781"/>
      <c r="M124" s="1774" t="s">
        <v>4127</v>
      </c>
      <c r="N124" s="1819" t="s">
        <v>4128</v>
      </c>
      <c r="O124" s="1776" t="s">
        <v>4129</v>
      </c>
      <c r="P124" s="1768" t="s">
        <v>4288</v>
      </c>
      <c r="Q124" s="1777"/>
      <c r="R124" s="1778"/>
      <c r="S124" s="1777"/>
      <c r="T124" s="1778"/>
      <c r="U124" s="1763"/>
    </row>
    <row r="125">
      <c r="A125" s="1737"/>
      <c r="B125" s="1767">
        <f>IFERROR(VLOOKUP(C125,'字段信息'!A:C,3,),"")</f>
      </c>
      <c r="C125" s="1768" t="s">
        <v>4289</v>
      </c>
      <c r="D125" s="1786">
        <f>IFERROR(VLOOKUP(C125,'字段信息'!A:C,2,),"")</f>
      </c>
      <c r="E125" s="1770"/>
      <c r="F125" s="1771">
        <f t="shared" si="0"/>
      </c>
      <c r="G125" s="1770" t="s">
        <v>4131</v>
      </c>
      <c r="H125" s="1772"/>
      <c r="I125" s="1772"/>
      <c r="J125" s="1772"/>
      <c r="K125" s="1772"/>
      <c r="L125" s="1781"/>
      <c r="M125" s="1774" t="s">
        <v>4127</v>
      </c>
      <c r="N125" s="1819" t="s">
        <v>4128</v>
      </c>
      <c r="O125" s="1776" t="s">
        <v>4129</v>
      </c>
      <c r="P125" s="1768" t="s">
        <v>4289</v>
      </c>
      <c r="Q125" s="1777"/>
      <c r="R125" s="1778"/>
      <c r="S125" s="1777"/>
      <c r="T125" s="1778"/>
      <c r="U125" s="1763"/>
    </row>
    <row r="126">
      <c r="A126" s="1737"/>
      <c r="B126" s="1767">
        <f>IFERROR(VLOOKUP(C126,'字段信息'!A:C,3,),"")</f>
      </c>
      <c r="C126" s="1768" t="s">
        <v>4290</v>
      </c>
      <c r="D126" s="1786">
        <f>IFERROR(VLOOKUP(C126,'字段信息'!A:C,2,),"")</f>
      </c>
      <c r="E126" s="1770"/>
      <c r="F126" s="1771">
        <f t="shared" si="0"/>
      </c>
      <c r="G126" s="1770" t="s">
        <v>4131</v>
      </c>
      <c r="H126" s="1772"/>
      <c r="I126" s="1772"/>
      <c r="J126" s="1772"/>
      <c r="K126" s="1772"/>
      <c r="L126" s="1781"/>
      <c r="M126" s="1774" t="s">
        <v>4127</v>
      </c>
      <c r="N126" s="1819" t="s">
        <v>4128</v>
      </c>
      <c r="O126" s="1776" t="s">
        <v>4129</v>
      </c>
      <c r="P126" s="1768" t="s">
        <v>4290</v>
      </c>
      <c r="Q126" s="1777"/>
      <c r="R126" s="1778"/>
      <c r="S126" s="1777"/>
      <c r="T126" s="1778"/>
      <c r="U126" s="1763"/>
    </row>
    <row r="127">
      <c r="A127" s="1737"/>
      <c r="B127" s="1767">
        <f>IFERROR(VLOOKUP(C127,'字段信息'!A:C,3,),"")</f>
      </c>
      <c r="C127" s="1768" t="s">
        <v>4291</v>
      </c>
      <c r="D127" s="1786">
        <f>IFERROR(VLOOKUP(C127,'字段信息'!A:C,2,),"")</f>
      </c>
      <c r="E127" s="1770"/>
      <c r="F127" s="1771">
        <f t="shared" si="0"/>
      </c>
      <c r="G127" s="1770" t="s">
        <v>4131</v>
      </c>
      <c r="H127" s="1772"/>
      <c r="I127" s="1772"/>
      <c r="J127" s="1772"/>
      <c r="K127" s="1772"/>
      <c r="L127" s="1781"/>
      <c r="M127" s="1774" t="s">
        <v>4127</v>
      </c>
      <c r="N127" s="1819" t="s">
        <v>4128</v>
      </c>
      <c r="O127" s="1776" t="s">
        <v>4129</v>
      </c>
      <c r="P127" s="1768" t="s">
        <v>4291</v>
      </c>
      <c r="Q127" s="1777"/>
      <c r="R127" s="1778"/>
      <c r="S127" s="1777"/>
      <c r="T127" s="1778"/>
      <c r="U127" s="1763"/>
    </row>
    <row r="128">
      <c r="A128" s="1737"/>
      <c r="B128" s="1767">
        <f>IFERROR(VLOOKUP(C128,'字段信息'!A:C,3,),"")</f>
      </c>
      <c r="C128" s="1768" t="s">
        <v>4292</v>
      </c>
      <c r="D128" s="1786">
        <f>IFERROR(VLOOKUP(C128,'字段信息'!A:C,2,),"")</f>
      </c>
      <c r="E128" s="1770"/>
      <c r="F128" s="1771">
        <f t="shared" si="0"/>
      </c>
      <c r="G128" s="1770" t="s">
        <v>4131</v>
      </c>
      <c r="H128" s="1772"/>
      <c r="I128" s="1772"/>
      <c r="J128" s="1772"/>
      <c r="K128" s="1772"/>
      <c r="L128" s="1781"/>
      <c r="M128" s="1774" t="s">
        <v>4127</v>
      </c>
      <c r="N128" s="1819" t="s">
        <v>4128</v>
      </c>
      <c r="O128" s="1776" t="s">
        <v>4129</v>
      </c>
      <c r="P128" s="1768" t="s">
        <v>4292</v>
      </c>
      <c r="Q128" s="1777"/>
      <c r="R128" s="1778"/>
      <c r="S128" s="1777"/>
      <c r="T128" s="1778"/>
      <c r="U128" s="1763"/>
    </row>
    <row r="129">
      <c r="A129" s="1737"/>
      <c r="B129" s="1767">
        <f>IFERROR(VLOOKUP(C129,'字段信息'!A:C,3,),"")</f>
      </c>
      <c r="C129" s="1768" t="s">
        <v>4293</v>
      </c>
      <c r="D129" s="1786">
        <f>IFERROR(VLOOKUP(C129,'字段信息'!A:C,2,),"")</f>
      </c>
      <c r="E129" s="1770"/>
      <c r="F129" s="1771">
        <f t="shared" si="0"/>
      </c>
      <c r="G129" s="1770" t="s">
        <v>4131</v>
      </c>
      <c r="H129" s="1772"/>
      <c r="I129" s="1772"/>
      <c r="J129" s="1772"/>
      <c r="K129" s="1772"/>
      <c r="L129" s="1781"/>
      <c r="M129" s="1774" t="s">
        <v>4127</v>
      </c>
      <c r="N129" s="1819" t="s">
        <v>4128</v>
      </c>
      <c r="O129" s="1776" t="s">
        <v>4129</v>
      </c>
      <c r="P129" s="1768" t="s">
        <v>4293</v>
      </c>
      <c r="Q129" s="1777"/>
      <c r="R129" s="1778"/>
      <c r="S129" s="1777"/>
      <c r="T129" s="1778"/>
      <c r="U129" s="1763"/>
    </row>
    <row r="130">
      <c r="A130" s="1737"/>
      <c r="B130" s="1767">
        <f>IFERROR(VLOOKUP(C130,'字段信息'!A:C,3,),"")</f>
      </c>
      <c r="C130" s="1768" t="s">
        <v>4294</v>
      </c>
      <c r="D130" s="1786">
        <f>IFERROR(VLOOKUP(C130,'字段信息'!A:C,2,),"")</f>
      </c>
      <c r="E130" s="1770"/>
      <c r="F130" s="1771">
        <f t="shared" si="0"/>
      </c>
      <c r="G130" s="1770" t="s">
        <v>4131</v>
      </c>
      <c r="H130" s="1772"/>
      <c r="I130" s="1772"/>
      <c r="J130" s="1772"/>
      <c r="K130" s="1772"/>
      <c r="L130" s="1781"/>
      <c r="M130" s="1774" t="s">
        <v>4127</v>
      </c>
      <c r="N130" s="1819" t="s">
        <v>4128</v>
      </c>
      <c r="O130" s="1776" t="s">
        <v>4129</v>
      </c>
      <c r="P130" s="1768" t="s">
        <v>4294</v>
      </c>
      <c r="Q130" s="1777"/>
      <c r="R130" s="1778"/>
      <c r="S130" s="1777"/>
      <c r="T130" s="1778"/>
      <c r="U130" s="1763"/>
    </row>
    <row r="131">
      <c r="A131" s="1737"/>
      <c r="B131" s="1767">
        <f>IFERROR(VLOOKUP(C131,'字段信息'!A:C,3,),"")</f>
      </c>
      <c r="C131" s="1768" t="s">
        <v>4295</v>
      </c>
      <c r="D131" s="1786">
        <f>IFERROR(VLOOKUP(C131,'字段信息'!A:C,2,),"")</f>
      </c>
      <c r="E131" s="1770"/>
      <c r="F131" s="1771">
        <f t="shared" si="0"/>
      </c>
      <c r="G131" s="1770" t="s">
        <v>4131</v>
      </c>
      <c r="H131" s="1772"/>
      <c r="I131" s="1772"/>
      <c r="J131" s="1772"/>
      <c r="K131" s="1772"/>
      <c r="L131" s="1781"/>
      <c r="M131" s="1774" t="s">
        <v>4296</v>
      </c>
      <c r="N131" s="1819" t="s">
        <v>4128</v>
      </c>
      <c r="O131" s="1780" t="s">
        <v>4297</v>
      </c>
      <c r="P131" s="1806" t="s">
        <v>4298</v>
      </c>
      <c r="Q131" s="1782" t="s">
        <v>4299</v>
      </c>
      <c r="R131" s="1778"/>
      <c r="S131" s="1777"/>
      <c r="T131" s="1778"/>
      <c r="U131" s="1763"/>
    </row>
    <row r="132">
      <c r="A132" s="1737"/>
      <c r="B132" s="1767">
        <f>IFERROR(VLOOKUP(C132,'字段信息'!A:C,3,),"")</f>
      </c>
      <c r="C132" s="1768" t="s">
        <v>4300</v>
      </c>
      <c r="D132" s="1786">
        <f>IFERROR(VLOOKUP(C132,'字段信息'!A:C,2,),"")</f>
      </c>
      <c r="E132" s="1770"/>
      <c r="F132" s="1771">
        <f t="shared" si="0"/>
      </c>
      <c r="G132" s="1770" t="s">
        <v>4131</v>
      </c>
      <c r="H132" s="1772"/>
      <c r="I132" s="1772"/>
      <c r="J132" s="1772"/>
      <c r="K132" s="1772"/>
      <c r="L132" s="1781"/>
      <c r="M132" s="1774" t="s">
        <v>4296</v>
      </c>
      <c r="N132" s="1819" t="s">
        <v>4128</v>
      </c>
      <c r="O132" s="1780" t="s">
        <v>4297</v>
      </c>
      <c r="P132" s="1806" t="s">
        <v>4301</v>
      </c>
      <c r="Q132" s="1782" t="s">
        <v>4299</v>
      </c>
      <c r="R132" s="1778"/>
      <c r="S132" s="1777"/>
      <c r="T132" s="1778"/>
      <c r="U132" s="1763"/>
    </row>
    <row r="133">
      <c r="A133" s="1737"/>
      <c r="B133" s="1767">
        <f>IFERROR(VLOOKUP(C133,'字段信息'!A:C,3,),"")</f>
      </c>
      <c r="C133" s="1768" t="s">
        <v>4302</v>
      </c>
      <c r="D133" s="1786">
        <f>IFERROR(VLOOKUP(C133,'字段信息'!A:C,2,),"")</f>
      </c>
      <c r="E133" s="1770"/>
      <c r="F133" s="1771">
        <f t="shared" si="0"/>
      </c>
      <c r="G133" s="1770" t="s">
        <v>4131</v>
      </c>
      <c r="H133" s="1772"/>
      <c r="I133" s="1772"/>
      <c r="J133" s="1772"/>
      <c r="K133" s="1772"/>
      <c r="L133" s="1781"/>
      <c r="M133" s="1774" t="s">
        <v>4296</v>
      </c>
      <c r="N133" s="1819" t="s">
        <v>4128</v>
      </c>
      <c r="O133" s="1780" t="s">
        <v>4297</v>
      </c>
      <c r="P133" s="1806" t="s">
        <v>4302</v>
      </c>
      <c r="Q133" s="1782" t="s">
        <v>4299</v>
      </c>
      <c r="R133" s="1778"/>
      <c r="S133" s="1777"/>
      <c r="T133" s="1778"/>
      <c r="U133" s="1763"/>
    </row>
    <row r="134">
      <c r="A134" s="1737"/>
      <c r="B134" s="1767">
        <f>IFERROR(VLOOKUP(C134,'字段信息'!A:C,3,),"")</f>
      </c>
      <c r="C134" s="1768" t="s">
        <v>4303</v>
      </c>
      <c r="D134" s="1786">
        <f>IFERROR(VLOOKUP(C134,'字段信息'!A:C,2,),"")</f>
      </c>
      <c r="E134" s="1770"/>
      <c r="F134" s="1771">
        <f t="shared" si="0"/>
      </c>
      <c r="G134" s="1770" t="s">
        <v>4131</v>
      </c>
      <c r="H134" s="1772"/>
      <c r="I134" s="1772"/>
      <c r="J134" s="1772"/>
      <c r="K134" s="1772"/>
      <c r="L134" s="1781"/>
      <c r="M134" s="1774" t="s">
        <v>4296</v>
      </c>
      <c r="N134" s="1819" t="s">
        <v>4128</v>
      </c>
      <c r="O134" s="1780" t="s">
        <v>4297</v>
      </c>
      <c r="P134" s="1768" t="s">
        <v>4303</v>
      </c>
      <c r="Q134" s="1782" t="s">
        <v>4299</v>
      </c>
      <c r="R134" s="1778"/>
      <c r="S134" s="1777"/>
      <c r="T134" s="1778"/>
      <c r="U134" s="1763"/>
    </row>
    <row r="135">
      <c r="A135" s="1737"/>
      <c r="B135" s="1767">
        <f>IFERROR(VLOOKUP(C135,'字段信息'!A:C,3,),"")</f>
      </c>
      <c r="C135" s="1768" t="s">
        <v>4304</v>
      </c>
      <c r="D135" s="1786">
        <f>IFERROR(VLOOKUP(C135,'字段信息'!A:C,2,),"")</f>
      </c>
      <c r="E135" s="1770"/>
      <c r="F135" s="1771">
        <f t="shared" si="0"/>
      </c>
      <c r="G135" s="1770" t="s">
        <v>4131</v>
      </c>
      <c r="H135" s="1772"/>
      <c r="I135" s="1772"/>
      <c r="J135" s="1772"/>
      <c r="K135" s="1772"/>
      <c r="L135" s="1781"/>
      <c r="M135" s="1774" t="s">
        <v>4127</v>
      </c>
      <c r="N135" s="1819" t="s">
        <v>4128</v>
      </c>
      <c r="O135" s="1776" t="s">
        <v>4129</v>
      </c>
      <c r="P135" s="1768" t="s">
        <v>4304</v>
      </c>
      <c r="Q135" s="1777"/>
      <c r="R135" s="1778"/>
      <c r="S135" s="1777"/>
      <c r="T135" s="1778"/>
      <c r="U135" s="1763"/>
    </row>
    <row r="136">
      <c r="A136" s="1737"/>
      <c r="B136" s="1767">
        <f>IFERROR(VLOOKUP(C136,'字段信息'!A:C,3,),"")</f>
      </c>
      <c r="C136" s="1768" t="s">
        <v>4305</v>
      </c>
      <c r="D136" s="1786">
        <f>IFERROR(VLOOKUP(C136,'字段信息'!A:C,2,),"")</f>
      </c>
      <c r="E136" s="1770"/>
      <c r="F136" s="1771">
        <f t="shared" si="0"/>
      </c>
      <c r="G136" s="1770" t="s">
        <v>4131</v>
      </c>
      <c r="H136" s="1772"/>
      <c r="I136" s="1772"/>
      <c r="J136" s="1772"/>
      <c r="K136" s="1772"/>
      <c r="L136" s="1781"/>
      <c r="M136" s="1774" t="s">
        <v>4127</v>
      </c>
      <c r="N136" s="1819" t="s">
        <v>4128</v>
      </c>
      <c r="O136" s="1776" t="s">
        <v>4129</v>
      </c>
      <c r="P136" s="1768" t="s">
        <v>4305</v>
      </c>
      <c r="Q136" s="1777"/>
      <c r="R136" s="1778"/>
      <c r="S136" s="1777"/>
      <c r="T136" s="1778"/>
      <c r="U136" s="1763"/>
    </row>
    <row r="137">
      <c r="A137" s="1737"/>
      <c r="B137" s="1767">
        <f>IFERROR(VLOOKUP(C137,'字段信息'!A:C,3,),"")</f>
      </c>
      <c r="C137" s="1768" t="s">
        <v>4306</v>
      </c>
      <c r="D137" s="1786">
        <f>IFERROR(VLOOKUP(C137,'字段信息'!A:C,2,),"")</f>
      </c>
      <c r="E137" s="1770"/>
      <c r="F137" s="1771">
        <f t="shared" si="0"/>
      </c>
      <c r="G137" s="1770" t="s">
        <v>4131</v>
      </c>
      <c r="H137" s="1772"/>
      <c r="I137" s="1772"/>
      <c r="J137" s="1772"/>
      <c r="K137" s="1772"/>
      <c r="L137" s="1781"/>
      <c r="M137" s="1774" t="s">
        <v>4296</v>
      </c>
      <c r="N137" s="1819" t="s">
        <v>4128</v>
      </c>
      <c r="O137" s="1780" t="s">
        <v>4297</v>
      </c>
      <c r="P137" s="1806" t="s">
        <v>4307</v>
      </c>
      <c r="Q137" s="1782" t="s">
        <v>4299</v>
      </c>
      <c r="R137" s="1778"/>
      <c r="S137" s="1777"/>
      <c r="T137" s="1778"/>
      <c r="U137" s="1763"/>
    </row>
    <row r="138">
      <c r="B138" s="1821"/>
      <c r="F138" s="1821"/>
      <c r="M138" s="1821"/>
      <c r="N138" s="1822"/>
      <c r="O138" s="1821"/>
      <c r="P138" s="1821"/>
      <c r="Q138" s="1821"/>
      <c r="S138" s="1821"/>
    </row>
    <row r="139">
      <c r="B139" s="1821"/>
      <c r="F139" s="1821"/>
      <c r="M139" s="1821"/>
      <c r="N139" s="1822"/>
      <c r="O139" s="1821"/>
      <c r="P139" s="1821"/>
      <c r="Q139" s="1821"/>
      <c r="S139" s="1821"/>
    </row>
  </sheetData>
  <autoFilter ref="A8:U137"/>
  <mergeCells>
    <mergeCell ref="B1:D1"/>
    <mergeCell ref="C2:F2"/>
    <mergeCell ref="B7:G7"/>
    <mergeCell ref="C6:G6"/>
    <mergeCell ref="M7:T7"/>
  </mergeCells>
  <hyperlinks>
    <hyperlink ref="A1" display="返回"/>
  </hyperlinks>
  <picture r:id="rId1"/>
</worksheet>
</file>

<file path=xl/worksheets/sheet3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M9" xSplit="12" ySplit="8"/>
    </sheetView>
  </sheetViews>
  <sheetFormatPr defaultRowHeight="0"/>
  <cols>
    <col collapsed="false" customWidth="true" hidden="false" max="14" min="14" style="0" width="7.154929577464789"/>
    <col collapsed="false" customWidth="true" hidden="false" max="18" min="18" style="0" width="31.680755330176627"/>
    <col collapsed="false" customWidth="true" hidden="false" max="2" min="2" style="0" width="23.718309859154928"/>
    <col collapsed="false" customWidth="true" hidden="false" max="6" min="6" style="0" width="17.070422535211268"/>
    <col collapsed="false" customWidth="true" hidden="false" max="10" min="10" style="0" width="13.80281690140845"/>
    <col collapsed="false" customWidth="true" hidden="true" max="10" min="10" style="0" width="13.80281690140845"/>
    <col collapsed="false" customWidth="true" hidden="false" max="13" min="13" style="0" width="33.78404181962451"/>
    <col collapsed="false" customWidth="true" hidden="false" max="17" min="17" style="0" width="26.422535076947355"/>
    <col collapsed="false" customWidth="true" hidden="false" max="21" min="21" style="0" width="4.206582325351429"/>
    <col collapsed="false" customWidth="true" hidden="false" max="1" min="1" style="0" width="5.23943661971831"/>
    <col collapsed="false" customWidth="true" hidden="false" max="5" min="5" style="0" width="10.647887323943662"/>
    <col collapsed="false" customWidth="true" hidden="false" max="9" min="9" style="0" width="8.732394366197184"/>
    <col collapsed="false" customWidth="true" hidden="true" max="9" min="9" style="0" width="8.732394366197184"/>
    <col collapsed="false" customWidth="true" hidden="false" max="16" min="16" style="0" width="16.09394268100855"/>
    <col collapsed="false" customWidth="true" hidden="false" max="20" min="20" style="0" width="5.577464788732394"/>
    <col collapsed="false" customWidth="true" hidden="false" max="4" min="4" style="0" width="12.56338028169014"/>
    <col collapsed="false" customWidth="true" hidden="false" max="8" min="8" style="0" width="7.154929577464789"/>
    <col collapsed="false" customWidth="true" hidden="true" max="8" min="8" style="0" width="7.154929577464789"/>
    <col collapsed="false" customWidth="true" hidden="false" max="12" min="12" style="0" width="9.746478873239436"/>
    <col collapsed="false" customWidth="true" hidden="true" max="12" min="12" style="0" width="9.746478873239436"/>
    <col collapsed="false" customWidth="true" hidden="false" max="15" min="15" style="0" width="35.66197183098591"/>
    <col collapsed="false" customWidth="true" hidden="false" max="19" min="19" style="0" width="23.342732556362098"/>
    <col collapsed="false" customWidth="true" hidden="false" max="3" min="3" style="0" width="19.774647887323944"/>
    <col collapsed="false" customWidth="true" hidden="false" max="7" min="7" style="0" width="8.732394366197184"/>
    <col collapsed="false" customWidth="true" hidden="false" max="11" min="11" style="0" width="8.732394366197184"/>
    <col collapsed="false" customWidth="true" hidden="true" max="11" min="11" style="0" width="8.732394366197184"/>
  </cols>
  <sheetData>
    <row r="1">
      <c r="A1" s="1823" t="s">
        <v>4308</v>
      </c>
      <c r="B1" s="1824" t="s">
        <v>4309</v>
      </c>
      <c r="C1" s="1825"/>
      <c r="D1" s="1825"/>
      <c r="E1" s="1826"/>
      <c r="F1" s="1827"/>
      <c r="G1" s="1826"/>
      <c r="H1" s="1828"/>
      <c r="I1" s="1828"/>
      <c r="J1" s="1828"/>
      <c r="K1" s="1828"/>
      <c r="L1" s="1828"/>
      <c r="M1" s="1829"/>
      <c r="N1" s="1830"/>
      <c r="O1" s="1827"/>
      <c r="P1" s="1827"/>
      <c r="Q1" s="1827"/>
      <c r="R1" s="1826"/>
      <c r="S1" s="1827"/>
      <c r="T1" s="1826"/>
    </row>
    <row r="2">
      <c r="A2" s="1831"/>
      <c r="B2" s="1832" t="s">
        <v>4310</v>
      </c>
      <c r="C2" s="1833" t="s">
        <v>4311</v>
      </c>
      <c r="D2" s="1834"/>
      <c r="E2" s="1834"/>
      <c r="F2" s="1835"/>
      <c r="G2" s="1834"/>
      <c r="H2" s="1828"/>
      <c r="I2" s="1828"/>
      <c r="J2" s="1828"/>
      <c r="K2" s="1828"/>
      <c r="L2" s="1828"/>
      <c r="M2" s="1829"/>
      <c r="N2" s="1830"/>
      <c r="O2" s="1827"/>
      <c r="P2" s="1827"/>
      <c r="Q2" s="1827"/>
      <c r="R2" s="1826"/>
      <c r="S2" s="1827"/>
      <c r="T2" s="1826"/>
    </row>
    <row r="3">
      <c r="A3" s="1831"/>
      <c r="B3" s="1836" t="s">
        <v>4312</v>
      </c>
      <c r="C3" s="1837" t="s">
        <v>4313</v>
      </c>
      <c r="D3" s="1838" t="s">
        <v>4314</v>
      </c>
      <c r="E3" s="1839" t="s">
        <v>4315</v>
      </c>
      <c r="F3" s="1836" t="s">
        <v>4316</v>
      </c>
      <c r="G3" s="1837" t="s">
        <v>4317</v>
      </c>
      <c r="H3" s="1828"/>
      <c r="I3" s="1828"/>
      <c r="J3" s="1828"/>
      <c r="K3" s="1828"/>
      <c r="L3" s="1828"/>
      <c r="M3" s="1829"/>
      <c r="N3" s="1830"/>
      <c r="O3" s="1827"/>
      <c r="P3" s="1827"/>
      <c r="Q3" s="1827"/>
      <c r="R3" s="1826"/>
      <c r="S3" s="1827"/>
      <c r="T3" s="1826"/>
    </row>
    <row r="4">
      <c r="A4" s="1831"/>
      <c r="B4" s="1836" t="s">
        <v>4318</v>
      </c>
      <c r="C4" s="1840" t="s">
        <v>4319</v>
      </c>
      <c r="D4" s="1841" t="s">
        <v>4320</v>
      </c>
      <c r="E4" s="1842" t="s">
        <v>4321</v>
      </c>
      <c r="F4" s="1843" t="s">
        <v>4322</v>
      </c>
      <c r="G4" s="1837" t="s">
        <v>4323</v>
      </c>
      <c r="H4" s="1828"/>
      <c r="I4" s="1828"/>
      <c r="J4" s="1828"/>
      <c r="K4" s="1828"/>
      <c r="L4" s="1828"/>
      <c r="M4" s="1829"/>
      <c r="N4" s="1830"/>
      <c r="O4" s="1827"/>
      <c r="P4" s="1827"/>
      <c r="Q4" s="1827"/>
      <c r="R4" s="1826"/>
      <c r="S4" s="1827"/>
      <c r="T4" s="1826"/>
    </row>
    <row r="5">
      <c r="A5" s="1831"/>
      <c r="B5" s="1836" t="s">
        <v>4324</v>
      </c>
      <c r="C5" s="1837" t="s">
        <v>4325</v>
      </c>
      <c r="D5" s="1838" t="s">
        <v>4326</v>
      </c>
      <c r="E5" s="1844"/>
      <c r="F5" s="1845" t="s">
        <v>4327</v>
      </c>
      <c r="G5" s="1846"/>
      <c r="H5" s="1828"/>
      <c r="I5" s="1828"/>
      <c r="J5" s="1828"/>
      <c r="K5" s="1828"/>
      <c r="L5" s="1828"/>
      <c r="M5" s="1829"/>
      <c r="N5" s="1830"/>
      <c r="O5" s="1827"/>
      <c r="P5" s="1827"/>
      <c r="Q5" s="1827"/>
      <c r="R5" s="1826"/>
      <c r="S5" s="1827"/>
      <c r="T5" s="1826"/>
    </row>
    <row r="6">
      <c r="A6" s="1831"/>
      <c r="B6" s="1847" t="s">
        <v>4328</v>
      </c>
      <c r="C6" s="1848" t="s">
        <v>4329</v>
      </c>
      <c r="D6" s="1849"/>
      <c r="E6" s="1849"/>
      <c r="F6" s="1849"/>
      <c r="G6" s="1849"/>
      <c r="H6" s="1828"/>
      <c r="I6" s="1828"/>
      <c r="J6" s="1828"/>
      <c r="K6" s="1828"/>
      <c r="L6" s="1828"/>
      <c r="M6" s="1829"/>
      <c r="N6" s="1830"/>
      <c r="O6" s="1827"/>
      <c r="P6" s="1827"/>
      <c r="Q6" s="1827"/>
      <c r="R6" s="1826"/>
      <c r="S6" s="1827"/>
      <c r="T6" s="1826"/>
    </row>
    <row r="7">
      <c r="A7" s="1850"/>
      <c r="B7" s="1851" t="s">
        <v>4330</v>
      </c>
      <c r="C7" s="1852"/>
      <c r="D7" s="1852"/>
      <c r="E7" s="1852"/>
      <c r="F7" s="1851"/>
      <c r="G7" s="1852"/>
      <c r="H7" s="1852"/>
      <c r="I7" s="1852"/>
      <c r="J7" s="1852"/>
      <c r="K7" s="1852"/>
      <c r="L7" s="1852"/>
      <c r="M7" s="1853" t="s">
        <v>4331</v>
      </c>
      <c r="N7" s="1851"/>
      <c r="O7" s="1851"/>
      <c r="P7" s="1851"/>
      <c r="Q7" s="1851"/>
      <c r="R7" s="1852"/>
      <c r="S7" s="1851"/>
      <c r="T7" s="1852"/>
      <c r="U7" s="1854"/>
    </row>
    <row r="8">
      <c r="A8" s="1850"/>
      <c r="B8" s="1855" t="s">
        <v>4332</v>
      </c>
      <c r="C8" s="1856" t="s">
        <v>4333</v>
      </c>
      <c r="D8" s="1856" t="s">
        <v>4334</v>
      </c>
      <c r="E8" s="1856" t="s">
        <v>4335</v>
      </c>
      <c r="F8" s="1855" t="s">
        <v>4336</v>
      </c>
      <c r="G8" s="1856" t="s">
        <v>4337</v>
      </c>
      <c r="H8" s="1856" t="s">
        <v>4338</v>
      </c>
      <c r="I8" s="1856" t="s">
        <v>4339</v>
      </c>
      <c r="J8" s="1856" t="s">
        <v>4340</v>
      </c>
      <c r="K8" s="1856" t="s">
        <v>4341</v>
      </c>
      <c r="L8" s="1857" t="s">
        <v>4342</v>
      </c>
      <c r="M8" s="1855" t="s">
        <v>4343</v>
      </c>
      <c r="N8" s="1855" t="s">
        <v>4344</v>
      </c>
      <c r="O8" s="1855" t="s">
        <v>4345</v>
      </c>
      <c r="P8" s="1858" t="s">
        <v>4346</v>
      </c>
      <c r="Q8" s="1855" t="s">
        <v>4347</v>
      </c>
      <c r="R8" s="1856" t="s">
        <v>4348</v>
      </c>
      <c r="S8" s="1855" t="s">
        <v>4349</v>
      </c>
      <c r="T8" s="1856" t="s">
        <v>4350</v>
      </c>
      <c r="U8" s="1859"/>
    </row>
    <row r="9">
      <c r="A9" s="1828"/>
      <c r="B9" s="1860">
        <f>IFERROR(VLOOKUP(C9,'字段信息'!A:C,3,),"")</f>
      </c>
      <c r="C9" s="1861" t="s">
        <v>4351</v>
      </c>
      <c r="D9" s="1862">
        <f>IFERROR(VLOOKUP(C9,'字段信息'!A:C,2,),"")</f>
      </c>
      <c r="E9" s="1863"/>
      <c r="F9" s="1864">
        <f t="shared" ref="F9:F108" si="0">B9</f>
      </c>
      <c r="G9" s="1863"/>
      <c r="H9" s="1865"/>
      <c r="I9" s="1865"/>
      <c r="J9" s="1865"/>
      <c r="K9" s="1865"/>
      <c r="L9" s="1866"/>
      <c r="M9" s="1867" t="s">
        <v>4352</v>
      </c>
      <c r="N9" s="1868"/>
      <c r="O9" s="1869"/>
      <c r="P9" s="1870"/>
      <c r="Q9" s="1871"/>
      <c r="R9" s="1872"/>
      <c r="S9" s="1871"/>
      <c r="T9" s="1872"/>
      <c r="U9" s="1859"/>
    </row>
    <row r="10">
      <c r="A10" s="1828"/>
      <c r="B10" s="1860">
        <f>IFERROR(VLOOKUP(C10,'字段信息'!A:C,3,),"")</f>
      </c>
      <c r="C10" s="1861" t="s">
        <v>4353</v>
      </c>
      <c r="D10" s="1862">
        <f>IFERROR(VLOOKUP(C10,'字段信息'!A:C,2,),"")</f>
      </c>
      <c r="E10" s="1863"/>
      <c r="F10" s="1864">
        <f t="shared" si="0"/>
      </c>
      <c r="G10" s="1863" t="s">
        <v>4354</v>
      </c>
      <c r="H10" s="1865"/>
      <c r="I10" s="1865"/>
      <c r="J10" s="1865"/>
      <c r="K10" s="1865"/>
      <c r="L10" s="1866" t="s">
        <v>4355</v>
      </c>
      <c r="M10" s="1867" t="s">
        <v>4356</v>
      </c>
      <c r="N10" s="1868"/>
      <c r="O10" s="1869"/>
      <c r="P10" s="1870"/>
      <c r="Q10" s="1871"/>
      <c r="R10" s="1872"/>
      <c r="S10" s="1871"/>
      <c r="T10" s="1872"/>
      <c r="U10" s="1859"/>
    </row>
    <row r="11">
      <c r="A11" s="1828"/>
      <c r="B11" s="1860">
        <f>IFERROR(VLOOKUP(C11,'字段信息'!A:C,3,),"")</f>
      </c>
      <c r="C11" s="1861" t="s">
        <v>4357</v>
      </c>
      <c r="D11" s="1862">
        <f>IFERROR(VLOOKUP(C11,'字段信息'!A:C,2,),"")</f>
      </c>
      <c r="E11" s="1863"/>
      <c r="F11" s="1864">
        <f t="shared" si="0"/>
      </c>
      <c r="G11" s="1863" t="s">
        <v>4354</v>
      </c>
      <c r="H11" s="1865"/>
      <c r="I11" s="1865"/>
      <c r="J11" s="1865"/>
      <c r="K11" s="1865"/>
      <c r="L11" s="1866" t="s">
        <v>4355</v>
      </c>
      <c r="M11" s="1873" t="s">
        <v>4358</v>
      </c>
      <c r="N11" s="1874" t="s">
        <v>4359</v>
      </c>
      <c r="O11" s="1875" t="s">
        <v>4331</v>
      </c>
      <c r="P11" s="1861" t="s">
        <v>4357</v>
      </c>
      <c r="Q11" s="1876"/>
      <c r="R11" s="1877"/>
      <c r="S11" s="1871"/>
      <c r="T11" s="1872"/>
      <c r="U11" s="1859"/>
    </row>
    <row r="12">
      <c r="A12" s="1828"/>
      <c r="B12" s="1860">
        <f>IFERROR(VLOOKUP(C12,'字段信息'!A:C,3,),"")</f>
      </c>
      <c r="C12" s="1861" t="s">
        <v>4360</v>
      </c>
      <c r="D12" s="1862">
        <f>IFERROR(VLOOKUP(C12,'字段信息'!A:C,2,),"")</f>
      </c>
      <c r="E12" s="1863"/>
      <c r="F12" s="1864">
        <f t="shared" si="0"/>
      </c>
      <c r="G12" s="1863" t="s">
        <v>4354</v>
      </c>
      <c r="H12" s="1865"/>
      <c r="I12" s="1865"/>
      <c r="J12" s="1865"/>
      <c r="K12" s="1865"/>
      <c r="L12" s="1866" t="s">
        <v>4355</v>
      </c>
      <c r="M12" s="1873" t="s">
        <v>4358</v>
      </c>
      <c r="N12" s="1874" t="s">
        <v>4359</v>
      </c>
      <c r="O12" s="1875" t="s">
        <v>4331</v>
      </c>
      <c r="P12" s="1861" t="s">
        <v>4360</v>
      </c>
      <c r="Q12" s="1871"/>
      <c r="R12" s="1872"/>
      <c r="S12" s="1871"/>
      <c r="T12" s="1872"/>
      <c r="U12" s="1859"/>
    </row>
    <row r="13">
      <c r="A13" s="1828"/>
      <c r="B13" s="1860">
        <f>IFERROR(VLOOKUP(C13,'字段信息'!A:C,3,),"")</f>
      </c>
      <c r="C13" s="1861" t="s">
        <v>4361</v>
      </c>
      <c r="D13" s="1862">
        <f>IFERROR(VLOOKUP(C13,'字段信息'!A:C,2,),"")</f>
      </c>
      <c r="E13" s="1863"/>
      <c r="F13" s="1864">
        <f t="shared" si="0"/>
      </c>
      <c r="G13" s="1863" t="s">
        <v>4354</v>
      </c>
      <c r="H13" s="1865"/>
      <c r="I13" s="1865"/>
      <c r="J13" s="1865"/>
      <c r="K13" s="1865"/>
      <c r="L13" s="1866" t="s">
        <v>4355</v>
      </c>
      <c r="M13" s="1873" t="s">
        <v>4358</v>
      </c>
      <c r="N13" s="1874" t="s">
        <v>4359</v>
      </c>
      <c r="O13" s="1875" t="s">
        <v>4331</v>
      </c>
      <c r="P13" s="1878" t="s">
        <v>4361</v>
      </c>
      <c r="Q13" s="1871"/>
      <c r="R13" s="1872"/>
      <c r="S13" s="1871"/>
      <c r="T13" s="1872"/>
      <c r="U13" s="1859"/>
    </row>
    <row customHeight="true" ht="16.071428571428573" r="14">
      <c r="A14" s="1828"/>
      <c r="B14" s="1860">
        <f>IFERROR(VLOOKUP(C14,'字段信息'!A:C,3,),"")</f>
      </c>
      <c r="C14" s="1879" t="s">
        <v>4362</v>
      </c>
      <c r="D14" s="1862">
        <f>IFERROR(VLOOKUP(C14,'字段信息'!A:C,2,),"")</f>
      </c>
      <c r="E14" s="1863"/>
      <c r="F14" s="1864">
        <f t="shared" si="0"/>
      </c>
      <c r="G14" s="1863" t="s">
        <v>4354</v>
      </c>
      <c r="H14" s="1865"/>
      <c r="I14" s="1865"/>
      <c r="J14" s="1865"/>
      <c r="K14" s="1865"/>
      <c r="L14" s="1866"/>
      <c r="M14" s="1873" t="s">
        <v>4358</v>
      </c>
      <c r="N14" s="1874" t="s">
        <v>4359</v>
      </c>
      <c r="O14" s="1875" t="s">
        <v>4331</v>
      </c>
      <c r="P14" s="1879" t="s">
        <v>4362</v>
      </c>
      <c r="Q14" s="1871"/>
      <c r="R14" s="1872"/>
      <c r="S14" s="1871"/>
      <c r="T14" s="1872"/>
      <c r="U14" s="1859"/>
    </row>
    <row customHeight="true" ht="16.071428571428573" r="15">
      <c r="A15" s="1828"/>
      <c r="B15" s="1860">
        <f>IFERROR(VLOOKUP(C15,'字段信息'!A:C,3,),"")</f>
      </c>
      <c r="C15" s="1879" t="s">
        <v>4363</v>
      </c>
      <c r="D15" s="1862">
        <f>IFERROR(VLOOKUP(C15,'字段信息'!A:C,2,),"")</f>
      </c>
      <c r="E15" s="1863"/>
      <c r="F15" s="1864">
        <f t="shared" si="0"/>
      </c>
      <c r="G15" s="1863" t="s">
        <v>4354</v>
      </c>
      <c r="H15" s="1865"/>
      <c r="I15" s="1865"/>
      <c r="J15" s="1865"/>
      <c r="K15" s="1865"/>
      <c r="L15" s="1866"/>
      <c r="M15" s="1873" t="s">
        <v>4358</v>
      </c>
      <c r="N15" s="1874" t="s">
        <v>4359</v>
      </c>
      <c r="O15" s="1875" t="s">
        <v>4331</v>
      </c>
      <c r="P15" s="1879" t="s">
        <v>4363</v>
      </c>
      <c r="Q15" s="1871"/>
      <c r="R15" s="1872"/>
      <c r="S15" s="1871"/>
      <c r="T15" s="1872"/>
      <c r="U15" s="1859"/>
    </row>
    <row customHeight="true" ht="16.071428571428573" r="16">
      <c r="A16" s="1828"/>
      <c r="B16" s="1860">
        <f>IFERROR(VLOOKUP(C16,'字段信息'!A:C,3,),"")</f>
      </c>
      <c r="C16" s="1879" t="s">
        <v>4364</v>
      </c>
      <c r="D16" s="1862">
        <f>IFERROR(VLOOKUP(C16,'字段信息'!A:C,2,),"")</f>
      </c>
      <c r="E16" s="1863"/>
      <c r="F16" s="1864">
        <f t="shared" si="0"/>
      </c>
      <c r="G16" s="1863" t="s">
        <v>4354</v>
      </c>
      <c r="H16" s="1865"/>
      <c r="I16" s="1865"/>
      <c r="J16" s="1865"/>
      <c r="K16" s="1865"/>
      <c r="L16" s="1866"/>
      <c r="M16" s="1873" t="s">
        <v>4358</v>
      </c>
      <c r="N16" s="1874" t="s">
        <v>4359</v>
      </c>
      <c r="O16" s="1875" t="s">
        <v>4331</v>
      </c>
      <c r="P16" s="1879" t="s">
        <v>4364</v>
      </c>
      <c r="Q16" s="1871"/>
      <c r="R16" s="1872"/>
      <c r="S16" s="1871"/>
      <c r="T16" s="1872"/>
      <c r="U16" s="1859"/>
    </row>
    <row customHeight="true" ht="16.071428571428573" r="17">
      <c r="A17" s="1828"/>
      <c r="B17" s="1860">
        <f>IFERROR(VLOOKUP(C17,'字段信息'!A:C,3,),"")</f>
      </c>
      <c r="C17" s="1879" t="s">
        <v>4365</v>
      </c>
      <c r="D17" s="1862">
        <f>IFERROR(VLOOKUP(C17,'字段信息'!A:C,2,),"")</f>
      </c>
      <c r="E17" s="1863"/>
      <c r="F17" s="1864">
        <f t="shared" si="0"/>
      </c>
      <c r="G17" s="1863" t="s">
        <v>4354</v>
      </c>
      <c r="H17" s="1865"/>
      <c r="I17" s="1865"/>
      <c r="J17" s="1865"/>
      <c r="K17" s="1865"/>
      <c r="L17" s="1866"/>
      <c r="M17" s="1873" t="s">
        <v>4358</v>
      </c>
      <c r="N17" s="1874" t="s">
        <v>4359</v>
      </c>
      <c r="O17" s="1875" t="s">
        <v>4331</v>
      </c>
      <c r="P17" s="1879" t="s">
        <v>4365</v>
      </c>
      <c r="Q17" s="1871"/>
      <c r="R17" s="1872"/>
      <c r="S17" s="1871"/>
      <c r="T17" s="1872"/>
      <c r="U17" s="1859"/>
    </row>
    <row customHeight="true" ht="16.071428571428573" r="18">
      <c r="A18" s="1828"/>
      <c r="B18" s="1860">
        <f>IFERROR(VLOOKUP(C18,'字段信息'!A:C,3,),"")</f>
      </c>
      <c r="C18" s="1879" t="s">
        <v>4366</v>
      </c>
      <c r="D18" s="1862">
        <f>IFERROR(VLOOKUP(C18,'字段信息'!A:C,2,),"")</f>
      </c>
      <c r="E18" s="1863"/>
      <c r="F18" s="1864">
        <f t="shared" si="0"/>
      </c>
      <c r="G18" s="1863" t="s">
        <v>4354</v>
      </c>
      <c r="H18" s="1865"/>
      <c r="I18" s="1865"/>
      <c r="J18" s="1865"/>
      <c r="K18" s="1865"/>
      <c r="L18" s="1866"/>
      <c r="M18" s="1873" t="s">
        <v>4358</v>
      </c>
      <c r="N18" s="1874" t="s">
        <v>4359</v>
      </c>
      <c r="O18" s="1875" t="s">
        <v>4331</v>
      </c>
      <c r="P18" s="1879" t="s">
        <v>4366</v>
      </c>
      <c r="Q18" s="1871"/>
      <c r="R18" s="1872"/>
      <c r="S18" s="1871"/>
      <c r="T18" s="1872"/>
      <c r="U18" s="1859"/>
    </row>
    <row customHeight="true" ht="16.071428571428573" r="19">
      <c r="A19" s="1828"/>
      <c r="B19" s="1860">
        <f>IFERROR(VLOOKUP(C19,'字段信息'!A:C,3,),"")</f>
      </c>
      <c r="C19" s="1879" t="s">
        <v>4367</v>
      </c>
      <c r="D19" s="1862">
        <f>IFERROR(VLOOKUP(C19,'字段信息'!A:C,2,),"")</f>
      </c>
      <c r="E19" s="1863"/>
      <c r="F19" s="1864">
        <f t="shared" si="0"/>
      </c>
      <c r="G19" s="1863" t="s">
        <v>4354</v>
      </c>
      <c r="H19" s="1865"/>
      <c r="I19" s="1865"/>
      <c r="J19" s="1865"/>
      <c r="K19" s="1865"/>
      <c r="L19" s="1866"/>
      <c r="M19" s="1873" t="s">
        <v>4358</v>
      </c>
      <c r="N19" s="1874" t="s">
        <v>4359</v>
      </c>
      <c r="O19" s="1875" t="s">
        <v>4331</v>
      </c>
      <c r="P19" s="1879" t="s">
        <v>4367</v>
      </c>
      <c r="Q19" s="1871"/>
      <c r="R19" s="1872"/>
      <c r="S19" s="1871"/>
      <c r="T19" s="1872"/>
      <c r="U19" s="1859"/>
    </row>
    <row customHeight="true" ht="16.071428571428573" r="20">
      <c r="A20" s="1828"/>
      <c r="B20" s="1860">
        <f>IFERROR(VLOOKUP(C20,'字段信息'!A:C,3,),"")</f>
      </c>
      <c r="C20" s="1879" t="s">
        <v>4368</v>
      </c>
      <c r="D20" s="1862">
        <f>IFERROR(VLOOKUP(C20,'字段信息'!A:C,2,),"")</f>
      </c>
      <c r="E20" s="1863"/>
      <c r="F20" s="1864">
        <f t="shared" si="0"/>
      </c>
      <c r="G20" s="1863" t="s">
        <v>4354</v>
      </c>
      <c r="H20" s="1865"/>
      <c r="I20" s="1865"/>
      <c r="J20" s="1865"/>
      <c r="K20" s="1865"/>
      <c r="L20" s="1866"/>
      <c r="M20" s="1873" t="s">
        <v>4358</v>
      </c>
      <c r="N20" s="1874" t="s">
        <v>4359</v>
      </c>
      <c r="O20" s="1875" t="s">
        <v>4331</v>
      </c>
      <c r="P20" s="1879" t="s">
        <v>4368</v>
      </c>
      <c r="Q20" s="1871"/>
      <c r="R20" s="1872"/>
      <c r="S20" s="1871"/>
      <c r="T20" s="1872"/>
      <c r="U20" s="1859"/>
    </row>
    <row r="21">
      <c r="A21" s="1828"/>
      <c r="B21" s="1860">
        <f>IFERROR(VLOOKUP(C21,'字段信息'!A:C,3,),"")</f>
      </c>
      <c r="C21" s="1861" t="s">
        <v>4369</v>
      </c>
      <c r="D21" s="1862">
        <f>IFERROR(VLOOKUP(C21,'字段信息'!A:C,2,),"")</f>
      </c>
      <c r="E21" s="1863"/>
      <c r="F21" s="1864">
        <f t="shared" si="0"/>
      </c>
      <c r="G21" s="1863" t="s">
        <v>4354</v>
      </c>
      <c r="H21" s="1865"/>
      <c r="I21" s="1865"/>
      <c r="J21" s="1865"/>
      <c r="K21" s="1865"/>
      <c r="L21" s="1866" t="s">
        <v>4355</v>
      </c>
      <c r="M21" s="1873" t="s">
        <v>4358</v>
      </c>
      <c r="N21" s="1874" t="s">
        <v>4359</v>
      </c>
      <c r="O21" s="1875" t="s">
        <v>4331</v>
      </c>
      <c r="P21" s="1878" t="s">
        <v>4369</v>
      </c>
      <c r="Q21" s="1871"/>
      <c r="R21" s="1880"/>
      <c r="S21" s="1880"/>
      <c r="T21" s="1872"/>
      <c r="U21" s="1859"/>
    </row>
    <row r="22">
      <c r="A22" s="1828"/>
      <c r="B22" s="1860">
        <f>IFERROR(VLOOKUP(C22,'字段信息'!A:C,3,),"")</f>
      </c>
      <c r="C22" s="1861" t="s">
        <v>4370</v>
      </c>
      <c r="D22" s="1862">
        <f>IFERROR(VLOOKUP(C22,'字段信息'!A:C,2,),"")</f>
      </c>
      <c r="E22" s="1863"/>
      <c r="F22" s="1864">
        <f t="shared" si="0"/>
      </c>
      <c r="G22" s="1863" t="s">
        <v>4354</v>
      </c>
      <c r="H22" s="1865"/>
      <c r="I22" s="1865"/>
      <c r="J22" s="1865"/>
      <c r="K22" s="1865"/>
      <c r="L22" s="1866" t="s">
        <v>4355</v>
      </c>
      <c r="M22" s="1873" t="s">
        <v>4358</v>
      </c>
      <c r="N22" s="1874" t="s">
        <v>4359</v>
      </c>
      <c r="O22" s="1875" t="s">
        <v>4331</v>
      </c>
      <c r="P22" s="1878" t="s">
        <v>4370</v>
      </c>
      <c r="Q22" s="1871"/>
      <c r="R22" s="1872"/>
      <c r="S22" s="1871"/>
      <c r="T22" s="1872"/>
      <c r="U22" s="1859"/>
    </row>
    <row r="23">
      <c r="A23" s="1828"/>
      <c r="B23" s="1860">
        <f>IFERROR(VLOOKUP(C23,'字段信息'!A:C,3,),"")</f>
      </c>
      <c r="C23" s="1861" t="s">
        <v>4371</v>
      </c>
      <c r="D23" s="1862">
        <f>IFERROR(VLOOKUP(C23,'字段信息'!A:C,2,),"")</f>
      </c>
      <c r="E23" s="1863"/>
      <c r="F23" s="1864">
        <f t="shared" si="0"/>
      </c>
      <c r="G23" s="1863" t="s">
        <v>4354</v>
      </c>
      <c r="H23" s="1865"/>
      <c r="I23" s="1865"/>
      <c r="J23" s="1865"/>
      <c r="K23" s="1865"/>
      <c r="L23" s="1866" t="s">
        <v>4355</v>
      </c>
      <c r="M23" s="1873" t="s">
        <v>4358</v>
      </c>
      <c r="N23" s="1874" t="s">
        <v>4359</v>
      </c>
      <c r="O23" s="1875" t="s">
        <v>4331</v>
      </c>
      <c r="P23" s="1878" t="s">
        <v>4371</v>
      </c>
      <c r="Q23" s="1871"/>
      <c r="R23" s="1872"/>
      <c r="S23" s="1871"/>
      <c r="T23" s="1872"/>
      <c r="U23" s="1859"/>
    </row>
    <row r="24">
      <c r="A24" s="1828"/>
      <c r="B24" s="1860">
        <f>IFERROR(VLOOKUP(C24,'字段信息'!A:C,3,),"")</f>
      </c>
      <c r="C24" s="1861" t="s">
        <v>4372</v>
      </c>
      <c r="D24" s="1862">
        <f>IFERROR(VLOOKUP(C24,'字段信息'!A:C,2,),"")</f>
      </c>
      <c r="E24" s="1863"/>
      <c r="F24" s="1864">
        <f t="shared" si="0"/>
      </c>
      <c r="G24" s="1863" t="s">
        <v>4354</v>
      </c>
      <c r="H24" s="1865"/>
      <c r="I24" s="1865"/>
      <c r="J24" s="1865"/>
      <c r="K24" s="1865"/>
      <c r="L24" s="1866"/>
      <c r="M24" s="1873" t="s">
        <v>4358</v>
      </c>
      <c r="N24" s="1874" t="s">
        <v>4359</v>
      </c>
      <c r="O24" s="1875" t="s">
        <v>4331</v>
      </c>
      <c r="P24" s="1878" t="s">
        <v>4372</v>
      </c>
      <c r="Q24" s="1871"/>
      <c r="R24" s="1872"/>
      <c r="S24" s="1871"/>
      <c r="T24" s="1872"/>
      <c r="U24" s="1859"/>
    </row>
    <row r="25">
      <c r="A25" s="1828"/>
      <c r="B25" s="1860">
        <f>IFERROR(VLOOKUP(C25,'字段信息'!A:C,3,),"")</f>
      </c>
      <c r="C25" s="1861" t="s">
        <v>4373</v>
      </c>
      <c r="D25" s="1862">
        <f>IFERROR(VLOOKUP(C25,'字段信息'!A:C,2,),"")</f>
      </c>
      <c r="E25" s="1863"/>
      <c r="F25" s="1864">
        <f t="shared" si="0"/>
      </c>
      <c r="G25" s="1863" t="s">
        <v>4354</v>
      </c>
      <c r="H25" s="1865"/>
      <c r="I25" s="1865"/>
      <c r="J25" s="1865"/>
      <c r="K25" s="1865"/>
      <c r="L25" s="1866"/>
      <c r="M25" s="1873" t="s">
        <v>4358</v>
      </c>
      <c r="N25" s="1874" t="s">
        <v>4359</v>
      </c>
      <c r="O25" s="1875" t="s">
        <v>4331</v>
      </c>
      <c r="P25" s="1878" t="s">
        <v>4373</v>
      </c>
      <c r="Q25" s="1871"/>
      <c r="R25" s="1872"/>
      <c r="S25" s="1871"/>
      <c r="T25" s="1872"/>
      <c r="U25" s="1859"/>
    </row>
    <row r="26">
      <c r="A26" s="1828"/>
      <c r="B26" s="1860">
        <f>IFERROR(VLOOKUP(C26,'字段信息'!A:C,3,),"")</f>
      </c>
      <c r="C26" s="1861" t="s">
        <v>4374</v>
      </c>
      <c r="D26" s="1862">
        <f>IFERROR(VLOOKUP(C26,'字段信息'!A:C,2,),"")</f>
      </c>
      <c r="E26" s="1863"/>
      <c r="F26" s="1864">
        <f t="shared" si="0"/>
      </c>
      <c r="G26" s="1863" t="s">
        <v>4354</v>
      </c>
      <c r="H26" s="1865"/>
      <c r="I26" s="1865"/>
      <c r="J26" s="1865"/>
      <c r="K26" s="1865"/>
      <c r="L26" s="1866" t="s">
        <v>4355</v>
      </c>
      <c r="M26" s="1873" t="s">
        <v>4358</v>
      </c>
      <c r="N26" s="1874" t="s">
        <v>4359</v>
      </c>
      <c r="O26" s="1875" t="s">
        <v>4331</v>
      </c>
      <c r="P26" s="1878" t="s">
        <v>4374</v>
      </c>
      <c r="Q26" s="1871"/>
      <c r="R26" s="1872"/>
      <c r="S26" s="1871"/>
      <c r="T26" s="1872"/>
      <c r="U26" s="1859"/>
    </row>
    <row r="27">
      <c r="A27" s="1828"/>
      <c r="B27" s="1860">
        <f>IFERROR(VLOOKUP(C27,'字段信息'!A:C,3,),"")</f>
      </c>
      <c r="C27" s="1861" t="s">
        <v>4375</v>
      </c>
      <c r="D27" s="1862">
        <f>IFERROR(VLOOKUP(C27,'字段信息'!A:C,2,),"")</f>
      </c>
      <c r="E27" s="1863"/>
      <c r="F27" s="1864">
        <f t="shared" si="0"/>
      </c>
      <c r="G27" s="1863" t="s">
        <v>4354</v>
      </c>
      <c r="H27" s="1865"/>
      <c r="I27" s="1865"/>
      <c r="J27" s="1865"/>
      <c r="K27" s="1865"/>
      <c r="L27" s="1866"/>
      <c r="M27" s="1867" t="s">
        <v>4376</v>
      </c>
      <c r="N27" s="1874" t="s">
        <v>4359</v>
      </c>
      <c r="O27" s="1875" t="s">
        <v>4331</v>
      </c>
      <c r="P27" s="1861" t="s">
        <v>4375</v>
      </c>
      <c r="Q27" s="1871"/>
      <c r="R27" s="1872"/>
      <c r="S27" s="1871"/>
      <c r="T27" s="1872"/>
      <c r="U27" s="1859"/>
    </row>
    <row r="28">
      <c r="A28" s="1881"/>
      <c r="B28" s="1882">
        <f>IFERROR(VLOOKUP(C28,'字段信息'!A:C,3,),"")</f>
      </c>
      <c r="C28" s="1861" t="s">
        <v>4377</v>
      </c>
      <c r="D28" s="1883">
        <f>IFERROR(VLOOKUP(C28,'字段信息'!A:C,2,),"")</f>
      </c>
      <c r="E28" s="1884"/>
      <c r="F28" s="1885">
        <f t="shared" si="0"/>
      </c>
      <c r="G28" s="1884" t="s">
        <v>4354</v>
      </c>
      <c r="H28" s="1886"/>
      <c r="I28" s="1886"/>
      <c r="J28" s="1886"/>
      <c r="K28" s="1886"/>
      <c r="L28" s="1887"/>
      <c r="M28" s="1867" t="s">
        <v>4378</v>
      </c>
      <c r="N28" s="1874" t="s">
        <v>4359</v>
      </c>
      <c r="O28" s="1875" t="s">
        <v>4331</v>
      </c>
      <c r="P28" s="1861" t="s">
        <v>4377</v>
      </c>
      <c r="Q28" s="1888"/>
      <c r="R28" s="1889"/>
      <c r="S28" s="1888"/>
      <c r="T28" s="1889"/>
      <c r="U28" s="1890"/>
    </row>
    <row r="29">
      <c r="A29" s="1881"/>
      <c r="B29" s="1882">
        <f>IFERROR(VLOOKUP(C29,'字段信息'!A:C,3,),"")</f>
      </c>
      <c r="C29" s="1861" t="s">
        <v>4379</v>
      </c>
      <c r="D29" s="1883">
        <f>IFERROR(VLOOKUP(C29,'字段信息'!A:C,2,),"")</f>
      </c>
      <c r="E29" s="1884"/>
      <c r="F29" s="1885">
        <f t="shared" si="0"/>
      </c>
      <c r="G29" s="1884" t="s">
        <v>4354</v>
      </c>
      <c r="H29" s="1886"/>
      <c r="I29" s="1886"/>
      <c r="J29" s="1886"/>
      <c r="K29" s="1886"/>
      <c r="L29" s="1887"/>
      <c r="M29" s="1867" t="s">
        <v>4380</v>
      </c>
      <c r="N29" s="1874" t="s">
        <v>4359</v>
      </c>
      <c r="O29" s="1875" t="s">
        <v>4331</v>
      </c>
      <c r="P29" s="1861" t="s">
        <v>4379</v>
      </c>
      <c r="Q29" s="1888"/>
      <c r="R29" s="1889"/>
      <c r="S29" s="1888"/>
      <c r="T29" s="1889"/>
      <c r="U29" s="1890"/>
    </row>
    <row r="30">
      <c r="A30" s="1881"/>
      <c r="B30" s="1882">
        <f>IFERROR(VLOOKUP(C30,'字段信息'!A:C,3,),"")</f>
      </c>
      <c r="C30" s="1861" t="s">
        <v>4381</v>
      </c>
      <c r="D30" s="1883">
        <f>IFERROR(VLOOKUP(C30,'字段信息'!A:C,2,),"")</f>
      </c>
      <c r="E30" s="1884"/>
      <c r="F30" s="1885">
        <f t="shared" si="0"/>
      </c>
      <c r="G30" s="1884" t="s">
        <v>4354</v>
      </c>
      <c r="H30" s="1886"/>
      <c r="I30" s="1886"/>
      <c r="J30" s="1886"/>
      <c r="K30" s="1886"/>
      <c r="L30" s="1887" t="s">
        <v>4355</v>
      </c>
      <c r="M30" s="1867" t="s">
        <v>4382</v>
      </c>
      <c r="N30" s="1874" t="s">
        <v>4359</v>
      </c>
      <c r="O30" s="1875" t="s">
        <v>4331</v>
      </c>
      <c r="P30" s="1861" t="s">
        <v>4381</v>
      </c>
      <c r="Q30" s="1888"/>
      <c r="R30" s="1889"/>
      <c r="S30" s="1888"/>
      <c r="T30" s="1889"/>
      <c r="U30" s="1890"/>
    </row>
    <row r="31">
      <c r="A31" s="1828"/>
      <c r="B31" s="1860">
        <f>IFERROR(VLOOKUP(C31,'字段信息'!A:C,3,),"")</f>
      </c>
      <c r="C31" s="1861" t="s">
        <v>4383</v>
      </c>
      <c r="D31" s="1862">
        <f>IFERROR(VLOOKUP(C31,'字段信息'!A:C,2,),"")</f>
      </c>
      <c r="E31" s="1863"/>
      <c r="F31" s="1864">
        <f t="shared" si="0"/>
      </c>
      <c r="G31" s="1863" t="s">
        <v>4354</v>
      </c>
      <c r="H31" s="1865"/>
      <c r="I31" s="1865"/>
      <c r="J31" s="1865"/>
      <c r="K31" s="1865"/>
      <c r="L31" s="1866"/>
      <c r="M31" s="1867" t="s">
        <v>4380</v>
      </c>
      <c r="N31" s="1874" t="s">
        <v>4359</v>
      </c>
      <c r="O31" s="1875" t="s">
        <v>4331</v>
      </c>
      <c r="P31" s="1861" t="s">
        <v>4383</v>
      </c>
      <c r="Q31" s="1891"/>
      <c r="R31" s="1872"/>
      <c r="S31" s="1871"/>
      <c r="T31" s="1872"/>
      <c r="U31" s="1859"/>
    </row>
    <row r="32">
      <c r="A32" s="1828"/>
      <c r="B32" s="1860">
        <f>IFERROR(VLOOKUP(C32,'字段信息'!A:C,3,),"")</f>
      </c>
      <c r="C32" s="1861" t="s">
        <v>4384</v>
      </c>
      <c r="D32" s="1862">
        <f>IFERROR(VLOOKUP(C32,'字段信息'!A:C,2,),"")</f>
      </c>
      <c r="E32" s="1863"/>
      <c r="F32" s="1864">
        <f t="shared" si="0"/>
      </c>
      <c r="G32" s="1863" t="s">
        <v>4354</v>
      </c>
      <c r="H32" s="1865"/>
      <c r="I32" s="1865"/>
      <c r="J32" s="1865"/>
      <c r="K32" s="1865"/>
      <c r="L32" s="1866" t="s">
        <v>4355</v>
      </c>
      <c r="M32" s="1867" t="s">
        <v>4382</v>
      </c>
      <c r="N32" s="1874" t="s">
        <v>4359</v>
      </c>
      <c r="O32" s="1875" t="s">
        <v>4331</v>
      </c>
      <c r="P32" s="1861" t="s">
        <v>4384</v>
      </c>
      <c r="Q32" s="1891"/>
      <c r="R32" s="1872"/>
      <c r="S32" s="1871"/>
      <c r="T32" s="1872"/>
      <c r="U32" s="1859"/>
    </row>
    <row r="33">
      <c r="A33" s="1828"/>
      <c r="B33" s="1860">
        <f>IFERROR(VLOOKUP(C33,'字段信息'!A:C,3,),"")</f>
      </c>
      <c r="C33" s="1861" t="s">
        <v>4385</v>
      </c>
      <c r="D33" s="1862">
        <f>IFERROR(VLOOKUP(C33,'字段信息'!A:C,2,),"")</f>
      </c>
      <c r="E33" s="1863"/>
      <c r="F33" s="1864">
        <f t="shared" si="0"/>
      </c>
      <c r="G33" s="1863" t="s">
        <v>4354</v>
      </c>
      <c r="H33" s="1865"/>
      <c r="I33" s="1865"/>
      <c r="J33" s="1865"/>
      <c r="K33" s="1865"/>
      <c r="L33" s="1866"/>
      <c r="M33" s="1867" t="s">
        <v>4386</v>
      </c>
      <c r="N33" s="1874" t="s">
        <v>4359</v>
      </c>
      <c r="O33" s="1875" t="s">
        <v>4331</v>
      </c>
      <c r="P33" s="1861" t="s">
        <v>4385</v>
      </c>
      <c r="Q33" s="1891"/>
      <c r="R33" s="1872"/>
      <c r="S33" s="1871"/>
      <c r="T33" s="1872"/>
      <c r="U33" s="1859"/>
    </row>
    <row r="34">
      <c r="A34" s="1828"/>
      <c r="B34" s="1860">
        <f>IFERROR(VLOOKUP(C34,'字段信息'!A:C,3,),"")</f>
      </c>
      <c r="C34" s="1861" t="s">
        <v>4387</v>
      </c>
      <c r="D34" s="1862">
        <f>IFERROR(VLOOKUP(C34,'字段信息'!A:C,2,),"")</f>
      </c>
      <c r="E34" s="1863"/>
      <c r="F34" s="1864">
        <f t="shared" si="0"/>
      </c>
      <c r="G34" s="1863" t="s">
        <v>4354</v>
      </c>
      <c r="H34" s="1865"/>
      <c r="I34" s="1865"/>
      <c r="J34" s="1865"/>
      <c r="K34" s="1865"/>
      <c r="L34" s="1892" t="s">
        <v>4355</v>
      </c>
      <c r="M34" s="1893" t="s">
        <v>4388</v>
      </c>
      <c r="N34" s="1874" t="s">
        <v>4359</v>
      </c>
      <c r="O34" s="1875" t="s">
        <v>4331</v>
      </c>
      <c r="P34" s="1861" t="s">
        <v>4387</v>
      </c>
      <c r="Q34" s="1871"/>
      <c r="R34" s="1872"/>
      <c r="S34" s="1871"/>
      <c r="T34" s="1872"/>
      <c r="U34" s="1859"/>
    </row>
    <row r="35">
      <c r="A35" s="1828"/>
      <c r="B35" s="1860">
        <f>IFERROR(VLOOKUP(C35,'字段信息'!A:C,3,),"")</f>
      </c>
      <c r="C35" s="1861" t="s">
        <v>4389</v>
      </c>
      <c r="D35" s="1862">
        <f>IFERROR(VLOOKUP(C35,'字段信息'!A:C,2,),"")</f>
      </c>
      <c r="E35" s="1863"/>
      <c r="F35" s="1864">
        <f t="shared" si="0"/>
      </c>
      <c r="G35" s="1863" t="s">
        <v>4354</v>
      </c>
      <c r="H35" s="1865"/>
      <c r="I35" s="1865"/>
      <c r="J35" s="1865"/>
      <c r="K35" s="1865"/>
      <c r="L35" s="1892" t="s">
        <v>4355</v>
      </c>
      <c r="M35" s="1893" t="s">
        <v>4390</v>
      </c>
      <c r="N35" s="1874" t="s">
        <v>4359</v>
      </c>
      <c r="O35" s="1875" t="s">
        <v>4331</v>
      </c>
      <c r="P35" s="1861" t="s">
        <v>4389</v>
      </c>
      <c r="Q35" s="1871"/>
      <c r="R35" s="1872"/>
      <c r="S35" s="1871"/>
      <c r="T35" s="1872"/>
      <c r="U35" s="1859"/>
    </row>
    <row r="36">
      <c r="A36" s="1828"/>
      <c r="B36" s="1860">
        <f>IFERROR(VLOOKUP(C36,'字段信息'!A:C,3,),"")</f>
      </c>
      <c r="C36" s="1861" t="s">
        <v>4391</v>
      </c>
      <c r="D36" s="1862">
        <f>IFERROR(VLOOKUP(C35,'字段信息'!A:C,2,),"")</f>
      </c>
      <c r="E36" s="1863"/>
      <c r="F36" s="1864">
        <f t="shared" si="0"/>
      </c>
      <c r="G36" s="1863" t="s">
        <v>4354</v>
      </c>
      <c r="H36" s="1865"/>
      <c r="I36" s="1865"/>
      <c r="J36" s="1865"/>
      <c r="K36" s="1865"/>
      <c r="L36" s="1892" t="s">
        <v>4355</v>
      </c>
      <c r="M36" s="1893" t="s">
        <v>4392</v>
      </c>
      <c r="N36" s="1874" t="s">
        <v>4359</v>
      </c>
      <c r="O36" s="1875" t="s">
        <v>4331</v>
      </c>
      <c r="P36" s="1861" t="s">
        <v>4391</v>
      </c>
      <c r="Q36" s="1880"/>
      <c r="R36" s="1872"/>
      <c r="S36" s="1871"/>
      <c r="T36" s="1872"/>
      <c r="U36" s="1859"/>
    </row>
    <row r="37">
      <c r="A37" s="1894"/>
      <c r="B37" s="1860">
        <f>IFERROR(VLOOKUP(C37,'字段信息'!A:C,3,),"")</f>
      </c>
      <c r="C37" s="1861" t="s">
        <v>4393</v>
      </c>
      <c r="D37" s="1862">
        <f>IFERROR(VLOOKUP(C36,'字段信息'!A:C,2,),"")</f>
      </c>
      <c r="E37" s="1863"/>
      <c r="F37" s="1864">
        <f t="shared" si="0"/>
      </c>
      <c r="G37" s="1863" t="s">
        <v>4354</v>
      </c>
      <c r="H37" s="1865"/>
      <c r="I37" s="1865"/>
      <c r="J37" s="1865"/>
      <c r="K37" s="1865"/>
      <c r="L37" s="1892" t="s">
        <v>4355</v>
      </c>
      <c r="M37" s="1893" t="s">
        <v>4390</v>
      </c>
      <c r="N37" s="1874" t="s">
        <v>4359</v>
      </c>
      <c r="O37" s="1875" t="s">
        <v>4331</v>
      </c>
      <c r="P37" s="1861" t="s">
        <v>4393</v>
      </c>
      <c r="Q37" s="1891"/>
      <c r="R37" s="1872"/>
      <c r="S37" s="1871"/>
      <c r="T37" s="1872"/>
      <c r="U37" s="1859"/>
    </row>
    <row r="38">
      <c r="A38" s="1828"/>
      <c r="B38" s="1860">
        <f>IFERROR(VLOOKUP(C38,'字段信息'!A:C,3,),"")</f>
      </c>
      <c r="C38" s="1861" t="s">
        <v>4394</v>
      </c>
      <c r="D38" s="1862">
        <f>IFERROR(VLOOKUP(C37,'字段信息'!A:C,2,),"")</f>
      </c>
      <c r="E38" s="1863"/>
      <c r="F38" s="1864">
        <f t="shared" si="0"/>
      </c>
      <c r="G38" s="1863" t="s">
        <v>4354</v>
      </c>
      <c r="H38" s="1865"/>
      <c r="I38" s="1865"/>
      <c r="J38" s="1865"/>
      <c r="K38" s="1865"/>
      <c r="L38" s="1892"/>
      <c r="M38" s="1893" t="s">
        <v>4392</v>
      </c>
      <c r="N38" s="1874" t="s">
        <v>4359</v>
      </c>
      <c r="O38" s="1875" t="s">
        <v>4331</v>
      </c>
      <c r="P38" s="1861" t="s">
        <v>4394</v>
      </c>
      <c r="Q38" s="1871"/>
      <c r="R38" s="1872"/>
      <c r="S38" s="1871"/>
      <c r="T38" s="1872"/>
      <c r="U38" s="1859"/>
    </row>
    <row r="39">
      <c r="A39" s="1828"/>
      <c r="B39" s="1860">
        <f>IFERROR(VLOOKUP(C39,'字段信息'!A:C,3,),"")</f>
      </c>
      <c r="C39" s="1861" t="s">
        <v>4395</v>
      </c>
      <c r="D39" s="1862">
        <f>IFERROR(VLOOKUP(C38,'字段信息'!A:C,2,),"")</f>
      </c>
      <c r="E39" s="1863"/>
      <c r="F39" s="1864">
        <f t="shared" si="0"/>
      </c>
      <c r="G39" s="1863" t="s">
        <v>4354</v>
      </c>
      <c r="H39" s="1865"/>
      <c r="I39" s="1865"/>
      <c r="J39" s="1865"/>
      <c r="K39" s="1865"/>
      <c r="L39" s="1892"/>
      <c r="M39" s="1867" t="s">
        <v>4396</v>
      </c>
      <c r="N39" s="1874" t="s">
        <v>4359</v>
      </c>
      <c r="O39" s="1875" t="s">
        <v>4331</v>
      </c>
      <c r="P39" s="1861" t="s">
        <v>4395</v>
      </c>
      <c r="Q39" s="1871"/>
      <c r="R39" s="1872"/>
      <c r="S39" s="1871"/>
      <c r="T39" s="1872"/>
      <c r="U39" s="1859"/>
    </row>
    <row r="40">
      <c r="A40" s="1828"/>
      <c r="B40" s="1860">
        <f>IFERROR(VLOOKUP(C40,'字段信息'!A:C,3,),"")</f>
      </c>
      <c r="C40" s="1861" t="s">
        <v>4397</v>
      </c>
      <c r="D40" s="1862">
        <f>IFERROR(VLOOKUP(C39,'字段信息'!A:C,2,),"")</f>
      </c>
      <c r="E40" s="1863"/>
      <c r="F40" s="1864">
        <f t="shared" si="0"/>
      </c>
      <c r="G40" s="1863" t="s">
        <v>4354</v>
      </c>
      <c r="H40" s="1865"/>
      <c r="I40" s="1865"/>
      <c r="J40" s="1865"/>
      <c r="K40" s="1865"/>
      <c r="L40" s="1892"/>
      <c r="M40" s="1893" t="s">
        <v>4398</v>
      </c>
      <c r="N40" s="1874" t="s">
        <v>4359</v>
      </c>
      <c r="O40" s="1875" t="s">
        <v>4331</v>
      </c>
      <c r="P40" s="1861" t="s">
        <v>4397</v>
      </c>
      <c r="Q40" s="1871"/>
      <c r="R40" s="1872"/>
      <c r="S40" s="1871"/>
      <c r="T40" s="1872"/>
      <c r="U40" s="1859"/>
    </row>
    <row r="41">
      <c r="A41" s="1828"/>
      <c r="B41" s="1860">
        <f>IFERROR(VLOOKUP(C41,'字段信息'!A:C,3,),"")</f>
      </c>
      <c r="C41" s="1861" t="s">
        <v>4399</v>
      </c>
      <c r="D41" s="1862">
        <f>IFERROR(VLOOKUP(C40,'字段信息'!A:C,2,),"")</f>
      </c>
      <c r="E41" s="1863"/>
      <c r="F41" s="1864">
        <f t="shared" si="0"/>
      </c>
      <c r="G41" s="1863" t="s">
        <v>4354</v>
      </c>
      <c r="H41" s="1865"/>
      <c r="I41" s="1865"/>
      <c r="J41" s="1865"/>
      <c r="K41" s="1865"/>
      <c r="L41" s="1892"/>
      <c r="M41" s="1893" t="s">
        <v>4400</v>
      </c>
      <c r="N41" s="1874" t="s">
        <v>4359</v>
      </c>
      <c r="O41" s="1875" t="s">
        <v>4331</v>
      </c>
      <c r="P41" s="1861" t="s">
        <v>4399</v>
      </c>
      <c r="Q41" s="1871"/>
      <c r="R41" s="1872"/>
      <c r="S41" s="1871"/>
      <c r="T41" s="1872"/>
      <c r="U41" s="1859"/>
    </row>
    <row r="42">
      <c r="A42" s="1828"/>
      <c r="B42" s="1860">
        <f>IFERROR(VLOOKUP(C42,'字段信息'!A:C,3,),"")</f>
      </c>
      <c r="C42" s="1861" t="s">
        <v>4401</v>
      </c>
      <c r="D42" s="1862">
        <f>IFERROR(VLOOKUP(C41,'字段信息'!A:C,2,),"")</f>
      </c>
      <c r="E42" s="1863"/>
      <c r="F42" s="1864">
        <f t="shared" si="0"/>
      </c>
      <c r="G42" s="1863" t="s">
        <v>4354</v>
      </c>
      <c r="H42" s="1865"/>
      <c r="I42" s="1865"/>
      <c r="J42" s="1865"/>
      <c r="K42" s="1865"/>
      <c r="L42" s="1892"/>
      <c r="M42" s="1893" t="s">
        <v>4402</v>
      </c>
      <c r="N42" s="1874" t="s">
        <v>4359</v>
      </c>
      <c r="O42" s="1875" t="s">
        <v>4331</v>
      </c>
      <c r="P42" s="1861" t="s">
        <v>4401</v>
      </c>
      <c r="Q42" s="1871"/>
      <c r="R42" s="1872"/>
      <c r="S42" s="1871"/>
      <c r="T42" s="1872"/>
      <c r="U42" s="1859"/>
    </row>
    <row r="43">
      <c r="A43" s="1828"/>
      <c r="B43" s="1860">
        <f>IFERROR(VLOOKUP(C43,'字段信息'!A:C,3,),"")</f>
      </c>
      <c r="C43" s="1861" t="s">
        <v>4403</v>
      </c>
      <c r="D43" s="1862">
        <f>IFERROR(VLOOKUP(C42,'字段信息'!A:C,2,),"")</f>
      </c>
      <c r="E43" s="1863"/>
      <c r="F43" s="1864">
        <f t="shared" si="0"/>
      </c>
      <c r="G43" s="1863" t="s">
        <v>4354</v>
      </c>
      <c r="H43" s="1865"/>
      <c r="I43" s="1865"/>
      <c r="J43" s="1865"/>
      <c r="K43" s="1865"/>
      <c r="L43" s="1892"/>
      <c r="M43" s="1893" t="s">
        <v>4400</v>
      </c>
      <c r="N43" s="1874" t="s">
        <v>4359</v>
      </c>
      <c r="O43" s="1875" t="s">
        <v>4331</v>
      </c>
      <c r="P43" s="1861" t="s">
        <v>4403</v>
      </c>
      <c r="Q43" s="1871"/>
      <c r="R43" s="1872"/>
      <c r="S43" s="1871"/>
      <c r="T43" s="1872"/>
      <c r="U43" s="1859"/>
    </row>
    <row r="44">
      <c r="A44" s="1828"/>
      <c r="B44" s="1860">
        <f>IFERROR(VLOOKUP(C44,'字段信息'!A:C,3,),"")</f>
      </c>
      <c r="C44" s="1861" t="s">
        <v>4404</v>
      </c>
      <c r="D44" s="1862">
        <f>IFERROR(VLOOKUP(C43,'字段信息'!A:C,2,),"")</f>
      </c>
      <c r="E44" s="1863"/>
      <c r="F44" s="1864">
        <f t="shared" si="0"/>
      </c>
      <c r="G44" s="1863" t="s">
        <v>4354</v>
      </c>
      <c r="H44" s="1865"/>
      <c r="I44" s="1865"/>
      <c r="J44" s="1865"/>
      <c r="K44" s="1865"/>
      <c r="L44" s="1892"/>
      <c r="M44" s="1893" t="s">
        <v>4402</v>
      </c>
      <c r="N44" s="1874" t="s">
        <v>4359</v>
      </c>
      <c r="O44" s="1875" t="s">
        <v>4331</v>
      </c>
      <c r="P44" s="1861" t="s">
        <v>4404</v>
      </c>
      <c r="Q44" s="1871"/>
      <c r="R44" s="1872"/>
      <c r="S44" s="1871"/>
      <c r="T44" s="1872"/>
      <c r="U44" s="1859"/>
    </row>
    <row r="45">
      <c r="A45" s="1828"/>
      <c r="B45" s="1860">
        <f>IFERROR(VLOOKUP(C45,'字段信息'!A:C,3,),"")</f>
      </c>
      <c r="C45" s="1861" t="s">
        <v>4405</v>
      </c>
      <c r="D45" s="1862">
        <f>IFERROR(VLOOKUP(C44,'字段信息'!A:C,2,),"")</f>
      </c>
      <c r="E45" s="1863"/>
      <c r="F45" s="1864">
        <f t="shared" si="0"/>
      </c>
      <c r="G45" s="1863" t="s">
        <v>4354</v>
      </c>
      <c r="H45" s="1865"/>
      <c r="I45" s="1865"/>
      <c r="J45" s="1865"/>
      <c r="K45" s="1865"/>
      <c r="L45" s="1892"/>
      <c r="M45" s="1867" t="s">
        <v>4386</v>
      </c>
      <c r="N45" s="1874" t="s">
        <v>4359</v>
      </c>
      <c r="O45" s="1875" t="s">
        <v>4331</v>
      </c>
      <c r="P45" s="1861" t="s">
        <v>4405</v>
      </c>
      <c r="Q45" s="1871"/>
      <c r="R45" s="1872"/>
      <c r="S45" s="1871"/>
      <c r="T45" s="1872"/>
      <c r="U45" s="1859"/>
    </row>
    <row r="46">
      <c r="A46" s="1828"/>
      <c r="B46" s="1860">
        <f>IFERROR(VLOOKUP(C46,'字段信息'!A:C,3,),"")</f>
      </c>
      <c r="C46" s="1861" t="s">
        <v>4406</v>
      </c>
      <c r="D46" s="1862">
        <f>IFERROR(VLOOKUP(C45,'字段信息'!A:C,2,),"")</f>
      </c>
      <c r="E46" s="1863"/>
      <c r="F46" s="1864">
        <f t="shared" si="0"/>
      </c>
      <c r="G46" s="1863" t="s">
        <v>4354</v>
      </c>
      <c r="H46" s="1865"/>
      <c r="I46" s="1865"/>
      <c r="J46" s="1865"/>
      <c r="K46" s="1865"/>
      <c r="L46" s="1892"/>
      <c r="M46" s="1893" t="s">
        <v>4388</v>
      </c>
      <c r="N46" s="1874" t="s">
        <v>4359</v>
      </c>
      <c r="O46" s="1875" t="s">
        <v>4331</v>
      </c>
      <c r="P46" s="1861" t="s">
        <v>4406</v>
      </c>
      <c r="Q46" s="1871"/>
      <c r="R46" s="1872"/>
      <c r="S46" s="1871"/>
      <c r="T46" s="1872"/>
      <c r="U46" s="1859"/>
    </row>
    <row r="47">
      <c r="A47" s="1828"/>
      <c r="B47" s="1860">
        <f>IFERROR(VLOOKUP(C47,'字段信息'!A:C,3,),"")</f>
      </c>
      <c r="C47" s="1861" t="s">
        <v>4407</v>
      </c>
      <c r="D47" s="1862">
        <f>IFERROR(VLOOKUP(C46,'字段信息'!A:C,2,),"")</f>
      </c>
      <c r="E47" s="1863"/>
      <c r="F47" s="1864">
        <f t="shared" si="0"/>
      </c>
      <c r="G47" s="1863" t="s">
        <v>4354</v>
      </c>
      <c r="H47" s="1865"/>
      <c r="I47" s="1865"/>
      <c r="J47" s="1865"/>
      <c r="K47" s="1865"/>
      <c r="L47" s="1892"/>
      <c r="M47" s="1893" t="s">
        <v>4390</v>
      </c>
      <c r="N47" s="1874" t="s">
        <v>4359</v>
      </c>
      <c r="O47" s="1875" t="s">
        <v>4331</v>
      </c>
      <c r="P47" s="1861" t="s">
        <v>4407</v>
      </c>
      <c r="Q47" s="1871"/>
      <c r="R47" s="1872"/>
      <c r="S47" s="1871"/>
      <c r="T47" s="1872"/>
      <c r="U47" s="1859"/>
    </row>
    <row r="48">
      <c r="A48" s="1828"/>
      <c r="B48" s="1860">
        <f>IFERROR(VLOOKUP(C48,'字段信息'!A:C,3,),"")</f>
      </c>
      <c r="C48" s="1861" t="s">
        <v>4408</v>
      </c>
      <c r="D48" s="1862">
        <f>IFERROR(VLOOKUP(C47,'字段信息'!A:C,2,),"")</f>
      </c>
      <c r="E48" s="1863"/>
      <c r="F48" s="1864">
        <f t="shared" si="0"/>
      </c>
      <c r="G48" s="1863" t="s">
        <v>4354</v>
      </c>
      <c r="H48" s="1865"/>
      <c r="I48" s="1865"/>
      <c r="J48" s="1865"/>
      <c r="K48" s="1865"/>
      <c r="L48" s="1892"/>
      <c r="M48" s="1893" t="s">
        <v>4392</v>
      </c>
      <c r="N48" s="1874" t="s">
        <v>4359</v>
      </c>
      <c r="O48" s="1875" t="s">
        <v>4331</v>
      </c>
      <c r="P48" s="1861" t="s">
        <v>4408</v>
      </c>
      <c r="Q48" s="1871"/>
      <c r="R48" s="1872"/>
      <c r="S48" s="1871"/>
      <c r="T48" s="1872"/>
      <c r="U48" s="1859"/>
    </row>
    <row r="49">
      <c r="A49" s="1828"/>
      <c r="B49" s="1860">
        <f>IFERROR(VLOOKUP(C49,'字段信息'!A:C,3,),"")</f>
      </c>
      <c r="C49" s="1861" t="s">
        <v>4409</v>
      </c>
      <c r="D49" s="1862">
        <f>IFERROR(VLOOKUP(C48,'字段信息'!A:C,2,),"")</f>
      </c>
      <c r="E49" s="1863"/>
      <c r="F49" s="1864">
        <f t="shared" si="0"/>
      </c>
      <c r="G49" s="1863" t="s">
        <v>4354</v>
      </c>
      <c r="H49" s="1865"/>
      <c r="I49" s="1865"/>
      <c r="J49" s="1865"/>
      <c r="K49" s="1865"/>
      <c r="L49" s="1892"/>
      <c r="M49" s="1867" t="s">
        <v>4396</v>
      </c>
      <c r="N49" s="1874" t="s">
        <v>4359</v>
      </c>
      <c r="O49" s="1875" t="s">
        <v>4331</v>
      </c>
      <c r="P49" s="1861" t="s">
        <v>4409</v>
      </c>
      <c r="Q49" s="1871"/>
      <c r="R49" s="1872"/>
      <c r="S49" s="1871"/>
      <c r="T49" s="1872"/>
      <c r="U49" s="1859"/>
    </row>
    <row r="50">
      <c r="A50" s="1828"/>
      <c r="B50" s="1860">
        <f>IFERROR(VLOOKUP(C50,'字段信息'!A:C,3,),"")</f>
      </c>
      <c r="C50" s="1861" t="s">
        <v>4410</v>
      </c>
      <c r="D50" s="1862">
        <f>IFERROR(VLOOKUP(C49,'字段信息'!A:C,2,),"")</f>
      </c>
      <c r="E50" s="1863"/>
      <c r="F50" s="1864">
        <f t="shared" si="0"/>
      </c>
      <c r="G50" s="1863" t="s">
        <v>4354</v>
      </c>
      <c r="H50" s="1865"/>
      <c r="I50" s="1865"/>
      <c r="J50" s="1865"/>
      <c r="K50" s="1865"/>
      <c r="L50" s="1892"/>
      <c r="M50" s="1893" t="s">
        <v>4398</v>
      </c>
      <c r="N50" s="1874" t="s">
        <v>4359</v>
      </c>
      <c r="O50" s="1875" t="s">
        <v>4331</v>
      </c>
      <c r="P50" s="1861" t="s">
        <v>4410</v>
      </c>
      <c r="Q50" s="1871"/>
      <c r="R50" s="1872"/>
      <c r="S50" s="1871"/>
      <c r="T50" s="1872"/>
      <c r="U50" s="1859"/>
    </row>
    <row r="51">
      <c r="A51" s="1828"/>
      <c r="B51" s="1860">
        <f>IFERROR(VLOOKUP(C51,'字段信息'!A:C,3,),"")</f>
      </c>
      <c r="C51" s="1861" t="s">
        <v>4411</v>
      </c>
      <c r="D51" s="1862">
        <f>IFERROR(VLOOKUP(C50,'字段信息'!A:C,2,),"")</f>
      </c>
      <c r="E51" s="1863"/>
      <c r="F51" s="1864">
        <f t="shared" si="0"/>
      </c>
      <c r="G51" s="1863" t="s">
        <v>4354</v>
      </c>
      <c r="H51" s="1865"/>
      <c r="I51" s="1865"/>
      <c r="J51" s="1865"/>
      <c r="K51" s="1865"/>
      <c r="L51" s="1892"/>
      <c r="M51" s="1893" t="s">
        <v>4400</v>
      </c>
      <c r="N51" s="1874" t="s">
        <v>4359</v>
      </c>
      <c r="O51" s="1875" t="s">
        <v>4331</v>
      </c>
      <c r="P51" s="1861" t="s">
        <v>4411</v>
      </c>
      <c r="Q51" s="1871"/>
      <c r="R51" s="1872"/>
      <c r="S51" s="1871"/>
      <c r="T51" s="1872"/>
      <c r="U51" s="1859"/>
    </row>
    <row r="52">
      <c r="A52" s="1828"/>
      <c r="B52" s="1860">
        <f>IFERROR(VLOOKUP(C52,'字段信息'!A:C,3,),"")</f>
      </c>
      <c r="C52" s="1861" t="s">
        <v>4412</v>
      </c>
      <c r="D52" s="1862">
        <f>IFERROR(VLOOKUP(C51,'字段信息'!A:C,2,),"")</f>
      </c>
      <c r="E52" s="1863"/>
      <c r="F52" s="1864">
        <f t="shared" si="0"/>
      </c>
      <c r="G52" s="1863" t="s">
        <v>4354</v>
      </c>
      <c r="H52" s="1865"/>
      <c r="I52" s="1865"/>
      <c r="J52" s="1865"/>
      <c r="K52" s="1865"/>
      <c r="L52" s="1892"/>
      <c r="M52" s="1893" t="s">
        <v>4402</v>
      </c>
      <c r="N52" s="1874" t="s">
        <v>4359</v>
      </c>
      <c r="O52" s="1875" t="s">
        <v>4331</v>
      </c>
      <c r="P52" s="1861" t="s">
        <v>4412</v>
      </c>
      <c r="Q52" s="1871"/>
      <c r="R52" s="1872"/>
      <c r="S52" s="1871"/>
      <c r="T52" s="1872"/>
      <c r="U52" s="1859"/>
    </row>
    <row r="53">
      <c r="A53" s="1828"/>
      <c r="B53" s="1860">
        <f>IFERROR(VLOOKUP(C53,'字段信息'!A:C,3,),"")</f>
      </c>
      <c r="C53" s="1861" t="s">
        <v>4413</v>
      </c>
      <c r="D53" s="1862">
        <f>IFERROR(VLOOKUP(C52,'字段信息'!A:C,2,),"")</f>
      </c>
      <c r="E53" s="1863"/>
      <c r="F53" s="1864">
        <f t="shared" si="0"/>
      </c>
      <c r="G53" s="1863" t="s">
        <v>4354</v>
      </c>
      <c r="H53" s="1865"/>
      <c r="I53" s="1865"/>
      <c r="J53" s="1865"/>
      <c r="K53" s="1865"/>
      <c r="L53" s="1892"/>
      <c r="M53" s="1867" t="s">
        <v>4386</v>
      </c>
      <c r="N53" s="1874" t="s">
        <v>4359</v>
      </c>
      <c r="O53" s="1875" t="s">
        <v>4331</v>
      </c>
      <c r="P53" s="1861" t="s">
        <v>4413</v>
      </c>
      <c r="Q53" s="1871"/>
      <c r="R53" s="1872"/>
      <c r="S53" s="1871"/>
      <c r="T53" s="1872"/>
      <c r="U53" s="1859"/>
    </row>
    <row r="54">
      <c r="A54" s="1828"/>
      <c r="B54" s="1860">
        <f>IFERROR(VLOOKUP(C54,'字段信息'!A:C,3,),"")</f>
      </c>
      <c r="C54" s="1861" t="s">
        <v>4414</v>
      </c>
      <c r="D54" s="1862">
        <f>IFERROR(VLOOKUP(C53,'字段信息'!A:C,2,),"")</f>
      </c>
      <c r="E54" s="1863"/>
      <c r="F54" s="1864">
        <f t="shared" si="0"/>
      </c>
      <c r="G54" s="1863" t="s">
        <v>4354</v>
      </c>
      <c r="H54" s="1865"/>
      <c r="I54" s="1865"/>
      <c r="J54" s="1865"/>
      <c r="K54" s="1865"/>
      <c r="L54" s="1892"/>
      <c r="M54" s="1893" t="s">
        <v>4388</v>
      </c>
      <c r="N54" s="1874" t="s">
        <v>4359</v>
      </c>
      <c r="O54" s="1875" t="s">
        <v>4331</v>
      </c>
      <c r="P54" s="1861" t="s">
        <v>4414</v>
      </c>
      <c r="Q54" s="1871"/>
      <c r="R54" s="1872"/>
      <c r="S54" s="1871"/>
      <c r="T54" s="1872"/>
      <c r="U54" s="1859"/>
    </row>
    <row r="55">
      <c r="A55" s="1828"/>
      <c r="B55" s="1860">
        <f>IFERROR(VLOOKUP(C55,'字段信息'!A:C,3,),"")</f>
      </c>
      <c r="C55" s="1861" t="s">
        <v>4415</v>
      </c>
      <c r="D55" s="1862">
        <f>IFERROR(VLOOKUP(C54,'字段信息'!A:C,2,),"")</f>
      </c>
      <c r="E55" s="1863"/>
      <c r="F55" s="1864">
        <f t="shared" si="0"/>
      </c>
      <c r="G55" s="1863" t="s">
        <v>4354</v>
      </c>
      <c r="H55" s="1865"/>
      <c r="I55" s="1865"/>
      <c r="J55" s="1865"/>
      <c r="K55" s="1865"/>
      <c r="L55" s="1892"/>
      <c r="M55" s="1893" t="s">
        <v>4390</v>
      </c>
      <c r="N55" s="1874" t="s">
        <v>4359</v>
      </c>
      <c r="O55" s="1875" t="s">
        <v>4331</v>
      </c>
      <c r="P55" s="1861" t="s">
        <v>4415</v>
      </c>
      <c r="Q55" s="1871"/>
      <c r="R55" s="1872"/>
      <c r="S55" s="1871"/>
      <c r="T55" s="1872"/>
      <c r="U55" s="1859"/>
    </row>
    <row r="56">
      <c r="A56" s="1828"/>
      <c r="B56" s="1860">
        <f>IFERROR(VLOOKUP(C56,'字段信息'!A:C,3,),"")</f>
      </c>
      <c r="C56" s="1861" t="s">
        <v>4416</v>
      </c>
      <c r="D56" s="1862">
        <f>IFERROR(VLOOKUP(C55,'字段信息'!A:C,2,),"")</f>
      </c>
      <c r="E56" s="1863"/>
      <c r="F56" s="1864">
        <f t="shared" si="0"/>
      </c>
      <c r="G56" s="1863" t="s">
        <v>4354</v>
      </c>
      <c r="H56" s="1865"/>
      <c r="I56" s="1865"/>
      <c r="J56" s="1865"/>
      <c r="K56" s="1865"/>
      <c r="L56" s="1892"/>
      <c r="M56" s="1893" t="s">
        <v>4392</v>
      </c>
      <c r="N56" s="1874" t="s">
        <v>4359</v>
      </c>
      <c r="O56" s="1875" t="s">
        <v>4331</v>
      </c>
      <c r="P56" s="1861" t="s">
        <v>4416</v>
      </c>
      <c r="Q56" s="1871"/>
      <c r="R56" s="1872"/>
      <c r="S56" s="1871"/>
      <c r="T56" s="1872"/>
      <c r="U56" s="1859"/>
    </row>
    <row r="57">
      <c r="A57" s="1828"/>
      <c r="B57" s="1860">
        <f>IFERROR(VLOOKUP(C57,'字段信息'!A:C,3,),"")</f>
      </c>
      <c r="C57" s="1861" t="s">
        <v>4417</v>
      </c>
      <c r="D57" s="1862">
        <f>IFERROR(VLOOKUP(C56,'字段信息'!A:C,2,),"")</f>
      </c>
      <c r="E57" s="1863"/>
      <c r="F57" s="1864">
        <f t="shared" si="0"/>
      </c>
      <c r="G57" s="1863" t="s">
        <v>4354</v>
      </c>
      <c r="H57" s="1865"/>
      <c r="I57" s="1865"/>
      <c r="J57" s="1865"/>
      <c r="K57" s="1865"/>
      <c r="L57" s="1892"/>
      <c r="M57" s="1867" t="s">
        <v>4396</v>
      </c>
      <c r="N57" s="1874" t="s">
        <v>4359</v>
      </c>
      <c r="O57" s="1875" t="s">
        <v>4331</v>
      </c>
      <c r="P57" s="1861" t="s">
        <v>4417</v>
      </c>
      <c r="Q57" s="1871"/>
      <c r="R57" s="1872"/>
      <c r="S57" s="1871"/>
      <c r="T57" s="1872"/>
      <c r="U57" s="1859"/>
    </row>
    <row r="58">
      <c r="A58" s="1828"/>
      <c r="B58" s="1860">
        <f>IFERROR(VLOOKUP(C58,'字段信息'!A:C,3,),"")</f>
      </c>
      <c r="C58" s="1861" t="s">
        <v>4418</v>
      </c>
      <c r="D58" s="1862">
        <f>IFERROR(VLOOKUP(C57,'字段信息'!A:C,2,),"")</f>
      </c>
      <c r="E58" s="1863"/>
      <c r="F58" s="1864">
        <f t="shared" si="0"/>
      </c>
      <c r="G58" s="1863" t="s">
        <v>4354</v>
      </c>
      <c r="H58" s="1865"/>
      <c r="I58" s="1865"/>
      <c r="J58" s="1865"/>
      <c r="K58" s="1865"/>
      <c r="L58" s="1892"/>
      <c r="M58" s="1893" t="s">
        <v>4398</v>
      </c>
      <c r="N58" s="1874" t="s">
        <v>4359</v>
      </c>
      <c r="O58" s="1875" t="s">
        <v>4331</v>
      </c>
      <c r="P58" s="1861" t="s">
        <v>4418</v>
      </c>
      <c r="Q58" s="1871"/>
      <c r="R58" s="1872"/>
      <c r="S58" s="1871"/>
      <c r="T58" s="1872"/>
      <c r="U58" s="1859"/>
    </row>
    <row r="59">
      <c r="A59" s="1828"/>
      <c r="B59" s="1860">
        <f>IFERROR(VLOOKUP(C59,'字段信息'!A:C,3,),"")</f>
      </c>
      <c r="C59" s="1861" t="s">
        <v>4419</v>
      </c>
      <c r="D59" s="1862">
        <f>IFERROR(VLOOKUP(C58,'字段信息'!A:C,2,),"")</f>
      </c>
      <c r="E59" s="1863"/>
      <c r="F59" s="1864">
        <f t="shared" si="0"/>
      </c>
      <c r="G59" s="1863" t="s">
        <v>4354</v>
      </c>
      <c r="H59" s="1865"/>
      <c r="I59" s="1865"/>
      <c r="J59" s="1865"/>
      <c r="K59" s="1865"/>
      <c r="L59" s="1892"/>
      <c r="M59" s="1893" t="s">
        <v>4400</v>
      </c>
      <c r="N59" s="1874" t="s">
        <v>4359</v>
      </c>
      <c r="O59" s="1875" t="s">
        <v>4331</v>
      </c>
      <c r="P59" s="1861" t="s">
        <v>4419</v>
      </c>
      <c r="Q59" s="1871"/>
      <c r="R59" s="1872"/>
      <c r="S59" s="1871"/>
      <c r="T59" s="1872"/>
      <c r="U59" s="1859"/>
    </row>
    <row r="60">
      <c r="A60" s="1828"/>
      <c r="B60" s="1860">
        <f>IFERROR(VLOOKUP(C60,'字段信息'!A:C,3,),"")</f>
      </c>
      <c r="C60" s="1861" t="s">
        <v>4420</v>
      </c>
      <c r="D60" s="1862">
        <f>IFERROR(VLOOKUP(C59,'字段信息'!A:C,2,),"")</f>
      </c>
      <c r="E60" s="1863"/>
      <c r="F60" s="1864">
        <f t="shared" si="0"/>
      </c>
      <c r="G60" s="1863" t="s">
        <v>4354</v>
      </c>
      <c r="H60" s="1865"/>
      <c r="I60" s="1865"/>
      <c r="J60" s="1865"/>
      <c r="K60" s="1865"/>
      <c r="L60" s="1892"/>
      <c r="M60" s="1893" t="s">
        <v>4402</v>
      </c>
      <c r="N60" s="1874" t="s">
        <v>4359</v>
      </c>
      <c r="O60" s="1875" t="s">
        <v>4331</v>
      </c>
      <c r="P60" s="1861" t="s">
        <v>4420</v>
      </c>
      <c r="Q60" s="1871"/>
      <c r="R60" s="1872"/>
      <c r="S60" s="1871"/>
      <c r="T60" s="1872"/>
      <c r="U60" s="1859"/>
    </row>
    <row r="61">
      <c r="A61" s="1828"/>
      <c r="B61" s="1860">
        <f>IFERROR(VLOOKUP(C61,'字段信息'!A:C,3,),"")</f>
      </c>
      <c r="C61" s="1861" t="s">
        <v>4421</v>
      </c>
      <c r="D61" s="1862">
        <f>IFERROR(VLOOKUP(C60,'字段信息'!A:C,2,),"")</f>
      </c>
      <c r="E61" s="1863"/>
      <c r="F61" s="1864">
        <f t="shared" si="0"/>
      </c>
      <c r="G61" s="1863" t="s">
        <v>4354</v>
      </c>
      <c r="H61" s="1865"/>
      <c r="I61" s="1865"/>
      <c r="J61" s="1865"/>
      <c r="K61" s="1865"/>
      <c r="L61" s="1892"/>
      <c r="M61" s="1867" t="s">
        <v>4386</v>
      </c>
      <c r="N61" s="1874" t="s">
        <v>4359</v>
      </c>
      <c r="O61" s="1875" t="s">
        <v>4331</v>
      </c>
      <c r="P61" s="1861" t="s">
        <v>4421</v>
      </c>
      <c r="Q61" s="1871"/>
      <c r="R61" s="1872"/>
      <c r="S61" s="1871"/>
      <c r="T61" s="1872"/>
      <c r="U61" s="1859"/>
    </row>
    <row r="62">
      <c r="A62" s="1828"/>
      <c r="B62" s="1860">
        <f>IFERROR(VLOOKUP(C62,'字段信息'!A:C,3,),"")</f>
      </c>
      <c r="C62" s="1861" t="s">
        <v>4422</v>
      </c>
      <c r="D62" s="1862">
        <f>IFERROR(VLOOKUP(C61,'字段信息'!A:C,2,),"")</f>
      </c>
      <c r="E62" s="1863"/>
      <c r="F62" s="1864">
        <f t="shared" si="0"/>
      </c>
      <c r="G62" s="1863" t="s">
        <v>4354</v>
      </c>
      <c r="H62" s="1865"/>
      <c r="I62" s="1865"/>
      <c r="J62" s="1865"/>
      <c r="K62" s="1865"/>
      <c r="L62" s="1892"/>
      <c r="M62" s="1893" t="s">
        <v>4388</v>
      </c>
      <c r="N62" s="1874" t="s">
        <v>4359</v>
      </c>
      <c r="O62" s="1875" t="s">
        <v>4331</v>
      </c>
      <c r="P62" s="1861" t="s">
        <v>4422</v>
      </c>
      <c r="Q62" s="1871"/>
      <c r="R62" s="1872"/>
      <c r="S62" s="1871"/>
      <c r="T62" s="1872"/>
      <c r="U62" s="1859"/>
    </row>
    <row r="63">
      <c r="A63" s="1828"/>
      <c r="B63" s="1860">
        <f>IFERROR(VLOOKUP(C63,'字段信息'!A:C,3,),"")</f>
      </c>
      <c r="C63" s="1861" t="s">
        <v>4423</v>
      </c>
      <c r="D63" s="1862">
        <f>IFERROR(VLOOKUP(C62,'字段信息'!A:C,2,),"")</f>
      </c>
      <c r="E63" s="1863"/>
      <c r="F63" s="1864">
        <f t="shared" si="0"/>
      </c>
      <c r="G63" s="1863" t="s">
        <v>4354</v>
      </c>
      <c r="H63" s="1865"/>
      <c r="I63" s="1865"/>
      <c r="J63" s="1865"/>
      <c r="K63" s="1865"/>
      <c r="L63" s="1892"/>
      <c r="M63" s="1893" t="s">
        <v>4390</v>
      </c>
      <c r="N63" s="1874" t="s">
        <v>4359</v>
      </c>
      <c r="O63" s="1875" t="s">
        <v>4331</v>
      </c>
      <c r="P63" s="1861" t="s">
        <v>4423</v>
      </c>
      <c r="Q63" s="1871"/>
      <c r="R63" s="1872"/>
      <c r="S63" s="1871"/>
      <c r="T63" s="1872"/>
      <c r="U63" s="1859"/>
    </row>
    <row r="64">
      <c r="A64" s="1828"/>
      <c r="B64" s="1860">
        <f>IFERROR(VLOOKUP(C64,'字段信息'!A:C,3,),"")</f>
      </c>
      <c r="C64" s="1861" t="s">
        <v>4424</v>
      </c>
      <c r="D64" s="1862">
        <f>IFERROR(VLOOKUP(C63,'字段信息'!A:C,2,),"")</f>
      </c>
      <c r="E64" s="1863"/>
      <c r="F64" s="1864">
        <f t="shared" si="0"/>
      </c>
      <c r="G64" s="1863" t="s">
        <v>4354</v>
      </c>
      <c r="H64" s="1865"/>
      <c r="I64" s="1865"/>
      <c r="J64" s="1865"/>
      <c r="K64" s="1865"/>
      <c r="L64" s="1892"/>
      <c r="M64" s="1893" t="s">
        <v>4392</v>
      </c>
      <c r="N64" s="1874" t="s">
        <v>4359</v>
      </c>
      <c r="O64" s="1875" t="s">
        <v>4331</v>
      </c>
      <c r="P64" s="1861" t="s">
        <v>4424</v>
      </c>
      <c r="Q64" s="1871"/>
      <c r="R64" s="1872"/>
      <c r="S64" s="1871"/>
      <c r="T64" s="1872"/>
      <c r="U64" s="1859"/>
    </row>
    <row r="65">
      <c r="A65" s="1828"/>
      <c r="B65" s="1860">
        <f>IFERROR(VLOOKUP(C65,'字段信息'!A:C,3,),"")</f>
      </c>
      <c r="C65" s="1861" t="s">
        <v>4425</v>
      </c>
      <c r="D65" s="1862">
        <f>IFERROR(VLOOKUP(C64,'字段信息'!A:C,2,),"")</f>
      </c>
      <c r="E65" s="1863"/>
      <c r="F65" s="1864">
        <f t="shared" si="0"/>
      </c>
      <c r="G65" s="1863" t="s">
        <v>4354</v>
      </c>
      <c r="H65" s="1865"/>
      <c r="I65" s="1865"/>
      <c r="J65" s="1865"/>
      <c r="K65" s="1865"/>
      <c r="L65" s="1892"/>
      <c r="M65" s="1867" t="s">
        <v>4396</v>
      </c>
      <c r="N65" s="1874" t="s">
        <v>4359</v>
      </c>
      <c r="O65" s="1875" t="s">
        <v>4331</v>
      </c>
      <c r="P65" s="1861" t="s">
        <v>4425</v>
      </c>
      <c r="Q65" s="1871"/>
      <c r="R65" s="1872"/>
      <c r="S65" s="1871"/>
      <c r="T65" s="1872"/>
      <c r="U65" s="1859"/>
    </row>
    <row r="66">
      <c r="A66" s="1828"/>
      <c r="B66" s="1860">
        <f>IFERROR(VLOOKUP(C66,'字段信息'!A:C,3,),"")</f>
      </c>
      <c r="C66" s="1861" t="s">
        <v>4426</v>
      </c>
      <c r="D66" s="1862">
        <f>IFERROR(VLOOKUP(C65,'字段信息'!A:C,2,),"")</f>
      </c>
      <c r="E66" s="1863"/>
      <c r="F66" s="1864">
        <f t="shared" si="0"/>
      </c>
      <c r="G66" s="1863" t="s">
        <v>4354</v>
      </c>
      <c r="H66" s="1865"/>
      <c r="I66" s="1865"/>
      <c r="J66" s="1865"/>
      <c r="K66" s="1865"/>
      <c r="L66" s="1892"/>
      <c r="M66" s="1893" t="s">
        <v>4398</v>
      </c>
      <c r="N66" s="1874" t="s">
        <v>4359</v>
      </c>
      <c r="O66" s="1875" t="s">
        <v>4331</v>
      </c>
      <c r="P66" s="1861" t="s">
        <v>4426</v>
      </c>
      <c r="Q66" s="1871"/>
      <c r="R66" s="1872"/>
      <c r="S66" s="1871"/>
      <c r="T66" s="1872"/>
      <c r="U66" s="1859"/>
    </row>
    <row r="67">
      <c r="A67" s="1828"/>
      <c r="B67" s="1860">
        <f>IFERROR(VLOOKUP(C67,'字段信息'!A:C,3,),"")</f>
      </c>
      <c r="C67" s="1861" t="s">
        <v>4427</v>
      </c>
      <c r="D67" s="1862">
        <f>IFERROR(VLOOKUP(C66,'字段信息'!A:C,2,),"")</f>
      </c>
      <c r="E67" s="1863"/>
      <c r="F67" s="1864">
        <f t="shared" si="0"/>
      </c>
      <c r="G67" s="1863" t="s">
        <v>4354</v>
      </c>
      <c r="H67" s="1865"/>
      <c r="I67" s="1865"/>
      <c r="J67" s="1865"/>
      <c r="K67" s="1865"/>
      <c r="L67" s="1892"/>
      <c r="M67" s="1893" t="s">
        <v>4400</v>
      </c>
      <c r="N67" s="1874" t="s">
        <v>4359</v>
      </c>
      <c r="O67" s="1875" t="s">
        <v>4331</v>
      </c>
      <c r="P67" s="1861" t="s">
        <v>4427</v>
      </c>
      <c r="Q67" s="1871"/>
      <c r="R67" s="1872"/>
      <c r="S67" s="1871"/>
      <c r="T67" s="1872"/>
      <c r="U67" s="1859"/>
    </row>
    <row r="68">
      <c r="A68" s="1828"/>
      <c r="B68" s="1860">
        <f>IFERROR(VLOOKUP(C68,'字段信息'!A:C,3,),"")</f>
      </c>
      <c r="C68" s="1861" t="s">
        <v>4428</v>
      </c>
      <c r="D68" s="1862">
        <f>IFERROR(VLOOKUP(C67,'字段信息'!A:C,2,),"")</f>
      </c>
      <c r="E68" s="1863"/>
      <c r="F68" s="1864">
        <f t="shared" si="0"/>
      </c>
      <c r="G68" s="1863" t="s">
        <v>4354</v>
      </c>
      <c r="H68" s="1865"/>
      <c r="I68" s="1865"/>
      <c r="J68" s="1865"/>
      <c r="K68" s="1865"/>
      <c r="L68" s="1892"/>
      <c r="M68" s="1893" t="s">
        <v>4402</v>
      </c>
      <c r="N68" s="1874" t="s">
        <v>4359</v>
      </c>
      <c r="O68" s="1875" t="s">
        <v>4331</v>
      </c>
      <c r="P68" s="1861" t="s">
        <v>4428</v>
      </c>
      <c r="Q68" s="1871"/>
      <c r="R68" s="1872"/>
      <c r="S68" s="1871"/>
      <c r="T68" s="1872"/>
      <c r="U68" s="1859"/>
    </row>
    <row r="69">
      <c r="A69" s="1828"/>
      <c r="B69" s="1860">
        <f>IFERROR(VLOOKUP(C69,'字段信息'!A:C,3,),"")</f>
      </c>
      <c r="C69" s="1861" t="s">
        <v>4429</v>
      </c>
      <c r="D69" s="1862">
        <f>IFERROR(VLOOKUP(C68,'字段信息'!A:C,2,),"")</f>
      </c>
      <c r="E69" s="1863"/>
      <c r="F69" s="1864">
        <f t="shared" si="0"/>
      </c>
      <c r="G69" s="1863" t="s">
        <v>4354</v>
      </c>
      <c r="H69" s="1865"/>
      <c r="I69" s="1865"/>
      <c r="J69" s="1865"/>
      <c r="K69" s="1865"/>
      <c r="L69" s="1892"/>
      <c r="M69" s="1867" t="s">
        <v>4386</v>
      </c>
      <c r="N69" s="1874" t="s">
        <v>4359</v>
      </c>
      <c r="O69" s="1875" t="s">
        <v>4331</v>
      </c>
      <c r="P69" s="1861" t="s">
        <v>4429</v>
      </c>
      <c r="Q69" s="1871"/>
      <c r="R69" s="1872"/>
      <c r="S69" s="1871"/>
      <c r="T69" s="1872"/>
      <c r="U69" s="1859"/>
    </row>
    <row r="70">
      <c r="A70" s="1828"/>
      <c r="B70" s="1860">
        <f>IFERROR(VLOOKUP(C70,'字段信息'!A:C,3,),"")</f>
      </c>
      <c r="C70" s="1861" t="s">
        <v>4430</v>
      </c>
      <c r="D70" s="1862">
        <f>IFERROR(VLOOKUP(C69,'字段信息'!A:C,2,),"")</f>
      </c>
      <c r="E70" s="1863"/>
      <c r="F70" s="1864">
        <f t="shared" si="0"/>
      </c>
      <c r="G70" s="1863" t="s">
        <v>4354</v>
      </c>
      <c r="H70" s="1865"/>
      <c r="I70" s="1865"/>
      <c r="J70" s="1865"/>
      <c r="K70" s="1865"/>
      <c r="L70" s="1892"/>
      <c r="M70" s="1893" t="s">
        <v>4388</v>
      </c>
      <c r="N70" s="1874" t="s">
        <v>4359</v>
      </c>
      <c r="O70" s="1875" t="s">
        <v>4331</v>
      </c>
      <c r="P70" s="1861" t="s">
        <v>4430</v>
      </c>
      <c r="Q70" s="1871"/>
      <c r="R70" s="1872"/>
      <c r="S70" s="1871"/>
      <c r="T70" s="1872"/>
      <c r="U70" s="1859"/>
    </row>
    <row r="71">
      <c r="A71" s="1828"/>
      <c r="B71" s="1860">
        <f>IFERROR(VLOOKUP(C71,'字段信息'!A:C,3,),"")</f>
      </c>
      <c r="C71" s="1861" t="s">
        <v>4431</v>
      </c>
      <c r="D71" s="1862">
        <f>IFERROR(VLOOKUP(C70,'字段信息'!A:C,2,),"")</f>
      </c>
      <c r="E71" s="1863"/>
      <c r="F71" s="1864">
        <f t="shared" si="0"/>
      </c>
      <c r="G71" s="1863" t="s">
        <v>4354</v>
      </c>
      <c r="H71" s="1865"/>
      <c r="I71" s="1865"/>
      <c r="J71" s="1865"/>
      <c r="K71" s="1865"/>
      <c r="L71" s="1892"/>
      <c r="M71" s="1893" t="s">
        <v>4390</v>
      </c>
      <c r="N71" s="1874" t="s">
        <v>4359</v>
      </c>
      <c r="O71" s="1875" t="s">
        <v>4331</v>
      </c>
      <c r="P71" s="1861" t="s">
        <v>4431</v>
      </c>
      <c r="Q71" s="1871"/>
      <c r="R71" s="1872"/>
      <c r="S71" s="1871"/>
      <c r="T71" s="1872"/>
      <c r="U71" s="1859"/>
    </row>
    <row r="72">
      <c r="A72" s="1828"/>
      <c r="B72" s="1860">
        <f>IFERROR(VLOOKUP(C72,'字段信息'!A:C,3,),"")</f>
      </c>
      <c r="C72" s="1861" t="s">
        <v>4432</v>
      </c>
      <c r="D72" s="1862">
        <f>IFERROR(VLOOKUP(C71,'字段信息'!A:C,2,),"")</f>
      </c>
      <c r="E72" s="1863"/>
      <c r="F72" s="1864">
        <f t="shared" si="0"/>
      </c>
      <c r="G72" s="1863" t="s">
        <v>4354</v>
      </c>
      <c r="H72" s="1865"/>
      <c r="I72" s="1865"/>
      <c r="J72" s="1865"/>
      <c r="K72" s="1865"/>
      <c r="L72" s="1892"/>
      <c r="M72" s="1893" t="s">
        <v>4392</v>
      </c>
      <c r="N72" s="1874" t="s">
        <v>4359</v>
      </c>
      <c r="O72" s="1875" t="s">
        <v>4331</v>
      </c>
      <c r="P72" s="1861" t="s">
        <v>4432</v>
      </c>
      <c r="Q72" s="1871"/>
      <c r="R72" s="1872"/>
      <c r="S72" s="1871"/>
      <c r="T72" s="1872"/>
      <c r="U72" s="1859"/>
    </row>
    <row r="73">
      <c r="A73" s="1828"/>
      <c r="B73" s="1860">
        <f>IFERROR(VLOOKUP(C73,'字段信息'!A:C,3,),"")</f>
      </c>
      <c r="C73" s="1861" t="s">
        <v>4433</v>
      </c>
      <c r="D73" s="1862">
        <f>IFERROR(VLOOKUP(C72,'字段信息'!A:C,2,),"")</f>
      </c>
      <c r="E73" s="1863"/>
      <c r="F73" s="1864">
        <f t="shared" si="0"/>
      </c>
      <c r="G73" s="1863" t="s">
        <v>4354</v>
      </c>
      <c r="H73" s="1865"/>
      <c r="I73" s="1865"/>
      <c r="J73" s="1865"/>
      <c r="K73" s="1865"/>
      <c r="L73" s="1892"/>
      <c r="M73" s="1867" t="s">
        <v>4396</v>
      </c>
      <c r="N73" s="1874" t="s">
        <v>4359</v>
      </c>
      <c r="O73" s="1875" t="s">
        <v>4331</v>
      </c>
      <c r="P73" s="1861" t="s">
        <v>4433</v>
      </c>
      <c r="Q73" s="1871"/>
      <c r="R73" s="1872"/>
      <c r="S73" s="1871"/>
      <c r="T73" s="1872"/>
      <c r="U73" s="1859"/>
    </row>
    <row r="74">
      <c r="A74" s="1828"/>
      <c r="B74" s="1860">
        <f>IFERROR(VLOOKUP(C74,'字段信息'!A:C,3,),"")</f>
      </c>
      <c r="C74" s="1861" t="s">
        <v>4434</v>
      </c>
      <c r="D74" s="1862">
        <f>IFERROR(VLOOKUP(C73,'字段信息'!A:C,2,),"")</f>
      </c>
      <c r="E74" s="1863"/>
      <c r="F74" s="1864">
        <f t="shared" si="0"/>
      </c>
      <c r="G74" s="1863" t="s">
        <v>4354</v>
      </c>
      <c r="H74" s="1865"/>
      <c r="I74" s="1865"/>
      <c r="J74" s="1865"/>
      <c r="K74" s="1865"/>
      <c r="L74" s="1892"/>
      <c r="M74" s="1893" t="s">
        <v>4398</v>
      </c>
      <c r="N74" s="1874" t="s">
        <v>4359</v>
      </c>
      <c r="O74" s="1875" t="s">
        <v>4331</v>
      </c>
      <c r="P74" s="1861" t="s">
        <v>4434</v>
      </c>
      <c r="Q74" s="1871"/>
      <c r="R74" s="1872"/>
      <c r="S74" s="1871"/>
      <c r="T74" s="1872"/>
      <c r="U74" s="1859"/>
    </row>
    <row r="75">
      <c r="A75" s="1828"/>
      <c r="B75" s="1860">
        <f>IFERROR(VLOOKUP(C75,'字段信息'!A:C,3,),"")</f>
      </c>
      <c r="C75" s="1861" t="s">
        <v>4435</v>
      </c>
      <c r="D75" s="1862">
        <f>IFERROR(VLOOKUP(C74,'字段信息'!A:C,2,),"")</f>
      </c>
      <c r="E75" s="1863"/>
      <c r="F75" s="1864">
        <f t="shared" si="0"/>
      </c>
      <c r="G75" s="1863" t="s">
        <v>4354</v>
      </c>
      <c r="H75" s="1865"/>
      <c r="I75" s="1865"/>
      <c r="J75" s="1865"/>
      <c r="K75" s="1865"/>
      <c r="L75" s="1892"/>
      <c r="M75" s="1893" t="s">
        <v>4400</v>
      </c>
      <c r="N75" s="1874" t="s">
        <v>4359</v>
      </c>
      <c r="O75" s="1875" t="s">
        <v>4331</v>
      </c>
      <c r="P75" s="1861" t="s">
        <v>4435</v>
      </c>
      <c r="Q75" s="1871"/>
      <c r="R75" s="1872"/>
      <c r="S75" s="1871"/>
      <c r="T75" s="1872"/>
      <c r="U75" s="1859"/>
    </row>
    <row r="76">
      <c r="A76" s="1828"/>
      <c r="B76" s="1860">
        <f>IFERROR(VLOOKUP(C76,'字段信息'!A:C,3,),"")</f>
      </c>
      <c r="C76" s="1861" t="s">
        <v>4436</v>
      </c>
      <c r="D76" s="1862">
        <f>IFERROR(VLOOKUP(C75,'字段信息'!A:C,2,),"")</f>
      </c>
      <c r="E76" s="1863"/>
      <c r="F76" s="1864">
        <f t="shared" si="0"/>
      </c>
      <c r="G76" s="1863" t="s">
        <v>4354</v>
      </c>
      <c r="H76" s="1865"/>
      <c r="I76" s="1865"/>
      <c r="J76" s="1865"/>
      <c r="K76" s="1865"/>
      <c r="L76" s="1892"/>
      <c r="M76" s="1893" t="s">
        <v>4402</v>
      </c>
      <c r="N76" s="1874" t="s">
        <v>4359</v>
      </c>
      <c r="O76" s="1875" t="s">
        <v>4331</v>
      </c>
      <c r="P76" s="1861" t="s">
        <v>4436</v>
      </c>
      <c r="Q76" s="1871"/>
      <c r="R76" s="1872"/>
      <c r="S76" s="1871"/>
      <c r="T76" s="1872"/>
      <c r="U76" s="1859"/>
    </row>
    <row r="77">
      <c r="A77" s="1828"/>
      <c r="B77" s="1860">
        <f>IFERROR(VLOOKUP(C77,'字段信息'!A:C,3,),"")</f>
      </c>
      <c r="C77" s="1861" t="s">
        <v>4437</v>
      </c>
      <c r="D77" s="1862">
        <f>IFERROR(VLOOKUP(C76,'字段信息'!A:C,2,),"")</f>
      </c>
      <c r="E77" s="1863"/>
      <c r="F77" s="1864">
        <f t="shared" si="0"/>
      </c>
      <c r="G77" s="1863" t="s">
        <v>4354</v>
      </c>
      <c r="H77" s="1865"/>
      <c r="I77" s="1865"/>
      <c r="J77" s="1865"/>
      <c r="K77" s="1865"/>
      <c r="L77" s="1892"/>
      <c r="M77" s="1867" t="s">
        <v>4386</v>
      </c>
      <c r="N77" s="1874" t="s">
        <v>4359</v>
      </c>
      <c r="O77" s="1875" t="s">
        <v>4331</v>
      </c>
      <c r="P77" s="1861" t="s">
        <v>4437</v>
      </c>
      <c r="Q77" s="1871"/>
      <c r="R77" s="1872"/>
      <c r="S77" s="1871"/>
      <c r="T77" s="1872"/>
      <c r="U77" s="1859"/>
    </row>
    <row r="78">
      <c r="A78" s="1828"/>
      <c r="B78" s="1860">
        <f>IFERROR(VLOOKUP(C78,'字段信息'!A:C,3,),"")</f>
      </c>
      <c r="C78" s="1861" t="s">
        <v>4438</v>
      </c>
      <c r="D78" s="1862">
        <f>IFERROR(VLOOKUP(C77,'字段信息'!A:C,2,),"")</f>
      </c>
      <c r="E78" s="1863"/>
      <c r="F78" s="1864">
        <f t="shared" si="0"/>
      </c>
      <c r="G78" s="1863" t="s">
        <v>4354</v>
      </c>
      <c r="H78" s="1865"/>
      <c r="I78" s="1865"/>
      <c r="J78" s="1865"/>
      <c r="K78" s="1865"/>
      <c r="L78" s="1892"/>
      <c r="M78" s="1893" t="s">
        <v>4388</v>
      </c>
      <c r="N78" s="1874" t="s">
        <v>4359</v>
      </c>
      <c r="O78" s="1875" t="s">
        <v>4331</v>
      </c>
      <c r="P78" s="1861" t="s">
        <v>4438</v>
      </c>
      <c r="Q78" s="1871"/>
      <c r="R78" s="1872"/>
      <c r="S78" s="1871"/>
      <c r="T78" s="1872"/>
      <c r="U78" s="1859"/>
    </row>
    <row r="79">
      <c r="A79" s="1828"/>
      <c r="B79" s="1860">
        <f>IFERROR(VLOOKUP(C79,'字段信息'!A:C,3,),"")</f>
      </c>
      <c r="C79" s="1861" t="s">
        <v>4439</v>
      </c>
      <c r="D79" s="1862">
        <f>IFERROR(VLOOKUP(C78,'字段信息'!A:C,2,),"")</f>
      </c>
      <c r="E79" s="1863"/>
      <c r="F79" s="1864">
        <f t="shared" si="0"/>
      </c>
      <c r="G79" s="1863" t="s">
        <v>4354</v>
      </c>
      <c r="H79" s="1865"/>
      <c r="I79" s="1865"/>
      <c r="J79" s="1865"/>
      <c r="K79" s="1865"/>
      <c r="L79" s="1892"/>
      <c r="M79" s="1893" t="s">
        <v>4390</v>
      </c>
      <c r="N79" s="1874" t="s">
        <v>4359</v>
      </c>
      <c r="O79" s="1875" t="s">
        <v>4331</v>
      </c>
      <c r="P79" s="1861" t="s">
        <v>4439</v>
      </c>
      <c r="Q79" s="1871"/>
      <c r="R79" s="1872"/>
      <c r="S79" s="1871"/>
      <c r="T79" s="1872"/>
      <c r="U79" s="1859"/>
    </row>
    <row r="80">
      <c r="A80" s="1828"/>
      <c r="B80" s="1860">
        <f>IFERROR(VLOOKUP(C80,'字段信息'!A:C,3,),"")</f>
      </c>
      <c r="C80" s="1861" t="s">
        <v>4440</v>
      </c>
      <c r="D80" s="1862">
        <f>IFERROR(VLOOKUP(C79,'字段信息'!A:C,2,),"")</f>
      </c>
      <c r="E80" s="1863"/>
      <c r="F80" s="1864">
        <f t="shared" si="0"/>
      </c>
      <c r="G80" s="1863" t="s">
        <v>4354</v>
      </c>
      <c r="H80" s="1865"/>
      <c r="I80" s="1865"/>
      <c r="J80" s="1865"/>
      <c r="K80" s="1865"/>
      <c r="L80" s="1892"/>
      <c r="M80" s="1893" t="s">
        <v>4392</v>
      </c>
      <c r="N80" s="1874" t="s">
        <v>4359</v>
      </c>
      <c r="O80" s="1875" t="s">
        <v>4331</v>
      </c>
      <c r="P80" s="1861" t="s">
        <v>4440</v>
      </c>
      <c r="Q80" s="1871"/>
      <c r="R80" s="1872"/>
      <c r="S80" s="1871"/>
      <c r="T80" s="1872"/>
      <c r="U80" s="1859"/>
    </row>
    <row r="81">
      <c r="A81" s="1828"/>
      <c r="B81" s="1860">
        <f>IFERROR(VLOOKUP(C81,'字段信息'!A:C,3,),"")</f>
      </c>
      <c r="C81" s="1861" t="s">
        <v>4441</v>
      </c>
      <c r="D81" s="1862">
        <f>IFERROR(VLOOKUP(C80,'字段信息'!A:C,2,),"")</f>
      </c>
      <c r="E81" s="1863"/>
      <c r="F81" s="1864">
        <f t="shared" si="0"/>
      </c>
      <c r="G81" s="1863" t="s">
        <v>4354</v>
      </c>
      <c r="H81" s="1865"/>
      <c r="I81" s="1865"/>
      <c r="J81" s="1865"/>
      <c r="K81" s="1865"/>
      <c r="L81" s="1892"/>
      <c r="M81" s="1867" t="s">
        <v>4396</v>
      </c>
      <c r="N81" s="1874" t="s">
        <v>4359</v>
      </c>
      <c r="O81" s="1875" t="s">
        <v>4331</v>
      </c>
      <c r="P81" s="1861" t="s">
        <v>4441</v>
      </c>
      <c r="Q81" s="1871"/>
      <c r="R81" s="1872"/>
      <c r="S81" s="1871"/>
      <c r="T81" s="1872"/>
      <c r="U81" s="1859"/>
    </row>
    <row r="82">
      <c r="A82" s="1828"/>
      <c r="B82" s="1860">
        <f>IFERROR(VLOOKUP(C82,'字段信息'!A:C,3,),"")</f>
      </c>
      <c r="C82" s="1861" t="s">
        <v>4442</v>
      </c>
      <c r="D82" s="1862">
        <f>IFERROR(VLOOKUP(C81,'字段信息'!A:C,2,),"")</f>
      </c>
      <c r="E82" s="1863"/>
      <c r="F82" s="1864">
        <f t="shared" si="0"/>
      </c>
      <c r="G82" s="1863" t="s">
        <v>4354</v>
      </c>
      <c r="H82" s="1865"/>
      <c r="I82" s="1865"/>
      <c r="J82" s="1865"/>
      <c r="K82" s="1865"/>
      <c r="L82" s="1892"/>
      <c r="M82" s="1893" t="s">
        <v>4398</v>
      </c>
      <c r="N82" s="1874" t="s">
        <v>4359</v>
      </c>
      <c r="O82" s="1875" t="s">
        <v>4331</v>
      </c>
      <c r="P82" s="1861" t="s">
        <v>4442</v>
      </c>
      <c r="Q82" s="1871"/>
      <c r="R82" s="1872"/>
      <c r="S82" s="1871"/>
      <c r="T82" s="1872"/>
      <c r="U82" s="1859"/>
    </row>
    <row r="83">
      <c r="A83" s="1828"/>
      <c r="B83" s="1860">
        <f>IFERROR(VLOOKUP(C83,'字段信息'!A:C,3,),"")</f>
      </c>
      <c r="C83" s="1861" t="s">
        <v>4443</v>
      </c>
      <c r="D83" s="1862">
        <f>IFERROR(VLOOKUP(C82,'字段信息'!A:C,2,),"")</f>
      </c>
      <c r="E83" s="1863"/>
      <c r="F83" s="1864">
        <f t="shared" si="0"/>
      </c>
      <c r="G83" s="1863" t="s">
        <v>4354</v>
      </c>
      <c r="H83" s="1865"/>
      <c r="I83" s="1865"/>
      <c r="J83" s="1865"/>
      <c r="K83" s="1865"/>
      <c r="L83" s="1892"/>
      <c r="M83" s="1893" t="s">
        <v>4400</v>
      </c>
      <c r="N83" s="1874" t="s">
        <v>4359</v>
      </c>
      <c r="O83" s="1875" t="s">
        <v>4331</v>
      </c>
      <c r="P83" s="1861" t="s">
        <v>4443</v>
      </c>
      <c r="Q83" s="1871"/>
      <c r="R83" s="1872"/>
      <c r="S83" s="1871"/>
      <c r="T83" s="1872"/>
      <c r="U83" s="1859"/>
    </row>
    <row r="84">
      <c r="A84" s="1828"/>
      <c r="B84" s="1860">
        <f>IFERROR(VLOOKUP(C84,'字段信息'!A:C,3,),"")</f>
      </c>
      <c r="C84" s="1861" t="s">
        <v>4444</v>
      </c>
      <c r="D84" s="1862">
        <f>IFERROR(VLOOKUP(C83,'字段信息'!A:C,2,),"")</f>
      </c>
      <c r="E84" s="1863"/>
      <c r="F84" s="1864">
        <f t="shared" si="0"/>
      </c>
      <c r="G84" s="1863" t="s">
        <v>4354</v>
      </c>
      <c r="H84" s="1865"/>
      <c r="I84" s="1865"/>
      <c r="J84" s="1865"/>
      <c r="K84" s="1865"/>
      <c r="L84" s="1892"/>
      <c r="M84" s="1893" t="s">
        <v>4402</v>
      </c>
      <c r="N84" s="1874" t="s">
        <v>4359</v>
      </c>
      <c r="O84" s="1875" t="s">
        <v>4331</v>
      </c>
      <c r="P84" s="1861" t="s">
        <v>4444</v>
      </c>
      <c r="Q84" s="1871"/>
      <c r="R84" s="1872"/>
      <c r="S84" s="1871"/>
      <c r="T84" s="1872"/>
      <c r="U84" s="1859"/>
    </row>
    <row r="85">
      <c r="A85" s="1828"/>
      <c r="B85" s="1860">
        <f>IFERROR(VLOOKUP(C85,'字段信息'!A:C,3,),"")</f>
      </c>
      <c r="C85" s="1861" t="s">
        <v>4445</v>
      </c>
      <c r="D85" s="1862">
        <f>IFERROR(VLOOKUP(C84,'字段信息'!A:C,2,),"")</f>
      </c>
      <c r="E85" s="1863"/>
      <c r="F85" s="1864">
        <f t="shared" si="0"/>
      </c>
      <c r="G85" s="1863" t="s">
        <v>4354</v>
      </c>
      <c r="H85" s="1865"/>
      <c r="I85" s="1865"/>
      <c r="J85" s="1865"/>
      <c r="K85" s="1865"/>
      <c r="L85" s="1892"/>
      <c r="M85" s="1867" t="s">
        <v>4386</v>
      </c>
      <c r="N85" s="1874" t="s">
        <v>4359</v>
      </c>
      <c r="O85" s="1875" t="s">
        <v>4331</v>
      </c>
      <c r="P85" s="1861" t="s">
        <v>4445</v>
      </c>
      <c r="Q85" s="1871"/>
      <c r="R85" s="1872"/>
      <c r="S85" s="1871"/>
      <c r="T85" s="1872"/>
      <c r="U85" s="1859"/>
    </row>
    <row r="86">
      <c r="A86" s="1828"/>
      <c r="B86" s="1860">
        <f>IFERROR(VLOOKUP(C86,'字段信息'!A:C,3,),"")</f>
      </c>
      <c r="C86" s="1861" t="s">
        <v>4446</v>
      </c>
      <c r="D86" s="1862">
        <f>IFERROR(VLOOKUP(C85,'字段信息'!A:C,2,),"")</f>
      </c>
      <c r="E86" s="1863"/>
      <c r="F86" s="1864">
        <f t="shared" si="0"/>
      </c>
      <c r="G86" s="1863" t="s">
        <v>4354</v>
      </c>
      <c r="H86" s="1865"/>
      <c r="I86" s="1865"/>
      <c r="J86" s="1865"/>
      <c r="K86" s="1865"/>
      <c r="L86" s="1892"/>
      <c r="M86" s="1893" t="s">
        <v>4388</v>
      </c>
      <c r="N86" s="1874" t="s">
        <v>4359</v>
      </c>
      <c r="O86" s="1875" t="s">
        <v>4331</v>
      </c>
      <c r="P86" s="1861" t="s">
        <v>4446</v>
      </c>
      <c r="Q86" s="1871"/>
      <c r="R86" s="1872"/>
      <c r="S86" s="1871"/>
      <c r="T86" s="1872"/>
      <c r="U86" s="1859"/>
    </row>
    <row r="87">
      <c r="A87" s="1828"/>
      <c r="B87" s="1860">
        <f>IFERROR(VLOOKUP(C87,'字段信息'!A:C,3,),"")</f>
      </c>
      <c r="C87" s="1861" t="s">
        <v>4447</v>
      </c>
      <c r="D87" s="1862">
        <f>IFERROR(VLOOKUP(C86,'字段信息'!A:C,2,),"")</f>
      </c>
      <c r="E87" s="1863"/>
      <c r="F87" s="1864">
        <f t="shared" si="0"/>
      </c>
      <c r="G87" s="1863" t="s">
        <v>4354</v>
      </c>
      <c r="H87" s="1865"/>
      <c r="I87" s="1865"/>
      <c r="J87" s="1865"/>
      <c r="K87" s="1865"/>
      <c r="L87" s="1892"/>
      <c r="M87" s="1893" t="s">
        <v>4390</v>
      </c>
      <c r="N87" s="1874" t="s">
        <v>4359</v>
      </c>
      <c r="O87" s="1875" t="s">
        <v>4331</v>
      </c>
      <c r="P87" s="1861" t="s">
        <v>4447</v>
      </c>
      <c r="Q87" s="1871"/>
      <c r="R87" s="1872"/>
      <c r="S87" s="1871"/>
      <c r="T87" s="1872"/>
      <c r="U87" s="1859"/>
    </row>
    <row r="88">
      <c r="A88" s="1828"/>
      <c r="B88" s="1860">
        <f>IFERROR(VLOOKUP(C88,'字段信息'!A:C,3,),"")</f>
      </c>
      <c r="C88" s="1861" t="s">
        <v>4448</v>
      </c>
      <c r="D88" s="1862">
        <f>IFERROR(VLOOKUP(C87,'字段信息'!A:C,2,),"")</f>
      </c>
      <c r="E88" s="1863"/>
      <c r="F88" s="1864">
        <f t="shared" si="0"/>
      </c>
      <c r="G88" s="1863" t="s">
        <v>4354</v>
      </c>
      <c r="H88" s="1865"/>
      <c r="I88" s="1865"/>
      <c r="J88" s="1865"/>
      <c r="K88" s="1865"/>
      <c r="L88" s="1892"/>
      <c r="M88" s="1893" t="s">
        <v>4392</v>
      </c>
      <c r="N88" s="1874" t="s">
        <v>4359</v>
      </c>
      <c r="O88" s="1875" t="s">
        <v>4331</v>
      </c>
      <c r="P88" s="1861" t="s">
        <v>4448</v>
      </c>
      <c r="Q88" s="1871"/>
      <c r="R88" s="1872"/>
      <c r="S88" s="1871"/>
      <c r="T88" s="1872"/>
      <c r="U88" s="1859"/>
    </row>
    <row r="89">
      <c r="A89" s="1828"/>
      <c r="B89" s="1860">
        <f>IFERROR(VLOOKUP(C89,'字段信息'!A:C,3,),"")</f>
      </c>
      <c r="C89" s="1861" t="s">
        <v>4449</v>
      </c>
      <c r="D89" s="1862">
        <f>IFERROR(VLOOKUP(C88,'字段信息'!A:C,2,),"")</f>
      </c>
      <c r="E89" s="1863"/>
      <c r="F89" s="1864">
        <f t="shared" si="0"/>
      </c>
      <c r="G89" s="1863" t="s">
        <v>4354</v>
      </c>
      <c r="H89" s="1865"/>
      <c r="I89" s="1865"/>
      <c r="J89" s="1865"/>
      <c r="K89" s="1865"/>
      <c r="L89" s="1892"/>
      <c r="M89" s="1867" t="s">
        <v>4396</v>
      </c>
      <c r="N89" s="1874" t="s">
        <v>4359</v>
      </c>
      <c r="O89" s="1875" t="s">
        <v>4331</v>
      </c>
      <c r="P89" s="1861" t="s">
        <v>4449</v>
      </c>
      <c r="Q89" s="1871"/>
      <c r="R89" s="1872"/>
      <c r="S89" s="1871"/>
      <c r="T89" s="1872"/>
      <c r="U89" s="1859"/>
    </row>
    <row r="90">
      <c r="A90" s="1828"/>
      <c r="B90" s="1860">
        <f>IFERROR(VLOOKUP(C90,'字段信息'!A:C,3,),"")</f>
      </c>
      <c r="C90" s="1861" t="s">
        <v>4450</v>
      </c>
      <c r="D90" s="1862">
        <f>IFERROR(VLOOKUP(C89,'字段信息'!A:C,2,),"")</f>
      </c>
      <c r="E90" s="1863"/>
      <c r="F90" s="1864">
        <f t="shared" si="0"/>
      </c>
      <c r="G90" s="1863" t="s">
        <v>4354</v>
      </c>
      <c r="H90" s="1865"/>
      <c r="I90" s="1865"/>
      <c r="J90" s="1865"/>
      <c r="K90" s="1865"/>
      <c r="L90" s="1892"/>
      <c r="M90" s="1893" t="s">
        <v>4398</v>
      </c>
      <c r="N90" s="1874" t="s">
        <v>4359</v>
      </c>
      <c r="O90" s="1875" t="s">
        <v>4331</v>
      </c>
      <c r="P90" s="1861" t="s">
        <v>4450</v>
      </c>
      <c r="Q90" s="1871"/>
      <c r="R90" s="1872"/>
      <c r="S90" s="1871"/>
      <c r="T90" s="1872"/>
      <c r="U90" s="1859"/>
    </row>
    <row r="91">
      <c r="A91" s="1828"/>
      <c r="B91" s="1860">
        <f>IFERROR(VLOOKUP(C91,'字段信息'!A:C,3,),"")</f>
      </c>
      <c r="C91" s="1861" t="s">
        <v>4451</v>
      </c>
      <c r="D91" s="1862">
        <f>IFERROR(VLOOKUP(C90,'字段信息'!A:C,2,),"")</f>
      </c>
      <c r="E91" s="1863"/>
      <c r="F91" s="1864">
        <f t="shared" si="0"/>
      </c>
      <c r="G91" s="1863" t="s">
        <v>4354</v>
      </c>
      <c r="H91" s="1865"/>
      <c r="I91" s="1865"/>
      <c r="J91" s="1865"/>
      <c r="K91" s="1865"/>
      <c r="L91" s="1892"/>
      <c r="M91" s="1893" t="s">
        <v>4400</v>
      </c>
      <c r="N91" s="1874" t="s">
        <v>4359</v>
      </c>
      <c r="O91" s="1875" t="s">
        <v>4331</v>
      </c>
      <c r="P91" s="1861" t="s">
        <v>4451</v>
      </c>
      <c r="Q91" s="1871"/>
      <c r="R91" s="1872"/>
      <c r="S91" s="1871"/>
      <c r="T91" s="1872"/>
      <c r="U91" s="1859"/>
    </row>
    <row r="92">
      <c r="A92" s="1828"/>
      <c r="B92" s="1860">
        <f>IFERROR(VLOOKUP(C92,'字段信息'!A:C,3,),"")</f>
      </c>
      <c r="C92" s="1861" t="s">
        <v>4452</v>
      </c>
      <c r="D92" s="1862">
        <f>IFERROR(VLOOKUP(C91,'字段信息'!A:C,2,),"")</f>
      </c>
      <c r="E92" s="1863"/>
      <c r="F92" s="1864">
        <f t="shared" si="0"/>
      </c>
      <c r="G92" s="1863" t="s">
        <v>4354</v>
      </c>
      <c r="H92" s="1865"/>
      <c r="I92" s="1865"/>
      <c r="J92" s="1865"/>
      <c r="K92" s="1865"/>
      <c r="L92" s="1892"/>
      <c r="M92" s="1893" t="s">
        <v>4402</v>
      </c>
      <c r="N92" s="1874" t="s">
        <v>4359</v>
      </c>
      <c r="O92" s="1875" t="s">
        <v>4331</v>
      </c>
      <c r="P92" s="1861" t="s">
        <v>4452</v>
      </c>
      <c r="Q92" s="1871"/>
      <c r="R92" s="1872"/>
      <c r="S92" s="1871"/>
      <c r="T92" s="1872"/>
      <c r="U92" s="1859"/>
    </row>
    <row r="93">
      <c r="A93" s="1828"/>
      <c r="B93" s="1860">
        <f>IFERROR(VLOOKUP(C93,'字段信息'!A:C,3,),"")</f>
      </c>
      <c r="C93" s="1861" t="s">
        <v>4453</v>
      </c>
      <c r="D93" s="1862">
        <f>IFERROR(VLOOKUP(C92,'字段信息'!A:C,2,),"")</f>
      </c>
      <c r="E93" s="1863"/>
      <c r="F93" s="1864">
        <f t="shared" si="0"/>
      </c>
      <c r="G93" s="1863" t="s">
        <v>4354</v>
      </c>
      <c r="H93" s="1865"/>
      <c r="I93" s="1865"/>
      <c r="J93" s="1865"/>
      <c r="K93" s="1865"/>
      <c r="L93" s="1892"/>
      <c r="M93" s="1867" t="s">
        <v>4386</v>
      </c>
      <c r="N93" s="1874" t="s">
        <v>4359</v>
      </c>
      <c r="O93" s="1875" t="s">
        <v>4331</v>
      </c>
      <c r="P93" s="1861" t="s">
        <v>4453</v>
      </c>
      <c r="Q93" s="1871"/>
      <c r="R93" s="1872"/>
      <c r="S93" s="1871"/>
      <c r="T93" s="1872"/>
      <c r="U93" s="1859"/>
    </row>
    <row r="94">
      <c r="A94" s="1828"/>
      <c r="B94" s="1860">
        <f>IFERROR(VLOOKUP(C94,'字段信息'!A:C,3,),"")</f>
      </c>
      <c r="C94" s="1861" t="s">
        <v>4454</v>
      </c>
      <c r="D94" s="1862">
        <f>IFERROR(VLOOKUP(C93,'字段信息'!A:C,2,),"")</f>
      </c>
      <c r="E94" s="1863"/>
      <c r="F94" s="1864">
        <f t="shared" si="0"/>
      </c>
      <c r="G94" s="1863" t="s">
        <v>4354</v>
      </c>
      <c r="H94" s="1865"/>
      <c r="I94" s="1865"/>
      <c r="J94" s="1865"/>
      <c r="K94" s="1865"/>
      <c r="L94" s="1892"/>
      <c r="M94" s="1893" t="s">
        <v>4388</v>
      </c>
      <c r="N94" s="1874" t="s">
        <v>4359</v>
      </c>
      <c r="O94" s="1875" t="s">
        <v>4331</v>
      </c>
      <c r="P94" s="1861" t="s">
        <v>4454</v>
      </c>
      <c r="Q94" s="1871"/>
      <c r="R94" s="1872"/>
      <c r="S94" s="1871"/>
      <c r="T94" s="1872"/>
      <c r="U94" s="1859"/>
    </row>
    <row r="95">
      <c r="A95" s="1828"/>
      <c r="B95" s="1860">
        <f>IFERROR(VLOOKUP(C95,'字段信息'!A:C,3,),"")</f>
      </c>
      <c r="C95" s="1861" t="s">
        <v>4455</v>
      </c>
      <c r="D95" s="1862">
        <f>IFERROR(VLOOKUP(C94,'字段信息'!A:C,2,),"")</f>
      </c>
      <c r="E95" s="1863"/>
      <c r="F95" s="1864">
        <f t="shared" si="0"/>
      </c>
      <c r="G95" s="1863" t="s">
        <v>4354</v>
      </c>
      <c r="H95" s="1865"/>
      <c r="I95" s="1865"/>
      <c r="J95" s="1865"/>
      <c r="K95" s="1865"/>
      <c r="L95" s="1892"/>
      <c r="M95" s="1893" t="s">
        <v>4390</v>
      </c>
      <c r="N95" s="1874" t="s">
        <v>4359</v>
      </c>
      <c r="O95" s="1875" t="s">
        <v>4331</v>
      </c>
      <c r="P95" s="1861" t="s">
        <v>4455</v>
      </c>
      <c r="Q95" s="1871"/>
      <c r="R95" s="1872"/>
      <c r="S95" s="1871"/>
      <c r="T95" s="1872"/>
      <c r="U95" s="1859"/>
    </row>
    <row r="96">
      <c r="A96" s="1828"/>
      <c r="B96" s="1860">
        <f>IFERROR(VLOOKUP(C96,'字段信息'!A:C,3,),"")</f>
      </c>
      <c r="C96" s="1861" t="s">
        <v>4456</v>
      </c>
      <c r="D96" s="1862">
        <f>IFERROR(VLOOKUP(C95,'字段信息'!A:C,2,),"")</f>
      </c>
      <c r="E96" s="1863"/>
      <c r="F96" s="1864">
        <f t="shared" si="0"/>
      </c>
      <c r="G96" s="1863" t="s">
        <v>4354</v>
      </c>
      <c r="H96" s="1865"/>
      <c r="I96" s="1865"/>
      <c r="J96" s="1865"/>
      <c r="K96" s="1865"/>
      <c r="L96" s="1892"/>
      <c r="M96" s="1893" t="s">
        <v>4392</v>
      </c>
      <c r="N96" s="1874" t="s">
        <v>4359</v>
      </c>
      <c r="O96" s="1875" t="s">
        <v>4331</v>
      </c>
      <c r="P96" s="1861" t="s">
        <v>4456</v>
      </c>
      <c r="Q96" s="1871"/>
      <c r="R96" s="1872"/>
      <c r="S96" s="1871"/>
      <c r="T96" s="1872"/>
      <c r="U96" s="1859"/>
    </row>
    <row r="97">
      <c r="A97" s="1828"/>
      <c r="B97" s="1860">
        <f>IFERROR(VLOOKUP(C97,'字段信息'!A:C,3,),"")</f>
      </c>
      <c r="C97" s="1861" t="s">
        <v>4457</v>
      </c>
      <c r="D97" s="1862">
        <f>IFERROR(VLOOKUP(C96,'字段信息'!A:C,2,),"")</f>
      </c>
      <c r="E97" s="1863"/>
      <c r="F97" s="1864">
        <f t="shared" si="0"/>
      </c>
      <c r="G97" s="1863" t="s">
        <v>4354</v>
      </c>
      <c r="H97" s="1865"/>
      <c r="I97" s="1865"/>
      <c r="J97" s="1865"/>
      <c r="K97" s="1865"/>
      <c r="L97" s="1892"/>
      <c r="M97" s="1867" t="s">
        <v>4396</v>
      </c>
      <c r="N97" s="1874" t="s">
        <v>4359</v>
      </c>
      <c r="O97" s="1875" t="s">
        <v>4331</v>
      </c>
      <c r="P97" s="1861" t="s">
        <v>4457</v>
      </c>
      <c r="Q97" s="1871"/>
      <c r="R97" s="1872"/>
      <c r="S97" s="1871"/>
      <c r="T97" s="1872"/>
      <c r="U97" s="1859"/>
    </row>
    <row r="98">
      <c r="A98" s="1828"/>
      <c r="B98" s="1860">
        <f>IFERROR(VLOOKUP(C98,'字段信息'!A:C,3,),"")</f>
      </c>
      <c r="C98" s="1861" t="s">
        <v>4458</v>
      </c>
      <c r="D98" s="1862">
        <f>IFERROR(VLOOKUP(C97,'字段信息'!A:C,2,),"")</f>
      </c>
      <c r="E98" s="1863"/>
      <c r="F98" s="1864">
        <f t="shared" si="0"/>
      </c>
      <c r="G98" s="1863" t="s">
        <v>4354</v>
      </c>
      <c r="H98" s="1865"/>
      <c r="I98" s="1865"/>
      <c r="J98" s="1865"/>
      <c r="K98" s="1865"/>
      <c r="L98" s="1892"/>
      <c r="M98" s="1893" t="s">
        <v>4398</v>
      </c>
      <c r="N98" s="1874" t="s">
        <v>4359</v>
      </c>
      <c r="O98" s="1875" t="s">
        <v>4331</v>
      </c>
      <c r="P98" s="1861" t="s">
        <v>4458</v>
      </c>
      <c r="Q98" s="1871"/>
      <c r="R98" s="1872"/>
      <c r="S98" s="1871"/>
      <c r="T98" s="1872"/>
      <c r="U98" s="1859"/>
    </row>
    <row r="99">
      <c r="A99" s="1828"/>
      <c r="B99" s="1860">
        <f>IFERROR(VLOOKUP(C99,'字段信息'!A:C,3,),"")</f>
      </c>
      <c r="C99" s="1861" t="s">
        <v>4459</v>
      </c>
      <c r="D99" s="1862">
        <f>IFERROR(VLOOKUP(C98,'字段信息'!A:C,2,),"")</f>
      </c>
      <c r="E99" s="1863"/>
      <c r="F99" s="1864">
        <f t="shared" si="0"/>
      </c>
      <c r="G99" s="1863" t="s">
        <v>4354</v>
      </c>
      <c r="H99" s="1865"/>
      <c r="I99" s="1865"/>
      <c r="J99" s="1865"/>
      <c r="K99" s="1865"/>
      <c r="L99" s="1892"/>
      <c r="M99" s="1893" t="s">
        <v>4400</v>
      </c>
      <c r="N99" s="1874" t="s">
        <v>4359</v>
      </c>
      <c r="O99" s="1875" t="s">
        <v>4331</v>
      </c>
      <c r="P99" s="1861" t="s">
        <v>4459</v>
      </c>
      <c r="Q99" s="1871"/>
      <c r="R99" s="1872"/>
      <c r="S99" s="1871"/>
      <c r="T99" s="1872"/>
      <c r="U99" s="1859"/>
    </row>
    <row r="100">
      <c r="A100" s="1828"/>
      <c r="B100" s="1860">
        <f>IFERROR(VLOOKUP(C100,'字段信息'!A:C,3,),"")</f>
      </c>
      <c r="C100" s="1861" t="s">
        <v>4460</v>
      </c>
      <c r="D100" s="1862">
        <f>IFERROR(VLOOKUP(C99,'字段信息'!A:C,2,),"")</f>
      </c>
      <c r="E100" s="1863"/>
      <c r="F100" s="1864">
        <f t="shared" si="0"/>
      </c>
      <c r="G100" s="1863" t="s">
        <v>4354</v>
      </c>
      <c r="H100" s="1865"/>
      <c r="I100" s="1865"/>
      <c r="J100" s="1865"/>
      <c r="K100" s="1865"/>
      <c r="L100" s="1892"/>
      <c r="M100" s="1893" t="s">
        <v>4402</v>
      </c>
      <c r="N100" s="1874" t="s">
        <v>4359</v>
      </c>
      <c r="O100" s="1875" t="s">
        <v>4331</v>
      </c>
      <c r="P100" s="1861" t="s">
        <v>4460</v>
      </c>
      <c r="Q100" s="1871"/>
      <c r="R100" s="1872"/>
      <c r="S100" s="1871"/>
      <c r="T100" s="1872"/>
      <c r="U100" s="1859"/>
    </row>
    <row r="101">
      <c r="A101" s="1828"/>
      <c r="B101" s="1860">
        <f>IFERROR(VLOOKUP(C101,'字段信息'!A:C,3,),"")</f>
      </c>
      <c r="C101" s="1861" t="s">
        <v>4461</v>
      </c>
      <c r="D101" s="1862">
        <f>IFERROR(VLOOKUP(C100,'字段信息'!A:C,2,),"")</f>
      </c>
      <c r="E101" s="1863"/>
      <c r="F101" s="1864">
        <f t="shared" si="0"/>
      </c>
      <c r="G101" s="1863" t="s">
        <v>4354</v>
      </c>
      <c r="H101" s="1865"/>
      <c r="I101" s="1865"/>
      <c r="J101" s="1865"/>
      <c r="K101" s="1865"/>
      <c r="L101" s="1892"/>
      <c r="M101" s="1867" t="s">
        <v>4386</v>
      </c>
      <c r="N101" s="1874" t="s">
        <v>4359</v>
      </c>
      <c r="O101" s="1875" t="s">
        <v>4331</v>
      </c>
      <c r="P101" s="1861" t="s">
        <v>4461</v>
      </c>
      <c r="Q101" s="1871"/>
      <c r="R101" s="1872"/>
      <c r="S101" s="1871"/>
      <c r="T101" s="1872"/>
      <c r="U101" s="1859"/>
    </row>
    <row r="102">
      <c r="A102" s="1828"/>
      <c r="B102" s="1860">
        <f>IFERROR(VLOOKUP(C102,'字段信息'!A:C,3,),"")</f>
      </c>
      <c r="C102" s="1861" t="s">
        <v>4462</v>
      </c>
      <c r="D102" s="1862">
        <f>IFERROR(VLOOKUP(C101,'字段信息'!A:C,2,),"")</f>
      </c>
      <c r="E102" s="1863"/>
      <c r="F102" s="1864">
        <f t="shared" si="0"/>
      </c>
      <c r="G102" s="1863" t="s">
        <v>4354</v>
      </c>
      <c r="H102" s="1865"/>
      <c r="I102" s="1865"/>
      <c r="J102" s="1865"/>
      <c r="K102" s="1865"/>
      <c r="L102" s="1892"/>
      <c r="M102" s="1893" t="s">
        <v>4388</v>
      </c>
      <c r="N102" s="1874" t="s">
        <v>4359</v>
      </c>
      <c r="O102" s="1875" t="s">
        <v>4331</v>
      </c>
      <c r="P102" s="1861" t="s">
        <v>4462</v>
      </c>
      <c r="Q102" s="1871"/>
      <c r="R102" s="1872"/>
      <c r="S102" s="1871"/>
      <c r="T102" s="1872"/>
      <c r="U102" s="1859"/>
    </row>
    <row r="103">
      <c r="A103" s="1828"/>
      <c r="B103" s="1860">
        <f>IFERROR(VLOOKUP(C103,'字段信息'!A:C,3,),"")</f>
      </c>
      <c r="C103" s="1861" t="s">
        <v>4463</v>
      </c>
      <c r="D103" s="1862">
        <f>IFERROR(VLOOKUP(C102,'字段信息'!A:C,2,),"")</f>
      </c>
      <c r="E103" s="1863"/>
      <c r="F103" s="1864">
        <f t="shared" si="0"/>
      </c>
      <c r="G103" s="1863" t="s">
        <v>4354</v>
      </c>
      <c r="H103" s="1865"/>
      <c r="I103" s="1865"/>
      <c r="J103" s="1865"/>
      <c r="K103" s="1865"/>
      <c r="L103" s="1892"/>
      <c r="M103" s="1893" t="s">
        <v>4390</v>
      </c>
      <c r="N103" s="1874" t="s">
        <v>4359</v>
      </c>
      <c r="O103" s="1875" t="s">
        <v>4331</v>
      </c>
      <c r="P103" s="1861" t="s">
        <v>4463</v>
      </c>
      <c r="Q103" s="1871"/>
      <c r="R103" s="1872"/>
      <c r="S103" s="1871"/>
      <c r="T103" s="1872"/>
      <c r="U103" s="1859"/>
    </row>
    <row r="104">
      <c r="A104" s="1828"/>
      <c r="B104" s="1860">
        <f>IFERROR(VLOOKUP(C104,'字段信息'!A:C,3,),"")</f>
      </c>
      <c r="C104" s="1861" t="s">
        <v>4464</v>
      </c>
      <c r="D104" s="1862">
        <f>IFERROR(VLOOKUP(C103,'字段信息'!A:C,2,),"")</f>
      </c>
      <c r="E104" s="1863"/>
      <c r="F104" s="1864">
        <f t="shared" si="0"/>
      </c>
      <c r="G104" s="1863" t="s">
        <v>4354</v>
      </c>
      <c r="H104" s="1865"/>
      <c r="I104" s="1865"/>
      <c r="J104" s="1865"/>
      <c r="K104" s="1865"/>
      <c r="L104" s="1892"/>
      <c r="M104" s="1893" t="s">
        <v>4392</v>
      </c>
      <c r="N104" s="1874" t="s">
        <v>4359</v>
      </c>
      <c r="O104" s="1875" t="s">
        <v>4331</v>
      </c>
      <c r="P104" s="1861" t="s">
        <v>4464</v>
      </c>
      <c r="Q104" s="1871"/>
      <c r="R104" s="1872"/>
      <c r="S104" s="1871"/>
      <c r="T104" s="1872"/>
      <c r="U104" s="1859"/>
    </row>
    <row r="105">
      <c r="A105" s="1828"/>
      <c r="B105" s="1860">
        <f>IFERROR(VLOOKUP(C105,'字段信息'!A:C,3,),"")</f>
      </c>
      <c r="C105" s="1861" t="s">
        <v>4465</v>
      </c>
      <c r="D105" s="1862">
        <f>IFERROR(VLOOKUP(C104,'字段信息'!A:C,2,),"")</f>
      </c>
      <c r="E105" s="1863"/>
      <c r="F105" s="1864">
        <f t="shared" si="0"/>
      </c>
      <c r="G105" s="1863" t="s">
        <v>4354</v>
      </c>
      <c r="H105" s="1865"/>
      <c r="I105" s="1865"/>
      <c r="J105" s="1865"/>
      <c r="K105" s="1865"/>
      <c r="L105" s="1892"/>
      <c r="M105" s="1867" t="s">
        <v>4396</v>
      </c>
      <c r="N105" s="1874" t="s">
        <v>4359</v>
      </c>
      <c r="O105" s="1875" t="s">
        <v>4331</v>
      </c>
      <c r="P105" s="1861" t="s">
        <v>4465</v>
      </c>
      <c r="Q105" s="1871"/>
      <c r="R105" s="1872"/>
      <c r="S105" s="1871"/>
      <c r="T105" s="1872"/>
      <c r="U105" s="1859"/>
    </row>
    <row r="106">
      <c r="A106" s="1828"/>
      <c r="B106" s="1860">
        <f>IFERROR(VLOOKUP(C106,'字段信息'!A:C,3,),"")</f>
      </c>
      <c r="C106" s="1861" t="s">
        <v>4466</v>
      </c>
      <c r="D106" s="1862">
        <f>IFERROR(VLOOKUP(C105,'字段信息'!A:C,2,),"")</f>
      </c>
      <c r="E106" s="1863"/>
      <c r="F106" s="1864">
        <f t="shared" si="0"/>
      </c>
      <c r="G106" s="1863" t="s">
        <v>4354</v>
      </c>
      <c r="H106" s="1865"/>
      <c r="I106" s="1865"/>
      <c r="J106" s="1865"/>
      <c r="K106" s="1865"/>
      <c r="L106" s="1892"/>
      <c r="M106" s="1893" t="s">
        <v>4398</v>
      </c>
      <c r="N106" s="1874" t="s">
        <v>4359</v>
      </c>
      <c r="O106" s="1875" t="s">
        <v>4331</v>
      </c>
      <c r="P106" s="1861" t="s">
        <v>4466</v>
      </c>
      <c r="Q106" s="1871"/>
      <c r="R106" s="1872"/>
      <c r="S106" s="1871"/>
      <c r="T106" s="1872"/>
      <c r="U106" s="1859"/>
    </row>
    <row r="107">
      <c r="A107" s="1828"/>
      <c r="B107" s="1860">
        <f>IFERROR(VLOOKUP(C107,'字段信息'!A:C,3,),"")</f>
      </c>
      <c r="C107" s="1861" t="s">
        <v>4467</v>
      </c>
      <c r="D107" s="1862">
        <f>IFERROR(VLOOKUP(C106,'字段信息'!A:C,2,),"")</f>
      </c>
      <c r="E107" s="1863"/>
      <c r="F107" s="1864">
        <f t="shared" si="0"/>
      </c>
      <c r="G107" s="1863" t="s">
        <v>4354</v>
      </c>
      <c r="H107" s="1865"/>
      <c r="I107" s="1865"/>
      <c r="J107" s="1865"/>
      <c r="K107" s="1865"/>
      <c r="L107" s="1892"/>
      <c r="M107" s="1893" t="s">
        <v>4400</v>
      </c>
      <c r="N107" s="1874" t="s">
        <v>4359</v>
      </c>
      <c r="O107" s="1875" t="s">
        <v>4331</v>
      </c>
      <c r="P107" s="1861" t="s">
        <v>4467</v>
      </c>
      <c r="Q107" s="1871"/>
      <c r="R107" s="1872"/>
      <c r="S107" s="1871"/>
      <c r="T107" s="1872"/>
      <c r="U107" s="1859"/>
    </row>
    <row r="108">
      <c r="A108" s="1828"/>
      <c r="B108" s="1860">
        <f>IFERROR(VLOOKUP(C108,'字段信息'!A:C,3,),"")</f>
      </c>
      <c r="C108" s="1861" t="s">
        <v>4468</v>
      </c>
      <c r="D108" s="1862">
        <f>IFERROR(VLOOKUP(C107,'字段信息'!A:C,2,),"")</f>
      </c>
      <c r="E108" s="1863"/>
      <c r="F108" s="1864">
        <f t="shared" si="0"/>
      </c>
      <c r="G108" s="1863" t="s">
        <v>4354</v>
      </c>
      <c r="H108" s="1865"/>
      <c r="I108" s="1865"/>
      <c r="J108" s="1865"/>
      <c r="K108" s="1865"/>
      <c r="L108" s="1892"/>
      <c r="M108" s="1893" t="s">
        <v>4402</v>
      </c>
      <c r="N108" s="1874" t="s">
        <v>4359</v>
      </c>
      <c r="O108" s="1875" t="s">
        <v>4331</v>
      </c>
      <c r="P108" s="1861" t="s">
        <v>4468</v>
      </c>
      <c r="Q108" s="1871"/>
      <c r="R108" s="1872"/>
      <c r="S108" s="1871"/>
      <c r="T108" s="1872"/>
      <c r="U108" s="1859"/>
    </row>
  </sheetData>
  <autoFilter ref="A8:U108"/>
  <mergeCells>
    <mergeCell ref="B1:D1"/>
    <mergeCell ref="C2:F2"/>
    <mergeCell ref="M7:T7"/>
    <mergeCell ref="B7:G7"/>
    <mergeCell ref="C6:G6"/>
  </mergeCells>
  <hyperlinks>
    <hyperlink ref="A1" display="返回"/>
  </hyperlinks>
  <picture r:id="rId1"/>
</worksheet>
</file>

<file path=xl/worksheets/sheet3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cols>
    <col collapsed="false" customWidth="true" hidden="false" max="22" min="22" style="0" width="13.014084507042254"/>
    <col collapsed="false" customWidth="true" hidden="false" max="6" min="6" style="0" width="34.87323943661972"/>
    <col collapsed="false" customWidth="true" hidden="false" max="14" min="14" style="0" width="22.704225352112676"/>
    <col collapsed="false" customWidth="true" hidden="false" max="23" min="23" style="0" width="16.169014084507044"/>
    <col collapsed="false" customWidth="true" hidden="false" max="31" min="31" style="0" width="16.169014084507044"/>
    <col collapsed="false" customWidth="true" hidden="false" max="7" min="7" style="0" width="14.610328843709256"/>
    <col collapsed="false" customWidth="true" hidden="false" max="15" min="15" style="0" width="22.704225352112676"/>
    <col collapsed="false" customWidth="true" hidden="false" max="24" min="24" style="0" width="17.690131923962685"/>
    <col collapsed="false" customWidth="true" hidden="false" max="32" min="32" style="0" width="14.591549295774648"/>
    <col collapsed="false" customWidth="true" hidden="false" max="8" min="8" style="0" width="17.427230252159962"/>
    <col collapsed="false" customWidth="true" hidden="false" max="16" min="16" style="0" width="22.704225352112676"/>
    <col collapsed="false" customWidth="true" hidden="false" max="17" min="17" style="0" width="22.704225352112676"/>
    <col collapsed="false" customWidth="true" hidden="false" max="25" min="25" style="0" width="13.014084507042254"/>
    <col collapsed="false" customWidth="true" hidden="false" max="1" min="1" style="0" width="3.5492957746478875"/>
    <col collapsed="false" customWidth="true" hidden="false" max="9" min="9" style="0" width="19.004695040892354"/>
    <col collapsed="false" customWidth="true" hidden="false" max="18" min="18" style="0" width="22.704225352112676"/>
    <col collapsed="false" customWidth="true" hidden="false" max="26" min="26" style="0" width="11.43661971830986"/>
    <col collapsed="false" customWidth="true" hidden="false" max="2" min="2" style="0" width="10.985915492957746"/>
    <col collapsed="false" customWidth="true" hidden="false" max="10" min="10" style="0" width="26.952530202067965"/>
    <col collapsed="false" customWidth="true" hidden="false" max="19" min="19" style="0" width="22.704225352112676"/>
    <col collapsed="false" customWidth="true" hidden="false" max="27" min="27" style="0" width="16.169014084507044"/>
    <col collapsed="false" customWidth="true" hidden="false" max="3" min="3" style="0" width="11.32394366197183"/>
    <col collapsed="false" customWidth="true" hidden="false" max="11" min="11" style="0" width="18.535211267605632"/>
    <col collapsed="false" customWidth="true" hidden="false" max="20" min="20" style="0" width="22.704225352112676"/>
    <col collapsed="false" customWidth="true" hidden="false" max="28" min="28" style="0" width="17.97182198645435"/>
    <col collapsed="false" customWidth="true" hidden="false" max="4" min="4" style="0" width="20.356807716948694"/>
    <col collapsed="false" customWidth="true" hidden="false" max="12" min="12" style="0" width="22.723004900047286"/>
    <col collapsed="false" customWidth="true" hidden="false" max="21" min="21" style="0" width="13.014084507042254"/>
    <col collapsed="false" customWidth="true" hidden="false" max="29" min="29" style="0" width="17.070413535750127"/>
    <col collapsed="false" customWidth="true" hidden="false" max="5" min="5" style="0" width="34.87323943661972"/>
    <col collapsed="false" customWidth="true" hidden="false" max="13" min="13" style="0" width="22.704225352112676"/>
  </cols>
  <sheetData>
    <row customHeight="true" ht="16.071428571428573" r="1">
      <c r="A1" s="1895"/>
      <c r="B1" s="1895" t="s">
        <v>4469</v>
      </c>
      <c r="D1" s="1896" t="s">
        <v>4470</v>
      </c>
      <c r="E1" s="1896">
        <f>"dim_rule_fi_mr_"&amp;D1</f>
      </c>
      <c r="F1" s="1895" t="s">
        <v>4471</v>
      </c>
      <c r="I1" s="1895"/>
    </row>
    <row customHeight="true" ht="16.071428571428573" r="2">
      <c r="A2" s="1897" t="s">
        <v>4472</v>
      </c>
      <c r="B2" s="1898" t="s">
        <v>4473</v>
      </c>
      <c r="C2" s="1898" t="s">
        <v>4474</v>
      </c>
      <c r="D2" s="1897" t="s">
        <v>4475</v>
      </c>
      <c r="E2" s="1898" t="s">
        <v>4476</v>
      </c>
      <c r="F2" s="1898" t="s">
        <v>4477</v>
      </c>
      <c r="I2" s="1895"/>
    </row>
    <row customHeight="true" ht="16.071428571428573" r="3">
      <c r="A3" s="1897" t="s">
        <v>4478</v>
      </c>
      <c r="B3" s="1898" t="s">
        <v>4479</v>
      </c>
      <c r="C3" s="1897" t="s">
        <v>4480</v>
      </c>
      <c r="D3" s="1897" t="s">
        <v>4481</v>
      </c>
      <c r="E3" s="1898" t="s">
        <v>4482</v>
      </c>
      <c r="F3" s="1897" t="s">
        <v>4483</v>
      </c>
      <c r="G3" s="1899"/>
      <c r="H3" s="1899"/>
      <c r="I3" s="1895"/>
      <c r="J3" s="1899"/>
      <c r="K3" s="1899"/>
      <c r="L3" s="1899"/>
      <c r="M3" s="1899"/>
      <c r="N3" s="1899"/>
      <c r="O3" s="1899"/>
      <c r="P3" s="1899"/>
      <c r="Q3" s="1899"/>
      <c r="R3" s="1899"/>
      <c r="S3" s="1899"/>
      <c r="T3" s="1899"/>
      <c r="U3" s="1899"/>
      <c r="V3" s="1899"/>
      <c r="W3" s="1899"/>
      <c r="X3" s="1899"/>
      <c r="Y3" s="1899"/>
      <c r="Z3" s="1899"/>
      <c r="AA3" s="1899"/>
      <c r="AB3" s="1899"/>
      <c r="AC3" s="1899"/>
      <c r="AD3" s="1899"/>
      <c r="AE3" s="1899"/>
      <c r="AF3" s="1899"/>
      <c r="AG3" s="1899"/>
      <c r="AH3" s="1899"/>
      <c r="AI3" s="1899"/>
    </row>
    <row customHeight="true" ht="16.071428571428573" r="4">
      <c r="A4" s="1900"/>
      <c r="B4" s="1900">
        <v>202601</v>
      </c>
      <c r="C4" s="1900">
        <v>999999</v>
      </c>
      <c r="D4" s="1900" t="s">
        <v>4484</v>
      </c>
      <c r="E4" s="1900">
        <v>1007</v>
      </c>
      <c r="F4" s="1900" t="s">
        <v>4485</v>
      </c>
      <c r="I4" s="1895"/>
    </row>
    <row customHeight="true" ht="16.071428571428573" r="5">
      <c r="A5" s="1900"/>
      <c r="B5" s="1900">
        <v>202601</v>
      </c>
      <c r="C5" s="1900">
        <v>999999</v>
      </c>
      <c r="D5" s="1900" t="s">
        <v>4486</v>
      </c>
      <c r="E5" s="1901"/>
      <c r="F5" s="1900" t="s">
        <v>4485</v>
      </c>
      <c r="I5" s="1895"/>
    </row>
    <row customHeight="true" ht="16.071428571428573" r="6">
      <c r="A6" s="1895"/>
      <c r="B6" s="1895"/>
      <c r="D6" s="1895"/>
      <c r="F6" s="1895"/>
      <c r="I6" s="1895"/>
    </row>
    <row customHeight="true" ht="16.071428571428573" r="7">
      <c r="A7" s="1895"/>
      <c r="B7" s="1895" t="s">
        <v>4487</v>
      </c>
      <c r="D7" s="1896" t="s">
        <v>4488</v>
      </c>
      <c r="E7" s="1896">
        <f>"dim_rule_fi_mr_"&amp;D7</f>
      </c>
      <c r="F7" s="1895"/>
      <c r="I7" s="1895"/>
    </row>
    <row customHeight="true" ht="16.071428571428573" r="8">
      <c r="A8" s="1897" t="s">
        <v>4472</v>
      </c>
      <c r="B8" s="1898" t="s">
        <v>4473</v>
      </c>
      <c r="C8" s="1898" t="s">
        <v>4474</v>
      </c>
      <c r="D8" s="1897" t="s">
        <v>4489</v>
      </c>
      <c r="E8" s="1898" t="s">
        <v>4490</v>
      </c>
      <c r="F8" s="1897" t="s">
        <v>4491</v>
      </c>
      <c r="G8" s="1897" t="s">
        <v>4492</v>
      </c>
      <c r="I8" s="1895"/>
    </row>
    <row customHeight="true" ht="16.071428571428573" r="9">
      <c r="A9" s="1897" t="s">
        <v>4478</v>
      </c>
      <c r="B9" s="1898" t="s">
        <v>4479</v>
      </c>
      <c r="C9" s="1897" t="s">
        <v>4480</v>
      </c>
      <c r="D9" s="1897" t="s">
        <v>4493</v>
      </c>
      <c r="E9" s="1897" t="s">
        <v>4494</v>
      </c>
      <c r="F9" s="1897" t="s">
        <v>4495</v>
      </c>
      <c r="G9" s="1897" t="s">
        <v>4496</v>
      </c>
      <c r="I9" s="1895"/>
    </row>
    <row customHeight="true" ht="16.071428571428573" r="10">
      <c r="A10" s="1900"/>
      <c r="B10" s="1900">
        <v>202601</v>
      </c>
      <c r="C10" s="1900">
        <v>999999</v>
      </c>
      <c r="D10" s="1900">
        <v>1</v>
      </c>
      <c r="E10" s="1901" t="s">
        <v>4497</v>
      </c>
      <c r="F10" s="1900">
        <v>0</v>
      </c>
      <c r="G10" s="1900">
        <v>30</v>
      </c>
      <c r="I10" s="1895"/>
    </row>
    <row customHeight="true" ht="16.071428571428573" r="11">
      <c r="A11" s="1900"/>
      <c r="B11" s="1900">
        <v>202601</v>
      </c>
      <c r="C11" s="1900">
        <v>999999</v>
      </c>
      <c r="D11" s="1900">
        <v>2</v>
      </c>
      <c r="E11" s="1901" t="s">
        <v>4498</v>
      </c>
      <c r="F11" s="1900">
        <v>31</v>
      </c>
      <c r="G11" s="1900">
        <v>90</v>
      </c>
      <c r="H11" s="1899"/>
      <c r="I11" s="1895"/>
      <c r="J11" s="1899"/>
      <c r="K11" s="1899"/>
      <c r="L11" s="1899"/>
      <c r="M11" s="1899"/>
      <c r="N11" s="1899"/>
      <c r="O11" s="1899"/>
      <c r="P11" s="1899"/>
      <c r="Q11" s="1899"/>
      <c r="R11" s="1899"/>
      <c r="S11" s="1899"/>
      <c r="T11" s="1899"/>
      <c r="U11" s="1899"/>
      <c r="V11" s="1899"/>
      <c r="W11" s="1899"/>
      <c r="X11" s="1899"/>
    </row>
    <row customHeight="true" ht="16.071428571428573" r="12">
      <c r="A12" s="1895"/>
      <c r="B12" s="1895"/>
      <c r="D12" s="1895"/>
      <c r="F12" s="1895"/>
      <c r="I12" s="1895"/>
    </row>
    <row customHeight="true" ht="16.071428571428573" r="13">
      <c r="A13" s="1895"/>
      <c r="B13" s="1895" t="s">
        <v>4499</v>
      </c>
      <c r="D13" s="1895"/>
      <c r="E13" s="1896">
        <f>"dim_rule_fi_mr_"&amp;D13</f>
      </c>
      <c r="F13" s="1895"/>
      <c r="I13" s="1895"/>
    </row>
    <row customHeight="true" ht="16.071428571428573" r="14">
      <c r="A14" s="1897" t="s">
        <v>4472</v>
      </c>
      <c r="B14" s="1898" t="s">
        <v>4473</v>
      </c>
      <c r="C14" s="1898" t="s">
        <v>4474</v>
      </c>
      <c r="D14" s="1897" t="s">
        <v>4500</v>
      </c>
      <c r="E14" s="1897" t="s">
        <v>4501</v>
      </c>
      <c r="F14" s="1898" t="s">
        <v>4502</v>
      </c>
      <c r="G14" s="1897" t="s">
        <v>4503</v>
      </c>
      <c r="H14" s="1897" t="s">
        <v>4504</v>
      </c>
      <c r="I14" s="1897" t="s">
        <v>4505</v>
      </c>
      <c r="J14" s="1897" t="s">
        <v>4506</v>
      </c>
      <c r="K14" s="1897" t="s">
        <v>4507</v>
      </c>
      <c r="L14" s="1897" t="s">
        <v>4508</v>
      </c>
    </row>
    <row customHeight="true" ht="16.071428571428573" r="15">
      <c r="A15" s="1897" t="s">
        <v>4478</v>
      </c>
      <c r="B15" s="1898" t="s">
        <v>4479</v>
      </c>
      <c r="C15" s="1897" t="s">
        <v>4480</v>
      </c>
      <c r="D15" s="1897" t="s">
        <v>4509</v>
      </c>
      <c r="E15" s="1898" t="s">
        <v>4510</v>
      </c>
      <c r="F15" s="1898" t="s">
        <v>4482</v>
      </c>
      <c r="G15" s="1897" t="s">
        <v>4511</v>
      </c>
      <c r="H15" s="1897" t="s">
        <v>4512</v>
      </c>
      <c r="I15" s="1897" t="s">
        <v>4513</v>
      </c>
      <c r="J15" s="1897" t="s">
        <v>4514</v>
      </c>
      <c r="K15" s="1897" t="s">
        <v>4515</v>
      </c>
      <c r="L15" s="1897" t="s">
        <v>4516</v>
      </c>
    </row>
    <row customHeight="true" ht="16.071428571428573" r="16">
      <c r="A16" s="1900"/>
      <c r="B16" s="1900">
        <v>202601</v>
      </c>
      <c r="C16" s="1900">
        <v>999999</v>
      </c>
      <c r="D16" s="1900">
        <v>1</v>
      </c>
      <c r="E16" s="1900" t="s">
        <v>4517</v>
      </c>
      <c r="F16" s="1901"/>
      <c r="G16" s="1900"/>
      <c r="H16" s="1900"/>
      <c r="I16" s="1900"/>
      <c r="J16" s="1901"/>
      <c r="K16" s="1900"/>
      <c r="L16" s="1901"/>
    </row>
    <row customHeight="true" ht="16.071428571428573" r="17">
      <c r="A17" s="1900"/>
      <c r="B17" s="1900">
        <v>202601</v>
      </c>
      <c r="C17" s="1900">
        <v>999999</v>
      </c>
      <c r="D17" s="1900">
        <v>2</v>
      </c>
      <c r="E17" s="1900" t="s">
        <v>4518</v>
      </c>
      <c r="F17" s="1901"/>
      <c r="G17" s="1900"/>
      <c r="H17" s="1900"/>
      <c r="I17" s="1900"/>
      <c r="J17" s="1901"/>
      <c r="K17" s="1900"/>
      <c r="L17" s="1901"/>
    </row>
    <row customHeight="true" ht="16.071428571428573" r="18">
      <c r="A18" s="1895"/>
      <c r="B18" s="1895"/>
      <c r="D18" s="1895"/>
      <c r="F18" s="1895"/>
      <c r="I18" s="1895"/>
    </row>
    <row customHeight="true" ht="16.071428571428573" r="19">
      <c r="A19" s="1895"/>
      <c r="B19" s="1895" t="s">
        <v>4519</v>
      </c>
      <c r="D19" s="1896" t="s">
        <v>4520</v>
      </c>
      <c r="E19" s="1896">
        <f>"dim_rule_fi_mr_"&amp;D19</f>
      </c>
      <c r="F19" s="1895"/>
      <c r="I19" s="1895"/>
    </row>
    <row customHeight="true" ht="16.071428571428573" r="20">
      <c r="A20" s="1897" t="s">
        <v>4472</v>
      </c>
      <c r="B20" s="1898" t="s">
        <v>4473</v>
      </c>
      <c r="C20" s="1898" t="s">
        <v>4474</v>
      </c>
      <c r="D20" s="1897" t="s">
        <v>4500</v>
      </c>
      <c r="E20" s="1897" t="s">
        <v>4501</v>
      </c>
      <c r="F20" s="1898" t="s">
        <v>4502</v>
      </c>
      <c r="G20" s="1902" t="s">
        <v>4521</v>
      </c>
      <c r="H20" s="1902" t="s">
        <v>4522</v>
      </c>
      <c r="I20" s="1897" t="s">
        <v>4505</v>
      </c>
      <c r="J20" s="1897" t="s">
        <v>4506</v>
      </c>
      <c r="K20" s="1897" t="s">
        <v>4523</v>
      </c>
      <c r="L20" s="1897" t="s">
        <v>4524</v>
      </c>
    </row>
    <row customHeight="true" ht="16.071428571428573" r="21">
      <c r="A21" s="1897" t="s">
        <v>4478</v>
      </c>
      <c r="B21" s="1898" t="s">
        <v>4479</v>
      </c>
      <c r="C21" s="1897" t="s">
        <v>4480</v>
      </c>
      <c r="D21" s="1897" t="s">
        <v>4509</v>
      </c>
      <c r="E21" s="1898" t="s">
        <v>4510</v>
      </c>
      <c r="F21" s="1898" t="s">
        <v>4482</v>
      </c>
      <c r="G21" s="1902" t="s">
        <v>4525</v>
      </c>
      <c r="H21" s="1902" t="s">
        <v>4526</v>
      </c>
      <c r="I21" s="1897" t="s">
        <v>4513</v>
      </c>
      <c r="J21" s="1897" t="s">
        <v>4514</v>
      </c>
      <c r="K21" s="1897" t="s">
        <v>4527</v>
      </c>
      <c r="L21" s="1897" t="s">
        <v>4528</v>
      </c>
    </row>
    <row customHeight="true" ht="16.071428571428573" r="22">
      <c r="A22" s="1900"/>
      <c r="B22" s="1900">
        <v>202601</v>
      </c>
      <c r="C22" s="1900">
        <v>999999</v>
      </c>
      <c r="D22" s="1900">
        <v>1</v>
      </c>
      <c r="E22" s="1900" t="s">
        <v>4529</v>
      </c>
      <c r="F22" s="1900"/>
      <c r="G22" s="1900"/>
      <c r="H22" s="1901"/>
      <c r="I22" s="1900"/>
      <c r="J22" s="1901"/>
      <c r="K22" s="1900"/>
      <c r="L22" s="1901"/>
    </row>
    <row customHeight="true" ht="16.071428571428573" r="23">
      <c r="A23" s="1900"/>
      <c r="B23" s="1900">
        <v>202601</v>
      </c>
      <c r="C23" s="1900">
        <v>999999</v>
      </c>
      <c r="D23" s="1900">
        <v>2</v>
      </c>
      <c r="E23" s="1900" t="s">
        <v>4530</v>
      </c>
      <c r="F23" s="1900"/>
      <c r="G23" s="1900"/>
      <c r="H23" s="1901"/>
      <c r="I23" s="1900"/>
      <c r="J23" s="1901"/>
      <c r="K23" s="1900"/>
      <c r="L23" s="1901"/>
    </row>
    <row customHeight="true" ht="16.071428571428573" r="24">
      <c r="A24" s="1900"/>
      <c r="B24" s="1900">
        <v>202601</v>
      </c>
      <c r="C24" s="1900">
        <v>999999</v>
      </c>
      <c r="D24" s="1900">
        <v>3</v>
      </c>
      <c r="E24" s="1900" t="s">
        <v>4531</v>
      </c>
      <c r="F24" s="1900"/>
      <c r="G24" s="1900"/>
      <c r="H24" s="1901"/>
      <c r="I24" s="1900"/>
      <c r="J24" s="1901"/>
      <c r="K24" s="1900"/>
      <c r="L24" s="1901"/>
    </row>
    <row customHeight="true" ht="16.071428571428573" r="25">
      <c r="A25" s="1895"/>
      <c r="B25" s="1895"/>
      <c r="D25" s="1895"/>
      <c r="F25" s="1895"/>
      <c r="I25" s="1895"/>
    </row>
    <row customHeight="true" ht="16.071428571428573" r="26">
      <c r="A26" s="1895"/>
      <c r="B26" s="1895" t="s">
        <v>4532</v>
      </c>
      <c r="D26" s="1896" t="s">
        <v>4533</v>
      </c>
      <c r="E26" s="1896">
        <f>"dim_rule_fi_mr_"&amp;D26</f>
      </c>
      <c r="F26" s="1895"/>
      <c r="I26" s="1895"/>
    </row>
    <row customHeight="true" ht="16.071428571428573" r="27">
      <c r="A27" s="1897" t="s">
        <v>4472</v>
      </c>
      <c r="B27" s="1898" t="s">
        <v>4473</v>
      </c>
      <c r="C27" s="1898" t="s">
        <v>4474</v>
      </c>
      <c r="D27" s="1897" t="s">
        <v>4501</v>
      </c>
      <c r="E27" s="1897" t="s">
        <v>4534</v>
      </c>
      <c r="F27" s="1897" t="s">
        <v>4535</v>
      </c>
      <c r="G27" s="1897" t="s">
        <v>4536</v>
      </c>
      <c r="H27" s="1897" t="s">
        <v>4537</v>
      </c>
    </row>
    <row customHeight="true" ht="16.071428571428573" r="28">
      <c r="A28" s="1897" t="s">
        <v>4478</v>
      </c>
      <c r="B28" s="1898" t="s">
        <v>4479</v>
      </c>
      <c r="C28" s="1897" t="s">
        <v>4480</v>
      </c>
      <c r="D28" s="1898" t="s">
        <v>4510</v>
      </c>
      <c r="E28" s="1897" t="s">
        <v>4538</v>
      </c>
      <c r="F28" s="1897" t="s">
        <v>4539</v>
      </c>
      <c r="G28" s="1897" t="s">
        <v>4540</v>
      </c>
      <c r="H28" s="1897" t="s">
        <v>4541</v>
      </c>
    </row>
    <row customHeight="true" ht="16.071428571428573" r="29">
      <c r="A29" s="1900"/>
      <c r="B29" s="1900">
        <v>202601</v>
      </c>
      <c r="C29" s="1900">
        <v>999999</v>
      </c>
      <c r="D29" s="1900" t="s">
        <v>4542</v>
      </c>
      <c r="E29" s="1901"/>
      <c r="F29" s="1901"/>
      <c r="G29" s="1901"/>
      <c r="H29" s="1901"/>
    </row>
    <row r="30">
      <c r="A30" s="1900"/>
      <c r="B30" s="1900">
        <v>202601</v>
      </c>
      <c r="C30" s="1900">
        <v>999999</v>
      </c>
      <c r="D30" s="1900" t="s">
        <v>4543</v>
      </c>
      <c r="E30" s="1901"/>
      <c r="F30" s="1901"/>
      <c r="G30" s="1901"/>
      <c r="H30" s="1901"/>
    </row>
    <row customHeight="true" ht="16.071428571428573" r="31">
      <c r="A31" s="1895"/>
      <c r="B31" s="1895"/>
      <c r="D31" s="1895"/>
      <c r="F31" s="1895"/>
      <c r="I31" s="1895"/>
    </row>
    <row customHeight="true" ht="16.071428571428573" r="32">
      <c r="A32" s="1895"/>
      <c r="B32" s="1895" t="s">
        <v>4544</v>
      </c>
      <c r="D32" s="1896" t="s">
        <v>4545</v>
      </c>
      <c r="E32" s="1896">
        <f>"dim_rule_fi_mr_"&amp;D32</f>
      </c>
      <c r="F32" s="1895"/>
      <c r="I32" s="1895"/>
    </row>
    <row customHeight="true" ht="16.071428571428573" r="33">
      <c r="A33" s="1897" t="s">
        <v>4472</v>
      </c>
      <c r="B33" s="1898" t="s">
        <v>4473</v>
      </c>
      <c r="C33" s="1898" t="s">
        <v>4474</v>
      </c>
      <c r="D33" s="1897" t="s">
        <v>4500</v>
      </c>
      <c r="E33" s="1897" t="s">
        <v>4501</v>
      </c>
      <c r="F33" s="1898" t="s">
        <v>4502</v>
      </c>
      <c r="G33" s="1897" t="s">
        <v>4546</v>
      </c>
      <c r="H33" s="1897" t="s">
        <v>4547</v>
      </c>
      <c r="I33" s="1897" t="s">
        <v>4548</v>
      </c>
      <c r="J33" s="1897" t="s">
        <v>4549</v>
      </c>
      <c r="K33" s="1897" t="s">
        <v>4550</v>
      </c>
    </row>
    <row customHeight="true" ht="16.071428571428573" r="34">
      <c r="A34" s="1897" t="s">
        <v>4478</v>
      </c>
      <c r="B34" s="1898" t="s">
        <v>4479</v>
      </c>
      <c r="C34" s="1897" t="s">
        <v>4480</v>
      </c>
      <c r="D34" s="1897" t="s">
        <v>4509</v>
      </c>
      <c r="E34" s="1898" t="s">
        <v>4510</v>
      </c>
      <c r="F34" s="1898" t="s">
        <v>4482</v>
      </c>
      <c r="G34" s="1897" t="s">
        <v>4551</v>
      </c>
      <c r="H34" s="1897" t="s">
        <v>4552</v>
      </c>
      <c r="I34" s="1897" t="s">
        <v>4553</v>
      </c>
      <c r="J34" s="1897" t="s">
        <v>4554</v>
      </c>
      <c r="K34" s="1897" t="s">
        <v>4555</v>
      </c>
    </row>
    <row customHeight="true" ht="16.071428571428573" r="35">
      <c r="A35" s="1900"/>
      <c r="B35" s="1900">
        <v>202601</v>
      </c>
      <c r="C35" s="1900">
        <v>999999</v>
      </c>
      <c r="D35" s="1900" t="s">
        <v>4556</v>
      </c>
      <c r="E35" s="1901"/>
      <c r="F35" s="1901"/>
      <c r="G35" s="1900"/>
      <c r="H35" s="1900"/>
      <c r="I35" s="1901"/>
      <c r="J35" s="1900"/>
      <c r="K35" s="1901"/>
    </row>
    <row customHeight="true" ht="16.071428571428573" r="36">
      <c r="A36" s="1900"/>
      <c r="B36" s="1900">
        <v>202601</v>
      </c>
      <c r="C36" s="1900">
        <v>999999</v>
      </c>
      <c r="D36" s="1900" t="s">
        <v>4557</v>
      </c>
      <c r="E36" s="1901"/>
      <c r="F36" s="1901"/>
      <c r="G36" s="1900"/>
      <c r="H36" s="1900"/>
      <c r="I36" s="1901"/>
      <c r="J36" s="1900"/>
      <c r="K36" s="1901"/>
    </row>
    <row customHeight="true" ht="16.071428571428573" r="37">
      <c r="A37" s="1900"/>
      <c r="B37" s="1900">
        <v>202601</v>
      </c>
      <c r="C37" s="1900">
        <v>999999</v>
      </c>
      <c r="D37" s="1900" t="s">
        <v>4558</v>
      </c>
      <c r="E37" s="1901"/>
      <c r="F37" s="1901"/>
      <c r="G37" s="1900"/>
      <c r="H37" s="1900"/>
      <c r="I37" s="1901"/>
      <c r="J37" s="1900"/>
      <c r="K37" s="1901"/>
    </row>
    <row customHeight="true" ht="16.071428571428573" r="38">
      <c r="A38" s="1895"/>
      <c r="B38" s="1895"/>
      <c r="D38" s="1895"/>
      <c r="F38" s="1895"/>
      <c r="I38" s="1895"/>
    </row>
    <row customHeight="true" ht="16.071428571428573" r="39">
      <c r="A39" s="1895"/>
      <c r="B39" s="1895" t="s">
        <v>4559</v>
      </c>
      <c r="D39" s="1896" t="s">
        <v>4560</v>
      </c>
      <c r="E39" s="1896">
        <f>"dim_rule_fi_mr_"&amp;D39</f>
      </c>
      <c r="F39" s="1895"/>
      <c r="I39" s="1895"/>
    </row>
    <row customHeight="true" ht="16.071428571428573" r="40">
      <c r="A40" s="1897" t="s">
        <v>4472</v>
      </c>
      <c r="B40" s="1898" t="s">
        <v>4473</v>
      </c>
      <c r="C40" s="1898" t="s">
        <v>4474</v>
      </c>
      <c r="D40" s="1897" t="s">
        <v>4561</v>
      </c>
      <c r="E40" s="1897" t="s">
        <v>4562</v>
      </c>
      <c r="F40" s="1897" t="s">
        <v>4549</v>
      </c>
      <c r="G40" s="1897" t="s">
        <v>4550</v>
      </c>
    </row>
    <row customHeight="true" ht="16.071428571428573" r="41">
      <c r="A41" s="1897" t="s">
        <v>4478</v>
      </c>
      <c r="B41" s="1898" t="s">
        <v>4479</v>
      </c>
      <c r="C41" s="1897" t="s">
        <v>4480</v>
      </c>
      <c r="D41" s="1897" t="s">
        <v>4563</v>
      </c>
      <c r="E41" s="1897" t="s">
        <v>4564</v>
      </c>
      <c r="F41" s="1897" t="s">
        <v>4554</v>
      </c>
      <c r="G41" s="1897" t="s">
        <v>4555</v>
      </c>
    </row>
    <row customHeight="true" ht="16.071428571428573" r="42">
      <c r="A42" s="1900"/>
      <c r="B42" s="1900">
        <v>202601</v>
      </c>
      <c r="C42" s="1900">
        <v>999999</v>
      </c>
      <c r="D42" s="1901"/>
      <c r="E42" s="1901"/>
      <c r="F42" s="1900"/>
      <c r="G42" s="1901"/>
    </row>
    <row customHeight="true" ht="16.071428571428573" r="43">
      <c r="A43" s="1900"/>
      <c r="B43" s="1900">
        <v>202601</v>
      </c>
      <c r="C43" s="1900">
        <v>999999</v>
      </c>
      <c r="D43" s="1901"/>
      <c r="E43" s="1901"/>
      <c r="F43" s="1900"/>
      <c r="G43" s="1901"/>
      <c r="H43" s="1899"/>
      <c r="I43" s="1899"/>
      <c r="J43" s="1899"/>
      <c r="K43" s="1899"/>
      <c r="L43" s="1899"/>
      <c r="M43" s="1899"/>
      <c r="N43" s="1899"/>
      <c r="O43" s="1899"/>
      <c r="P43" s="1899"/>
      <c r="Q43" s="1899"/>
      <c r="R43" s="1899"/>
      <c r="S43" s="1899"/>
      <c r="T43" s="1899"/>
      <c r="U43" s="1899"/>
      <c r="V43" s="1899"/>
      <c r="W43" s="1899"/>
      <c r="X43" s="1899"/>
      <c r="Y43" s="1899"/>
      <c r="Z43" s="1899"/>
      <c r="AA43" s="1899"/>
      <c r="AB43" s="1899"/>
      <c r="AC43" s="1899"/>
      <c r="AD43" s="1899"/>
      <c r="AE43" s="1899"/>
      <c r="AF43" s="1899"/>
      <c r="AG43" s="1899"/>
    </row>
    <row customHeight="true" ht="16.071428571428573" r="44">
      <c r="A44" s="1895"/>
      <c r="B44" s="1895"/>
      <c r="D44" s="1895"/>
      <c r="F44" s="1895"/>
      <c r="I44" s="1895"/>
    </row>
    <row customHeight="true" ht="16.071428571428573" r="45">
      <c r="A45" s="1895"/>
      <c r="B45" s="1895" t="s">
        <v>4565</v>
      </c>
      <c r="D45" s="1896" t="s">
        <v>4566</v>
      </c>
      <c r="E45" s="1896">
        <f>"dim_rule_fi_mr_"&amp;D45</f>
      </c>
      <c r="F45" s="1895"/>
      <c r="I45" s="1895"/>
    </row>
    <row customHeight="true" ht="16.071428571428573" r="46">
      <c r="A46" s="1897" t="s">
        <v>4472</v>
      </c>
      <c r="B46" s="1898" t="s">
        <v>4473</v>
      </c>
      <c r="C46" s="1898" t="s">
        <v>4474</v>
      </c>
      <c r="D46" s="1897" t="s">
        <v>4500</v>
      </c>
      <c r="E46" s="1897" t="s">
        <v>4501</v>
      </c>
      <c r="F46" s="1897" t="s">
        <v>4475</v>
      </c>
      <c r="G46" s="1897" t="s">
        <v>4546</v>
      </c>
      <c r="H46" s="1897" t="s">
        <v>4536</v>
      </c>
      <c r="I46" s="1897" t="s">
        <v>4537</v>
      </c>
      <c r="J46" s="1897" t="s">
        <v>4567</v>
      </c>
      <c r="K46" s="1897" t="s">
        <v>4568</v>
      </c>
    </row>
    <row customHeight="true" ht="16.071428571428573" r="47">
      <c r="A47" s="1897" t="s">
        <v>4478</v>
      </c>
      <c r="B47" s="1898" t="s">
        <v>4479</v>
      </c>
      <c r="C47" s="1897" t="s">
        <v>4480</v>
      </c>
      <c r="D47" s="1897" t="s">
        <v>4509</v>
      </c>
      <c r="E47" s="1898" t="s">
        <v>4510</v>
      </c>
      <c r="F47" s="1897" t="s">
        <v>4481</v>
      </c>
      <c r="G47" s="1897" t="s">
        <v>4551</v>
      </c>
      <c r="H47" s="1897" t="s">
        <v>4540</v>
      </c>
      <c r="I47" s="1897" t="s">
        <v>4541</v>
      </c>
      <c r="J47" s="1897" t="s">
        <v>4569</v>
      </c>
      <c r="K47" s="1897" t="s">
        <v>4570</v>
      </c>
    </row>
    <row customHeight="true" ht="16.071428571428573" r="48">
      <c r="A48" s="1900"/>
      <c r="B48" s="1900">
        <v>202601</v>
      </c>
      <c r="C48" s="1900">
        <v>999999</v>
      </c>
      <c r="D48" s="1900">
        <v>1</v>
      </c>
      <c r="E48" s="1900" t="s">
        <v>4571</v>
      </c>
      <c r="F48" s="1901"/>
      <c r="G48" s="1900"/>
      <c r="H48" s="1900"/>
      <c r="I48" s="1901"/>
      <c r="J48" s="1900"/>
      <c r="K48" s="1901"/>
    </row>
    <row customHeight="true" ht="16.071428571428573" r="49">
      <c r="A49" s="1900"/>
      <c r="B49" s="1900">
        <v>202601</v>
      </c>
      <c r="C49" s="1900">
        <v>999999</v>
      </c>
      <c r="D49" s="1900">
        <v>2</v>
      </c>
      <c r="E49" s="1900" t="s">
        <v>4572</v>
      </c>
      <c r="F49" s="1901"/>
      <c r="G49" s="1900"/>
      <c r="H49" s="1900"/>
      <c r="I49" s="1901"/>
      <c r="J49" s="1900"/>
      <c r="K49" s="1901"/>
    </row>
    <row customHeight="true" ht="16.071428571428573" r="50">
      <c r="A50" s="1895"/>
      <c r="B50" s="1895"/>
      <c r="D50" s="1895"/>
      <c r="F50" s="1895"/>
      <c r="I50" s="1895"/>
    </row>
    <row customHeight="true" ht="16.071428571428573" r="51">
      <c r="A51" s="1895"/>
      <c r="B51" s="1895" t="s">
        <v>4573</v>
      </c>
      <c r="D51" s="1896" t="s">
        <v>4574</v>
      </c>
      <c r="E51" s="1896">
        <f>"dim_rule_fi_mr_"&amp;D51</f>
      </c>
      <c r="F51" s="1895"/>
      <c r="I51" s="1895"/>
    </row>
    <row customHeight="true" ht="16.071428571428573" r="52">
      <c r="A52" s="1897" t="s">
        <v>4472</v>
      </c>
      <c r="B52" s="1898" t="s">
        <v>4473</v>
      </c>
      <c r="C52" s="1898" t="s">
        <v>4474</v>
      </c>
      <c r="D52" s="1897" t="s">
        <v>4575</v>
      </c>
      <c r="E52" s="1898" t="s">
        <v>4503</v>
      </c>
      <c r="F52" s="1897" t="s">
        <v>4504</v>
      </c>
      <c r="I52" s="1895"/>
    </row>
    <row customHeight="true" ht="16.071428571428573" r="53">
      <c r="A53" s="1897" t="s">
        <v>4478</v>
      </c>
      <c r="B53" s="1898" t="s">
        <v>4479</v>
      </c>
      <c r="C53" s="1897" t="s">
        <v>4480</v>
      </c>
      <c r="D53" s="1897" t="s">
        <v>4576</v>
      </c>
      <c r="E53" s="1897" t="s">
        <v>4511</v>
      </c>
      <c r="F53" s="1897" t="s">
        <v>4512</v>
      </c>
      <c r="I53" s="1895"/>
    </row>
    <row customHeight="true" ht="16.071428571428573" r="54">
      <c r="A54" s="1900"/>
      <c r="B54" s="1900">
        <v>202601</v>
      </c>
      <c r="C54" s="1900">
        <v>999999</v>
      </c>
      <c r="D54" s="1900" t="s">
        <v>4577</v>
      </c>
      <c r="E54" s="1901"/>
      <c r="F54" s="1901"/>
      <c r="I54" s="1895"/>
    </row>
    <row customHeight="true" ht="16.071428571428573" r="55">
      <c r="A55" s="1900"/>
      <c r="B55" s="1900">
        <v>202601</v>
      </c>
      <c r="C55" s="1900">
        <v>999999</v>
      </c>
      <c r="D55" s="1900" t="s">
        <v>4578</v>
      </c>
      <c r="E55" s="1901"/>
      <c r="F55" s="1901"/>
      <c r="I55" s="1895"/>
    </row>
    <row customHeight="true" ht="16.071428571428573" r="56">
      <c r="A56" s="1895"/>
      <c r="B56" s="1895"/>
      <c r="D56" s="1895"/>
      <c r="F56" s="1895"/>
      <c r="I56" s="1895"/>
    </row>
    <row customHeight="true" ht="16.071428571428573" r="57">
      <c r="A57" s="1895"/>
      <c r="B57" s="1895"/>
      <c r="D57" s="1895"/>
      <c r="F57" s="1895"/>
      <c r="I57" s="1895"/>
    </row>
    <row customHeight="true" ht="16.071428571428573" r="58">
      <c r="A58" s="1895"/>
      <c r="B58" s="1895" t="s">
        <v>4579</v>
      </c>
      <c r="D58" s="1896" t="s">
        <v>4580</v>
      </c>
      <c r="E58" s="1896">
        <f>"dim_rule_fi_mr_"&amp;D58</f>
      </c>
      <c r="F58" s="1895" t="s">
        <v>4581</v>
      </c>
      <c r="G58" s="1895"/>
    </row>
    <row customHeight="true" ht="16.071428571428573" r="59">
      <c r="A59" s="1897" t="s">
        <v>4472</v>
      </c>
      <c r="B59" s="1898" t="s">
        <v>4473</v>
      </c>
      <c r="C59" s="1898" t="s">
        <v>4474</v>
      </c>
      <c r="D59" s="1897" t="s">
        <v>4501</v>
      </c>
      <c r="E59" s="1897" t="s">
        <v>4582</v>
      </c>
      <c r="F59" s="1898" t="s">
        <v>4502</v>
      </c>
      <c r="G59" s="1898" t="s">
        <v>4503</v>
      </c>
      <c r="H59" s="1897" t="s">
        <v>4583</v>
      </c>
      <c r="I59" s="1897" t="s">
        <v>4584</v>
      </c>
    </row>
    <row customHeight="true" ht="16.071428571428573" r="60">
      <c r="A60" s="1897" t="s">
        <v>4478</v>
      </c>
      <c r="B60" s="1898" t="s">
        <v>4479</v>
      </c>
      <c r="C60" s="1897" t="s">
        <v>4480</v>
      </c>
      <c r="D60" s="1898" t="s">
        <v>4510</v>
      </c>
      <c r="E60" s="1897" t="s">
        <v>4481</v>
      </c>
      <c r="F60" s="1898" t="s">
        <v>4482</v>
      </c>
      <c r="G60" s="1897" t="s">
        <v>4511</v>
      </c>
      <c r="H60" s="1897" t="s">
        <v>4585</v>
      </c>
      <c r="I60" s="1897" t="s">
        <v>4586</v>
      </c>
    </row>
    <row customHeight="true" ht="16.071428571428573" r="61">
      <c r="A61" s="1900"/>
      <c r="B61" s="1900">
        <v>202601</v>
      </c>
      <c r="C61" s="1900">
        <v>999999</v>
      </c>
      <c r="D61" s="1900" t="s">
        <v>4587</v>
      </c>
      <c r="E61" s="1901"/>
      <c r="F61" s="1901"/>
      <c r="G61" s="1901"/>
      <c r="H61" s="1901"/>
      <c r="I61" s="1901"/>
    </row>
    <row customHeight="true" ht="16.071428571428573" r="62">
      <c r="A62" s="1900"/>
      <c r="B62" s="1900">
        <v>202601</v>
      </c>
      <c r="C62" s="1900">
        <v>999999</v>
      </c>
      <c r="D62" s="1900" t="s">
        <v>4588</v>
      </c>
      <c r="E62" s="1901"/>
      <c r="F62" s="1901"/>
      <c r="G62" s="1901"/>
      <c r="H62" s="1901"/>
      <c r="I62" s="1901"/>
      <c r="K62" s="1899"/>
      <c r="L62" s="1899"/>
      <c r="M62" s="1899"/>
      <c r="N62" s="1899"/>
      <c r="O62" s="1899"/>
      <c r="P62" s="1899"/>
      <c r="Q62" s="1899"/>
      <c r="R62" s="1899"/>
      <c r="S62" s="1899"/>
      <c r="T62" s="1899"/>
      <c r="U62" s="1899"/>
      <c r="V62" s="1899"/>
      <c r="W62" s="1899"/>
      <c r="X62" s="1899"/>
      <c r="Y62" s="1899"/>
      <c r="Z62" s="1899"/>
      <c r="AA62" s="1899"/>
      <c r="AB62" s="1899"/>
      <c r="AC62" s="1899"/>
      <c r="AD62" s="1899"/>
      <c r="AE62" s="1899"/>
      <c r="AF62" s="1899"/>
      <c r="AG62" s="1899"/>
      <c r="AH62" s="1899"/>
      <c r="AI62" s="1899"/>
    </row>
    <row customHeight="true" ht="16.071428571428573" r="63">
      <c r="A63" s="1895"/>
      <c r="B63" s="1895"/>
      <c r="D63" s="1895"/>
      <c r="F63" s="1895"/>
      <c r="I63" s="1895"/>
    </row>
    <row customHeight="true" ht="16.071428571428573" r="64">
      <c r="A64" s="1895"/>
      <c r="B64" s="1895" t="s">
        <v>4589</v>
      </c>
      <c r="E64" s="1895" t="s">
        <v>4590</v>
      </c>
      <c r="F64" s="1895"/>
      <c r="I64" s="1895"/>
    </row>
    <row customHeight="true" ht="16.071428571428573" r="65">
      <c r="A65" s="1897" t="s">
        <v>4472</v>
      </c>
      <c r="B65" s="1898" t="s">
        <v>4473</v>
      </c>
      <c r="C65" s="1898" t="s">
        <v>4474</v>
      </c>
      <c r="D65" s="1897" t="s">
        <v>4582</v>
      </c>
      <c r="E65" s="1897" t="s">
        <v>4583</v>
      </c>
      <c r="F65" s="1897" t="s">
        <v>4584</v>
      </c>
      <c r="I65" s="1895"/>
    </row>
    <row customHeight="true" ht="16.071428571428573" r="66">
      <c r="A66" s="1897" t="s">
        <v>4478</v>
      </c>
      <c r="B66" s="1898" t="s">
        <v>4479</v>
      </c>
      <c r="C66" s="1897" t="s">
        <v>4480</v>
      </c>
      <c r="D66" s="1897" t="s">
        <v>4481</v>
      </c>
      <c r="E66" s="1897" t="s">
        <v>4585</v>
      </c>
      <c r="F66" s="1897" t="s">
        <v>4586</v>
      </c>
      <c r="I66" s="1895"/>
    </row>
    <row customHeight="true" ht="16.071428571428573" r="67">
      <c r="A67" s="1900"/>
      <c r="B67" s="1900">
        <v>202601</v>
      </c>
      <c r="C67" s="1900">
        <v>999999</v>
      </c>
      <c r="D67" s="1901"/>
      <c r="E67" s="1901"/>
      <c r="F67" s="1901"/>
      <c r="I67" s="1895"/>
    </row>
    <row customHeight="true" ht="16.071428571428573" r="68">
      <c r="A68" s="1895"/>
      <c r="B68" s="1895"/>
      <c r="C68" s="1903"/>
      <c r="D68" s="1895"/>
      <c r="F68" s="1895"/>
      <c r="I68" s="1895"/>
    </row>
    <row customHeight="true" ht="16.071428571428573" r="69">
      <c r="A69" s="1895"/>
      <c r="B69" s="1895"/>
      <c r="C69" s="1903"/>
      <c r="D69" s="1895"/>
      <c r="F69" s="1895"/>
      <c r="I69" s="1895"/>
    </row>
    <row customHeight="true" ht="16.071428571428573" r="70">
      <c r="A70" s="1895"/>
      <c r="B70" s="1895" t="s">
        <v>4591</v>
      </c>
      <c r="D70" s="1896" t="s">
        <v>4592</v>
      </c>
      <c r="E70" s="1896">
        <f>"dim_rule_fi_mr_"&amp;D70</f>
      </c>
      <c r="F70" s="1895" t="s">
        <v>4593</v>
      </c>
      <c r="I70" s="1895"/>
    </row>
    <row customHeight="true" ht="16.071428571428573" r="71">
      <c r="A71" s="1897" t="s">
        <v>4472</v>
      </c>
      <c r="B71" s="1898" t="s">
        <v>4473</v>
      </c>
      <c r="C71" s="1898" t="s">
        <v>4474</v>
      </c>
      <c r="D71" s="1897" t="s">
        <v>4501</v>
      </c>
      <c r="E71" s="1897" t="s">
        <v>4582</v>
      </c>
      <c r="F71" s="1898" t="s">
        <v>4502</v>
      </c>
      <c r="G71" s="1898" t="s">
        <v>4503</v>
      </c>
      <c r="H71" s="1897" t="s">
        <v>4583</v>
      </c>
      <c r="I71" s="1897" t="s">
        <v>4584</v>
      </c>
      <c r="J71" s="1897" t="s">
        <v>4594</v>
      </c>
    </row>
    <row customHeight="true" ht="16.071428571428573" r="72">
      <c r="A72" s="1897" t="s">
        <v>4478</v>
      </c>
      <c r="B72" s="1898" t="s">
        <v>4479</v>
      </c>
      <c r="C72" s="1897" t="s">
        <v>4480</v>
      </c>
      <c r="D72" s="1898" t="s">
        <v>4510</v>
      </c>
      <c r="E72" s="1897" t="s">
        <v>4481</v>
      </c>
      <c r="F72" s="1898" t="s">
        <v>4482</v>
      </c>
      <c r="G72" s="1897" t="s">
        <v>4511</v>
      </c>
      <c r="H72" s="1897" t="s">
        <v>4585</v>
      </c>
      <c r="I72" s="1897" t="s">
        <v>4586</v>
      </c>
      <c r="J72" s="1897" t="s">
        <v>4595</v>
      </c>
    </row>
    <row customHeight="true" ht="16.071428571428573" r="73">
      <c r="A73" s="1900"/>
      <c r="B73" s="1900">
        <v>202601</v>
      </c>
      <c r="C73" s="1900">
        <v>999999</v>
      </c>
      <c r="D73" s="1900" t="s">
        <v>4596</v>
      </c>
      <c r="E73" s="1901"/>
      <c r="F73" s="1901"/>
      <c r="G73" s="1901"/>
      <c r="H73" s="1901"/>
      <c r="I73" s="1901"/>
      <c r="J73" s="1901"/>
    </row>
    <row customHeight="true" ht="16.071428571428573" r="74">
      <c r="A74" s="1900"/>
      <c r="B74" s="1900">
        <v>202601</v>
      </c>
      <c r="C74" s="1900">
        <v>999999</v>
      </c>
      <c r="D74" s="1900" t="s">
        <v>4597</v>
      </c>
      <c r="E74" s="1901"/>
      <c r="F74" s="1901"/>
      <c r="G74" s="1901"/>
      <c r="H74" s="1901"/>
      <c r="I74" s="1901"/>
      <c r="J74" s="1901"/>
    </row>
    <row customHeight="true" ht="16.071428571428573" r="75">
      <c r="A75" s="1900"/>
      <c r="B75" s="1900">
        <v>202601</v>
      </c>
      <c r="C75" s="1900">
        <v>999999</v>
      </c>
      <c r="D75" s="1900" t="s">
        <v>4598</v>
      </c>
      <c r="E75" s="1901"/>
      <c r="F75" s="1901"/>
      <c r="G75" s="1901"/>
      <c r="H75" s="1901"/>
      <c r="I75" s="1901"/>
      <c r="J75" s="1901"/>
    </row>
    <row customHeight="true" ht="16.071428571428573" r="76">
      <c r="A76" s="1900"/>
      <c r="B76" s="1900">
        <v>202601</v>
      </c>
      <c r="C76" s="1900">
        <v>999999</v>
      </c>
      <c r="D76" s="1900" t="s">
        <v>4599</v>
      </c>
      <c r="E76" s="1901"/>
      <c r="F76" s="1901"/>
      <c r="G76" s="1901"/>
      <c r="H76" s="1901"/>
      <c r="I76" s="1901"/>
      <c r="J76" s="1901"/>
    </row>
    <row customHeight="true" ht="16.071428571428573" r="77">
      <c r="A77" s="1895"/>
      <c r="B77" s="1895"/>
      <c r="C77" s="1903"/>
      <c r="D77" s="1895"/>
      <c r="F77" s="1895"/>
      <c r="I77" s="1895"/>
    </row>
    <row customHeight="true" ht="16.071428571428573" r="78">
      <c r="A78" s="1895"/>
      <c r="B78" s="1895"/>
      <c r="C78" s="1903"/>
      <c r="D78" s="1895"/>
      <c r="F78" s="1895"/>
      <c r="I78" s="1895"/>
    </row>
    <row customHeight="true" ht="16.071428571428573" r="79">
      <c r="A79" s="1895"/>
      <c r="B79" s="1895"/>
      <c r="C79" s="1903"/>
      <c r="D79" s="1895"/>
      <c r="F79" s="1895"/>
      <c r="I79" s="1895"/>
    </row>
    <row customHeight="true" ht="16.071428571428573" r="80">
      <c r="A80" s="1895"/>
      <c r="B80" s="1895"/>
      <c r="C80" s="1903"/>
      <c r="D80" s="1895"/>
      <c r="F80" s="1895"/>
      <c r="I80" s="1895"/>
    </row>
    <row customHeight="true" ht="16.071428571428573" r="81">
      <c r="A81" s="1895"/>
      <c r="B81" s="1895"/>
      <c r="C81" s="1903"/>
      <c r="D81" s="1895"/>
      <c r="F81" s="1895"/>
      <c r="I81" s="1895"/>
    </row>
    <row customHeight="true" ht="16.071428571428573" r="82">
      <c r="A82" s="1895"/>
      <c r="B82" s="1895" t="s">
        <v>4600</v>
      </c>
      <c r="C82" s="1903" t="s">
        <v>4601</v>
      </c>
      <c r="D82" s="1896" t="s">
        <v>4602</v>
      </c>
      <c r="E82" s="1896">
        <f>"dim_rule_fi_mr_"&amp;D82</f>
      </c>
      <c r="F82" s="1895" t="s">
        <v>4593</v>
      </c>
      <c r="I82" s="1895"/>
    </row>
    <row r="83">
      <c r="A83" s="1897" t="s">
        <v>4472</v>
      </c>
      <c r="B83" s="1898" t="s">
        <v>4473</v>
      </c>
      <c r="C83" s="1898" t="s">
        <v>4474</v>
      </c>
      <c r="D83" s="1897" t="s">
        <v>4582</v>
      </c>
      <c r="E83" s="1898" t="s">
        <v>4502</v>
      </c>
      <c r="F83" s="1898" t="s">
        <v>4603</v>
      </c>
      <c r="G83" s="1898" t="s">
        <v>4503</v>
      </c>
      <c r="H83" s="1897" t="s">
        <v>4604</v>
      </c>
      <c r="I83" s="1898" t="s">
        <v>4605</v>
      </c>
      <c r="J83" s="1897" t="s">
        <v>4606</v>
      </c>
    </row>
    <row r="84">
      <c r="A84" s="1897" t="s">
        <v>4478</v>
      </c>
      <c r="B84" s="1898" t="s">
        <v>4479</v>
      </c>
      <c r="C84" s="1897" t="s">
        <v>4480</v>
      </c>
      <c r="D84" s="1897" t="s">
        <v>4481</v>
      </c>
      <c r="E84" s="1898" t="s">
        <v>4482</v>
      </c>
      <c r="F84" s="1897" t="s">
        <v>4585</v>
      </c>
      <c r="G84" s="1897" t="s">
        <v>4511</v>
      </c>
      <c r="H84" s="1897" t="s">
        <v>4607</v>
      </c>
      <c r="I84" s="1897" t="s">
        <v>4608</v>
      </c>
      <c r="J84" s="1897" t="s">
        <v>4609</v>
      </c>
    </row>
    <row customHeight="true" ht="16.071428571428573" r="85">
      <c r="A85" s="1900"/>
      <c r="B85" s="1900">
        <v>202601</v>
      </c>
      <c r="C85" s="1900">
        <v>999999</v>
      </c>
      <c r="D85" s="1900" t="s">
        <v>4484</v>
      </c>
      <c r="E85" s="1904"/>
      <c r="F85" s="1904">
        <v>11.22</v>
      </c>
      <c r="G85" s="1901"/>
      <c r="H85" s="1901" t="s">
        <v>4610</v>
      </c>
      <c r="I85" s="1905" t="s">
        <v>4611</v>
      </c>
      <c r="J85" s="1901" t="s">
        <v>4612</v>
      </c>
    </row>
    <row customHeight="true" ht="16.071428571428573" r="86">
      <c r="A86" s="1900"/>
      <c r="B86" s="1900">
        <v>202601</v>
      </c>
      <c r="C86" s="1900">
        <v>999999</v>
      </c>
      <c r="D86" s="1900" t="s">
        <v>4484</v>
      </c>
      <c r="E86" s="1904"/>
      <c r="F86" s="1904">
        <v>11.22</v>
      </c>
      <c r="G86" s="1901"/>
      <c r="H86" s="1901" t="s">
        <v>4613</v>
      </c>
      <c r="I86" s="1906" t="s">
        <v>4614</v>
      </c>
      <c r="J86" s="1901" t="s">
        <v>4615</v>
      </c>
    </row>
    <row customHeight="true" ht="16.071428571428573" r="87">
      <c r="A87" s="1900"/>
      <c r="B87" s="1900">
        <v>202601</v>
      </c>
      <c r="C87" s="1900">
        <v>999999</v>
      </c>
      <c r="D87" s="1900" t="s">
        <v>4484</v>
      </c>
      <c r="E87" s="1904"/>
      <c r="F87" s="1904">
        <v>12.21</v>
      </c>
      <c r="G87" s="1901"/>
      <c r="H87" s="1901" t="s">
        <v>4610</v>
      </c>
      <c r="I87" s="1905" t="s">
        <v>4611</v>
      </c>
      <c r="J87" s="1901" t="s">
        <v>4616</v>
      </c>
    </row>
    <row customHeight="true" ht="16.071428571428573" r="88">
      <c r="A88" s="1900"/>
      <c r="B88" s="1900">
        <v>202601</v>
      </c>
      <c r="C88" s="1900">
        <v>999999</v>
      </c>
      <c r="D88" s="1900" t="s">
        <v>4484</v>
      </c>
      <c r="E88" s="1904"/>
      <c r="F88" s="1904">
        <v>12.21</v>
      </c>
      <c r="G88" s="1901"/>
      <c r="H88" s="1901" t="s">
        <v>4613</v>
      </c>
      <c r="I88" s="1906" t="s">
        <v>4614</v>
      </c>
      <c r="J88" s="1901" t="s">
        <v>4617</v>
      </c>
    </row>
    <row customHeight="true" ht="16.071428571428573" r="89">
      <c r="A89" s="1900"/>
      <c r="B89" s="1900">
        <v>202601</v>
      </c>
      <c r="C89" s="1900">
        <v>999999</v>
      </c>
      <c r="D89" s="1900" t="s">
        <v>4484</v>
      </c>
      <c r="E89" s="1904"/>
      <c r="F89" s="1904">
        <v>11.23</v>
      </c>
      <c r="G89" s="1901"/>
      <c r="H89" s="1901" t="s">
        <v>4610</v>
      </c>
      <c r="I89" s="1905" t="s">
        <v>4611</v>
      </c>
      <c r="J89" s="1901" t="s">
        <v>4618</v>
      </c>
    </row>
    <row customHeight="true" ht="16.071428571428573" r="90">
      <c r="A90" s="1900"/>
      <c r="B90" s="1900">
        <v>202601</v>
      </c>
      <c r="C90" s="1900">
        <v>999999</v>
      </c>
      <c r="D90" s="1900" t="s">
        <v>4484</v>
      </c>
      <c r="E90" s="1904"/>
      <c r="F90" s="1904">
        <v>11.23</v>
      </c>
      <c r="G90" s="1901"/>
      <c r="H90" s="1901" t="s">
        <v>4613</v>
      </c>
      <c r="I90" s="1906" t="s">
        <v>4614</v>
      </c>
      <c r="J90" s="1901" t="s">
        <v>4619</v>
      </c>
    </row>
    <row customHeight="true" ht="16.071428571428573" r="91">
      <c r="A91" s="1895"/>
      <c r="B91" s="1895"/>
      <c r="D91" s="1895"/>
      <c r="F91" s="1895"/>
      <c r="I91" s="1895"/>
    </row>
    <row customHeight="true" ht="16.071428571428573" r="92">
      <c r="A92" s="1895"/>
      <c r="B92" s="1895" t="s">
        <v>4620</v>
      </c>
      <c r="D92" s="1896" t="s">
        <v>4621</v>
      </c>
      <c r="E92" s="1896">
        <f>"dim_rule_fi_mr_"&amp;D92</f>
      </c>
      <c r="F92" s="1895" t="s">
        <v>4622</v>
      </c>
      <c r="G92" s="1895"/>
      <c r="J92" s="1895"/>
      <c r="M92" s="1896"/>
    </row>
    <row customHeight="true" ht="16.071428571428573" r="93">
      <c r="A93" s="1897" t="s">
        <v>4472</v>
      </c>
      <c r="B93" s="1898" t="s">
        <v>4473</v>
      </c>
      <c r="C93" s="1898" t="s">
        <v>4474</v>
      </c>
      <c r="D93" s="1897" t="s">
        <v>4500</v>
      </c>
      <c r="E93" s="1897" t="s">
        <v>4501</v>
      </c>
      <c r="F93" s="1898" t="s">
        <v>4502</v>
      </c>
      <c r="G93" s="1898" t="s">
        <v>4503</v>
      </c>
      <c r="H93" s="1897" t="s">
        <v>4536</v>
      </c>
      <c r="I93" s="1898" t="s">
        <v>4623</v>
      </c>
      <c r="J93" s="1897" t="s">
        <v>4624</v>
      </c>
      <c r="M93" s="1896"/>
    </row>
    <row customHeight="true" ht="16.071428571428573" r="94">
      <c r="A94" s="1897" t="s">
        <v>4478</v>
      </c>
      <c r="B94" s="1898" t="s">
        <v>4479</v>
      </c>
      <c r="C94" s="1897" t="s">
        <v>4480</v>
      </c>
      <c r="D94" s="1897" t="s">
        <v>4509</v>
      </c>
      <c r="E94" s="1898" t="s">
        <v>4510</v>
      </c>
      <c r="F94" s="1898" t="s">
        <v>4482</v>
      </c>
      <c r="G94" s="1897" t="s">
        <v>4511</v>
      </c>
      <c r="H94" s="1897" t="s">
        <v>4540</v>
      </c>
      <c r="I94" s="1897" t="s">
        <v>4625</v>
      </c>
      <c r="J94" s="1897" t="s">
        <v>4595</v>
      </c>
      <c r="M94" s="1896"/>
    </row>
    <row customHeight="true" ht="16.071428571428573" r="95">
      <c r="A95" s="1900"/>
      <c r="B95" s="1900">
        <v>202601</v>
      </c>
      <c r="C95" s="1900">
        <v>999999</v>
      </c>
      <c r="D95" s="1900">
        <v>1</v>
      </c>
      <c r="E95" s="1900" t="s">
        <v>4626</v>
      </c>
      <c r="F95" s="1900"/>
      <c r="G95" s="1900"/>
      <c r="H95" s="1900"/>
      <c r="I95" s="1900"/>
      <c r="J95" s="1900"/>
      <c r="M95" s="1896"/>
    </row>
    <row customHeight="true" ht="16.071428571428573" r="96">
      <c r="A96" s="1900"/>
      <c r="B96" s="1900">
        <v>202601</v>
      </c>
      <c r="C96" s="1900">
        <v>999999</v>
      </c>
      <c r="D96" s="1900">
        <v>2</v>
      </c>
      <c r="E96" s="1900" t="s">
        <v>4627</v>
      </c>
      <c r="F96" s="1900"/>
      <c r="G96" s="1900"/>
      <c r="H96" s="1900"/>
      <c r="I96" s="1900"/>
      <c r="J96" s="1900"/>
      <c r="M96" s="1896"/>
    </row>
    <row customHeight="true" ht="16.071428571428573" r="97">
      <c r="A97" s="1900"/>
      <c r="B97" s="1900">
        <v>202601</v>
      </c>
      <c r="C97" s="1900">
        <v>999999</v>
      </c>
      <c r="D97" s="1900">
        <v>3</v>
      </c>
      <c r="E97" s="1900" t="s">
        <v>4628</v>
      </c>
      <c r="F97" s="1900"/>
      <c r="G97" s="1900"/>
      <c r="H97" s="1900"/>
      <c r="I97" s="1900"/>
      <c r="J97" s="1900"/>
      <c r="M97" s="1896"/>
    </row>
    <row customHeight="true" ht="16.071428571428573" r="98">
      <c r="A98" s="1895"/>
      <c r="B98" s="1895"/>
      <c r="D98" s="1895"/>
      <c r="F98" s="1895"/>
      <c r="I98" s="1895"/>
      <c r="M98" s="1896"/>
    </row>
    <row customHeight="true" ht="16.071428571428573" r="99">
      <c r="A99" s="1895"/>
      <c r="B99" s="1895" t="s">
        <v>4629</v>
      </c>
      <c r="D99" s="1896" t="s">
        <v>4630</v>
      </c>
      <c r="E99" s="1896">
        <f>"dim_rule_fi_mr_"&amp;D99</f>
      </c>
      <c r="F99" s="1895" t="s">
        <v>4593</v>
      </c>
      <c r="G99" s="1895"/>
      <c r="J99" s="1895"/>
    </row>
    <row customHeight="true" ht="16.071428571428573" r="100">
      <c r="A100" s="1897" t="s">
        <v>4472</v>
      </c>
      <c r="B100" s="1898" t="s">
        <v>4473</v>
      </c>
      <c r="C100" s="1898" t="s">
        <v>4474</v>
      </c>
      <c r="D100" s="1897" t="s">
        <v>4500</v>
      </c>
      <c r="E100" s="1897" t="s">
        <v>4501</v>
      </c>
      <c r="F100" s="1897" t="s">
        <v>4475</v>
      </c>
      <c r="G100" s="1898" t="s">
        <v>4502</v>
      </c>
      <c r="H100" s="1898" t="s">
        <v>4503</v>
      </c>
      <c r="I100" s="1897" t="s">
        <v>4504</v>
      </c>
      <c r="J100" s="1897" t="s">
        <v>4536</v>
      </c>
      <c r="K100" s="1897" t="s">
        <v>4583</v>
      </c>
      <c r="L100" s="1897" t="s">
        <v>4631</v>
      </c>
      <c r="M100" s="1897" t="s">
        <v>4632</v>
      </c>
      <c r="N100" s="1897" t="s">
        <v>4633</v>
      </c>
      <c r="O100" s="1897" t="s">
        <v>4546</v>
      </c>
    </row>
    <row customHeight="true" ht="16.071428571428573" r="101">
      <c r="A101" s="1897" t="s">
        <v>4478</v>
      </c>
      <c r="B101" s="1898" t="s">
        <v>4479</v>
      </c>
      <c r="C101" s="1897" t="s">
        <v>4480</v>
      </c>
      <c r="D101" s="1897" t="s">
        <v>4509</v>
      </c>
      <c r="E101" s="1898" t="s">
        <v>4510</v>
      </c>
      <c r="F101" s="1897" t="s">
        <v>4481</v>
      </c>
      <c r="G101" s="1898" t="s">
        <v>4482</v>
      </c>
      <c r="H101" s="1897" t="s">
        <v>4511</v>
      </c>
      <c r="I101" s="1897" t="s">
        <v>4512</v>
      </c>
      <c r="J101" s="1897" t="s">
        <v>4540</v>
      </c>
      <c r="K101" s="1897" t="s">
        <v>4634</v>
      </c>
      <c r="L101" s="1897" t="s">
        <v>4635</v>
      </c>
      <c r="M101" s="1897" t="s">
        <v>4636</v>
      </c>
      <c r="N101" s="1897" t="s">
        <v>4637</v>
      </c>
      <c r="O101" s="1897" t="s">
        <v>4551</v>
      </c>
    </row>
    <row customHeight="true" ht="16.071428571428573" r="102">
      <c r="A102" s="1900"/>
      <c r="B102" s="1900">
        <v>202601</v>
      </c>
      <c r="C102" s="1900">
        <v>999999</v>
      </c>
      <c r="D102" s="1900">
        <v>1</v>
      </c>
      <c r="E102" s="1900" t="s">
        <v>4638</v>
      </c>
      <c r="F102" s="1900"/>
      <c r="G102" s="1900"/>
      <c r="H102" s="1900"/>
      <c r="I102" s="1900"/>
      <c r="J102" s="1900"/>
      <c r="K102" s="1900"/>
      <c r="L102" s="1900"/>
      <c r="M102" s="1900"/>
      <c r="N102" s="1900"/>
      <c r="O102" s="1900"/>
    </row>
    <row customHeight="true" ht="16.071428571428573" r="103">
      <c r="A103" s="1900"/>
      <c r="B103" s="1900">
        <v>202601</v>
      </c>
      <c r="C103" s="1900">
        <v>999999</v>
      </c>
      <c r="D103" s="1900">
        <v>2</v>
      </c>
      <c r="E103" s="1900" t="s">
        <v>4626</v>
      </c>
      <c r="F103" s="1900"/>
      <c r="G103" s="1900"/>
      <c r="H103" s="1900"/>
      <c r="I103" s="1900"/>
      <c r="J103" s="1900"/>
      <c r="K103" s="1900"/>
      <c r="L103" s="1900"/>
      <c r="M103" s="1900"/>
      <c r="N103" s="1900"/>
      <c r="O103" s="1900"/>
    </row>
    <row customHeight="true" ht="16.071428571428573" r="104">
      <c r="A104" s="1900"/>
      <c r="B104" s="1900">
        <v>202601</v>
      </c>
      <c r="C104" s="1900">
        <v>999999</v>
      </c>
      <c r="D104" s="1900">
        <v>3</v>
      </c>
      <c r="E104" s="1900" t="s">
        <v>4639</v>
      </c>
      <c r="F104" s="1900"/>
      <c r="G104" s="1900"/>
      <c r="H104" s="1900"/>
      <c r="I104" s="1900"/>
      <c r="J104" s="1900"/>
      <c r="K104" s="1900"/>
      <c r="L104" s="1900"/>
      <c r="M104" s="1900"/>
      <c r="N104" s="1900"/>
      <c r="O104" s="1900"/>
    </row>
    <row customHeight="true" ht="16.071428571428573" r="105">
      <c r="A105" s="1900"/>
      <c r="B105" s="1900">
        <v>202601</v>
      </c>
      <c r="C105" s="1900">
        <v>999999</v>
      </c>
      <c r="D105" s="1900">
        <v>4</v>
      </c>
      <c r="E105" s="1900" t="s">
        <v>4640</v>
      </c>
      <c r="F105" s="1900"/>
      <c r="G105" s="1900"/>
      <c r="H105" s="1900"/>
      <c r="I105" s="1900"/>
      <c r="J105" s="1900"/>
      <c r="K105" s="1900"/>
      <c r="L105" s="1900"/>
      <c r="M105" s="1900"/>
      <c r="N105" s="1900"/>
      <c r="O105" s="1900"/>
    </row>
    <row customHeight="true" ht="16.071428571428573" r="106">
      <c r="A106" s="1900"/>
      <c r="B106" s="1900">
        <v>202601</v>
      </c>
      <c r="C106" s="1900">
        <v>999999</v>
      </c>
      <c r="D106" s="1900">
        <v>5</v>
      </c>
      <c r="E106" s="1900" t="s">
        <v>4641</v>
      </c>
      <c r="F106" s="1900"/>
      <c r="G106" s="1900"/>
      <c r="H106" s="1900"/>
      <c r="I106" s="1900"/>
      <c r="J106" s="1900"/>
      <c r="K106" s="1900"/>
      <c r="L106" s="1900"/>
      <c r="M106" s="1900"/>
      <c r="N106" s="1900"/>
      <c r="O106" s="1900"/>
    </row>
    <row customHeight="true" ht="16.071428571428573" r="107">
      <c r="A107" s="1895"/>
      <c r="B107" s="1895"/>
      <c r="D107" s="1895"/>
      <c r="F107" s="1895"/>
      <c r="I107" s="1895"/>
    </row>
    <row customHeight="true" ht="16.071428571428573" r="108">
      <c r="A108" s="1895"/>
      <c r="B108" s="1895" t="s">
        <v>4642</v>
      </c>
      <c r="D108" s="1895" t="s">
        <v>4643</v>
      </c>
      <c r="E108" s="1896" t="s">
        <v>4644</v>
      </c>
      <c r="F108" s="1895"/>
      <c r="I108" s="1895"/>
    </row>
    <row r="109">
      <c r="A109" s="1898"/>
      <c r="B109" s="1898" t="s">
        <v>4473</v>
      </c>
      <c r="C109" s="1898" t="s">
        <v>4474</v>
      </c>
      <c r="D109" s="1897" t="s">
        <v>4500</v>
      </c>
      <c r="E109" s="1897" t="s">
        <v>4501</v>
      </c>
      <c r="F109" s="1897" t="s">
        <v>4645</v>
      </c>
      <c r="G109" s="1898" t="s">
        <v>4502</v>
      </c>
      <c r="H109" s="1898" t="s">
        <v>4503</v>
      </c>
      <c r="I109" s="1897" t="s">
        <v>4504</v>
      </c>
      <c r="J109" s="1897" t="s">
        <v>4546</v>
      </c>
      <c r="K109" s="1897" t="s">
        <v>4631</v>
      </c>
      <c r="L109" s="1907" t="s">
        <v>4646</v>
      </c>
      <c r="M109" s="1907" t="s">
        <v>4647</v>
      </c>
      <c r="N109" s="1907" t="s">
        <v>4648</v>
      </c>
      <c r="O109" s="1907" t="s">
        <v>4649</v>
      </c>
      <c r="P109" s="1907" t="s">
        <v>4650</v>
      </c>
      <c r="Q109" s="1907" t="s">
        <v>4651</v>
      </c>
      <c r="R109" s="1907" t="s">
        <v>4652</v>
      </c>
      <c r="S109" s="1907" t="s">
        <v>4653</v>
      </c>
      <c r="T109" s="1907" t="s">
        <v>4654</v>
      </c>
      <c r="U109" s="1908" t="s">
        <v>4624</v>
      </c>
    </row>
    <row customHeight="true" ht="16.071428571428573" r="110">
      <c r="A110" s="1900"/>
      <c r="B110" s="1898" t="s">
        <v>4479</v>
      </c>
      <c r="C110" s="1897" t="s">
        <v>4480</v>
      </c>
      <c r="D110" s="1897" t="s">
        <v>4509</v>
      </c>
      <c r="E110" s="1898" t="s">
        <v>4510</v>
      </c>
      <c r="F110" s="1898" t="s">
        <v>4655</v>
      </c>
      <c r="G110" s="1897" t="s">
        <v>4656</v>
      </c>
      <c r="H110" s="1898" t="s">
        <v>4511</v>
      </c>
      <c r="I110" s="1898" t="s">
        <v>4512</v>
      </c>
      <c r="J110" s="1898" t="s">
        <v>4551</v>
      </c>
      <c r="K110" s="1897" t="s">
        <v>4657</v>
      </c>
      <c r="L110" s="1897" t="s">
        <v>4658</v>
      </c>
      <c r="M110" s="1897" t="s">
        <v>4659</v>
      </c>
      <c r="N110" s="1897" t="s">
        <v>4660</v>
      </c>
      <c r="O110" s="1897" t="s">
        <v>4661</v>
      </c>
      <c r="P110" s="1897" t="s">
        <v>4662</v>
      </c>
      <c r="Q110" s="1897" t="s">
        <v>4663</v>
      </c>
      <c r="R110" s="1897" t="s">
        <v>4664</v>
      </c>
      <c r="S110" s="1897" t="s">
        <v>4665</v>
      </c>
      <c r="T110" s="1897" t="s">
        <v>4666</v>
      </c>
      <c r="U110" s="1897" t="s">
        <v>4667</v>
      </c>
    </row>
    <row customHeight="true" ht="16.071428571428573" r="111">
      <c r="A111" s="1900"/>
      <c r="B111" s="1900">
        <v>202601</v>
      </c>
      <c r="C111" s="1900">
        <v>999999</v>
      </c>
      <c r="D111" s="1900" t="s">
        <v>4668</v>
      </c>
      <c r="E111" s="1900"/>
      <c r="F111" s="1900"/>
      <c r="G111" s="1900"/>
      <c r="H111" s="1900"/>
      <c r="I111" s="1900"/>
      <c r="J111" s="1900"/>
      <c r="K111" s="1900"/>
      <c r="L111" s="1900"/>
      <c r="M111" s="1900"/>
      <c r="N111" s="1900"/>
      <c r="O111" s="1900"/>
      <c r="P111" s="1900"/>
      <c r="Q111" s="1900"/>
      <c r="R111" s="1900"/>
      <c r="S111" s="1900"/>
      <c r="T111" s="1900"/>
      <c r="U111" s="1900"/>
    </row>
    <row customHeight="true" ht="16.071428571428573" r="112">
      <c r="A112" s="1900"/>
      <c r="B112" s="1900">
        <v>202601</v>
      </c>
      <c r="C112" s="1900">
        <v>999999</v>
      </c>
      <c r="D112" s="1900" t="s">
        <v>4669</v>
      </c>
      <c r="E112" s="1900"/>
      <c r="F112" s="1900"/>
      <c r="G112" s="1900"/>
      <c r="H112" s="1900"/>
      <c r="I112" s="1900"/>
      <c r="J112" s="1900"/>
      <c r="K112" s="1900"/>
      <c r="L112" s="1900"/>
      <c r="M112" s="1900"/>
      <c r="N112" s="1900"/>
      <c r="O112" s="1900"/>
      <c r="P112" s="1900"/>
      <c r="Q112" s="1900"/>
      <c r="R112" s="1900"/>
      <c r="S112" s="1900"/>
      <c r="T112" s="1900"/>
      <c r="U112" s="1900"/>
    </row>
    <row customHeight="true" ht="16.071428571428573" r="113">
      <c r="A113" s="1900"/>
      <c r="B113" s="1900">
        <v>202601</v>
      </c>
      <c r="C113" s="1900">
        <v>999999</v>
      </c>
      <c r="D113" s="1900" t="s">
        <v>4670</v>
      </c>
      <c r="E113" s="1900"/>
      <c r="F113" s="1900"/>
      <c r="G113" s="1900"/>
      <c r="H113" s="1900"/>
      <c r="I113" s="1900"/>
      <c r="J113" s="1900"/>
      <c r="K113" s="1900"/>
      <c r="L113" s="1900"/>
      <c r="M113" s="1900"/>
      <c r="N113" s="1900"/>
      <c r="O113" s="1900"/>
      <c r="P113" s="1900"/>
      <c r="Q113" s="1900"/>
      <c r="R113" s="1900"/>
      <c r="S113" s="1900"/>
      <c r="T113" s="1900"/>
      <c r="U113" s="1900"/>
    </row>
    <row customHeight="true" ht="16.071428571428573" r="114">
      <c r="A114" s="1900"/>
      <c r="B114" s="1900"/>
      <c r="C114" s="1900"/>
      <c r="D114" s="1900"/>
      <c r="E114" s="1900"/>
      <c r="F114" s="1900"/>
      <c r="G114" s="1900"/>
      <c r="H114" s="1900"/>
      <c r="I114" s="1900"/>
      <c r="J114" s="1900"/>
      <c r="K114" s="1900"/>
      <c r="L114" s="1900"/>
      <c r="M114" s="1900"/>
      <c r="N114" s="1900"/>
      <c r="O114" s="1900"/>
      <c r="P114" s="1900"/>
      <c r="Q114" s="1900"/>
      <c r="R114" s="1900"/>
      <c r="S114" s="1900"/>
      <c r="T114" s="1900"/>
      <c r="U114" s="1900"/>
    </row>
    <row customHeight="true" ht="16.071428571428573" r="115">
      <c r="A115" s="1895"/>
      <c r="B115" s="1895"/>
      <c r="D115" s="1895"/>
      <c r="F115" s="1895"/>
      <c r="I115" s="1895"/>
      <c r="M115" s="1896"/>
    </row>
    <row customHeight="true" ht="16.071428571428573" r="116">
      <c r="A116" s="1895"/>
      <c r="B116" s="1895" t="s">
        <v>4671</v>
      </c>
      <c r="D116" s="1895"/>
      <c r="F116" s="1895"/>
      <c r="I116" s="1895"/>
      <c r="M116" s="1896"/>
    </row>
    <row customHeight="true" ht="16.071428571428573" r="117">
      <c r="A117" s="1898"/>
      <c r="B117" s="1898" t="s">
        <v>4473</v>
      </c>
      <c r="C117" s="1898" t="s">
        <v>4474</v>
      </c>
      <c r="D117" s="1909" t="s">
        <v>4672</v>
      </c>
      <c r="E117" s="1909" t="s">
        <v>4673</v>
      </c>
      <c r="F117" s="1909" t="s">
        <v>4674</v>
      </c>
      <c r="G117" s="1910" t="s">
        <v>4675</v>
      </c>
      <c r="H117" s="1909" t="s">
        <v>4676</v>
      </c>
      <c r="I117" s="1909" t="s">
        <v>4677</v>
      </c>
      <c r="J117" s="1909" t="s">
        <v>4678</v>
      </c>
      <c r="K117" s="1909" t="s">
        <v>4679</v>
      </c>
      <c r="L117" s="1909" t="s">
        <v>4680</v>
      </c>
      <c r="M117" s="1909" t="s">
        <v>4681</v>
      </c>
      <c r="N117" s="1897" t="s">
        <v>4682</v>
      </c>
      <c r="O117" s="1897" t="s">
        <v>4683</v>
      </c>
      <c r="P117" s="1897" t="s">
        <v>4684</v>
      </c>
      <c r="Q117" s="1898" t="s">
        <v>4685</v>
      </c>
      <c r="R117" s="1898" t="s">
        <v>4686</v>
      </c>
      <c r="S117" s="1898" t="s">
        <v>4687</v>
      </c>
      <c r="T117" s="1898" t="s">
        <v>4688</v>
      </c>
      <c r="U117" s="1897" t="s">
        <v>4689</v>
      </c>
      <c r="V117" s="1897" t="s">
        <v>4690</v>
      </c>
      <c r="W117" s="1898" t="s">
        <v>4691</v>
      </c>
      <c r="X117" s="1898" t="s">
        <v>4692</v>
      </c>
      <c r="Y117" s="1898" t="s">
        <v>4693</v>
      </c>
      <c r="Z117" s="1898" t="s">
        <v>4694</v>
      </c>
      <c r="AA117" s="1897" t="s">
        <v>4695</v>
      </c>
      <c r="AB117" s="1897" t="s">
        <v>4696</v>
      </c>
      <c r="AC117" s="1898" t="s">
        <v>4697</v>
      </c>
      <c r="AD117" s="1898" t="s">
        <v>4698</v>
      </c>
      <c r="AE117" s="1897" t="s">
        <v>4699</v>
      </c>
      <c r="AF117" s="1897" t="s">
        <v>4700</v>
      </c>
      <c r="AG117" s="1897" t="s">
        <v>4701</v>
      </c>
      <c r="AH117" s="1897" t="s">
        <v>4702</v>
      </c>
    </row>
    <row customHeight="true" ht="16.071428571428573" r="118">
      <c r="A118" s="1900"/>
      <c r="B118" s="1900">
        <v>202601</v>
      </c>
      <c r="C118" s="1900">
        <v>999999</v>
      </c>
      <c r="D118" s="1900" t="s">
        <v>4703</v>
      </c>
      <c r="E118" s="1900"/>
      <c r="F118" s="1900" t="s">
        <v>4704</v>
      </c>
      <c r="G118" s="1900" t="s">
        <v>4705</v>
      </c>
      <c r="H118" s="1900">
        <v>2600</v>
      </c>
      <c r="I118" s="1900" t="s">
        <v>4706</v>
      </c>
      <c r="J118" s="1901"/>
      <c r="K118" s="1901"/>
      <c r="L118" s="1901"/>
      <c r="M118" s="1901"/>
      <c r="N118" s="1900" t="s">
        <v>4707</v>
      </c>
      <c r="O118" s="1900" t="s">
        <v>4708</v>
      </c>
      <c r="P118" s="1900" t="s">
        <v>4709</v>
      </c>
      <c r="Q118" s="1901" t="s">
        <v>4710</v>
      </c>
      <c r="R118" s="1901" t="s">
        <v>4711</v>
      </c>
      <c r="S118" s="1901"/>
      <c r="T118" s="1901"/>
      <c r="U118" s="1901"/>
      <c r="V118" s="1900"/>
      <c r="W118" s="1901" t="s">
        <v>4712</v>
      </c>
      <c r="X118" s="1901" t="s">
        <v>4713</v>
      </c>
      <c r="Y118" s="1901" t="s">
        <v>4712</v>
      </c>
      <c r="Z118" s="1901" t="s">
        <v>4714</v>
      </c>
      <c r="AA118" s="1901"/>
      <c r="AB118" s="1901"/>
      <c r="AC118" s="1901"/>
      <c r="AD118" s="1901"/>
      <c r="AE118" s="1901"/>
      <c r="AF118" s="1901"/>
      <c r="AG118" s="1901"/>
      <c r="AH118" s="1901"/>
    </row>
    <row customHeight="true" ht="16.071428571428573" r="119">
      <c r="A119" s="1900"/>
      <c r="B119" s="1900"/>
      <c r="C119" s="1900"/>
      <c r="D119" s="1900"/>
      <c r="E119" s="1900"/>
      <c r="F119" s="1900"/>
      <c r="G119" s="1900"/>
      <c r="H119" s="1900"/>
      <c r="I119" s="1900"/>
      <c r="J119" s="1901"/>
      <c r="K119" s="1901"/>
      <c r="L119" s="1901"/>
      <c r="M119" s="1901"/>
      <c r="N119" s="1900"/>
      <c r="O119" s="1900"/>
      <c r="P119" s="1900"/>
      <c r="Q119" s="1901"/>
      <c r="R119" s="1901"/>
      <c r="S119" s="1901"/>
      <c r="T119" s="1901"/>
      <c r="U119" s="1901"/>
      <c r="V119" s="1900"/>
      <c r="W119" s="1901"/>
      <c r="X119" s="1901"/>
      <c r="Y119" s="1901"/>
      <c r="Z119" s="1901"/>
      <c r="AA119" s="1901"/>
      <c r="AB119" s="1901"/>
      <c r="AC119" s="1901"/>
      <c r="AD119" s="1901"/>
      <c r="AE119" s="1901"/>
      <c r="AF119" s="1901"/>
      <c r="AG119" s="1901"/>
      <c r="AH119" s="1901"/>
    </row>
    <row customHeight="true" ht="16.071428571428573" r="120">
      <c r="A120" s="1900"/>
      <c r="B120" s="1900"/>
      <c r="C120" s="1900"/>
      <c r="D120" s="1900"/>
      <c r="E120" s="1900"/>
      <c r="F120" s="1900"/>
      <c r="G120" s="1900"/>
      <c r="H120" s="1900"/>
      <c r="I120" s="1900"/>
      <c r="J120" s="1901"/>
      <c r="K120" s="1901"/>
      <c r="L120" s="1901"/>
      <c r="M120" s="1901"/>
      <c r="N120" s="1900"/>
      <c r="O120" s="1900"/>
      <c r="P120" s="1900"/>
      <c r="Q120" s="1900"/>
      <c r="R120" s="1901"/>
      <c r="S120" s="1901"/>
      <c r="T120" s="1901"/>
      <c r="U120" s="1901"/>
      <c r="V120" s="1901"/>
      <c r="W120" s="1900"/>
      <c r="X120" s="1901"/>
      <c r="Y120" s="1901"/>
      <c r="Z120" s="1901"/>
      <c r="AA120" s="1901"/>
      <c r="AB120" s="1901"/>
      <c r="AC120" s="1901"/>
      <c r="AD120" s="1901"/>
      <c r="AE120" s="1901"/>
      <c r="AF120" s="1901"/>
      <c r="AG120" s="1901"/>
      <c r="AH120" s="1901"/>
      <c r="AI120" s="1901"/>
    </row>
    <row customHeight="true" ht="16.071428571428573" r="121">
      <c r="A121" s="1911"/>
      <c r="B121" s="1911" t="s">
        <v>4715</v>
      </c>
      <c r="C121" s="1912"/>
      <c r="D121" s="1911"/>
      <c r="E121" s="1912"/>
      <c r="F121" s="1912"/>
      <c r="G121" s="1912"/>
      <c r="H121" s="1912"/>
      <c r="I121" s="1911"/>
      <c r="J121" s="1912"/>
      <c r="K121" s="1912"/>
      <c r="L121" s="1912"/>
      <c r="M121" s="1912"/>
      <c r="N121" s="1912"/>
      <c r="O121" s="1912"/>
      <c r="P121" s="1912"/>
      <c r="Q121" s="1912"/>
      <c r="R121" s="1912"/>
      <c r="S121" s="1912"/>
      <c r="T121" s="1912"/>
      <c r="U121" s="1912"/>
      <c r="V121" s="1912"/>
      <c r="W121" s="1912"/>
      <c r="X121" s="1912"/>
      <c r="Y121" s="1912"/>
      <c r="Z121" s="1912"/>
      <c r="AA121" s="1912"/>
      <c r="AB121" s="1912"/>
      <c r="AC121" s="1912"/>
      <c r="AD121" s="1912"/>
      <c r="AE121" s="1912"/>
      <c r="AF121" s="1912"/>
      <c r="AG121" s="1912"/>
    </row>
    <row customHeight="true" ht="16.071428571428573" r="122">
      <c r="A122" s="1913"/>
      <c r="B122" s="1913" t="s">
        <v>4473</v>
      </c>
      <c r="C122" s="1914" t="s">
        <v>4474</v>
      </c>
      <c r="D122" s="1914" t="s">
        <v>4672</v>
      </c>
      <c r="E122" s="1914" t="s">
        <v>4673</v>
      </c>
      <c r="F122" s="1914" t="s">
        <v>4674</v>
      </c>
      <c r="G122" s="1914" t="s">
        <v>4675</v>
      </c>
      <c r="H122" s="1914" t="s">
        <v>4676</v>
      </c>
      <c r="I122" s="1914" t="s">
        <v>4677</v>
      </c>
      <c r="J122" s="1914" t="s">
        <v>4678</v>
      </c>
      <c r="K122" s="1914" t="s">
        <v>4679</v>
      </c>
      <c r="L122" s="1914" t="s">
        <v>4680</v>
      </c>
      <c r="M122" s="1914" t="s">
        <v>4681</v>
      </c>
      <c r="N122" s="1913" t="s">
        <v>4682</v>
      </c>
      <c r="O122" s="1914" t="s">
        <v>4716</v>
      </c>
      <c r="P122" s="1914" t="s">
        <v>4717</v>
      </c>
      <c r="Q122" s="1914" t="s">
        <v>4718</v>
      </c>
      <c r="R122" s="1913" t="s">
        <v>4719</v>
      </c>
      <c r="S122" s="1914" t="s">
        <v>4720</v>
      </c>
      <c r="T122" s="1914" t="s">
        <v>4721</v>
      </c>
      <c r="U122" s="1914" t="s">
        <v>4722</v>
      </c>
      <c r="V122" s="1914" t="s">
        <v>4723</v>
      </c>
      <c r="W122" s="1914" t="s">
        <v>4724</v>
      </c>
      <c r="X122" s="1914" t="s">
        <v>4725</v>
      </c>
      <c r="Y122" s="1914" t="s">
        <v>4726</v>
      </c>
      <c r="Z122" s="1914" t="s">
        <v>4727</v>
      </c>
      <c r="AA122" s="1914" t="s">
        <v>4728</v>
      </c>
      <c r="AB122" s="1914" t="s">
        <v>4729</v>
      </c>
      <c r="AC122" s="1914" t="s">
        <v>4730</v>
      </c>
      <c r="AD122" s="1912"/>
      <c r="AE122" s="1912"/>
      <c r="AF122" s="1912"/>
      <c r="AG122" s="1912"/>
    </row>
    <row customHeight="true" ht="16.071428571428573" r="123">
      <c r="A123" s="1915"/>
      <c r="B123" s="1915">
        <v>202601</v>
      </c>
      <c r="C123" s="1915">
        <v>999999</v>
      </c>
      <c r="D123" s="1915" t="s">
        <v>4703</v>
      </c>
      <c r="E123" s="1915"/>
      <c r="F123" s="1915" t="s">
        <v>4704</v>
      </c>
      <c r="G123" s="1915" t="s">
        <v>4731</v>
      </c>
      <c r="H123" s="1915">
        <v>2600</v>
      </c>
      <c r="I123" s="1915" t="s">
        <v>4706</v>
      </c>
      <c r="J123" s="1915"/>
      <c r="K123" s="1915"/>
      <c r="L123" s="1915"/>
      <c r="M123" s="1915"/>
      <c r="N123" s="1915" t="s">
        <v>4703</v>
      </c>
      <c r="O123" s="1915">
        <v>1</v>
      </c>
      <c r="P123" s="1915">
        <v>1</v>
      </c>
      <c r="Q123" s="1915" t="s">
        <v>4732</v>
      </c>
      <c r="R123" s="1915"/>
      <c r="S123" s="1915" t="s">
        <v>4711</v>
      </c>
      <c r="T123" s="1915" t="s">
        <v>4706</v>
      </c>
      <c r="U123" s="1915" t="s">
        <v>4733</v>
      </c>
      <c r="V123" s="1915"/>
      <c r="W123" s="1915">
        <v>2600</v>
      </c>
      <c r="X123" s="1915"/>
      <c r="Y123" s="1915"/>
      <c r="Z123" s="1915"/>
      <c r="AA123" s="1915"/>
      <c r="AB123" s="1915"/>
      <c r="AC123" s="1915"/>
      <c r="AD123" s="1912"/>
      <c r="AE123" s="1912"/>
      <c r="AF123" s="1912"/>
      <c r="AG123" s="1912"/>
    </row>
    <row customHeight="true" ht="16.071428571428573" r="124">
      <c r="A124" s="1915"/>
      <c r="B124" s="1915">
        <v>202601</v>
      </c>
      <c r="C124" s="1915">
        <v>999999</v>
      </c>
      <c r="D124" s="1915" t="s">
        <v>4703</v>
      </c>
      <c r="E124" s="1915"/>
      <c r="F124" s="1915" t="s">
        <v>4704</v>
      </c>
      <c r="G124" s="1915" t="s">
        <v>4731</v>
      </c>
      <c r="H124" s="1915">
        <v>2600</v>
      </c>
      <c r="I124" s="1915" t="s">
        <v>4706</v>
      </c>
      <c r="J124" s="1915"/>
      <c r="K124" s="1915"/>
      <c r="L124" s="1915"/>
      <c r="M124" s="1915"/>
      <c r="N124" s="1915" t="s">
        <v>4703</v>
      </c>
      <c r="O124" s="1915">
        <v>1</v>
      </c>
      <c r="P124" s="1915">
        <v>2</v>
      </c>
      <c r="Q124" s="1915" t="s">
        <v>4732</v>
      </c>
      <c r="R124" s="1915"/>
      <c r="S124" s="1915" t="s">
        <v>4711</v>
      </c>
      <c r="T124" s="1915" t="s">
        <v>4706</v>
      </c>
      <c r="U124" s="1915" t="s">
        <v>4734</v>
      </c>
      <c r="V124" s="1915"/>
      <c r="W124" s="1915">
        <v>2600</v>
      </c>
      <c r="X124" s="1915"/>
      <c r="Y124" s="1915"/>
      <c r="Z124" s="1915"/>
      <c r="AA124" s="1915"/>
      <c r="AB124" s="1915"/>
      <c r="AC124" s="1915"/>
      <c r="AD124" s="1912"/>
      <c r="AE124" s="1912"/>
      <c r="AF124" s="1912"/>
      <c r="AG124" s="1912"/>
    </row>
    <row customHeight="true" ht="16.071428571428573" r="125">
      <c r="A125" s="1915"/>
      <c r="B125" s="1915">
        <v>202601</v>
      </c>
      <c r="C125" s="1915">
        <v>999999</v>
      </c>
      <c r="D125" s="1915" t="s">
        <v>4703</v>
      </c>
      <c r="E125" s="1915"/>
      <c r="F125" s="1915" t="s">
        <v>4704</v>
      </c>
      <c r="G125" s="1915" t="s">
        <v>4731</v>
      </c>
      <c r="H125" s="1915">
        <v>2600</v>
      </c>
      <c r="I125" s="1915" t="s">
        <v>4706</v>
      </c>
      <c r="J125" s="1915"/>
      <c r="K125" s="1915"/>
      <c r="L125" s="1915"/>
      <c r="M125" s="1915"/>
      <c r="N125" s="1915" t="s">
        <v>4703</v>
      </c>
      <c r="O125" s="1915">
        <v>2</v>
      </c>
      <c r="P125" s="1915">
        <v>1</v>
      </c>
      <c r="Q125" s="1915" t="s">
        <v>4735</v>
      </c>
      <c r="R125" s="1915"/>
      <c r="S125" s="1915"/>
      <c r="T125" s="1915"/>
      <c r="U125" s="1915" t="s">
        <v>4736</v>
      </c>
      <c r="V125" s="1915">
        <v>2</v>
      </c>
      <c r="W125" s="1915"/>
      <c r="X125" s="1915"/>
      <c r="Y125" s="1915"/>
      <c r="Z125" s="1915"/>
      <c r="AA125" s="1915"/>
      <c r="AB125" s="1915"/>
      <c r="AC125" s="1915"/>
      <c r="AD125" s="1912"/>
      <c r="AE125" s="1912"/>
      <c r="AF125" s="1912"/>
      <c r="AG125" s="1912"/>
    </row>
    <row customHeight="true" ht="16.071428571428573" r="126">
      <c r="A126" s="1915"/>
      <c r="B126" s="1915">
        <v>202601</v>
      </c>
      <c r="C126" s="1915">
        <v>999999</v>
      </c>
      <c r="D126" s="1915" t="s">
        <v>4703</v>
      </c>
      <c r="E126" s="1915"/>
      <c r="F126" s="1915" t="s">
        <v>4704</v>
      </c>
      <c r="G126" s="1915" t="s">
        <v>4731</v>
      </c>
      <c r="H126" s="1915">
        <v>2600</v>
      </c>
      <c r="I126" s="1915" t="s">
        <v>4706</v>
      </c>
      <c r="J126" s="1915"/>
      <c r="K126" s="1915"/>
      <c r="L126" s="1915"/>
      <c r="M126" s="1915"/>
      <c r="N126" s="1915" t="s">
        <v>4703</v>
      </c>
      <c r="O126" s="1915">
        <v>2</v>
      </c>
      <c r="P126" s="1915">
        <v>2</v>
      </c>
      <c r="Q126" s="1915" t="s">
        <v>4735</v>
      </c>
      <c r="R126" s="1915"/>
      <c r="S126" s="1915" t="s">
        <v>4711</v>
      </c>
      <c r="T126" s="1915" t="s">
        <v>4706</v>
      </c>
      <c r="U126" s="1915" t="s">
        <v>4708</v>
      </c>
      <c r="V126" s="1915"/>
      <c r="W126" s="1915">
        <v>2600</v>
      </c>
      <c r="X126" s="1915"/>
      <c r="Y126" s="1915"/>
      <c r="Z126" s="1915"/>
      <c r="AA126" s="1915"/>
      <c r="AB126" s="1915"/>
      <c r="AC126" s="1915"/>
      <c r="AD126" s="1912"/>
      <c r="AE126" s="1912"/>
      <c r="AF126" s="1912"/>
      <c r="AG126" s="1912"/>
    </row>
    <row customHeight="true" ht="16.071428571428573" r="127">
      <c r="A127" s="1915"/>
      <c r="B127" s="1915">
        <v>202601</v>
      </c>
      <c r="C127" s="1915">
        <v>999999</v>
      </c>
      <c r="D127" s="1915" t="s">
        <v>4703</v>
      </c>
      <c r="E127" s="1915"/>
      <c r="F127" s="1915" t="s">
        <v>4704</v>
      </c>
      <c r="G127" s="1915" t="s">
        <v>4731</v>
      </c>
      <c r="H127" s="1915">
        <v>2600</v>
      </c>
      <c r="I127" s="1915" t="s">
        <v>4706</v>
      </c>
      <c r="J127" s="1915"/>
      <c r="K127" s="1915"/>
      <c r="L127" s="1915"/>
      <c r="M127" s="1915"/>
      <c r="N127" s="1915" t="s">
        <v>4703</v>
      </c>
      <c r="O127" s="1915">
        <v>2</v>
      </c>
      <c r="P127" s="1915">
        <v>3</v>
      </c>
      <c r="Q127" s="1915" t="s">
        <v>4737</v>
      </c>
      <c r="R127" s="1915"/>
      <c r="S127" s="1915"/>
      <c r="T127" s="1915"/>
      <c r="U127" s="1915" t="s">
        <v>4736</v>
      </c>
      <c r="V127" s="1915">
        <v>30</v>
      </c>
      <c r="W127" s="1915"/>
      <c r="X127" s="1915"/>
      <c r="Y127" s="1915"/>
      <c r="Z127" s="1915"/>
      <c r="AA127" s="1915"/>
      <c r="AB127" s="1915"/>
      <c r="AC127" s="1915"/>
      <c r="AD127" s="1912"/>
      <c r="AE127" s="1912"/>
      <c r="AF127" s="1912"/>
      <c r="AG127" s="1912"/>
    </row>
    <row r="128">
      <c r="A128" s="1915"/>
      <c r="B128" s="1915">
        <v>202601</v>
      </c>
      <c r="C128" s="1915">
        <v>999999</v>
      </c>
      <c r="D128" s="1915" t="s">
        <v>4703</v>
      </c>
      <c r="E128" s="1915"/>
      <c r="F128" s="1915" t="s">
        <v>4704</v>
      </c>
      <c r="G128" s="1915" t="s">
        <v>4738</v>
      </c>
      <c r="H128" s="1915">
        <v>2600</v>
      </c>
      <c r="I128" s="1915" t="s">
        <v>4706</v>
      </c>
      <c r="J128" s="1915"/>
      <c r="K128" s="1915"/>
      <c r="L128" s="1915"/>
      <c r="M128" s="1915"/>
      <c r="N128" s="1915" t="s">
        <v>4703</v>
      </c>
      <c r="O128" s="1915">
        <v>1</v>
      </c>
      <c r="P128" s="1915">
        <v>1</v>
      </c>
      <c r="Q128" s="1915" t="s">
        <v>4732</v>
      </c>
      <c r="R128" s="1915" t="s">
        <v>4739</v>
      </c>
      <c r="S128" s="1915" t="s">
        <v>4711</v>
      </c>
      <c r="T128" s="1915" t="s">
        <v>4706</v>
      </c>
      <c r="U128" s="1915" t="s">
        <v>4733</v>
      </c>
      <c r="V128" s="1915"/>
      <c r="W128" s="1915">
        <v>2600</v>
      </c>
      <c r="X128" s="1915"/>
      <c r="Y128" s="1915"/>
      <c r="Z128" s="1915"/>
      <c r="AA128" s="1915"/>
      <c r="AB128" s="1915"/>
      <c r="AC128" s="1915"/>
      <c r="AD128" s="1912"/>
      <c r="AE128" s="1912"/>
      <c r="AF128" s="1912"/>
      <c r="AG128" s="1912"/>
    </row>
    <row r="129">
      <c r="A129" s="1915"/>
      <c r="B129" s="1915">
        <v>202601</v>
      </c>
      <c r="C129" s="1915">
        <v>999999</v>
      </c>
      <c r="D129" s="1915" t="s">
        <v>4703</v>
      </c>
      <c r="E129" s="1915"/>
      <c r="F129" s="1915" t="s">
        <v>4704</v>
      </c>
      <c r="G129" s="1915" t="s">
        <v>4738</v>
      </c>
      <c r="H129" s="1915">
        <v>2600</v>
      </c>
      <c r="I129" s="1915" t="s">
        <v>4706</v>
      </c>
      <c r="J129" s="1915"/>
      <c r="K129" s="1915"/>
      <c r="L129" s="1915"/>
      <c r="M129" s="1915"/>
      <c r="N129" s="1915" t="s">
        <v>4703</v>
      </c>
      <c r="O129" s="1915">
        <v>1</v>
      </c>
      <c r="P129" s="1915">
        <v>2</v>
      </c>
      <c r="Q129" s="1915" t="s">
        <v>4732</v>
      </c>
      <c r="R129" s="1915" t="s">
        <v>4739</v>
      </c>
      <c r="S129" s="1915" t="s">
        <v>4711</v>
      </c>
      <c r="T129" s="1915" t="s">
        <v>4706</v>
      </c>
      <c r="U129" s="1915" t="s">
        <v>4734</v>
      </c>
      <c r="V129" s="1915"/>
      <c r="W129" s="1915">
        <v>2600</v>
      </c>
      <c r="X129" s="1915"/>
      <c r="Y129" s="1915"/>
      <c r="Z129" s="1915"/>
      <c r="AA129" s="1915"/>
      <c r="AB129" s="1915"/>
      <c r="AC129" s="1915"/>
      <c r="AD129" s="1912"/>
      <c r="AE129" s="1912"/>
      <c r="AF129" s="1912"/>
      <c r="AG129" s="1912"/>
    </row>
    <row r="130">
      <c r="A130" s="1915"/>
      <c r="B130" s="1915">
        <v>202601</v>
      </c>
      <c r="C130" s="1915">
        <v>999999</v>
      </c>
      <c r="D130" s="1915" t="s">
        <v>4703</v>
      </c>
      <c r="E130" s="1915"/>
      <c r="F130" s="1915" t="s">
        <v>4704</v>
      </c>
      <c r="G130" s="1915" t="s">
        <v>4738</v>
      </c>
      <c r="H130" s="1915">
        <v>2600</v>
      </c>
      <c r="I130" s="1915" t="s">
        <v>4706</v>
      </c>
      <c r="J130" s="1915"/>
      <c r="K130" s="1915"/>
      <c r="L130" s="1915"/>
      <c r="M130" s="1915"/>
      <c r="N130" s="1915" t="s">
        <v>4703</v>
      </c>
      <c r="O130" s="1915">
        <v>2</v>
      </c>
      <c r="P130" s="1915">
        <v>1</v>
      </c>
      <c r="Q130" s="1915" t="s">
        <v>4735</v>
      </c>
      <c r="R130" s="1915"/>
      <c r="S130" s="1915"/>
      <c r="T130" s="1915"/>
      <c r="U130" s="1915" t="s">
        <v>4736</v>
      </c>
      <c r="V130" s="1915">
        <v>2</v>
      </c>
      <c r="W130" s="1915"/>
      <c r="X130" s="1915"/>
      <c r="Y130" s="1915"/>
      <c r="Z130" s="1915"/>
      <c r="AA130" s="1915"/>
      <c r="AB130" s="1915"/>
      <c r="AC130" s="1915"/>
      <c r="AD130" s="1912"/>
      <c r="AE130" s="1912"/>
      <c r="AF130" s="1912"/>
      <c r="AG130" s="1912"/>
    </row>
    <row r="131">
      <c r="A131" s="1915"/>
      <c r="B131" s="1915">
        <v>202601</v>
      </c>
      <c r="C131" s="1915">
        <v>999999</v>
      </c>
      <c r="D131" s="1915" t="s">
        <v>4703</v>
      </c>
      <c r="E131" s="1915"/>
      <c r="F131" s="1915" t="s">
        <v>4704</v>
      </c>
      <c r="G131" s="1915" t="s">
        <v>4738</v>
      </c>
      <c r="H131" s="1915">
        <v>2600</v>
      </c>
      <c r="I131" s="1915" t="s">
        <v>4706</v>
      </c>
      <c r="J131" s="1915"/>
      <c r="K131" s="1915"/>
      <c r="L131" s="1915"/>
      <c r="M131" s="1915"/>
      <c r="N131" s="1915" t="s">
        <v>4703</v>
      </c>
      <c r="O131" s="1915">
        <v>2</v>
      </c>
      <c r="P131" s="1915">
        <v>2</v>
      </c>
      <c r="Q131" s="1915" t="s">
        <v>4735</v>
      </c>
      <c r="R131" s="1915"/>
      <c r="S131" s="1915" t="s">
        <v>4711</v>
      </c>
      <c r="T131" s="1915" t="s">
        <v>4706</v>
      </c>
      <c r="U131" s="1915" t="s">
        <v>4740</v>
      </c>
      <c r="V131" s="1915"/>
      <c r="W131" s="1915">
        <v>2600</v>
      </c>
      <c r="X131" s="1915"/>
      <c r="Y131" s="1915"/>
      <c r="Z131" s="1915"/>
      <c r="AA131" s="1915"/>
      <c r="AB131" s="1915"/>
      <c r="AC131" s="1915"/>
      <c r="AD131" s="1912"/>
      <c r="AE131" s="1912"/>
      <c r="AF131" s="1912"/>
      <c r="AG131" s="1912"/>
    </row>
    <row r="132">
      <c r="A132" s="1915"/>
      <c r="B132" s="1915">
        <v>202601</v>
      </c>
      <c r="C132" s="1915">
        <v>999999</v>
      </c>
      <c r="D132" s="1915" t="s">
        <v>4703</v>
      </c>
      <c r="E132" s="1915"/>
      <c r="F132" s="1915" t="s">
        <v>4704</v>
      </c>
      <c r="G132" s="1915" t="s">
        <v>4738</v>
      </c>
      <c r="H132" s="1915">
        <v>2600</v>
      </c>
      <c r="I132" s="1915" t="s">
        <v>4706</v>
      </c>
      <c r="J132" s="1915"/>
      <c r="K132" s="1915"/>
      <c r="L132" s="1915"/>
      <c r="M132" s="1915"/>
      <c r="N132" s="1915" t="s">
        <v>4703</v>
      </c>
      <c r="O132" s="1915">
        <v>2</v>
      </c>
      <c r="P132" s="1915">
        <v>3</v>
      </c>
      <c r="Q132" s="1915" t="s">
        <v>4737</v>
      </c>
      <c r="R132" s="1915"/>
      <c r="S132" s="1915"/>
      <c r="T132" s="1915"/>
      <c r="U132" s="1915" t="s">
        <v>4736</v>
      </c>
      <c r="V132" s="1915">
        <v>30</v>
      </c>
      <c r="W132" s="1915"/>
      <c r="X132" s="1915"/>
      <c r="Y132" s="1915"/>
      <c r="Z132" s="1915"/>
      <c r="AA132" s="1915"/>
      <c r="AB132" s="1915"/>
      <c r="AC132" s="1915"/>
      <c r="AD132" s="1912"/>
      <c r="AE132" s="1912"/>
      <c r="AF132" s="1912"/>
      <c r="AG132" s="1912"/>
    </row>
    <row r="133"/>
    <row r="134"/>
    <row r="135">
      <c r="A135" s="1895"/>
      <c r="B135" s="1895" t="s">
        <v>4741</v>
      </c>
      <c r="D135" s="1895"/>
    </row>
    <row r="136">
      <c r="A136" s="1898"/>
      <c r="B136" s="1898" t="s">
        <v>4473</v>
      </c>
      <c r="C136" s="1898" t="s">
        <v>4474</v>
      </c>
      <c r="D136" s="1909" t="s">
        <v>4742</v>
      </c>
      <c r="E136" s="1909" t="s">
        <v>4502</v>
      </c>
      <c r="F136" s="1909" t="s">
        <v>4743</v>
      </c>
      <c r="G136" s="1909" t="s">
        <v>4744</v>
      </c>
      <c r="H136" s="1909" t="s">
        <v>4745</v>
      </c>
      <c r="I136" s="1909" t="s">
        <v>4746</v>
      </c>
      <c r="J136" s="1909" t="s">
        <v>4747</v>
      </c>
      <c r="K136" s="1909" t="s">
        <v>4567</v>
      </c>
      <c r="L136" s="1909" t="s">
        <v>4748</v>
      </c>
    </row>
    <row customHeight="true" ht="22.61904761904762" r="137">
      <c r="A137" s="1900"/>
      <c r="B137" s="1900">
        <v>202601</v>
      </c>
      <c r="C137" s="1900">
        <v>999999</v>
      </c>
      <c r="D137" s="1900" t="s">
        <v>4749</v>
      </c>
      <c r="E137" s="1900">
        <v>6330</v>
      </c>
      <c r="F137" s="1900"/>
      <c r="G137" s="1900"/>
      <c r="H137" s="1900"/>
      <c r="I137" s="1900"/>
      <c r="J137" s="1900"/>
      <c r="K137" s="1900"/>
      <c r="L137" s="1900"/>
    </row>
    <row r="138">
      <c r="A138" s="1900"/>
      <c r="B138" s="1900">
        <v>202601</v>
      </c>
      <c r="C138" s="1900">
        <v>999999</v>
      </c>
      <c r="D138" s="1900" t="s">
        <v>4750</v>
      </c>
      <c r="E138" s="1900">
        <v>6360</v>
      </c>
      <c r="F138" s="1900" t="s">
        <v>4751</v>
      </c>
      <c r="G138" s="1900"/>
      <c r="H138" s="1900"/>
      <c r="I138" s="1900"/>
      <c r="J138" s="1900" t="s">
        <v>4752</v>
      </c>
      <c r="K138" s="1900"/>
      <c r="L138" s="1900"/>
    </row>
    <row customHeight="true" ht="22.61904761904762" r="139">
      <c r="A139" s="1900"/>
      <c r="B139" s="1900">
        <v>202601</v>
      </c>
      <c r="C139" s="1900">
        <v>999999</v>
      </c>
      <c r="D139" s="1900" t="s">
        <v>4753</v>
      </c>
      <c r="E139" s="1900">
        <v>6210</v>
      </c>
      <c r="F139" s="1900" t="s">
        <v>4754</v>
      </c>
      <c r="G139" s="1900"/>
      <c r="H139" s="1900"/>
      <c r="I139" s="1900"/>
      <c r="J139" s="1900"/>
      <c r="K139" s="1900">
        <v>1209905</v>
      </c>
      <c r="L139" s="1900" t="s">
        <v>4755</v>
      </c>
      <c r="M139" s="1899"/>
      <c r="N139" s="1899"/>
      <c r="O139" s="1899"/>
      <c r="P139" s="1899"/>
      <c r="Q139" s="1899"/>
      <c r="R139" s="1899"/>
      <c r="S139" s="1899"/>
      <c r="T139" s="1899"/>
      <c r="U139" s="1899"/>
      <c r="V139" s="1899"/>
      <c r="W139" s="1899"/>
      <c r="X139" s="1899"/>
      <c r="Y139" s="1899"/>
      <c r="Z139" s="1899"/>
      <c r="AA139" s="1899"/>
      <c r="AB139" s="1899"/>
      <c r="AC139" s="1899"/>
      <c r="AD139" s="1899"/>
      <c r="AE139" s="1899"/>
      <c r="AF139" s="1899"/>
      <c r="AG139" s="1899"/>
    </row>
    <row customHeight="true" ht="22.61904761904762" r="140">
      <c r="A140" s="1900"/>
      <c r="B140" s="1900">
        <v>202601</v>
      </c>
      <c r="C140" s="1900">
        <v>999999</v>
      </c>
      <c r="D140" s="1900" t="s">
        <v>4753</v>
      </c>
      <c r="E140" s="1900">
        <v>6210</v>
      </c>
      <c r="F140" s="1900" t="s">
        <v>4754</v>
      </c>
      <c r="G140" s="1900"/>
      <c r="H140" s="1900"/>
      <c r="I140" s="1900"/>
      <c r="J140" s="1900"/>
      <c r="K140" s="1900">
        <v>1209911</v>
      </c>
      <c r="L140" s="1900" t="s">
        <v>4756</v>
      </c>
      <c r="M140" s="1899"/>
      <c r="N140" s="1899"/>
      <c r="O140" s="1899"/>
      <c r="P140" s="1899"/>
      <c r="Q140" s="1899"/>
      <c r="R140" s="1899"/>
      <c r="S140" s="1899"/>
      <c r="T140" s="1899"/>
      <c r="U140" s="1899"/>
      <c r="V140" s="1899"/>
      <c r="W140" s="1899"/>
      <c r="X140" s="1899"/>
      <c r="Y140" s="1899"/>
      <c r="Z140" s="1899"/>
      <c r="AA140" s="1899"/>
      <c r="AB140" s="1899"/>
      <c r="AC140" s="1899"/>
      <c r="AD140" s="1899"/>
      <c r="AE140" s="1899"/>
      <c r="AF140" s="1899"/>
      <c r="AG140" s="1899"/>
    </row>
  </sheetData>
  <hyperlinks>
    <hyperlink ref="B58" location="'ARPM02-账龄结果表'!A1" display="不汇率评估范围维护"/>
    <hyperlink ref="B64" location="'ARPM02-账龄结果表'!A1" display="不汇率评估科目维护"/>
    <hyperlink ref="B92" location="'ARPM02-账龄结果表'!A1" display="税率维护表"/>
    <hyperlink ref="B99" location="'ARPM02-账龄结果表'!A1" display="性质维护表"/>
    <hyperlink ref="B82" location="'ARPM01账龄计算底稿-STEP3重分类处理'!A1" display="重分类规则配置"/>
    <hyperlink ref="B116" location="'DWS-CPRS01-核心利润'!A1" display="周转计算配置表"/>
    <hyperlink ref="B1" location="'dwd_fi_mr_arap_detail_mi'!A1" display="账龄日期计算配置"/>
    <hyperlink ref="B13" location="'dwd_fi_mr_arap_detail_mi'!A1" display="周转分析渠道映射表"/>
    <hyperlink ref="B19" location="'dwd_fi_mr_arap_detail_mi'!A1" display="渠道分组映射表"/>
    <hyperlink ref="B26" location="'dwd_fi_mr_arap_detail_mi'!A1" display="利润中心映射表"/>
    <hyperlink ref="B32" location="'dwd_fi_mr_arap_detail_mi'!A1" display="业务范围映射表"/>
    <hyperlink ref="B39" location="'dwd_fi_mr_arap_detail_mi'!A1" display="国家业务范围映射表"/>
    <hyperlink ref="B45" location="'dwd_fi_mr_arap_detail_mi'!A1" display="业务管理单元映射表"/>
    <hyperlink ref="B70" location="'ARPM01账龄计算底稿-STEP2数据范围限制'!A1" display="账龄表进数范围维护"/>
    <hyperlink ref="B108" location="'ARPM02-坏账计算表-STEP2坏账计算'!A1" display="坏账计提比例表"/>
    <hyperlink ref="B135" location="'ARPM04-周转计算-占用明细表'!A1" display="应收周转特殊取数配置"/>
    <hyperlink ref="B7" location="'ARPM01账龄计算底稿-STEP1数据聚合'!A1" display="账龄段配置表"/>
    <hyperlink ref="B51" location="'ARPM01账龄计算底稿-STEP1数据聚合'!A1" display="欠付返利客户取值范围"/>
  </hyperlinks>
  <picture r:id="rId1"/>
</worksheet>
</file>

<file path=xl/worksheets/sheet3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cols>
    <col collapsed="false" customWidth="true" hidden="false" max="40" min="40" style="0" width="12.319258381689458"/>
    <col collapsed="false" customWidth="true" hidden="false" max="2" min="2" style="0" width="13.126760563380282"/>
    <col collapsed="false" customWidth="true" hidden="false" max="4" min="4" style="0" width="14.47887323943662"/>
    <col collapsed="false" customWidth="true" hidden="false" max="5" min="5" style="0" width="17.859154929577464"/>
    <col collapsed="false" customWidth="true" hidden="false" max="7" min="7" style="0" width="13.014084507042254"/>
    <col collapsed="false" customWidth="true" hidden="false" max="9" min="9" style="0" width="13.014084507042254"/>
    <col collapsed="false" customWidth="true" hidden="false" max="15" min="15" style="0" width="13.014084507042254"/>
    <col collapsed="false" customWidth="true" hidden="false" max="39" min="39" style="0" width="12.319258381689458"/>
    <col collapsed="false" customWidth="true" hidden="false" max="1" min="1" style="0" width="16.169014084507044"/>
    <col collapsed="false" customWidth="true" hidden="false" max="3" min="3" style="0" width="20.112676056338028"/>
    <col collapsed="false" customWidth="true" hidden="false" max="6" min="6" style="0" width="14.929577464788732"/>
    <col collapsed="false" customWidth="true" hidden="false" max="8" min="8" style="0" width="13.014084507042254"/>
    <col collapsed="false" customWidth="true" hidden="false" max="10" min="10" style="0" width="13.014084507042254"/>
    <col collapsed="false" customWidth="true" hidden="false" max="16" min="16" style="0" width="13.014084507042254"/>
  </cols>
  <sheetData>
    <row r="1">
      <c r="A1" s="1916" t="s">
        <v>4757</v>
      </c>
      <c r="B1" s="1917"/>
      <c r="C1" s="1916"/>
      <c r="D1" s="1917"/>
      <c r="E1" s="1917"/>
      <c r="F1" s="1916"/>
      <c r="G1" s="1917"/>
      <c r="H1" s="1916"/>
      <c r="I1" s="1917"/>
      <c r="J1" s="1916"/>
      <c r="K1" s="1917"/>
      <c r="L1" s="1917"/>
      <c r="M1" s="1917"/>
      <c r="N1" s="1917"/>
      <c r="O1" s="1917"/>
      <c r="P1" s="1917"/>
      <c r="Q1" s="1917"/>
      <c r="R1" s="1917"/>
    </row>
    <row r="2">
      <c r="A2" s="1918" t="s">
        <v>4758</v>
      </c>
      <c r="B2" s="1918" t="s">
        <v>4759</v>
      </c>
      <c r="C2" s="1918" t="s">
        <v>4760</v>
      </c>
      <c r="D2" s="1918" t="s">
        <v>4761</v>
      </c>
      <c r="E2" s="1918" t="s">
        <v>4762</v>
      </c>
      <c r="F2" s="1918" t="s">
        <v>4763</v>
      </c>
      <c r="G2" s="1917"/>
      <c r="H2" s="1916"/>
      <c r="I2" s="1917"/>
      <c r="J2" s="1916"/>
      <c r="K2" s="1917"/>
      <c r="L2" s="1917"/>
      <c r="M2" s="1917"/>
      <c r="N2" s="1917"/>
      <c r="O2" s="1917"/>
      <c r="P2" s="1917"/>
      <c r="Q2" s="1917"/>
      <c r="R2" s="1917"/>
    </row>
    <row r="3">
      <c r="A3" s="1919"/>
      <c r="B3" s="1919"/>
      <c r="C3" s="1919"/>
      <c r="D3" s="1919"/>
      <c r="E3" s="1919"/>
      <c r="F3" s="1919"/>
      <c r="G3" s="1917"/>
      <c r="H3" s="1916"/>
      <c r="I3" s="1917"/>
      <c r="J3" s="1916"/>
      <c r="K3" s="1917"/>
      <c r="L3" s="1917"/>
      <c r="M3" s="1917"/>
      <c r="N3" s="1917"/>
      <c r="O3" s="1917"/>
      <c r="P3" s="1917"/>
      <c r="Q3" s="1917"/>
      <c r="R3" s="1917"/>
    </row>
    <row customHeight="true" ht="23.80952380952381" r="4">
      <c r="A4" s="1917"/>
      <c r="B4" s="1917"/>
      <c r="C4" s="1917"/>
      <c r="D4" s="1917"/>
      <c r="E4" s="1917"/>
      <c r="F4" s="1917"/>
      <c r="G4" s="1917"/>
      <c r="H4" s="1917"/>
      <c r="I4" s="1917"/>
      <c r="J4" s="1917"/>
      <c r="K4" s="1917"/>
      <c r="L4" s="1917"/>
      <c r="M4" s="1917"/>
    </row>
    <row r="5">
      <c r="A5" s="1916" t="s">
        <v>4764</v>
      </c>
      <c r="B5" s="1917"/>
      <c r="C5" s="1916"/>
      <c r="D5" s="1917"/>
      <c r="E5" s="1917"/>
      <c r="F5" s="1916"/>
      <c r="G5" s="1917"/>
      <c r="H5" s="1916"/>
      <c r="I5" s="1917"/>
      <c r="J5" s="1916"/>
      <c r="K5" s="1917"/>
      <c r="L5" s="1917"/>
      <c r="M5" s="1917"/>
      <c r="N5" s="1917"/>
      <c r="O5" s="1917"/>
      <c r="P5" s="1917"/>
      <c r="Q5" s="1917"/>
      <c r="R5" s="1917"/>
      <c r="S5" s="1917"/>
      <c r="T5" s="1917"/>
      <c r="U5" s="1917"/>
      <c r="V5" s="1917"/>
      <c r="W5" s="1917"/>
      <c r="X5" s="1917"/>
      <c r="Y5" s="1917"/>
      <c r="Z5" s="1917"/>
      <c r="AA5" s="1917"/>
      <c r="AB5" s="1917"/>
      <c r="AC5" s="1917"/>
      <c r="AD5" s="1917"/>
      <c r="AE5" s="1917"/>
      <c r="AF5" s="1917"/>
      <c r="AG5" s="1917"/>
      <c r="AH5" s="1917"/>
      <c r="AI5" s="1917"/>
      <c r="AJ5" s="1917"/>
      <c r="AK5" s="1917"/>
      <c r="AL5" s="1917"/>
      <c r="AM5" s="1920"/>
      <c r="AN5" s="1917"/>
      <c r="AO5" s="1917"/>
      <c r="AP5" s="1917"/>
      <c r="AQ5" s="1917"/>
    </row>
    <row customHeight="true" ht="21.540178571428573" r="6">
      <c r="A6" s="1918" t="s">
        <v>4765</v>
      </c>
      <c r="B6" s="1918" t="s">
        <v>4766</v>
      </c>
      <c r="C6" s="1918" t="s">
        <v>4767</v>
      </c>
      <c r="D6" s="1918" t="s">
        <v>4758</v>
      </c>
      <c r="E6" s="1918" t="s">
        <v>4768</v>
      </c>
      <c r="F6" s="1918" t="s">
        <v>4769</v>
      </c>
      <c r="G6" s="1918" t="s">
        <v>4770</v>
      </c>
      <c r="H6" s="1918" t="s">
        <v>4771</v>
      </c>
      <c r="I6" s="1918" t="s">
        <v>4772</v>
      </c>
      <c r="J6" s="1918" t="s">
        <v>4773</v>
      </c>
      <c r="K6" s="1918" t="s">
        <v>4774</v>
      </c>
      <c r="L6" s="1918" t="s">
        <v>4775</v>
      </c>
      <c r="M6" s="1918" t="s">
        <v>4776</v>
      </c>
      <c r="N6" s="1918" t="s">
        <v>4777</v>
      </c>
      <c r="O6" s="1918" t="s">
        <v>4778</v>
      </c>
      <c r="P6" s="1918" t="s">
        <v>4779</v>
      </c>
      <c r="Q6" s="1918" t="s">
        <v>4780</v>
      </c>
      <c r="R6" s="1918" t="s">
        <v>4781</v>
      </c>
      <c r="S6" s="1918" t="s">
        <v>4782</v>
      </c>
      <c r="T6" s="1918" t="s">
        <v>4783</v>
      </c>
      <c r="U6" s="1918" t="s">
        <v>4784</v>
      </c>
      <c r="V6" s="1918" t="s">
        <v>4785</v>
      </c>
      <c r="W6" s="1918" t="s">
        <v>4786</v>
      </c>
      <c r="X6" s="1918" t="s">
        <v>4787</v>
      </c>
      <c r="Y6" s="1918" t="s">
        <v>4788</v>
      </c>
      <c r="Z6" s="1918" t="s">
        <v>4789</v>
      </c>
      <c r="AA6" s="1918" t="s">
        <v>4790</v>
      </c>
      <c r="AB6" s="1918" t="s">
        <v>4791</v>
      </c>
      <c r="AC6" s="1918" t="s">
        <v>4792</v>
      </c>
      <c r="AD6" s="1918" t="s">
        <v>4793</v>
      </c>
      <c r="AE6" s="1918" t="s">
        <v>4794</v>
      </c>
      <c r="AF6" s="1918" t="s">
        <v>4795</v>
      </c>
      <c r="AG6" s="1918" t="s">
        <v>4796</v>
      </c>
      <c r="AH6" s="1918" t="s">
        <v>4797</v>
      </c>
      <c r="AI6" s="1918" t="s">
        <v>4798</v>
      </c>
      <c r="AJ6" s="1918" t="s">
        <v>4799</v>
      </c>
      <c r="AK6" s="1918" t="s">
        <v>4800</v>
      </c>
      <c r="AL6" s="1918" t="s">
        <v>4801</v>
      </c>
      <c r="AM6" s="1921" t="s">
        <v>4802</v>
      </c>
      <c r="AN6" s="1921" t="s">
        <v>4803</v>
      </c>
      <c r="AO6" s="1921" t="s">
        <v>4804</v>
      </c>
      <c r="AP6" s="1918" t="s">
        <v>4805</v>
      </c>
      <c r="AQ6" s="1918" t="s">
        <v>4806</v>
      </c>
      <c r="AR6" s="1918" t="s">
        <v>4807</v>
      </c>
      <c r="AS6" s="1918" t="s">
        <v>4808</v>
      </c>
      <c r="AT6" s="1918" t="s">
        <v>4809</v>
      </c>
      <c r="AU6" s="1918" t="s">
        <v>4810</v>
      </c>
      <c r="AV6" s="1918" t="s">
        <v>4762</v>
      </c>
      <c r="AW6" s="1918" t="s">
        <v>4811</v>
      </c>
      <c r="AX6" s="1918" t="s">
        <v>4763</v>
      </c>
    </row>
    <row r="7">
      <c r="A7" s="1919"/>
      <c r="B7" s="1919"/>
      <c r="C7" s="1919"/>
      <c r="D7" s="1919"/>
      <c r="E7" s="1919"/>
      <c r="F7" s="1919"/>
      <c r="G7" s="1919"/>
      <c r="H7" s="1919"/>
      <c r="I7" s="1919"/>
      <c r="J7" s="1919"/>
      <c r="K7" s="1919"/>
      <c r="L7" s="1919"/>
      <c r="M7" s="1919"/>
      <c r="N7" s="1919"/>
      <c r="O7" s="1919"/>
      <c r="P7" s="1919"/>
      <c r="Q7" s="1919"/>
      <c r="R7" s="1919"/>
      <c r="S7" s="1919"/>
      <c r="T7" s="1919"/>
      <c r="U7" s="1919"/>
      <c r="V7" s="1919"/>
      <c r="W7" s="1919"/>
      <c r="X7" s="1919"/>
      <c r="Y7" s="1919"/>
      <c r="Z7" s="1919"/>
      <c r="AA7" s="1919"/>
      <c r="AB7" s="1919"/>
      <c r="AC7" s="1919"/>
      <c r="AD7" s="1919"/>
      <c r="AE7" s="1919"/>
      <c r="AF7" s="1919"/>
      <c r="AG7" s="1919"/>
      <c r="AH7" s="1919"/>
      <c r="AI7" s="1919"/>
      <c r="AJ7" s="1919"/>
      <c r="AK7" s="1919"/>
      <c r="AL7" s="1919"/>
      <c r="AM7" s="1919"/>
      <c r="AN7" s="1919"/>
      <c r="AO7" s="1919"/>
      <c r="AP7" s="1919"/>
      <c r="AQ7" s="1919"/>
      <c r="AR7" s="1919"/>
      <c r="AS7" s="1919"/>
      <c r="AT7" s="1919"/>
      <c r="AU7" s="1919"/>
      <c r="AV7" s="1919"/>
      <c r="AW7" s="1919"/>
      <c r="AX7" s="1919"/>
    </row>
    <row customHeight="true" ht="23.80952380952381" r="8">
      <c r="A8" s="1916"/>
      <c r="B8" s="1917"/>
      <c r="C8" s="1916"/>
      <c r="D8" s="1917"/>
      <c r="E8" s="1917"/>
      <c r="F8" s="1916"/>
      <c r="G8" s="1917"/>
      <c r="H8" s="1916"/>
      <c r="I8" s="1917"/>
      <c r="J8" s="1916"/>
      <c r="K8" s="1917"/>
      <c r="L8" s="1917"/>
      <c r="M8" s="1917"/>
      <c r="N8" s="1917"/>
      <c r="O8" s="1917"/>
      <c r="P8" s="1917"/>
      <c r="Q8" s="1917"/>
      <c r="R8" s="1917"/>
    </row>
    <row customHeight="true" ht="23.80952380952381" r="9">
      <c r="A9" s="1916" t="s">
        <v>4812</v>
      </c>
      <c r="B9" s="1917"/>
      <c r="C9" s="1916"/>
      <c r="D9" s="1917"/>
      <c r="E9" s="1917"/>
      <c r="F9" s="1916"/>
      <c r="G9" s="1917"/>
      <c r="H9" s="1916"/>
      <c r="I9" s="1917"/>
      <c r="J9" s="1916"/>
      <c r="K9" s="1917"/>
      <c r="L9" s="1917"/>
      <c r="M9" s="1917"/>
      <c r="N9" s="1917"/>
      <c r="O9" s="1917"/>
      <c r="P9" s="1917"/>
      <c r="Q9" s="1917"/>
      <c r="R9" s="1917"/>
    </row>
    <row r="10">
      <c r="A10" s="1922" t="s">
        <v>4765</v>
      </c>
      <c r="B10" s="1922" t="s">
        <v>4766</v>
      </c>
      <c r="C10" s="1922" t="s">
        <v>4767</v>
      </c>
      <c r="D10" s="1922" t="s">
        <v>4758</v>
      </c>
      <c r="E10" s="1922" t="s">
        <v>4774</v>
      </c>
      <c r="F10" s="1922" t="s">
        <v>4775</v>
      </c>
      <c r="G10" s="1922" t="s">
        <v>4780</v>
      </c>
      <c r="H10" s="1922" t="s">
        <v>4781</v>
      </c>
      <c r="I10" s="1922" t="s">
        <v>4782</v>
      </c>
      <c r="J10" s="1922" t="s">
        <v>4796</v>
      </c>
      <c r="K10" s="1922" t="s">
        <v>4797</v>
      </c>
      <c r="L10" s="1922" t="s">
        <v>4798</v>
      </c>
      <c r="M10" s="1922" t="s">
        <v>4799</v>
      </c>
      <c r="N10" s="1922" t="s">
        <v>4813</v>
      </c>
      <c r="O10" s="1922" t="s">
        <v>4814</v>
      </c>
      <c r="P10" s="1922" t="s">
        <v>4768</v>
      </c>
      <c r="Q10" s="1922" t="s">
        <v>4804</v>
      </c>
      <c r="R10" s="1922" t="s">
        <v>4805</v>
      </c>
      <c r="S10" s="1922" t="s">
        <v>4806</v>
      </c>
      <c r="T10" s="1922" t="s">
        <v>4807</v>
      </c>
      <c r="U10" s="1922" t="s">
        <v>4808</v>
      </c>
      <c r="V10" s="1922" t="s">
        <v>4811</v>
      </c>
      <c r="W10" s="1922" t="s">
        <v>4763</v>
      </c>
    </row>
    <row r="11">
      <c r="A11" s="1919"/>
      <c r="B11" s="1919"/>
      <c r="C11" s="1919"/>
      <c r="D11" s="1919"/>
      <c r="E11" s="1919"/>
      <c r="F11" s="1919"/>
      <c r="G11" s="1919"/>
      <c r="H11" s="1919"/>
      <c r="I11" s="1919"/>
      <c r="J11" s="1923"/>
      <c r="K11" s="1919"/>
      <c r="L11" s="1924"/>
      <c r="M11" s="1924"/>
      <c r="N11" s="1924"/>
      <c r="O11" s="1924"/>
      <c r="P11" s="1924"/>
      <c r="Q11" s="1924"/>
      <c r="R11" s="1924"/>
      <c r="S11" s="1924"/>
      <c r="T11" s="1924"/>
      <c r="U11" s="1924"/>
      <c r="V11" s="1924"/>
      <c r="W11" s="1924"/>
    </row>
    <row customHeight="true" ht="23.80952380952381" r="12">
      <c r="A12" s="1916"/>
      <c r="B12" s="1917"/>
      <c r="C12" s="1916"/>
      <c r="D12" s="1917"/>
      <c r="E12" s="1917"/>
      <c r="F12" s="1916"/>
      <c r="G12" s="1917"/>
      <c r="H12" s="1916"/>
      <c r="I12" s="1917"/>
      <c r="J12" s="1916"/>
      <c r="K12" s="1917"/>
      <c r="L12" s="1917"/>
      <c r="M12" s="1917"/>
      <c r="N12" s="1917"/>
      <c r="O12" s="1917"/>
      <c r="P12" s="1917"/>
      <c r="Q12" s="1917"/>
      <c r="R12" s="1917"/>
    </row>
    <row r="13">
      <c r="A13" s="1916" t="s">
        <v>4815</v>
      </c>
      <c r="B13" s="1917"/>
      <c r="C13" s="1916"/>
      <c r="D13" s="1917"/>
      <c r="E13" s="1917"/>
      <c r="F13" s="1916"/>
      <c r="G13" s="1917"/>
      <c r="H13" s="1916"/>
      <c r="I13" s="1917"/>
      <c r="J13" s="1916"/>
      <c r="K13" s="1917"/>
      <c r="L13" s="1917"/>
      <c r="M13" s="1917"/>
      <c r="N13" s="1917"/>
      <c r="O13" s="1917"/>
      <c r="P13" s="1917"/>
      <c r="Q13" s="1917"/>
      <c r="R13" s="1917"/>
    </row>
    <row r="14">
      <c r="A14" s="1922" t="s">
        <v>4765</v>
      </c>
      <c r="B14" s="1922" t="s">
        <v>4766</v>
      </c>
      <c r="C14" s="1922" t="s">
        <v>4767</v>
      </c>
      <c r="D14" s="1922" t="s">
        <v>4758</v>
      </c>
      <c r="E14" s="1922" t="s">
        <v>4784</v>
      </c>
      <c r="F14" s="1922" t="s">
        <v>4774</v>
      </c>
      <c r="G14" s="1922" t="s">
        <v>4775</v>
      </c>
      <c r="H14" s="1922" t="s">
        <v>4780</v>
      </c>
      <c r="I14" s="1922" t="s">
        <v>4781</v>
      </c>
      <c r="J14" s="1922" t="s">
        <v>4782</v>
      </c>
      <c r="K14" s="1922" t="s">
        <v>4786</v>
      </c>
      <c r="L14" s="1922" t="s">
        <v>4787</v>
      </c>
      <c r="M14" s="1922" t="s">
        <v>4788</v>
      </c>
      <c r="N14" s="1922" t="s">
        <v>4789</v>
      </c>
      <c r="O14" s="1922" t="s">
        <v>4790</v>
      </c>
      <c r="P14" s="1922" t="s">
        <v>4791</v>
      </c>
      <c r="Q14" s="1922" t="s">
        <v>4794</v>
      </c>
      <c r="R14" s="1922" t="s">
        <v>4795</v>
      </c>
      <c r="S14" s="1922" t="s">
        <v>4796</v>
      </c>
      <c r="T14" s="1922" t="s">
        <v>4797</v>
      </c>
      <c r="U14" s="1922" t="s">
        <v>4798</v>
      </c>
      <c r="V14" s="1922" t="s">
        <v>4799</v>
      </c>
      <c r="W14" s="1922" t="s">
        <v>4800</v>
      </c>
      <c r="X14" s="1922" t="s">
        <v>4801</v>
      </c>
      <c r="Y14" s="1922" t="s">
        <v>4802</v>
      </c>
      <c r="Z14" s="1922" t="s">
        <v>4803</v>
      </c>
      <c r="AA14" s="1922" t="s">
        <v>4805</v>
      </c>
      <c r="AB14" s="1922" t="s">
        <v>4806</v>
      </c>
      <c r="AC14" s="1922" t="s">
        <v>4816</v>
      </c>
      <c r="AD14" s="1922" t="s">
        <v>4817</v>
      </c>
      <c r="AE14" s="1922" t="s">
        <v>4818</v>
      </c>
      <c r="AF14" s="1922" t="s">
        <v>4819</v>
      </c>
      <c r="AG14" s="1922" t="s">
        <v>4820</v>
      </c>
      <c r="AH14" s="1922" t="s">
        <v>4821</v>
      </c>
      <c r="AI14" s="1922" t="s">
        <v>4822</v>
      </c>
      <c r="AJ14" s="1922" t="s">
        <v>4823</v>
      </c>
      <c r="AK14" s="1922" t="s">
        <v>4824</v>
      </c>
      <c r="AL14" s="1922" t="s">
        <v>4825</v>
      </c>
      <c r="AM14" s="1922" t="s">
        <v>4826</v>
      </c>
      <c r="AN14" s="1922" t="s">
        <v>4811</v>
      </c>
      <c r="AO14" s="1922" t="s">
        <v>4763</v>
      </c>
    </row>
    <row customHeight="true" ht="16.071428571428573" r="15">
      <c r="A15" s="1923"/>
      <c r="B15" s="1923"/>
      <c r="C15" s="1923"/>
      <c r="D15" s="1923"/>
      <c r="E15" s="1923"/>
      <c r="F15" s="1925"/>
      <c r="G15" s="1925"/>
      <c r="H15" s="1925"/>
      <c r="I15" s="1925"/>
      <c r="J15" s="1925"/>
      <c r="K15" s="1925"/>
      <c r="L15" s="1925"/>
      <c r="M15" s="1925"/>
      <c r="N15" s="1925"/>
      <c r="O15" s="1925"/>
      <c r="P15" s="1925"/>
      <c r="Q15" s="1925"/>
      <c r="R15" s="1925"/>
      <c r="S15" s="1925"/>
      <c r="T15" s="1925"/>
      <c r="U15" s="1925"/>
      <c r="V15" s="1925"/>
      <c r="W15" s="1925"/>
      <c r="X15" s="1925"/>
      <c r="Y15" s="1925"/>
      <c r="Z15" s="1925"/>
      <c r="AA15" s="1925"/>
      <c r="AB15" s="1925"/>
      <c r="AC15" s="1925"/>
      <c r="AD15" s="1925"/>
      <c r="AE15" s="1925"/>
      <c r="AF15" s="1925"/>
      <c r="AG15" s="1925"/>
      <c r="AH15" s="1925"/>
      <c r="AI15" s="1925"/>
      <c r="AJ15" s="1925"/>
      <c r="AK15" s="1925"/>
      <c r="AL15" s="1925"/>
      <c r="AM15" s="1925"/>
      <c r="AN15" s="1925"/>
      <c r="AO15" s="1925"/>
    </row>
    <row customHeight="true" ht="23.80952380952381" r="16">
      <c r="A16" s="1916"/>
      <c r="B16" s="1917"/>
      <c r="C16" s="1916"/>
      <c r="D16" s="1917"/>
      <c r="E16" s="1917"/>
      <c r="F16" s="1916"/>
      <c r="G16" s="1917"/>
      <c r="H16" s="1916"/>
      <c r="I16" s="1917"/>
      <c r="J16" s="1916"/>
      <c r="K16" s="1917"/>
      <c r="L16" s="1917"/>
      <c r="M16" s="1917"/>
      <c r="N16" s="1917"/>
      <c r="O16" s="1917"/>
      <c r="P16" s="1917"/>
      <c r="Q16" s="1917"/>
      <c r="R16" s="1917"/>
    </row>
    <row r="17">
      <c r="A17" s="1916" t="s">
        <v>4827</v>
      </c>
      <c r="B17" s="1917"/>
      <c r="C17" s="1916"/>
      <c r="D17" s="1917"/>
      <c r="E17" s="1917"/>
      <c r="F17" s="1916"/>
      <c r="G17" s="1917"/>
      <c r="H17" s="1916"/>
      <c r="I17" s="1917"/>
      <c r="J17" s="1916"/>
      <c r="K17" s="1917"/>
      <c r="L17" s="1917"/>
      <c r="M17" s="1917"/>
      <c r="N17" s="1917"/>
      <c r="O17" s="1917"/>
      <c r="P17" s="1917"/>
      <c r="Q17" s="1917"/>
      <c r="R17" s="1917"/>
    </row>
    <row r="18">
      <c r="A18" s="1922" t="s">
        <v>4765</v>
      </c>
      <c r="B18" s="1922" t="s">
        <v>4766</v>
      </c>
      <c r="C18" s="1922" t="s">
        <v>4767</v>
      </c>
      <c r="D18" s="1922" t="s">
        <v>4758</v>
      </c>
      <c r="E18" s="1922" t="s">
        <v>4828</v>
      </c>
      <c r="F18" s="1922" t="s">
        <v>4829</v>
      </c>
      <c r="G18" s="1922" t="s">
        <v>4830</v>
      </c>
      <c r="H18" s="1922" t="s">
        <v>4831</v>
      </c>
      <c r="I18" s="1922" t="s">
        <v>4832</v>
      </c>
      <c r="J18" s="1922" t="s">
        <v>4833</v>
      </c>
      <c r="K18" s="1922" t="s">
        <v>4834</v>
      </c>
      <c r="L18" s="1922" t="s">
        <v>4835</v>
      </c>
      <c r="M18" s="1922" t="s">
        <v>4836</v>
      </c>
      <c r="N18" s="1922" t="s">
        <v>4837</v>
      </c>
      <c r="O18" s="1922" t="s">
        <v>4838</v>
      </c>
      <c r="P18" s="1922" t="s">
        <v>4774</v>
      </c>
      <c r="Q18" s="1922" t="s">
        <v>4775</v>
      </c>
      <c r="R18" s="1922" t="s">
        <v>4778</v>
      </c>
      <c r="S18" s="1922" t="s">
        <v>4779</v>
      </c>
      <c r="T18" s="1922" t="s">
        <v>4780</v>
      </c>
      <c r="U18" s="1922" t="s">
        <v>4781</v>
      </c>
      <c r="V18" s="1922" t="s">
        <v>4782</v>
      </c>
      <c r="W18" s="1922" t="s">
        <v>4786</v>
      </c>
      <c r="X18" s="1922" t="s">
        <v>4787</v>
      </c>
      <c r="Y18" s="1922" t="s">
        <v>4788</v>
      </c>
      <c r="Z18" s="1922" t="s">
        <v>4789</v>
      </c>
      <c r="AA18" s="1922" t="s">
        <v>4790</v>
      </c>
      <c r="AB18" s="1922" t="s">
        <v>4791</v>
      </c>
      <c r="AC18" s="1922" t="s">
        <v>4800</v>
      </c>
      <c r="AD18" s="1922" t="s">
        <v>4801</v>
      </c>
      <c r="AE18" s="1922" t="s">
        <v>4796</v>
      </c>
      <c r="AF18" s="1922" t="s">
        <v>4797</v>
      </c>
      <c r="AG18" s="1922" t="s">
        <v>4805</v>
      </c>
      <c r="AH18" s="1922" t="s">
        <v>4806</v>
      </c>
      <c r="AI18" s="1922" t="s">
        <v>4839</v>
      </c>
      <c r="AJ18" s="1922" t="s">
        <v>4840</v>
      </c>
      <c r="AK18" s="1922" t="s">
        <v>4841</v>
      </c>
      <c r="AL18" s="1922" t="s">
        <v>4811</v>
      </c>
      <c r="AM18" s="1922" t="s">
        <v>4763</v>
      </c>
    </row>
    <row r="19">
      <c r="A19" s="1919"/>
      <c r="B19" s="1919"/>
      <c r="C19" s="1919"/>
      <c r="D19" s="1925"/>
      <c r="E19" s="1925"/>
      <c r="F19" s="1925"/>
      <c r="G19" s="1925"/>
      <c r="H19" s="1925"/>
      <c r="I19" s="1925"/>
      <c r="J19" s="1925"/>
      <c r="K19" s="1925"/>
      <c r="L19" s="1925"/>
      <c r="M19" s="1925"/>
      <c r="N19" s="1925"/>
      <c r="O19" s="1925"/>
      <c r="P19" s="1925"/>
      <c r="Q19" s="1925"/>
      <c r="R19" s="1925"/>
      <c r="S19" s="1925"/>
      <c r="T19" s="1925"/>
      <c r="U19" s="1925"/>
      <c r="V19" s="1925"/>
      <c r="W19" s="1925"/>
      <c r="X19" s="1925"/>
      <c r="Y19" s="1925"/>
      <c r="Z19" s="1925"/>
      <c r="AA19" s="1925"/>
      <c r="AB19" s="1925"/>
      <c r="AC19" s="1925"/>
      <c r="AD19" s="1925"/>
      <c r="AE19" s="1925"/>
      <c r="AF19" s="1925"/>
      <c r="AG19" s="1925"/>
      <c r="AH19" s="1925"/>
      <c r="AI19" s="1925"/>
      <c r="AJ19" s="1925"/>
      <c r="AK19" s="1925"/>
      <c r="AL19" s="1925"/>
      <c r="AM19" s="1925"/>
    </row>
    <row customHeight="true" ht="23.80952380952381" r="20">
      <c r="A20" s="1926"/>
      <c r="B20" s="1927"/>
      <c r="C20" s="1926"/>
      <c r="D20" s="1927"/>
      <c r="E20" s="1927"/>
      <c r="F20" s="1926"/>
      <c r="G20" s="1927"/>
      <c r="H20" s="1926"/>
      <c r="I20" s="1927"/>
      <c r="J20" s="1926"/>
      <c r="K20" s="1927"/>
      <c r="L20" s="1927"/>
      <c r="M20" s="1927"/>
      <c r="N20" s="1927"/>
      <c r="O20" s="1927"/>
      <c r="P20" s="1927"/>
      <c r="Q20" s="1927"/>
      <c r="R20" s="1927"/>
    </row>
    <row customHeight="true" ht="23.80952380952381" r="21">
      <c r="A21" s="1926" t="s">
        <v>4842</v>
      </c>
      <c r="B21" s="1917"/>
      <c r="C21" s="1916"/>
      <c r="D21" s="1917"/>
      <c r="E21" s="1917"/>
      <c r="F21" s="1916"/>
      <c r="G21" s="1917"/>
      <c r="H21" s="1916"/>
      <c r="I21" s="1917"/>
      <c r="J21" s="1916"/>
      <c r="K21" s="1917"/>
      <c r="L21" s="1917"/>
      <c r="M21" s="1917"/>
      <c r="N21" s="1917"/>
      <c r="O21" s="1917"/>
      <c r="P21" s="1917"/>
      <c r="Q21" s="1917"/>
      <c r="R21" s="1917"/>
    </row>
    <row customHeight="true" ht="23.80952380952381" r="22">
      <c r="A22" s="1922" t="s">
        <v>4765</v>
      </c>
      <c r="B22" s="1922" t="s">
        <v>4766</v>
      </c>
      <c r="C22" s="1922" t="s">
        <v>4767</v>
      </c>
      <c r="D22" s="1922" t="s">
        <v>4758</v>
      </c>
      <c r="E22" s="1922" t="s">
        <v>4784</v>
      </c>
      <c r="F22" s="1922" t="s">
        <v>4785</v>
      </c>
      <c r="G22" s="1922" t="s">
        <v>4774</v>
      </c>
      <c r="H22" s="1922" t="s">
        <v>4775</v>
      </c>
      <c r="I22" s="1922" t="s">
        <v>4796</v>
      </c>
      <c r="J22" s="1922" t="s">
        <v>4797</v>
      </c>
      <c r="K22" s="1922" t="s">
        <v>4798</v>
      </c>
      <c r="L22" s="1922" t="s">
        <v>4799</v>
      </c>
      <c r="M22" s="1922" t="s">
        <v>4800</v>
      </c>
      <c r="N22" s="1922" t="s">
        <v>4801</v>
      </c>
      <c r="O22" s="1922" t="s">
        <v>4843</v>
      </c>
      <c r="P22" s="1922" t="s">
        <v>4811</v>
      </c>
      <c r="Q22" s="1922" t="s">
        <v>4763</v>
      </c>
      <c r="R22" s="1917"/>
    </row>
    <row r="23">
      <c r="A23" s="1924"/>
      <c r="B23" s="1924"/>
      <c r="C23" s="1924"/>
      <c r="D23" s="1924"/>
      <c r="E23" s="1924"/>
      <c r="F23" s="1924"/>
      <c r="G23" s="1924"/>
      <c r="H23" s="1924"/>
      <c r="I23" s="1924"/>
      <c r="J23" s="1924"/>
      <c r="K23" s="1924"/>
      <c r="L23" s="1924"/>
      <c r="M23" s="1924"/>
      <c r="N23" s="1924"/>
      <c r="O23" s="1924"/>
      <c r="P23" s="1924"/>
      <c r="Q23" s="1924"/>
    </row>
  </sheetData>
  <picture r:id="rId1"/>
</worksheet>
</file>

<file path=xl/worksheets/sheet3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cols>
    <col collapsed="false" customWidth="true" hidden="false" max="3" min="3" style="0" width="19.34272320990644"/>
    <col collapsed="false" customWidth="true" hidden="false" max="11" min="11" style="0" width="14.55399192368401"/>
    <col collapsed="false" customWidth="true" hidden="false" max="20" min="20" style="0" width="14.497642511866628"/>
    <col collapsed="false" customWidth="true" hidden="false" max="27" min="27" style="0" width="17.97182198645435"/>
    <col collapsed="false" customWidth="true" hidden="false" max="28" min="28" style="0" width="17.070413535750127"/>
    <col collapsed="false" customWidth="true" hidden="false" max="4" min="4" style="0" width="16.056338028169016"/>
    <col collapsed="false" customWidth="true" hidden="false" max="12" min="12" style="0" width="14.55399192368401"/>
    <col collapsed="false" customWidth="true" hidden="false" max="17" min="17" style="0" width="14.55399192368401"/>
    <col collapsed="false" customWidth="true" hidden="false" max="25" min="25" style="0" width="14.497642511866628"/>
    <col collapsed="false" customWidth="true" hidden="false" max="1" min="1" style="0" width="13.821596449343057"/>
    <col collapsed="false" customWidth="true" hidden="false" max="9" min="9" style="0" width="13.915492957746478"/>
    <col collapsed="false" customWidth="true" hidden="false" max="18" min="18" style="0" width="14.55399192368401"/>
    <col collapsed="false" customWidth="true" hidden="false" max="26" min="26" style="0" width="16.169014084507044"/>
    <col collapsed="false" customWidth="true" hidden="false" max="2" min="2" style="0" width="13.80281690140845"/>
    <col collapsed="false" customWidth="true" hidden="false" max="10" min="10" style="0" width="17.633802816901408"/>
    <col collapsed="false" customWidth="true" hidden="false" max="23" min="23" style="0" width="14.497642511866628"/>
    <col collapsed="false" customWidth="true" hidden="false" max="7" min="7" style="0" width="16.056338028169016"/>
    <col collapsed="false" customWidth="true" hidden="false" max="15" min="15" style="0" width="14.55399192368401"/>
    <col collapsed="false" customWidth="true" hidden="false" max="24" min="24" style="0" width="14.497642511866628"/>
    <col collapsed="false" customWidth="true" hidden="false" max="8" min="8" style="0" width="16.056338028169016"/>
    <col collapsed="false" customWidth="true" hidden="false" max="16" min="16" style="0" width="14.55399192368401"/>
    <col collapsed="false" customWidth="true" hidden="false" max="21" min="21" style="0" width="14.497642511866628"/>
    <col collapsed="false" customWidth="true" hidden="false" max="5" min="5" style="0" width="22.723004900047286"/>
    <col collapsed="false" customWidth="true" hidden="false" max="13" min="13" style="0" width="14.55399192368401"/>
    <col collapsed="false" customWidth="true" hidden="false" max="22" min="22" style="0" width="14.497642511866628"/>
    <col collapsed="false" customWidth="true" hidden="false" max="6" min="6" style="0" width="16.056338028169016"/>
    <col collapsed="false" customWidth="true" hidden="false" max="14" min="14" style="0" width="14.55399192368401"/>
    <col collapsed="false" customWidth="true" hidden="false" max="19" min="19" style="0" width="14.497642511866628"/>
    <col collapsed="false" customWidth="true" hidden="false" max="30" min="30" style="0" width="14.591549295774648"/>
  </cols>
  <sheetData>
    <row customHeight="true" ht="16.071428571428573" r="1">
      <c r="A1" s="1928" t="s">
        <v>4844</v>
      </c>
      <c r="B1" s="1929" t="s">
        <v>4845</v>
      </c>
      <c r="C1" s="1928"/>
      <c r="E1" s="1928"/>
      <c r="H1" s="1928"/>
    </row>
    <row r="2">
      <c r="A2" s="1930" t="s">
        <v>4846</v>
      </c>
      <c r="B2" s="1930" t="s">
        <v>4847</v>
      </c>
      <c r="C2" s="1931" t="s">
        <v>4848</v>
      </c>
      <c r="D2" s="1931" t="s">
        <v>4849</v>
      </c>
      <c r="E2" s="1931" t="s">
        <v>4850</v>
      </c>
      <c r="F2" s="1931" t="s">
        <v>4851</v>
      </c>
      <c r="G2" s="1932" t="s">
        <v>4852</v>
      </c>
      <c r="H2" s="1931" t="s">
        <v>4853</v>
      </c>
      <c r="I2" s="1931" t="s">
        <v>4854</v>
      </c>
      <c r="J2" s="1932" t="s">
        <v>4855</v>
      </c>
      <c r="K2" s="1931" t="s">
        <v>4856</v>
      </c>
      <c r="L2" s="1931" t="s">
        <v>4857</v>
      </c>
    </row>
    <row customHeight="true" ht="16.071428571428573" r="3">
      <c r="A3" s="1930" t="s">
        <v>4858</v>
      </c>
      <c r="B3" s="1930" t="s">
        <v>4859</v>
      </c>
      <c r="C3" s="1930" t="s">
        <v>4860</v>
      </c>
      <c r="D3" s="1933" t="s">
        <v>4861</v>
      </c>
      <c r="E3" s="1933" t="s">
        <v>4862</v>
      </c>
      <c r="F3" s="1934" t="s">
        <v>4863</v>
      </c>
      <c r="G3" s="1934" t="s">
        <v>4864</v>
      </c>
      <c r="H3" s="1934" t="s">
        <v>4865</v>
      </c>
      <c r="I3" s="1934" t="s">
        <v>4866</v>
      </c>
      <c r="J3" s="1934" t="s">
        <v>4867</v>
      </c>
      <c r="K3" s="1933" t="s">
        <v>4868</v>
      </c>
      <c r="L3" s="1933" t="s">
        <v>4869</v>
      </c>
    </row>
    <row customHeight="true" ht="16.071428571428573" r="4">
      <c r="A4" s="1935"/>
      <c r="B4" s="1935"/>
      <c r="C4" s="1935"/>
      <c r="D4" s="1935"/>
      <c r="E4" s="1935"/>
      <c r="F4" s="1935"/>
      <c r="G4" s="1935"/>
      <c r="H4" s="1935"/>
      <c r="I4" s="1935"/>
      <c r="J4" s="1935"/>
      <c r="K4" s="1935"/>
      <c r="L4" s="1935"/>
    </row>
    <row customHeight="true" ht="16.071428571428573" r="5">
      <c r="A5" s="1928"/>
      <c r="C5" s="1928"/>
      <c r="E5" s="1928"/>
      <c r="H5" s="1928"/>
    </row>
    <row r="6">
      <c r="A6" s="1928" t="s">
        <v>4870</v>
      </c>
      <c r="B6" s="1929" t="s">
        <v>4871</v>
      </c>
    </row>
    <row r="7">
      <c r="A7" s="1930" t="s">
        <v>4846</v>
      </c>
      <c r="B7" s="1930" t="s">
        <v>4847</v>
      </c>
      <c r="C7" s="1931" t="s">
        <v>4848</v>
      </c>
      <c r="D7" s="1931" t="s">
        <v>4849</v>
      </c>
      <c r="E7" s="1931" t="s">
        <v>4850</v>
      </c>
      <c r="F7" s="1931" t="s">
        <v>4851</v>
      </c>
      <c r="G7" s="1932" t="s">
        <v>4872</v>
      </c>
      <c r="H7" s="1931" t="s">
        <v>4853</v>
      </c>
      <c r="I7" s="1931" t="s">
        <v>4873</v>
      </c>
      <c r="J7" s="1932" t="s">
        <v>4874</v>
      </c>
      <c r="K7" s="1931" t="s">
        <v>4856</v>
      </c>
      <c r="L7" s="1931" t="s">
        <v>4857</v>
      </c>
      <c r="M7" s="1931" t="s">
        <v>4875</v>
      </c>
      <c r="N7" s="1936" t="s">
        <v>4876</v>
      </c>
      <c r="O7" s="1936"/>
      <c r="P7" s="1936"/>
      <c r="Q7" s="1936"/>
      <c r="R7" s="1931" t="s">
        <v>4877</v>
      </c>
    </row>
    <row customHeight="true" ht="20.845734698589492" r="8">
      <c r="A8" s="1930"/>
      <c r="B8" s="1930"/>
      <c r="C8" s="1931"/>
      <c r="D8" s="1931"/>
      <c r="E8" s="1931"/>
      <c r="F8" s="1931"/>
      <c r="G8" s="1931"/>
      <c r="H8" s="1931"/>
      <c r="I8" s="1931"/>
      <c r="J8" s="1931"/>
      <c r="K8" s="1931"/>
      <c r="L8" s="1931"/>
      <c r="M8" s="1931"/>
      <c r="N8" s="1937" t="s">
        <v>4878</v>
      </c>
      <c r="O8" s="1937" t="s">
        <v>4879</v>
      </c>
      <c r="P8" s="1937" t="s">
        <v>4880</v>
      </c>
      <c r="Q8" s="1937" t="s">
        <v>4881</v>
      </c>
      <c r="R8" s="1931"/>
    </row>
    <row customHeight="true" ht="16.071428571428573" r="9">
      <c r="A9" s="1938" t="s">
        <v>4858</v>
      </c>
      <c r="B9" s="1938" t="s">
        <v>4859</v>
      </c>
      <c r="C9" s="1938" t="s">
        <v>4860</v>
      </c>
      <c r="D9" s="1934" t="s">
        <v>4861</v>
      </c>
      <c r="E9" s="1934" t="s">
        <v>4862</v>
      </c>
      <c r="F9" s="1934" t="s">
        <v>4863</v>
      </c>
      <c r="G9" s="1934" t="s">
        <v>4882</v>
      </c>
      <c r="H9" s="1934" t="s">
        <v>4865</v>
      </c>
      <c r="I9" s="1934" t="s">
        <v>4866</v>
      </c>
      <c r="J9" s="1934" t="s">
        <v>4883</v>
      </c>
      <c r="K9" s="1934" t="s">
        <v>4868</v>
      </c>
      <c r="L9" s="1934" t="s">
        <v>4869</v>
      </c>
      <c r="M9" s="1934" t="s">
        <v>4884</v>
      </c>
      <c r="N9" s="1934" t="s">
        <v>4885</v>
      </c>
      <c r="O9" s="1934" t="s">
        <v>4886</v>
      </c>
      <c r="P9" s="1934" t="s">
        <v>4887</v>
      </c>
      <c r="Q9" s="1934" t="s">
        <v>4888</v>
      </c>
      <c r="R9" s="1934" t="s">
        <v>4889</v>
      </c>
    </row>
    <row r="10">
      <c r="A10" s="1935"/>
      <c r="B10" s="1935"/>
      <c r="C10" s="1935"/>
      <c r="D10" s="1935"/>
      <c r="E10" s="1935"/>
      <c r="F10" s="1935"/>
      <c r="G10" s="1935"/>
      <c r="H10" s="1935"/>
      <c r="I10" s="1935"/>
      <c r="J10" s="1935"/>
      <c r="K10" s="1935"/>
      <c r="L10" s="1935"/>
      <c r="M10" s="1935"/>
      <c r="N10" s="1935"/>
      <c r="O10" s="1935"/>
      <c r="P10" s="1935"/>
      <c r="Q10" s="1935"/>
      <c r="R10" s="1935"/>
    </row>
    <row r="11"/>
    <row r="12"/>
    <row r="13">
      <c r="A13" s="1928" t="s">
        <v>4890</v>
      </c>
      <c r="B13" s="1929" t="s">
        <v>4891</v>
      </c>
    </row>
    <row r="14">
      <c r="A14" s="1930" t="s">
        <v>4846</v>
      </c>
      <c r="B14" s="1930" t="s">
        <v>4847</v>
      </c>
      <c r="C14" s="1931" t="s">
        <v>4892</v>
      </c>
      <c r="D14" s="1939" t="s">
        <v>4893</v>
      </c>
      <c r="E14" s="1933" t="s">
        <v>4894</v>
      </c>
      <c r="F14" s="1939" t="s">
        <v>4849</v>
      </c>
      <c r="G14" s="1936" t="s">
        <v>4850</v>
      </c>
      <c r="H14" s="1936" t="s">
        <v>4895</v>
      </c>
      <c r="I14" s="1936" t="s">
        <v>4896</v>
      </c>
      <c r="J14" s="1936" t="s">
        <v>4897</v>
      </c>
      <c r="K14" s="1936" t="s">
        <v>4898</v>
      </c>
      <c r="L14" s="1936" t="s">
        <v>4899</v>
      </c>
      <c r="M14" s="1936" t="s">
        <v>4900</v>
      </c>
      <c r="N14" s="1939" t="s">
        <v>4901</v>
      </c>
      <c r="O14" s="1939" t="s">
        <v>4902</v>
      </c>
      <c r="P14" s="1939"/>
      <c r="Q14" s="1939"/>
      <c r="R14" s="1939"/>
      <c r="S14" s="1939"/>
      <c r="T14" s="1939"/>
      <c r="U14" s="1939"/>
      <c r="V14" s="1939"/>
      <c r="W14" s="1939"/>
      <c r="X14" s="1939"/>
      <c r="Y14" s="1939"/>
      <c r="Z14" s="1939" t="s">
        <v>4903</v>
      </c>
    </row>
    <row r="15">
      <c r="A15" s="1940"/>
      <c r="B15" s="1940"/>
      <c r="C15" s="1940"/>
      <c r="D15" s="1940"/>
      <c r="E15" s="1940" t="s">
        <v>4904</v>
      </c>
      <c r="F15" s="1940"/>
      <c r="G15" s="1940"/>
      <c r="H15" s="1940"/>
      <c r="I15" s="1940"/>
      <c r="J15" s="1940"/>
      <c r="K15" s="1940"/>
      <c r="L15" s="1940"/>
      <c r="M15" s="1940"/>
      <c r="N15" s="1940"/>
      <c r="O15" s="1940"/>
      <c r="P15" s="1940"/>
      <c r="Q15" s="1940"/>
      <c r="R15" s="1940"/>
      <c r="S15" s="1940"/>
      <c r="T15" s="1940"/>
      <c r="U15" s="1940"/>
      <c r="V15" s="1940"/>
      <c r="W15" s="1940"/>
      <c r="X15" s="1940"/>
      <c r="Y15" s="1940"/>
      <c r="Z15" s="1940"/>
    </row>
    <row r="16"/>
    <row r="17"/>
    <row r="18">
      <c r="A18" s="1928" t="s">
        <v>4905</v>
      </c>
      <c r="B18" s="1929" t="s">
        <v>4906</v>
      </c>
    </row>
    <row r="19">
      <c r="A19" s="1930" t="s">
        <v>4846</v>
      </c>
      <c r="B19" s="1930" t="s">
        <v>4847</v>
      </c>
      <c r="C19" s="1930" t="s">
        <v>4848</v>
      </c>
      <c r="D19" s="1930" t="s">
        <v>4893</v>
      </c>
      <c r="E19" s="1933" t="s">
        <v>4894</v>
      </c>
      <c r="F19" s="1930" t="s">
        <v>4849</v>
      </c>
      <c r="G19" s="1933" t="s">
        <v>4850</v>
      </c>
      <c r="H19" s="1933" t="s">
        <v>4907</v>
      </c>
      <c r="I19" s="1933" t="s">
        <v>4897</v>
      </c>
      <c r="J19" s="1930" t="s">
        <v>4908</v>
      </c>
      <c r="K19" s="1933" t="s">
        <v>4909</v>
      </c>
      <c r="L19" s="1930" t="s">
        <v>4910</v>
      </c>
      <c r="M19" s="1930" t="s">
        <v>4911</v>
      </c>
      <c r="N19" s="1930" t="s">
        <v>4912</v>
      </c>
      <c r="O19" s="1930" t="s">
        <v>4913</v>
      </c>
      <c r="P19" s="1930" t="s">
        <v>4914</v>
      </c>
      <c r="Q19" s="1930" t="s">
        <v>4915</v>
      </c>
      <c r="R19" s="1930" t="s">
        <v>4916</v>
      </c>
      <c r="S19" s="1930" t="s">
        <v>4917</v>
      </c>
      <c r="T19" s="1930" t="s">
        <v>4918</v>
      </c>
      <c r="U19" s="1930" t="s">
        <v>4919</v>
      </c>
      <c r="V19" s="1930" t="s">
        <v>4920</v>
      </c>
      <c r="W19" s="1930" t="s">
        <v>4921</v>
      </c>
      <c r="X19" s="1930" t="s">
        <v>4922</v>
      </c>
      <c r="Y19" s="1930" t="s">
        <v>4923</v>
      </c>
    </row>
    <row r="20">
      <c r="A20" s="1940"/>
      <c r="B20" s="1940"/>
      <c r="C20" s="1940"/>
      <c r="D20" s="1940"/>
      <c r="E20" s="1941" t="s">
        <v>4924</v>
      </c>
      <c r="F20" s="1940"/>
      <c r="G20" s="1940"/>
      <c r="H20" s="1940"/>
      <c r="I20" s="1940"/>
      <c r="J20" s="1940"/>
      <c r="K20" s="1940"/>
      <c r="L20" s="1940"/>
      <c r="M20" s="1940"/>
      <c r="N20" s="1940"/>
      <c r="O20" s="1940"/>
      <c r="P20" s="1940"/>
      <c r="Q20" s="1940"/>
      <c r="R20" s="1940"/>
      <c r="S20" s="1940"/>
      <c r="T20" s="1940"/>
      <c r="U20" s="1940"/>
      <c r="V20" s="1940"/>
      <c r="W20" s="1940"/>
      <c r="X20" s="1940"/>
      <c r="Y20" s="1940"/>
    </row>
  </sheetData>
  <mergeCells>
    <mergeCell ref="B7:B8"/>
    <mergeCell ref="A7:A8"/>
    <mergeCell ref="C7:C8"/>
    <mergeCell ref="D7:D8"/>
    <mergeCell ref="E7:E8"/>
    <mergeCell ref="F7:F8"/>
    <mergeCell ref="G7:G8"/>
    <mergeCell ref="H7:H8"/>
    <mergeCell ref="I7:I8"/>
    <mergeCell ref="J7:J8"/>
    <mergeCell ref="K7:K8"/>
    <mergeCell ref="L7:L8"/>
    <mergeCell ref="M7:M8"/>
    <mergeCell ref="N7:Q7"/>
    <mergeCell ref="R7:R8"/>
  </mergeCells>
  <picture r:id="rId1"/>
</worksheet>
</file>

<file path=xl/worksheets/sheet3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cols>
    <col collapsed="false" customWidth="true" hidden="false" max="53" min="53" style="0" width="11.567974313700892"/>
    <col collapsed="false" customWidth="true" hidden="false" max="88" min="88" style="0" width="11.567974313700892"/>
    <col collapsed="false" customWidth="true" hidden="false" max="120" min="120" style="0" width="11.567974313700892"/>
    <col collapsed="false" customWidth="true" hidden="false" max="151" min="151" style="0" width="11.211267605633802"/>
    <col collapsed="false" customWidth="true" hidden="false" max="21" min="21" style="0" width="11.567974313700892"/>
    <col collapsed="false" customWidth="true" hidden="false" max="54" min="54" style="0" width="11.567974313700892"/>
    <col collapsed="false" customWidth="true" hidden="false" max="85" min="85" style="0" width="11.567974313700892"/>
    <col collapsed="false" customWidth="true" hidden="false" max="117" min="117" style="0" width="11.567974313700892"/>
    <col collapsed="false" customWidth="true" hidden="false" max="152" min="152" style="0" width="11.211267605633802"/>
    <col collapsed="false" customWidth="true" hidden="false" max="22" min="22" style="0" width="11.567974313700892"/>
    <col collapsed="false" customWidth="true" hidden="false" max="59" min="59" style="0" width="11.567974313700892"/>
    <col collapsed="false" customWidth="true" hidden="false" max="86" min="86" style="0" width="11.567974313700892"/>
    <col collapsed="false" customWidth="true" hidden="false" max="118" min="118" style="0" width="11.567974313700892"/>
    <col collapsed="false" customWidth="true" hidden="false" max="149" min="149" style="0" width="11.211267605633802"/>
    <col collapsed="false" customWidth="true" hidden="false" max="27" min="27" style="0" width="11.567974313700892"/>
    <col collapsed="false" customWidth="true" hidden="false" max="60" min="60" style="0" width="11.567974313700892"/>
    <col collapsed="false" customWidth="true" hidden="false" max="91" min="91" style="0" width="11.567974313700892"/>
    <col collapsed="false" customWidth="true" hidden="false" max="123" min="123" style="0" width="11.567974313700892"/>
    <col collapsed="false" customWidth="true" hidden="false" max="150" min="150" style="0" width="11.211267605633802"/>
    <col collapsed="false" customWidth="true" hidden="false" max="28" min="28" style="0" width="11.567974313700892"/>
    <col collapsed="false" customWidth="true" hidden="false" max="57" min="57" style="0" width="11.567974313700892"/>
    <col collapsed="false" customWidth="true" hidden="false" max="92" min="92" style="0" width="11.567974313700892"/>
    <col collapsed="false" customWidth="true" hidden="false" max="124" min="124" style="0" width="11.567974313700892"/>
    <col collapsed="false" customWidth="true" hidden="false" max="155" min="155" style="0" width="11.211267605633802"/>
    <col collapsed="false" customWidth="true" hidden="false" max="25" min="25" style="0" width="11.567974313700892"/>
    <col collapsed="false" customWidth="true" hidden="false" max="58" min="58" style="0" width="11.567974313700892"/>
    <col collapsed="false" customWidth="true" hidden="false" max="89" min="89" style="0" width="11.567974313700892"/>
    <col collapsed="false" customWidth="true" hidden="false" max="121" min="121" style="0" width="11.567974313700892"/>
    <col collapsed="false" customWidth="true" hidden="false" max="156" min="156" style="0" width="11.211267605633802"/>
    <col collapsed="false" customWidth="true" hidden="false" max="26" min="26" style="0" width="11.567974313700892"/>
    <col collapsed="false" customWidth="true" hidden="false" max="63" min="63" style="0" width="11.567974313700892"/>
    <col collapsed="false" customWidth="true" hidden="false" max="90" min="90" style="0" width="11.567974313700892"/>
    <col collapsed="false" customWidth="true" hidden="false" max="122" min="122" style="0" width="11.567974313700892"/>
    <col collapsed="false" customWidth="true" hidden="false" max="153" min="153" style="0" width="11.211267605633802"/>
    <col collapsed="false" customWidth="true" hidden="false" max="31" min="31" style="0" width="11.567974313700892"/>
    <col collapsed="false" customWidth="true" hidden="false" max="64" min="64" style="0" width="11.567974313700892"/>
    <col collapsed="false" customWidth="true" hidden="false" max="95" min="95" style="0" width="11.567974313700892"/>
    <col collapsed="false" customWidth="true" hidden="false" max="127" min="127" style="0" width="11.567974313700892"/>
    <col collapsed="false" customWidth="true" hidden="false" max="154" min="154" style="0" width="11.211267605633802"/>
    <col collapsed="false" customWidth="true" hidden="false" max="32" min="32" style="0" width="11.567974313700892"/>
    <col collapsed="false" customWidth="true" hidden="false" max="61" min="61" style="0" width="11.567974313700892"/>
    <col collapsed="false" customWidth="true" hidden="false" max="96" min="96" style="0" width="11.567974313700892"/>
    <col collapsed="false" customWidth="true" hidden="false" max="128" min="128" style="0" width="11.567974313700892"/>
    <col collapsed="false" customWidth="true" hidden="false" max="29" min="29" style="0" width="11.567974313700892"/>
    <col collapsed="false" customWidth="true" hidden="false" max="62" min="62" style="0" width="11.567974313700892"/>
    <col collapsed="false" customWidth="true" hidden="false" max="93" min="93" style="0" width="11.567974313700892"/>
    <col collapsed="false" customWidth="true" hidden="false" max="125" min="125" style="0" width="11.567974313700892"/>
    <col collapsed="false" customWidth="true" hidden="false" max="30" min="30" style="0" width="11.567974313700892"/>
    <col collapsed="false" customWidth="true" hidden="false" max="94" min="94" style="0" width="11.567974313700892"/>
    <col collapsed="false" customWidth="true" hidden="false" max="126" min="126" style="0" width="11.567974313700892"/>
    <col collapsed="false" customWidth="true" hidden="false" max="157" min="157" style="0" width="11.211267605633802"/>
    <col collapsed="false" customWidth="true" hidden="false" max="35" min="35" style="0" width="11.567974313700892"/>
    <col collapsed="false" customWidth="true" hidden="false" max="36" min="36" style="0" width="11.567974313700892"/>
    <col collapsed="false" customWidth="true" hidden="false" max="99" min="99" style="0" width="11.567974313700892"/>
    <col collapsed="false" customWidth="true" hidden="false" max="3" min="3" style="0" width="12"/>
    <col collapsed="false" customWidth="true" hidden="false" max="33" min="33" style="0" width="11.567974313700892"/>
    <col collapsed="false" customWidth="true" hidden="false" max="67" min="67" style="0" width="11.567974313700892"/>
    <col collapsed="false" customWidth="true" hidden="false" max="100" min="100" style="0" width="11.567974313700892"/>
    <col collapsed="false" customWidth="true" hidden="false" max="131" min="131" style="0" width="11.567974313700892"/>
    <col collapsed="false" customWidth="true" hidden="false" max="4" min="4" style="0" width="10.647887323943662"/>
    <col collapsed="false" customWidth="true" hidden="false" max="34" min="34" style="0" width="11.567974313700892"/>
    <col collapsed="false" customWidth="true" hidden="false" max="68" min="68" style="0" width="11.567974313700892"/>
    <col collapsed="false" customWidth="true" hidden="false" max="97" min="97" style="0" width="11.567974313700892"/>
    <col collapsed="false" customWidth="true" hidden="false" max="132" min="132" style="0" width="11.567974313700892"/>
    <col collapsed="false" customWidth="true" hidden="false" max="1" min="1" style="0" width="20.901408450704224"/>
    <col collapsed="false" customWidth="true" hidden="false" max="39" min="39" style="0" width="11.567974313700892"/>
    <col collapsed="false" customWidth="true" hidden="false" max="65" min="65" style="0" width="11.567974313700892"/>
    <col collapsed="false" customWidth="true" hidden="false" max="98" min="98" style="0" width="11.567974313700892"/>
    <col collapsed="false" customWidth="true" hidden="false" max="129" min="129" style="0" width="11.567974313700892"/>
    <col collapsed="false" customWidth="true" hidden="false" max="2" min="2" style="0" width="12.112676056338028"/>
    <col collapsed="false" customWidth="true" hidden="false" max="40" min="40" style="0" width="11.567974313700892"/>
    <col collapsed="false" customWidth="true" hidden="false" max="66" min="66" style="0" width="11.567974313700892"/>
    <col collapsed="false" customWidth="true" hidden="false" max="103" min="103" style="0" width="11.567974313700892"/>
    <col collapsed="false" customWidth="true" hidden="false" max="130" min="130" style="0" width="11.567974313700892"/>
    <col collapsed="false" customWidth="true" hidden="false" max="7" min="7" style="0" width="40.4694835829996"/>
    <col collapsed="false" customWidth="true" hidden="false" max="37" min="37" style="0" width="11.567974313700892"/>
    <col collapsed="false" customWidth="true" hidden="false" max="71" min="71" style="0" width="11.567974313700892"/>
    <col collapsed="false" customWidth="true" hidden="false" max="104" min="104" style="0" width="11.567974313700892"/>
    <col collapsed="false" customWidth="true" hidden="false" max="135" min="135" style="0" width="11.211267605633802"/>
    <col collapsed="false" customWidth="true" hidden="false" max="8" min="8" style="0" width="10.422535211267606"/>
    <col collapsed="false" customWidth="true" hidden="false" max="38" min="38" style="0" width="11.567974313700892"/>
    <col collapsed="false" customWidth="true" hidden="false" max="69" min="69" style="0" width="11.567974313700892"/>
    <col collapsed="false" customWidth="true" hidden="false" max="72" min="72" style="0" width="11.567974313700892"/>
    <col collapsed="false" customWidth="true" hidden="false" max="101" min="101" style="0" width="11.567974313700892"/>
    <col collapsed="false" customWidth="true" hidden="false" max="136" min="136" style="0" width="11.211267605633802"/>
    <col collapsed="false" customWidth="true" hidden="false" max="5" min="5" style="0" width="16.807511752013685"/>
    <col collapsed="false" customWidth="true" hidden="false" max="43" min="43" style="0" width="11.567974313700892"/>
    <col collapsed="false" customWidth="true" hidden="false" max="70" min="70" style="0" width="11.567974313700892"/>
    <col collapsed="false" customWidth="true" hidden="false" max="102" min="102" style="0" width="11.567974313700892"/>
    <col collapsed="false" customWidth="true" hidden="false" max="133" min="133" style="0" width="11.567974313700892"/>
    <col collapsed="false" customWidth="true" hidden="false" max="6" min="6" style="0" width="28.97652583652073"/>
    <col collapsed="false" customWidth="true" hidden="false" max="44" min="44" style="0" width="11.567974313700892"/>
    <col collapsed="false" customWidth="true" hidden="false" max="75" min="75" style="0" width="11.567974313700892"/>
    <col collapsed="false" customWidth="true" hidden="false" max="107" min="107" style="0" width="11.567974313700892"/>
    <col collapsed="false" customWidth="true" hidden="false" max="134" min="134" style="0" width="11.211267605633802"/>
    <col collapsed="false" customWidth="true" hidden="false" max="11" min="11" style="0" width="11.567974313700892"/>
    <col collapsed="false" customWidth="true" hidden="false" max="41" min="41" style="0" width="11.567974313700892"/>
    <col collapsed="false" customWidth="true" hidden="false" max="76" min="76" style="0" width="11.567974313700892"/>
    <col collapsed="false" customWidth="true" hidden="false" max="108" min="108" style="0" width="11.567974313700892"/>
    <col collapsed="false" customWidth="true" hidden="false" max="139" min="139" style="0" width="11.211267605633802"/>
    <col collapsed="false" customWidth="true" hidden="false" max="12" min="12" style="0" width="11.567974313700892"/>
    <col collapsed="false" customWidth="true" hidden="false" max="42" min="42" style="0" width="11.567974313700892"/>
    <col collapsed="false" customWidth="true" hidden="false" max="73" min="73" style="0" width="11.567974313700892"/>
    <col collapsed="false" customWidth="true" hidden="false" max="105" min="105" style="0" width="11.567974313700892"/>
    <col collapsed="false" customWidth="true" hidden="false" max="140" min="140" style="0" width="11.211267605633802"/>
    <col collapsed="false" customWidth="true" hidden="false" max="9" min="9" style="0" width="15.605633802816902"/>
    <col collapsed="false" customWidth="true" hidden="false" max="15" min="15" style="0" width="11.567974313700892"/>
    <col collapsed="false" customWidth="true" hidden="false" max="47" min="47" style="0" width="11.567974313700892"/>
    <col collapsed="false" customWidth="true" hidden="false" max="74" min="74" style="0" width="11.567974313700892"/>
    <col collapsed="false" customWidth="true" hidden="false" max="106" min="106" style="0" width="11.567974313700892"/>
    <col collapsed="false" customWidth="true" hidden="false" max="137" min="137" style="0" width="11.211267605633802"/>
    <col collapsed="false" customWidth="true" hidden="false" max="10" min="10" style="0" width="11.567974313700892"/>
    <col collapsed="false" customWidth="true" hidden="false" max="48" min="48" style="0" width="11.567974313700892"/>
    <col collapsed="false" customWidth="true" hidden="false" max="79" min="79" style="0" width="11.567974313700892"/>
    <col collapsed="false" customWidth="true" hidden="false" max="111" min="111" style="0" width="11.567974313700892"/>
    <col collapsed="false" customWidth="true" hidden="false" max="138" min="138" style="0" width="11.211267605633802"/>
    <col collapsed="false" customWidth="true" hidden="false" max="16" min="16" style="0" width="11.567974313700892"/>
    <col collapsed="false" customWidth="true" hidden="false" max="45" min="45" style="0" width="11.567974313700892"/>
    <col collapsed="false" customWidth="true" hidden="false" max="80" min="80" style="0" width="11.567974313700892"/>
    <col collapsed="false" customWidth="true" hidden="false" max="112" min="112" style="0" width="11.567974313700892"/>
    <col collapsed="false" customWidth="true" hidden="false" max="143" min="143" style="0" width="11.211267605633802"/>
    <col collapsed="false" customWidth="true" hidden="false" max="13" min="13" style="0" width="11.567974313700892"/>
    <col collapsed="false" customWidth="true" hidden="false" max="46" min="46" style="0" width="11.567974313700892"/>
    <col collapsed="false" customWidth="true" hidden="false" max="77" min="77" style="0" width="11.567974313700892"/>
    <col collapsed="false" customWidth="true" hidden="false" max="109" min="109" style="0" width="11.567974313700892"/>
    <col collapsed="false" customWidth="true" hidden="false" max="144" min="144" style="0" width="11.211267605633802"/>
    <col collapsed="false" customWidth="true" hidden="false" max="14" min="14" style="0" width="11.567974313700892"/>
    <col collapsed="false" customWidth="true" hidden="false" max="51" min="51" style="0" width="11.567974313700892"/>
    <col collapsed="false" customWidth="true" hidden="false" max="78" min="78" style="0" width="11.567974313700892"/>
    <col collapsed="false" customWidth="true" hidden="false" max="110" min="110" style="0" width="11.567974313700892"/>
    <col collapsed="false" customWidth="true" hidden="false" max="141" min="141" style="0" width="11.211267605633802"/>
    <col collapsed="false" customWidth="true" hidden="false" max="19" min="19" style="0" width="11.567974313700892"/>
    <col collapsed="false" customWidth="true" hidden="false" max="52" min="52" style="0" width="11.567974313700892"/>
    <col collapsed="false" customWidth="true" hidden="false" max="83" min="83" style="0" width="11.567974313700892"/>
    <col collapsed="false" customWidth="true" hidden="false" max="115" min="115" style="0" width="11.567974313700892"/>
    <col collapsed="false" customWidth="true" hidden="false" max="142" min="142" style="0" width="11.211267605633802"/>
    <col collapsed="false" customWidth="true" hidden="false" max="20" min="20" style="0" width="11.567974313700892"/>
    <col collapsed="false" customWidth="true" hidden="false" max="49" min="49" style="0" width="11.567974313700892"/>
    <col collapsed="false" customWidth="true" hidden="false" max="84" min="84" style="0" width="11.567974313700892"/>
    <col collapsed="false" customWidth="true" hidden="false" max="116" min="116" style="0" width="11.567974313700892"/>
    <col collapsed="false" customWidth="true" hidden="false" max="147" min="147" style="0" width="11.211267605633802"/>
    <col collapsed="false" customWidth="true" hidden="false" max="17" min="17" style="0" width="11.567974313700892"/>
    <col collapsed="false" customWidth="true" hidden="false" max="50" min="50" style="0" width="11.567974313700892"/>
    <col collapsed="false" customWidth="true" hidden="false" max="81" min="81" style="0" width="11.567974313700892"/>
    <col collapsed="false" customWidth="true" hidden="false" max="113" min="113" style="0" width="11.567974313700892"/>
    <col collapsed="false" customWidth="true" hidden="false" max="148" min="148" style="0" width="11.211267605633802"/>
    <col collapsed="false" customWidth="true" hidden="false" max="18" min="18" style="0" width="11.567974313700892"/>
    <col collapsed="false" customWidth="true" hidden="false" max="55" min="55" style="0" width="11.567974313700892"/>
    <col collapsed="false" customWidth="true" hidden="false" max="82" min="82" style="0" width="11.567974313700892"/>
    <col collapsed="false" customWidth="true" hidden="false" max="114" min="114" style="0" width="15.199229814733615"/>
    <col collapsed="false" customWidth="true" hidden="false" max="145" min="145" style="0" width="11.211267605633802"/>
    <col collapsed="false" customWidth="true" hidden="false" max="23" min="23" style="0" width="11.567974313700892"/>
    <col collapsed="false" customWidth="true" hidden="false" max="56" min="56" style="0" width="11.567974313700892"/>
    <col collapsed="false" customWidth="true" hidden="false" max="87" min="87" style="0" width="11.567974313700892"/>
    <col collapsed="false" customWidth="true" hidden="false" max="119" min="119" style="0" width="11.567974313700892"/>
    <col collapsed="false" customWidth="true" hidden="false" max="146" min="146" style="0" width="11.211267605633802"/>
    <col collapsed="false" customWidth="true" hidden="false" max="24" min="24" style="0" width="11.567974313700892"/>
  </cols>
  <sheetData>
    <row customHeight="true" ht="23.80952380952381" r="1">
      <c r="A1" s="1942" t="s">
        <v>4925</v>
      </c>
      <c r="B1" s="1943"/>
      <c r="C1" s="1942"/>
      <c r="F1" s="1944"/>
      <c r="G1" s="1944"/>
      <c r="H1" s="1944"/>
      <c r="S1" s="1944"/>
    </row>
    <row customHeight="true" ht="13.802083333333334" r="2">
      <c r="A2" s="1944" t="s">
        <v>4926</v>
      </c>
      <c r="B2" s="1944" t="s">
        <v>4926</v>
      </c>
      <c r="C2" s="1944" t="s">
        <v>4926</v>
      </c>
      <c r="D2" s="1944" t="s">
        <v>4926</v>
      </c>
      <c r="E2" s="1945"/>
      <c r="F2" s="1944" t="s">
        <v>4926</v>
      </c>
      <c r="G2" s="1944" t="s">
        <v>4926</v>
      </c>
      <c r="H2" s="1944" t="s">
        <v>4926</v>
      </c>
      <c r="I2" s="1944" t="s">
        <v>4926</v>
      </c>
      <c r="J2" s="1945"/>
      <c r="K2" s="1945"/>
      <c r="L2" s="1945"/>
      <c r="M2" s="1945"/>
      <c r="N2" s="1945"/>
      <c r="O2" s="1945"/>
      <c r="P2" s="1945"/>
      <c r="Q2" s="1945"/>
      <c r="T2" s="1945"/>
      <c r="V2" s="1945"/>
      <c r="W2" s="1944"/>
      <c r="X2" s="1944"/>
      <c r="Y2" s="1944"/>
      <c r="Z2" s="1944" t="s">
        <v>4926</v>
      </c>
      <c r="AA2" s="1945"/>
      <c r="AB2" s="1945"/>
      <c r="AC2" s="1944"/>
      <c r="AD2" s="1944"/>
      <c r="AE2" s="1944" t="s">
        <v>4926</v>
      </c>
      <c r="AF2" s="1944"/>
      <c r="AG2" s="1944"/>
      <c r="AH2" s="1944"/>
      <c r="AI2" s="1944"/>
      <c r="AJ2" s="1944"/>
      <c r="AK2" s="1944"/>
      <c r="AL2" s="1944"/>
      <c r="AM2" s="1944"/>
      <c r="AN2" s="1944"/>
      <c r="AO2" s="1944"/>
      <c r="AP2" s="1944"/>
      <c r="AQ2" s="1944"/>
      <c r="AR2" s="1944"/>
      <c r="AS2" s="1944"/>
      <c r="AT2" s="1944"/>
      <c r="AU2" s="1944"/>
      <c r="AV2" s="1944"/>
      <c r="AW2" s="1944"/>
      <c r="AX2" s="1944"/>
      <c r="AY2" s="1944"/>
      <c r="AZ2" s="1944"/>
      <c r="BA2" s="1944"/>
      <c r="BB2" s="1944"/>
      <c r="BC2" s="1944"/>
      <c r="BD2" s="1944"/>
      <c r="BE2" s="1944"/>
      <c r="BF2" s="1944"/>
      <c r="BG2" s="1944"/>
      <c r="BH2" s="1944"/>
      <c r="BI2" s="1944"/>
      <c r="BJ2" s="1944"/>
      <c r="BK2" s="1944"/>
      <c r="BL2" s="1944"/>
      <c r="BM2" s="1945"/>
      <c r="BN2" s="1945"/>
      <c r="BO2" s="1945"/>
      <c r="BP2" s="1945"/>
      <c r="BQ2" s="1945"/>
      <c r="BR2" s="1945"/>
      <c r="BS2" s="1945"/>
      <c r="BT2" s="1945"/>
      <c r="BU2" s="1945"/>
      <c r="BV2" s="1945"/>
      <c r="BW2" s="1945"/>
      <c r="BX2" s="1945"/>
      <c r="BY2" s="1945"/>
      <c r="BZ2" s="1945"/>
      <c r="CA2" s="1945"/>
      <c r="CB2" s="1945"/>
      <c r="CC2" s="1945"/>
      <c r="CD2" s="1945"/>
      <c r="CE2" s="1945"/>
      <c r="CF2" s="1945"/>
      <c r="CG2" s="1945"/>
      <c r="CH2" s="1945"/>
      <c r="CI2" s="1945"/>
      <c r="CJ2" s="1945"/>
      <c r="CK2" s="1945"/>
      <c r="CL2" s="1945"/>
      <c r="CM2" s="1945"/>
      <c r="CN2" s="1945"/>
      <c r="CO2" s="1945"/>
      <c r="CP2" s="1945"/>
      <c r="CQ2" s="1945"/>
      <c r="CR2" s="1945"/>
      <c r="CS2" s="1945"/>
      <c r="CT2" s="1945"/>
      <c r="CU2" s="1945"/>
      <c r="CV2" s="1945"/>
      <c r="CW2" s="1945"/>
      <c r="CX2" s="1945"/>
      <c r="CY2" s="1945"/>
      <c r="CZ2" s="1945"/>
      <c r="DA2" s="1945"/>
      <c r="DB2" s="1945"/>
      <c r="DC2" s="1945"/>
      <c r="DD2" s="1945"/>
      <c r="DE2" s="1945"/>
      <c r="DF2" s="1945"/>
      <c r="DG2" s="1945"/>
      <c r="DH2" s="1945"/>
      <c r="DI2" s="1945"/>
      <c r="DJ2" s="1945"/>
      <c r="DK2" s="1945"/>
      <c r="DL2" s="1945"/>
      <c r="DM2" s="1945"/>
      <c r="DN2" s="1945"/>
      <c r="DO2" s="1945"/>
      <c r="DP2" s="1945"/>
      <c r="DQ2" s="1945"/>
      <c r="DR2" s="1945"/>
      <c r="DS2" s="1945"/>
      <c r="DT2" s="1945"/>
      <c r="DU2" s="1945"/>
      <c r="DV2" s="1945"/>
      <c r="DW2" s="1945"/>
      <c r="DX2" s="1945"/>
      <c r="DY2" s="1945"/>
      <c r="DZ2" s="1945"/>
      <c r="EA2" s="1945"/>
      <c r="EB2" s="1945"/>
      <c r="EC2" s="1945"/>
      <c r="ED2" s="1945"/>
      <c r="EE2" s="1945"/>
      <c r="EF2" s="1945"/>
      <c r="EG2" s="1945"/>
      <c r="EH2" s="1945"/>
      <c r="EI2" s="1945"/>
      <c r="EJ2" s="1945"/>
      <c r="EK2" s="1945"/>
      <c r="EL2" s="1945"/>
      <c r="EM2" s="1945"/>
      <c r="EN2" s="1945"/>
      <c r="EO2" s="1945"/>
      <c r="EP2" s="1945"/>
      <c r="EQ2" s="1945"/>
      <c r="ER2" s="1945"/>
      <c r="ES2" s="1945"/>
      <c r="ET2" s="1945"/>
      <c r="EU2" s="1945"/>
      <c r="EV2" s="1945"/>
      <c r="EW2" s="1945"/>
      <c r="EX2" s="1945"/>
      <c r="EY2" s="1945"/>
      <c r="EZ2" s="1945"/>
      <c r="FA2" s="1945"/>
    </row>
    <row customHeight="true" ht="35.714285714285715" r="3">
      <c r="A3" s="1946" t="s">
        <v>4927</v>
      </c>
      <c r="B3" s="1946" t="s">
        <v>4928</v>
      </c>
      <c r="C3" s="1946" t="s">
        <v>4929</v>
      </c>
      <c r="D3" s="1946" t="s">
        <v>4930</v>
      </c>
      <c r="E3" s="1946" t="s">
        <v>4931</v>
      </c>
      <c r="F3" s="1947" t="s">
        <v>4932</v>
      </c>
      <c r="G3" s="1947" t="s">
        <v>4933</v>
      </c>
      <c r="H3" s="1946" t="s">
        <v>4934</v>
      </c>
      <c r="I3" s="1947" t="s">
        <v>4935</v>
      </c>
      <c r="J3" s="1947" t="s">
        <v>4936</v>
      </c>
      <c r="K3" s="1946" t="s">
        <v>4937</v>
      </c>
      <c r="L3" s="1946" t="s">
        <v>4938</v>
      </c>
      <c r="M3" s="1946" t="s">
        <v>4939</v>
      </c>
      <c r="N3" s="1946" t="s">
        <v>4940</v>
      </c>
      <c r="O3" s="1947" t="s">
        <v>4941</v>
      </c>
      <c r="P3" s="1946" t="s">
        <v>4942</v>
      </c>
      <c r="Q3" s="1947" t="s">
        <v>4943</v>
      </c>
      <c r="R3" s="1947" t="s">
        <v>4944</v>
      </c>
      <c r="S3" s="1947" t="s">
        <v>4945</v>
      </c>
      <c r="T3" s="1946" t="s">
        <v>4946</v>
      </c>
      <c r="U3" s="1946" t="s">
        <v>4947</v>
      </c>
      <c r="V3" s="1947" t="s">
        <v>4948</v>
      </c>
      <c r="W3" s="1946" t="s">
        <v>4949</v>
      </c>
      <c r="X3" s="1946" t="s">
        <v>4950</v>
      </c>
      <c r="Y3" s="1946" t="s">
        <v>4951</v>
      </c>
      <c r="Z3" s="1947" t="s">
        <v>4952</v>
      </c>
      <c r="AA3" s="1946" t="s">
        <v>4953</v>
      </c>
      <c r="AB3" s="1946" t="s">
        <v>4954</v>
      </c>
      <c r="AC3" s="1946" t="s">
        <v>4955</v>
      </c>
      <c r="AD3" s="1946" t="s">
        <v>4956</v>
      </c>
      <c r="AE3" s="1946" t="s">
        <v>4957</v>
      </c>
      <c r="AF3" s="1946" t="s">
        <v>4958</v>
      </c>
      <c r="AG3" s="1946" t="s">
        <v>4959</v>
      </c>
      <c r="AH3" s="1946" t="s">
        <v>4960</v>
      </c>
      <c r="AI3" s="1946" t="s">
        <v>4961</v>
      </c>
      <c r="AJ3" s="1946" t="s">
        <v>4962</v>
      </c>
      <c r="AK3" s="1947" t="s">
        <v>4963</v>
      </c>
      <c r="AL3" s="1946" t="s">
        <v>4964</v>
      </c>
      <c r="AM3" s="1946" t="s">
        <v>4965</v>
      </c>
      <c r="AN3" s="1946" t="s">
        <v>4966</v>
      </c>
      <c r="AO3" s="1946" t="s">
        <v>4967</v>
      </c>
      <c r="AP3" s="1946" t="s">
        <v>4968</v>
      </c>
      <c r="AQ3" s="1946" t="s">
        <v>4969</v>
      </c>
      <c r="AR3" s="1946" t="s">
        <v>4970</v>
      </c>
      <c r="AS3" s="1946" t="s">
        <v>4971</v>
      </c>
      <c r="AT3" s="1946" t="s">
        <v>4972</v>
      </c>
      <c r="AU3" s="1946" t="s">
        <v>4973</v>
      </c>
      <c r="AV3" s="1946" t="s">
        <v>4974</v>
      </c>
      <c r="AW3" s="1946" t="s">
        <v>4975</v>
      </c>
      <c r="AX3" s="1946" t="s">
        <v>4976</v>
      </c>
      <c r="AY3" s="1946" t="s">
        <v>4977</v>
      </c>
      <c r="AZ3" s="1946" t="s">
        <v>4978</v>
      </c>
      <c r="BA3" s="1947" t="s">
        <v>4979</v>
      </c>
      <c r="BB3" s="1946" t="s">
        <v>4980</v>
      </c>
      <c r="BC3" s="1946" t="s">
        <v>4981</v>
      </c>
      <c r="BD3" s="1946" t="s">
        <v>4982</v>
      </c>
      <c r="BE3" s="1946" t="s">
        <v>4983</v>
      </c>
      <c r="BF3" s="1946" t="s">
        <v>4984</v>
      </c>
      <c r="BG3" s="1946" t="s">
        <v>4985</v>
      </c>
      <c r="BH3" s="1946" t="s">
        <v>4986</v>
      </c>
      <c r="BI3" s="1946" t="s">
        <v>4987</v>
      </c>
      <c r="BJ3" s="1946" t="s">
        <v>4988</v>
      </c>
      <c r="BK3" s="1946" t="s">
        <v>4989</v>
      </c>
      <c r="BL3" s="1946" t="s">
        <v>4990</v>
      </c>
      <c r="BM3" s="1946" t="s">
        <v>4991</v>
      </c>
      <c r="BN3" s="1946" t="s">
        <v>4992</v>
      </c>
      <c r="BO3" s="1946" t="s">
        <v>4993</v>
      </c>
      <c r="BP3" s="1946" t="s">
        <v>4994</v>
      </c>
      <c r="BQ3" s="1946" t="s">
        <v>4995</v>
      </c>
      <c r="BR3" s="1946" t="s">
        <v>4996</v>
      </c>
      <c r="BS3" s="1946" t="s">
        <v>4997</v>
      </c>
      <c r="BT3" s="1946" t="s">
        <v>4998</v>
      </c>
      <c r="BU3" s="1946" t="s">
        <v>4999</v>
      </c>
      <c r="BV3" s="1946" t="s">
        <v>5000</v>
      </c>
      <c r="BW3" s="1946" t="s">
        <v>5001</v>
      </c>
      <c r="BX3" s="1946" t="s">
        <v>5002</v>
      </c>
      <c r="BY3" s="1946" t="s">
        <v>5003</v>
      </c>
      <c r="BZ3" s="1946" t="s">
        <v>5004</v>
      </c>
      <c r="CA3" s="1946" t="s">
        <v>5005</v>
      </c>
      <c r="CB3" s="1946" t="s">
        <v>5006</v>
      </c>
      <c r="CC3" s="1947" t="s">
        <v>5007</v>
      </c>
      <c r="CD3" s="1947" t="s">
        <v>5008</v>
      </c>
      <c r="CE3" s="1947" t="s">
        <v>5009</v>
      </c>
    </row>
    <row customHeight="true" ht="35.714285714285715" r="4">
      <c r="A4" s="1946" t="s">
        <v>5010</v>
      </c>
      <c r="B4" s="1946" t="s">
        <v>5011</v>
      </c>
      <c r="C4" s="1946" t="s">
        <v>5012</v>
      </c>
      <c r="D4" s="1946" t="s">
        <v>5013</v>
      </c>
      <c r="E4" s="1946" t="s">
        <v>5014</v>
      </c>
      <c r="F4" s="1947" t="s">
        <v>5015</v>
      </c>
      <c r="G4" s="1947" t="s">
        <v>5016</v>
      </c>
      <c r="H4" s="1946" t="s">
        <v>5017</v>
      </c>
      <c r="I4" s="1947" t="s">
        <v>5018</v>
      </c>
      <c r="J4" s="1947" t="s">
        <v>5019</v>
      </c>
      <c r="K4" s="1946" t="s">
        <v>5020</v>
      </c>
      <c r="L4" s="1946" t="s">
        <v>5021</v>
      </c>
      <c r="M4" s="1946" t="s">
        <v>5022</v>
      </c>
      <c r="N4" s="1946" t="s">
        <v>5023</v>
      </c>
      <c r="O4" s="1947" t="s">
        <v>5024</v>
      </c>
      <c r="P4" s="1946" t="s">
        <v>5025</v>
      </c>
      <c r="Q4" s="1947" t="s">
        <v>5026</v>
      </c>
      <c r="R4" s="1947" t="s">
        <v>5027</v>
      </c>
      <c r="S4" s="1947" t="s">
        <v>5028</v>
      </c>
      <c r="T4" s="1946" t="s">
        <v>5029</v>
      </c>
      <c r="U4" s="1946" t="s">
        <v>5030</v>
      </c>
      <c r="V4" s="1947" t="s">
        <v>5031</v>
      </c>
      <c r="W4" s="1946" t="s">
        <v>5032</v>
      </c>
      <c r="X4" s="1946" t="s">
        <v>5033</v>
      </c>
      <c r="Y4" s="1946" t="s">
        <v>5034</v>
      </c>
      <c r="Z4" s="1947" t="s">
        <v>5035</v>
      </c>
      <c r="AA4" s="1946" t="s">
        <v>5036</v>
      </c>
      <c r="AB4" s="1946" t="s">
        <v>5037</v>
      </c>
      <c r="AC4" s="1946" t="s">
        <v>5038</v>
      </c>
      <c r="AD4" s="1946" t="s">
        <v>5039</v>
      </c>
      <c r="AE4" s="1946" t="s">
        <v>5040</v>
      </c>
      <c r="AF4" s="1946" t="s">
        <v>5041</v>
      </c>
      <c r="AG4" s="1946" t="s">
        <v>5042</v>
      </c>
      <c r="AH4" s="1946" t="s">
        <v>5043</v>
      </c>
      <c r="AI4" s="1946" t="s">
        <v>5044</v>
      </c>
      <c r="AJ4" s="1946" t="s">
        <v>5045</v>
      </c>
      <c r="AK4" s="1947" t="s">
        <v>5046</v>
      </c>
      <c r="AL4" s="1946" t="s">
        <v>5047</v>
      </c>
      <c r="AM4" s="1946" t="s">
        <v>5048</v>
      </c>
      <c r="AN4" s="1946" t="s">
        <v>5049</v>
      </c>
      <c r="AO4" s="1946" t="s">
        <v>5050</v>
      </c>
      <c r="AP4" s="1946" t="s">
        <v>5051</v>
      </c>
      <c r="AQ4" s="1946" t="s">
        <v>5052</v>
      </c>
      <c r="AR4" s="1946" t="s">
        <v>5053</v>
      </c>
      <c r="AS4" s="1946" t="s">
        <v>5054</v>
      </c>
      <c r="AT4" s="1946" t="s">
        <v>5055</v>
      </c>
      <c r="AU4" s="1946" t="s">
        <v>5056</v>
      </c>
      <c r="AV4" s="1946" t="s">
        <v>5057</v>
      </c>
      <c r="AW4" s="1946" t="s">
        <v>5058</v>
      </c>
      <c r="AX4" s="1946" t="s">
        <v>5059</v>
      </c>
      <c r="AY4" s="1946" t="s">
        <v>5060</v>
      </c>
      <c r="AZ4" s="1946" t="s">
        <v>5061</v>
      </c>
      <c r="BA4" s="1947" t="s">
        <v>5062</v>
      </c>
      <c r="BB4" s="1946" t="s">
        <v>5063</v>
      </c>
      <c r="BC4" s="1946" t="s">
        <v>5064</v>
      </c>
      <c r="BD4" s="1946" t="s">
        <v>5065</v>
      </c>
      <c r="BE4" s="1946" t="s">
        <v>5066</v>
      </c>
      <c r="BF4" s="1946" t="s">
        <v>5067</v>
      </c>
      <c r="BG4" s="1946" t="s">
        <v>5068</v>
      </c>
      <c r="BH4" s="1946" t="s">
        <v>5069</v>
      </c>
      <c r="BI4" s="1946" t="s">
        <v>5070</v>
      </c>
      <c r="BJ4" s="1946" t="s">
        <v>5071</v>
      </c>
      <c r="BK4" s="1946" t="s">
        <v>5072</v>
      </c>
      <c r="BL4" s="1946" t="s">
        <v>5073</v>
      </c>
      <c r="BM4" s="1946" t="s">
        <v>5074</v>
      </c>
      <c r="BN4" s="1946" t="s">
        <v>5075</v>
      </c>
      <c r="BO4" s="1946" t="s">
        <v>5076</v>
      </c>
      <c r="BP4" s="1946" t="s">
        <v>5077</v>
      </c>
      <c r="BQ4" s="1946" t="s">
        <v>5078</v>
      </c>
      <c r="BR4" s="1946" t="s">
        <v>5079</v>
      </c>
      <c r="BS4" s="1946" t="s">
        <v>5080</v>
      </c>
      <c r="BT4" s="1946" t="s">
        <v>5081</v>
      </c>
      <c r="BU4" s="1946" t="s">
        <v>5082</v>
      </c>
      <c r="BV4" s="1946" t="s">
        <v>5083</v>
      </c>
      <c r="BW4" s="1946" t="s">
        <v>5084</v>
      </c>
      <c r="BX4" s="1946" t="s">
        <v>5085</v>
      </c>
      <c r="BY4" s="1947" t="s">
        <v>5086</v>
      </c>
      <c r="BZ4" s="1946" t="s">
        <v>5087</v>
      </c>
      <c r="CA4" s="1946" t="s">
        <v>5088</v>
      </c>
      <c r="CB4" s="1946" t="s">
        <v>5089</v>
      </c>
      <c r="CC4" s="1946" t="s">
        <v>5090</v>
      </c>
      <c r="CD4" s="1946" t="s">
        <v>5091</v>
      </c>
      <c r="CE4" s="1946" t="s">
        <v>5092</v>
      </c>
    </row>
    <row r="5">
      <c r="A5" s="1948"/>
      <c r="B5" s="1948"/>
      <c r="C5" s="1948"/>
      <c r="D5" s="1948"/>
      <c r="E5" s="1948" t="s">
        <v>5093</v>
      </c>
      <c r="F5" s="1949" t="s">
        <v>5094</v>
      </c>
      <c r="G5" s="1949" t="s">
        <v>5095</v>
      </c>
      <c r="H5" s="1948"/>
      <c r="I5" s="1948"/>
      <c r="J5" s="1948"/>
      <c r="K5" s="1948"/>
      <c r="L5" s="1948"/>
      <c r="M5" s="1948"/>
      <c r="N5" s="1948"/>
      <c r="O5" s="1948"/>
      <c r="P5" s="1948"/>
      <c r="Q5" s="1948"/>
      <c r="R5" s="1948"/>
      <c r="S5" s="1948"/>
      <c r="T5" s="1948" t="s">
        <v>5096</v>
      </c>
      <c r="U5" s="1948"/>
      <c r="V5" s="1948" t="s">
        <v>5097</v>
      </c>
      <c r="W5" s="1948"/>
      <c r="X5" s="1948" t="s">
        <v>5098</v>
      </c>
      <c r="Y5" s="1948"/>
      <c r="Z5" s="1948"/>
      <c r="AA5" s="1948"/>
      <c r="AB5" s="1948"/>
      <c r="AC5" s="1948"/>
      <c r="AD5" s="1948"/>
      <c r="AE5" s="1948"/>
      <c r="AF5" s="1948"/>
      <c r="AG5" s="1948"/>
      <c r="AH5" s="1948"/>
      <c r="AI5" s="1948"/>
      <c r="AJ5" s="1948"/>
      <c r="AK5" s="1948"/>
      <c r="AL5" s="1948"/>
      <c r="AM5" s="1948"/>
      <c r="AN5" s="1948"/>
      <c r="AO5" s="1948"/>
      <c r="AP5" s="1948"/>
      <c r="AQ5" s="1948"/>
      <c r="AR5" s="1948"/>
      <c r="AS5" s="1948"/>
      <c r="AT5" s="1948"/>
      <c r="AU5" s="1948"/>
      <c r="AV5" s="1948"/>
      <c r="AW5" s="1948"/>
      <c r="AX5" s="1948"/>
      <c r="AY5" s="1948"/>
      <c r="AZ5" s="1948"/>
      <c r="BA5" s="1948"/>
      <c r="BB5" s="1948"/>
      <c r="BC5" s="1948"/>
      <c r="BD5" s="1948"/>
      <c r="BE5" s="1948"/>
      <c r="BF5" s="1948"/>
      <c r="BG5" s="1948"/>
      <c r="BH5" s="1948"/>
      <c r="BI5" s="1948"/>
      <c r="BJ5" s="1948"/>
      <c r="BK5" s="1948"/>
      <c r="BL5" s="1948"/>
      <c r="BM5" s="1948"/>
      <c r="BN5" s="1948"/>
      <c r="BO5" s="1948"/>
      <c r="BP5" s="1948"/>
      <c r="BQ5" s="1948"/>
      <c r="BR5" s="1949"/>
      <c r="BS5" s="1949"/>
      <c r="BT5" s="1949"/>
      <c r="BU5" s="1948"/>
      <c r="BV5" s="1948"/>
      <c r="BW5" s="1948"/>
      <c r="BX5" s="1948"/>
      <c r="BY5" s="1948"/>
      <c r="BZ5" s="1948"/>
      <c r="CA5" s="1948"/>
      <c r="CB5" s="1948"/>
      <c r="CC5" s="1948"/>
      <c r="CD5" s="1948"/>
      <c r="CE5" s="1948"/>
    </row>
    <row r="6">
      <c r="A6" s="1948"/>
      <c r="B6" s="1948"/>
      <c r="C6" s="1948"/>
      <c r="D6" s="1948"/>
      <c r="E6" s="1949" t="s">
        <v>5099</v>
      </c>
      <c r="F6" s="1949" t="s">
        <v>5100</v>
      </c>
      <c r="G6" s="1950" t="s">
        <v>5101</v>
      </c>
      <c r="H6" s="1948"/>
      <c r="I6" s="1948"/>
      <c r="J6" s="1948"/>
      <c r="K6" s="1948"/>
      <c r="L6" s="1948"/>
      <c r="M6" s="1948"/>
      <c r="N6" s="1948"/>
      <c r="O6" s="1948"/>
      <c r="P6" s="1948"/>
      <c r="Q6" s="1948"/>
      <c r="R6" s="1948"/>
      <c r="S6" s="1948"/>
      <c r="T6" s="1948"/>
      <c r="U6" s="1948"/>
      <c r="V6" s="1948"/>
      <c r="W6" s="1948"/>
      <c r="X6" s="1948"/>
      <c r="Y6" s="1948"/>
      <c r="Z6" s="1948"/>
      <c r="AA6" s="1948"/>
      <c r="AB6" s="1948"/>
      <c r="AC6" s="1948"/>
      <c r="AD6" s="1948"/>
      <c r="AE6" s="1948"/>
      <c r="AF6" s="1948"/>
      <c r="AG6" s="1948"/>
      <c r="AH6" s="1948"/>
      <c r="AI6" s="1948"/>
      <c r="AJ6" s="1948"/>
      <c r="AK6" s="1948"/>
      <c r="AL6" s="1948"/>
      <c r="AM6" s="1948"/>
      <c r="AN6" s="1948"/>
      <c r="AO6" s="1948"/>
      <c r="AP6" s="1948"/>
      <c r="AQ6" s="1948"/>
      <c r="AR6" s="1948"/>
      <c r="AS6" s="1948"/>
      <c r="AT6" s="1948"/>
      <c r="AU6" s="1948"/>
      <c r="AV6" s="1948"/>
      <c r="AW6" s="1948"/>
      <c r="AX6" s="1948"/>
      <c r="AY6" s="1948"/>
      <c r="AZ6" s="1948"/>
      <c r="BA6" s="1948"/>
      <c r="BB6" s="1948"/>
      <c r="BC6" s="1948"/>
      <c r="BD6" s="1948"/>
      <c r="BE6" s="1948"/>
      <c r="BF6" s="1948"/>
      <c r="BG6" s="1948"/>
      <c r="BH6" s="1948"/>
      <c r="BI6" s="1948"/>
      <c r="BJ6" s="1948"/>
      <c r="BK6" s="1948"/>
      <c r="BL6" s="1948"/>
      <c r="BM6" s="1948"/>
      <c r="BN6" s="1948"/>
      <c r="BO6" s="1948"/>
      <c r="BP6" s="1948"/>
      <c r="BQ6" s="1948"/>
      <c r="BR6" s="1949"/>
      <c r="BS6" s="1949"/>
      <c r="BT6" s="1948"/>
      <c r="BU6" s="1948"/>
      <c r="BV6" s="1948"/>
      <c r="BW6" s="1948"/>
      <c r="BX6" s="1948"/>
      <c r="BY6" s="1948"/>
      <c r="BZ6" s="1948"/>
      <c r="CA6" s="1948"/>
      <c r="CB6" s="1948"/>
      <c r="CC6" s="1948"/>
      <c r="CD6" s="1948"/>
      <c r="CE6" s="1948"/>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c r="DX6" s="1945"/>
      <c r="DY6" s="1945"/>
      <c r="DZ6" s="1945"/>
      <c r="EA6" s="1945"/>
      <c r="EB6" s="1945"/>
      <c r="EC6" s="1945"/>
      <c r="ED6" s="1945"/>
      <c r="EE6" s="1945"/>
      <c r="EF6" s="1945"/>
      <c r="EG6" s="1945"/>
      <c r="EH6" s="1945"/>
      <c r="EI6" s="1945"/>
      <c r="EJ6" s="1945"/>
      <c r="EK6" s="1945"/>
      <c r="EL6" s="1945"/>
      <c r="EM6" s="1945"/>
      <c r="EN6" s="1945"/>
      <c r="EO6" s="1945"/>
      <c r="EP6" s="1945"/>
      <c r="EQ6" s="1945"/>
      <c r="ER6" s="1945"/>
      <c r="ES6" s="1945"/>
      <c r="ET6" s="1945"/>
      <c r="EU6" s="1945"/>
      <c r="EV6" s="1945"/>
      <c r="EW6" s="1945"/>
      <c r="EX6" s="1945"/>
      <c r="EY6" s="1945"/>
      <c r="EZ6" s="1945"/>
      <c r="FA6" s="1945"/>
    </row>
    <row customHeight="true" ht="23.80952380952381" r="7">
      <c r="A7" s="1942"/>
      <c r="B7" s="1943"/>
      <c r="C7" s="1942"/>
    </row>
    <row customHeight="true" ht="23.80952380952381" r="8">
      <c r="A8" s="1942"/>
      <c r="B8" s="1943"/>
      <c r="C8" s="1942"/>
      <c r="BD8" s="1944" t="s">
        <v>5102</v>
      </c>
    </row>
    <row customHeight="true" ht="23.80952380952381" r="9">
      <c r="A9" s="1942" t="s">
        <v>5103</v>
      </c>
      <c r="B9" s="1943"/>
      <c r="C9" s="1942"/>
    </row>
    <row r="10">
      <c r="A10" s="1946" t="s">
        <v>4927</v>
      </c>
      <c r="B10" s="1946" t="s">
        <v>4928</v>
      </c>
      <c r="C10" s="1946" t="s">
        <v>4929</v>
      </c>
      <c r="D10" s="1946" t="s">
        <v>4930</v>
      </c>
      <c r="E10" s="1946" t="s">
        <v>4931</v>
      </c>
      <c r="F10" s="1947" t="s">
        <v>4932</v>
      </c>
      <c r="G10" s="1947" t="s">
        <v>4934</v>
      </c>
      <c r="H10" s="1947" t="s">
        <v>4935</v>
      </c>
      <c r="I10" s="1947" t="s">
        <v>4936</v>
      </c>
      <c r="J10" s="1946" t="s">
        <v>4937</v>
      </c>
      <c r="K10" s="1946" t="s">
        <v>4938</v>
      </c>
      <c r="L10" s="1946" t="s">
        <v>4939</v>
      </c>
      <c r="M10" s="1946" t="s">
        <v>4940</v>
      </c>
      <c r="N10" s="1946" t="s">
        <v>4941</v>
      </c>
      <c r="O10" s="1947" t="s">
        <v>4942</v>
      </c>
      <c r="P10" s="1946" t="s">
        <v>4943</v>
      </c>
      <c r="Q10" s="1947" t="s">
        <v>4946</v>
      </c>
      <c r="R10" s="1946" t="s">
        <v>4947</v>
      </c>
      <c r="S10" s="1947" t="s">
        <v>4948</v>
      </c>
      <c r="T10" s="1947" t="s">
        <v>4949</v>
      </c>
      <c r="U10" s="1946" t="s">
        <v>4950</v>
      </c>
      <c r="V10" s="1946" t="s">
        <v>4951</v>
      </c>
      <c r="W10" s="1946" t="s">
        <v>4952</v>
      </c>
      <c r="X10" s="1946" t="s">
        <v>4996</v>
      </c>
      <c r="Y10" s="1946" t="s">
        <v>4997</v>
      </c>
      <c r="Z10" s="1946" t="s">
        <v>4998</v>
      </c>
      <c r="AA10" s="1946" t="s">
        <v>4953</v>
      </c>
      <c r="AB10" s="1946" t="s">
        <v>4954</v>
      </c>
      <c r="AC10" s="1946" t="s">
        <v>4955</v>
      </c>
      <c r="AD10" s="1946" t="s">
        <v>4956</v>
      </c>
      <c r="AE10" s="1946" t="s">
        <v>4957</v>
      </c>
      <c r="AF10" s="1946" t="s">
        <v>4958</v>
      </c>
      <c r="AG10" s="1946" t="s">
        <v>4959</v>
      </c>
      <c r="AH10" s="1946" t="s">
        <v>5007</v>
      </c>
      <c r="AI10" s="1946" t="s">
        <v>4960</v>
      </c>
      <c r="AJ10" s="1946" t="s">
        <v>4961</v>
      </c>
      <c r="AK10" s="1946" t="s">
        <v>4962</v>
      </c>
      <c r="AL10" s="1946" t="s">
        <v>4963</v>
      </c>
      <c r="AM10" s="1946" t="s">
        <v>4964</v>
      </c>
      <c r="AN10" s="1946" t="s">
        <v>4965</v>
      </c>
      <c r="AO10" s="1946" t="s">
        <v>4966</v>
      </c>
      <c r="AP10" s="1946" t="s">
        <v>4967</v>
      </c>
      <c r="AQ10" s="1946" t="s">
        <v>4968</v>
      </c>
      <c r="AR10" s="1946" t="s">
        <v>4969</v>
      </c>
      <c r="AS10" s="1946" t="s">
        <v>4970</v>
      </c>
      <c r="AT10" s="1946" t="s">
        <v>4971</v>
      </c>
      <c r="AU10" s="1946" t="s">
        <v>4972</v>
      </c>
      <c r="AV10" s="1946" t="s">
        <v>4973</v>
      </c>
      <c r="AW10" s="1946" t="s">
        <v>4974</v>
      </c>
      <c r="AX10" s="1946" t="s">
        <v>4975</v>
      </c>
      <c r="AY10" s="1946" t="s">
        <v>4976</v>
      </c>
      <c r="AZ10" s="1946" t="s">
        <v>4977</v>
      </c>
      <c r="BA10" s="1946" t="s">
        <v>4978</v>
      </c>
      <c r="BB10" s="1946" t="s">
        <v>4979</v>
      </c>
      <c r="BC10" s="1946" t="s">
        <v>4980</v>
      </c>
      <c r="BD10" s="1946" t="s">
        <v>4981</v>
      </c>
      <c r="BE10" s="1946" t="s">
        <v>4982</v>
      </c>
      <c r="BF10" s="1946" t="s">
        <v>4983</v>
      </c>
      <c r="BG10" s="1946" t="s">
        <v>4984</v>
      </c>
      <c r="BH10" s="1946" t="s">
        <v>4985</v>
      </c>
      <c r="BI10" s="1946" t="s">
        <v>4986</v>
      </c>
      <c r="BJ10" s="1946" t="s">
        <v>4987</v>
      </c>
      <c r="BK10" s="1946" t="s">
        <v>4988</v>
      </c>
      <c r="BL10" s="1946" t="s">
        <v>4989</v>
      </c>
      <c r="BM10" s="1946" t="s">
        <v>4990</v>
      </c>
      <c r="BN10" s="1946" t="s">
        <v>4991</v>
      </c>
      <c r="BO10" s="1946" t="s">
        <v>4992</v>
      </c>
      <c r="BP10" s="1946" t="s">
        <v>4993</v>
      </c>
      <c r="BQ10" s="1946" t="s">
        <v>5104</v>
      </c>
      <c r="BR10" s="1946" t="s">
        <v>5105</v>
      </c>
      <c r="BS10" s="1946" t="s">
        <v>5106</v>
      </c>
      <c r="BT10" s="1946" t="s">
        <v>5107</v>
      </c>
      <c r="BU10" s="1946" t="s">
        <v>5108</v>
      </c>
      <c r="BV10" s="1946" t="s">
        <v>5109</v>
      </c>
      <c r="BW10" s="1946" t="s">
        <v>5110</v>
      </c>
      <c r="BX10" s="1946" t="s">
        <v>5111</v>
      </c>
      <c r="BY10" s="1946" t="s">
        <v>5112</v>
      </c>
      <c r="BZ10" s="1946" t="s">
        <v>5113</v>
      </c>
      <c r="CA10" s="1946" t="s">
        <v>5114</v>
      </c>
      <c r="CB10" s="1946" t="s">
        <v>5115</v>
      </c>
      <c r="CC10" s="1946" t="s">
        <v>5116</v>
      </c>
      <c r="CD10" s="1946" t="s">
        <v>5117</v>
      </c>
      <c r="CE10" s="1946" t="s">
        <v>5118</v>
      </c>
      <c r="CF10" s="1946" t="s">
        <v>5119</v>
      </c>
      <c r="CG10" s="1946" t="s">
        <v>5120</v>
      </c>
      <c r="CH10" s="1946" t="s">
        <v>5121</v>
      </c>
      <c r="CI10" s="1946" t="s">
        <v>5122</v>
      </c>
      <c r="CJ10" s="1946" t="s">
        <v>5123</v>
      </c>
      <c r="CK10" s="1946" t="s">
        <v>5124</v>
      </c>
      <c r="CL10" s="1946" t="s">
        <v>5125</v>
      </c>
      <c r="CM10" s="1947" t="s">
        <v>5126</v>
      </c>
      <c r="CN10" s="1946" t="s">
        <v>5127</v>
      </c>
      <c r="CO10" s="1946" t="s">
        <v>5128</v>
      </c>
      <c r="CP10" s="1946" t="s">
        <v>5129</v>
      </c>
      <c r="CQ10" s="1946" t="s">
        <v>5130</v>
      </c>
      <c r="CR10" s="1946" t="s">
        <v>5131</v>
      </c>
      <c r="CS10" s="1946" t="s">
        <v>5132</v>
      </c>
      <c r="CT10" s="1946" t="s">
        <v>5133</v>
      </c>
      <c r="CU10" s="1946" t="s">
        <v>5134</v>
      </c>
      <c r="CV10" s="1946" t="s">
        <v>5135</v>
      </c>
      <c r="CW10" s="1946" t="s">
        <v>5136</v>
      </c>
      <c r="CX10" s="1946" t="s">
        <v>5137</v>
      </c>
      <c r="CY10" s="1946" t="s">
        <v>4994</v>
      </c>
      <c r="CZ10" s="1946" t="s">
        <v>4995</v>
      </c>
      <c r="DA10" s="1946" t="s">
        <v>4999</v>
      </c>
      <c r="DB10" s="1946" t="s">
        <v>5000</v>
      </c>
      <c r="DC10" s="1946" t="s">
        <v>5001</v>
      </c>
      <c r="DD10" s="1946" t="s">
        <v>5003</v>
      </c>
      <c r="DE10" s="1946" t="s">
        <v>5004</v>
      </c>
      <c r="DF10" s="1946" t="s">
        <v>5005</v>
      </c>
      <c r="DG10" s="1946" t="s">
        <v>5006</v>
      </c>
      <c r="DH10" s="1946" t="s">
        <v>5138</v>
      </c>
      <c r="DI10" s="1946" t="s">
        <v>5139</v>
      </c>
      <c r="DJ10" s="1946" t="s">
        <v>5140</v>
      </c>
      <c r="DK10" s="1946" t="s">
        <v>5141</v>
      </c>
      <c r="DL10" s="1946" t="s">
        <v>5142</v>
      </c>
      <c r="DM10" s="1946" t="s">
        <v>5143</v>
      </c>
      <c r="DN10" s="1946" t="s">
        <v>5144</v>
      </c>
      <c r="DO10" s="1946" t="s">
        <v>5145</v>
      </c>
      <c r="DP10" s="1946" t="s">
        <v>5146</v>
      </c>
      <c r="DQ10" s="1946" t="s">
        <v>5147</v>
      </c>
      <c r="DR10" s="1946" t="s">
        <v>5148</v>
      </c>
      <c r="DS10" s="1946" t="s">
        <v>5149</v>
      </c>
      <c r="DT10" s="1946" t="s">
        <v>5150</v>
      </c>
      <c r="DU10" s="1946" t="s">
        <v>5151</v>
      </c>
    </row>
    <row r="11">
      <c r="A11" s="1946" t="s">
        <v>5010</v>
      </c>
      <c r="B11" s="1946" t="s">
        <v>5011</v>
      </c>
      <c r="C11" s="1946" t="s">
        <v>5012</v>
      </c>
      <c r="D11" s="1946" t="s">
        <v>5013</v>
      </c>
      <c r="E11" s="1946" t="s">
        <v>5014</v>
      </c>
      <c r="F11" s="1947" t="s">
        <v>5015</v>
      </c>
      <c r="G11" s="1947" t="s">
        <v>5017</v>
      </c>
      <c r="H11" s="1947" t="s">
        <v>5018</v>
      </c>
      <c r="I11" s="1947" t="s">
        <v>5019</v>
      </c>
      <c r="J11" s="1946" t="s">
        <v>5020</v>
      </c>
      <c r="K11" s="1946" t="s">
        <v>5021</v>
      </c>
      <c r="L11" s="1946" t="s">
        <v>5022</v>
      </c>
      <c r="M11" s="1946" t="s">
        <v>5023</v>
      </c>
      <c r="N11" s="1946" t="s">
        <v>5024</v>
      </c>
      <c r="O11" s="1947" t="s">
        <v>5025</v>
      </c>
      <c r="P11" s="1946" t="s">
        <v>5026</v>
      </c>
      <c r="Q11" s="1947" t="s">
        <v>5029</v>
      </c>
      <c r="R11" s="1946" t="s">
        <v>5030</v>
      </c>
      <c r="S11" s="1947" t="s">
        <v>5031</v>
      </c>
      <c r="T11" s="1947" t="s">
        <v>5032</v>
      </c>
      <c r="U11" s="1946" t="s">
        <v>5033</v>
      </c>
      <c r="V11" s="1946" t="s">
        <v>5034</v>
      </c>
      <c r="W11" s="1946" t="s">
        <v>5035</v>
      </c>
      <c r="X11" s="1946" t="s">
        <v>5079</v>
      </c>
      <c r="Y11" s="1946" t="s">
        <v>5080</v>
      </c>
      <c r="Z11" s="1946" t="s">
        <v>5081</v>
      </c>
      <c r="AA11" s="1946" t="s">
        <v>5036</v>
      </c>
      <c r="AB11" s="1946" t="s">
        <v>5037</v>
      </c>
      <c r="AC11" s="1946" t="s">
        <v>5038</v>
      </c>
      <c r="AD11" s="1946" t="s">
        <v>5039</v>
      </c>
      <c r="AE11" s="1946" t="s">
        <v>5040</v>
      </c>
      <c r="AF11" s="1946" t="s">
        <v>5041</v>
      </c>
      <c r="AG11" s="1946" t="s">
        <v>5042</v>
      </c>
      <c r="AH11" s="1946" t="s">
        <v>5090</v>
      </c>
      <c r="AI11" s="1946" t="s">
        <v>5043</v>
      </c>
      <c r="AJ11" s="1946" t="s">
        <v>5044</v>
      </c>
      <c r="AK11" s="1946" t="s">
        <v>5045</v>
      </c>
      <c r="AL11" s="1946" t="s">
        <v>5046</v>
      </c>
      <c r="AM11" s="1946" t="s">
        <v>5047</v>
      </c>
      <c r="AN11" s="1946" t="s">
        <v>5048</v>
      </c>
      <c r="AO11" s="1946" t="s">
        <v>5049</v>
      </c>
      <c r="AP11" s="1946" t="s">
        <v>5050</v>
      </c>
      <c r="AQ11" s="1946" t="s">
        <v>5051</v>
      </c>
      <c r="AR11" s="1946" t="s">
        <v>5052</v>
      </c>
      <c r="AS11" s="1946" t="s">
        <v>5053</v>
      </c>
      <c r="AT11" s="1946" t="s">
        <v>5054</v>
      </c>
      <c r="AU11" s="1946" t="s">
        <v>5055</v>
      </c>
      <c r="AV11" s="1946" t="s">
        <v>5056</v>
      </c>
      <c r="AW11" s="1946" t="s">
        <v>5057</v>
      </c>
      <c r="AX11" s="1946" t="s">
        <v>5058</v>
      </c>
      <c r="AY11" s="1946" t="s">
        <v>5059</v>
      </c>
      <c r="AZ11" s="1946" t="s">
        <v>5060</v>
      </c>
      <c r="BA11" s="1946" t="s">
        <v>5061</v>
      </c>
      <c r="BB11" s="1946" t="s">
        <v>5062</v>
      </c>
      <c r="BC11" s="1946" t="s">
        <v>5063</v>
      </c>
      <c r="BD11" s="1946" t="s">
        <v>5064</v>
      </c>
      <c r="BE11" s="1946" t="s">
        <v>5065</v>
      </c>
      <c r="BF11" s="1946" t="s">
        <v>5066</v>
      </c>
      <c r="BG11" s="1946" t="s">
        <v>5067</v>
      </c>
      <c r="BH11" s="1946" t="s">
        <v>5068</v>
      </c>
      <c r="BI11" s="1946" t="s">
        <v>5069</v>
      </c>
      <c r="BJ11" s="1946" t="s">
        <v>5070</v>
      </c>
      <c r="BK11" s="1946" t="s">
        <v>5071</v>
      </c>
      <c r="BL11" s="1946" t="s">
        <v>5072</v>
      </c>
      <c r="BM11" s="1946" t="s">
        <v>5073</v>
      </c>
      <c r="BN11" s="1946" t="s">
        <v>5074</v>
      </c>
      <c r="BO11" s="1946" t="s">
        <v>5075</v>
      </c>
      <c r="BP11" s="1946" t="s">
        <v>5076</v>
      </c>
      <c r="BQ11" s="1946" t="s">
        <v>5152</v>
      </c>
      <c r="BR11" s="1946" t="s">
        <v>5153</v>
      </c>
      <c r="BS11" s="1946" t="s">
        <v>5154</v>
      </c>
      <c r="BT11" s="1946" t="s">
        <v>5155</v>
      </c>
      <c r="BU11" s="1946" t="s">
        <v>5156</v>
      </c>
      <c r="BV11" s="1946" t="s">
        <v>5157</v>
      </c>
      <c r="BW11" s="1946" t="s">
        <v>5158</v>
      </c>
      <c r="BX11" s="1946" t="s">
        <v>5159</v>
      </c>
      <c r="BY11" s="1946" t="s">
        <v>5160</v>
      </c>
      <c r="BZ11" s="1946" t="s">
        <v>5161</v>
      </c>
      <c r="CA11" s="1946" t="s">
        <v>5162</v>
      </c>
      <c r="CB11" s="1946" t="s">
        <v>5163</v>
      </c>
      <c r="CC11" s="1946" t="s">
        <v>5164</v>
      </c>
      <c r="CD11" s="1946" t="s">
        <v>5165</v>
      </c>
      <c r="CE11" s="1946" t="s">
        <v>5166</v>
      </c>
      <c r="CF11" s="1946" t="s">
        <v>5167</v>
      </c>
      <c r="CG11" s="1946" t="s">
        <v>5168</v>
      </c>
      <c r="CH11" s="1946" t="s">
        <v>5169</v>
      </c>
      <c r="CI11" s="1946" t="s">
        <v>5170</v>
      </c>
      <c r="CJ11" s="1951" t="s">
        <v>5171</v>
      </c>
      <c r="CK11" s="1951" t="s">
        <v>5172</v>
      </c>
      <c r="CL11" s="1951" t="s">
        <v>5173</v>
      </c>
      <c r="CM11" s="1951" t="s">
        <v>5174</v>
      </c>
      <c r="CN11" s="1951" t="s">
        <v>5175</v>
      </c>
      <c r="CO11" s="1951" t="s">
        <v>5176</v>
      </c>
      <c r="CP11" s="1951" t="s">
        <v>5177</v>
      </c>
      <c r="CQ11" s="1951" t="s">
        <v>5178</v>
      </c>
      <c r="CR11" s="1951" t="s">
        <v>5179</v>
      </c>
      <c r="CS11" s="1951" t="s">
        <v>5180</v>
      </c>
      <c r="CT11" s="1946" t="s">
        <v>5181</v>
      </c>
      <c r="CU11" s="1946" t="s">
        <v>5182</v>
      </c>
      <c r="CV11" s="1946" t="s">
        <v>5183</v>
      </c>
      <c r="CW11" s="1946" t="s">
        <v>5184</v>
      </c>
      <c r="CX11" s="1946" t="s">
        <v>5185</v>
      </c>
      <c r="CY11" s="1946" t="s">
        <v>5077</v>
      </c>
      <c r="CZ11" s="1946" t="s">
        <v>5078</v>
      </c>
      <c r="DA11" s="1946" t="s">
        <v>5082</v>
      </c>
      <c r="DB11" s="1946" t="s">
        <v>5083</v>
      </c>
      <c r="DC11" s="1946" t="s">
        <v>5084</v>
      </c>
      <c r="DD11" s="1946" t="s">
        <v>5186</v>
      </c>
      <c r="DE11" s="1946" t="s">
        <v>5087</v>
      </c>
      <c r="DF11" s="1946" t="s">
        <v>5088</v>
      </c>
      <c r="DG11" s="1946" t="s">
        <v>5089</v>
      </c>
      <c r="DH11" s="1946" t="s">
        <v>5187</v>
      </c>
      <c r="DI11" s="1946" t="s">
        <v>5188</v>
      </c>
      <c r="DJ11" s="1946" t="s">
        <v>5189</v>
      </c>
      <c r="DK11" s="1946" t="s">
        <v>5190</v>
      </c>
      <c r="DL11" s="1946" t="s">
        <v>5191</v>
      </c>
      <c r="DM11" s="1946" t="s">
        <v>5192</v>
      </c>
      <c r="DN11" s="1946" t="s">
        <v>5193</v>
      </c>
      <c r="DO11" s="1946" t="s">
        <v>5194</v>
      </c>
      <c r="DP11" s="1946" t="s">
        <v>5195</v>
      </c>
      <c r="DQ11" s="1946" t="s">
        <v>5196</v>
      </c>
      <c r="DR11" s="1946" t="s">
        <v>5197</v>
      </c>
      <c r="DS11" s="1946" t="s">
        <v>5198</v>
      </c>
      <c r="DT11" s="1946" t="s">
        <v>5199</v>
      </c>
      <c r="DU11" s="1946" t="s">
        <v>5200</v>
      </c>
    </row>
    <row r="12">
      <c r="A12" s="1948"/>
      <c r="B12" s="1948"/>
      <c r="C12" s="1948"/>
      <c r="D12" s="1948"/>
      <c r="E12" s="1948"/>
      <c r="F12" s="1948"/>
      <c r="G12" s="1948"/>
      <c r="H12" s="1948"/>
      <c r="I12" s="1948"/>
      <c r="J12" s="1948"/>
      <c r="K12" s="1948"/>
      <c r="L12" s="1948"/>
      <c r="M12" s="1948"/>
      <c r="N12" s="1948"/>
      <c r="O12" s="1948"/>
      <c r="P12" s="1948"/>
      <c r="Q12" s="1948"/>
      <c r="R12" s="1948"/>
      <c r="S12" s="1948"/>
      <c r="T12" s="1948"/>
      <c r="U12" s="1948"/>
      <c r="V12" s="1948"/>
      <c r="W12" s="1948"/>
      <c r="X12" s="1948"/>
      <c r="Y12" s="1948"/>
      <c r="Z12" s="1948"/>
      <c r="AA12" s="1948"/>
      <c r="AB12" s="1948"/>
      <c r="AC12" s="1948"/>
      <c r="AD12" s="1948"/>
      <c r="AE12" s="1948"/>
      <c r="AF12" s="1948"/>
      <c r="AG12" s="1948"/>
      <c r="AH12" s="1948"/>
      <c r="AI12" s="1948"/>
      <c r="AJ12" s="1948"/>
      <c r="AK12" s="1948"/>
      <c r="AL12" s="1948"/>
      <c r="AM12" s="1948"/>
      <c r="AN12" s="1948"/>
      <c r="AO12" s="1948"/>
      <c r="AP12" s="1948"/>
      <c r="AQ12" s="1948"/>
      <c r="AR12" s="1948"/>
      <c r="AS12" s="1948"/>
      <c r="AT12" s="1948"/>
      <c r="AU12" s="1948"/>
      <c r="AV12" s="1948"/>
      <c r="AW12" s="1948"/>
      <c r="AX12" s="1948"/>
      <c r="AY12" s="1948"/>
      <c r="AZ12" s="1948"/>
      <c r="BA12" s="1948"/>
      <c r="BB12" s="1948"/>
      <c r="BC12" s="1948"/>
      <c r="BD12" s="1948"/>
      <c r="BE12" s="1948"/>
      <c r="BF12" s="1948"/>
      <c r="BG12" s="1948"/>
      <c r="BH12" s="1948"/>
      <c r="BI12" s="1948"/>
      <c r="BJ12" s="1948"/>
      <c r="BK12" s="1948"/>
      <c r="BL12" s="1948"/>
      <c r="BM12" s="1948"/>
      <c r="BN12" s="1948"/>
      <c r="BO12" s="1948"/>
      <c r="BP12" s="1948"/>
      <c r="BQ12" s="1948"/>
      <c r="BR12" s="1948"/>
      <c r="BS12" s="1948"/>
      <c r="BT12" s="1948"/>
      <c r="BU12" s="1948"/>
      <c r="BV12" s="1948"/>
      <c r="BW12" s="1948"/>
      <c r="BX12" s="1948"/>
      <c r="BY12" s="1948"/>
      <c r="BZ12" s="1948"/>
      <c r="CA12" s="1948"/>
      <c r="CB12" s="1948"/>
      <c r="CC12" s="1948"/>
      <c r="CD12" s="1948"/>
      <c r="CE12" s="1948"/>
      <c r="CF12" s="1948"/>
      <c r="CG12" s="1948"/>
      <c r="CH12" s="1948"/>
      <c r="CI12" s="1948"/>
      <c r="CJ12" s="1948"/>
      <c r="CK12" s="1948"/>
      <c r="CL12" s="1948"/>
      <c r="CM12" s="1948"/>
      <c r="CN12" s="1948"/>
      <c r="CO12" s="1948"/>
      <c r="CP12" s="1948"/>
      <c r="CQ12" s="1948"/>
      <c r="CR12" s="1948"/>
      <c r="CS12" s="1948"/>
      <c r="CT12" s="1948"/>
      <c r="CU12" s="1948"/>
      <c r="CV12" s="1948"/>
      <c r="CW12" s="1948"/>
      <c r="CX12" s="1948"/>
      <c r="CY12" s="1948"/>
      <c r="CZ12" s="1948"/>
      <c r="DA12" s="1948"/>
      <c r="DB12" s="1948"/>
      <c r="DC12" s="1948"/>
      <c r="DD12" s="1948"/>
      <c r="DE12" s="1948"/>
      <c r="DF12" s="1948"/>
      <c r="DG12" s="1948"/>
      <c r="DH12" s="1948" t="s">
        <v>5201</v>
      </c>
      <c r="DI12" s="1948" t="s">
        <v>5201</v>
      </c>
      <c r="DJ12" s="1948" t="s">
        <v>5201</v>
      </c>
      <c r="DK12" s="1948" t="s">
        <v>5201</v>
      </c>
      <c r="DL12" s="1948" t="s">
        <v>5201</v>
      </c>
      <c r="DM12" s="1948" t="s">
        <v>5201</v>
      </c>
      <c r="DN12" s="1948" t="s">
        <v>5201</v>
      </c>
      <c r="DO12" s="1948" t="s">
        <v>5201</v>
      </c>
      <c r="DP12" s="1948" t="s">
        <v>5201</v>
      </c>
      <c r="DQ12" s="1948" t="s">
        <v>5201</v>
      </c>
      <c r="DR12" s="1948" t="s">
        <v>5201</v>
      </c>
      <c r="DS12" s="1948" t="s">
        <v>5201</v>
      </c>
      <c r="DT12" s="1948" t="s">
        <v>5201</v>
      </c>
      <c r="DU12" s="1948" t="s">
        <v>5201</v>
      </c>
      <c r="DV12" s="1945"/>
      <c r="DW12" s="1945"/>
      <c r="DX12" s="1945"/>
      <c r="DY12" s="1945"/>
      <c r="DZ12" s="1945"/>
      <c r="EA12" s="1945"/>
      <c r="EB12" s="1945"/>
      <c r="EC12" s="1945"/>
      <c r="ED12" s="1945"/>
      <c r="EE12" s="1945"/>
      <c r="EF12" s="1945"/>
      <c r="EG12" s="1945"/>
      <c r="EH12" s="1945"/>
      <c r="EI12" s="1945"/>
      <c r="EJ12" s="1945"/>
      <c r="EK12" s="1945"/>
      <c r="EL12" s="1945"/>
      <c r="EM12" s="1945"/>
      <c r="EN12" s="1945"/>
      <c r="EO12" s="1945"/>
      <c r="EP12" s="1945"/>
      <c r="EQ12" s="1945"/>
      <c r="ER12" s="1945"/>
      <c r="ES12" s="1945"/>
      <c r="ET12" s="1945"/>
      <c r="EU12" s="1945"/>
      <c r="EV12" s="1945"/>
      <c r="EW12" s="1945"/>
      <c r="EX12" s="1945"/>
      <c r="EY12" s="1945"/>
      <c r="EZ12" s="1945"/>
      <c r="FA12" s="1945"/>
    </row>
    <row customHeight="true" ht="23.80952380952381" r="13">
      <c r="A13" s="1942"/>
      <c r="B13" s="1943"/>
      <c r="C13" s="1942"/>
    </row>
    <row customHeight="true" ht="23.80952380952381" r="14">
      <c r="A14" s="1942" t="s">
        <v>5202</v>
      </c>
      <c r="B14" s="1943"/>
      <c r="C14" s="1942"/>
      <c r="AV14" s="1952">
        <v>0.002</v>
      </c>
      <c r="AW14" s="1952">
        <v>0.002</v>
      </c>
      <c r="AX14" s="1953">
        <v>0.1</v>
      </c>
      <c r="AY14" s="1953">
        <v>0.5</v>
      </c>
    </row>
    <row r="15">
      <c r="A15" s="1946" t="s">
        <v>4927</v>
      </c>
      <c r="B15" s="1946" t="s">
        <v>4928</v>
      </c>
      <c r="C15" s="1946" t="s">
        <v>4929</v>
      </c>
      <c r="D15" s="1946" t="s">
        <v>4930</v>
      </c>
      <c r="E15" s="1946" t="s">
        <v>4931</v>
      </c>
      <c r="F15" s="1947" t="s">
        <v>4932</v>
      </c>
      <c r="G15" s="1947" t="s">
        <v>4934</v>
      </c>
      <c r="H15" s="1946" t="s">
        <v>4935</v>
      </c>
      <c r="I15" s="1946" t="s">
        <v>4936</v>
      </c>
      <c r="J15" s="1947" t="s">
        <v>4937</v>
      </c>
      <c r="K15" s="1946" t="s">
        <v>4938</v>
      </c>
      <c r="L15" s="1946" t="s">
        <v>4939</v>
      </c>
      <c r="M15" s="1946" t="s">
        <v>4940</v>
      </c>
      <c r="N15" s="1946" t="s">
        <v>4941</v>
      </c>
      <c r="O15" s="1947" t="s">
        <v>4942</v>
      </c>
      <c r="P15" s="1946" t="s">
        <v>4952</v>
      </c>
      <c r="Q15" s="1947" t="s">
        <v>4996</v>
      </c>
      <c r="R15" s="1946" t="s">
        <v>4997</v>
      </c>
      <c r="S15" s="1947" t="s">
        <v>4998</v>
      </c>
      <c r="T15" s="1946" t="s">
        <v>4953</v>
      </c>
      <c r="U15" s="1947" t="s">
        <v>4954</v>
      </c>
      <c r="V15" s="1946" t="s">
        <v>4955</v>
      </c>
      <c r="W15" s="1946" t="s">
        <v>4956</v>
      </c>
      <c r="X15" s="1946" t="s">
        <v>4957</v>
      </c>
      <c r="Y15" s="1946" t="s">
        <v>4958</v>
      </c>
      <c r="Z15" s="1946" t="s">
        <v>4959</v>
      </c>
      <c r="AA15" s="1946" t="s">
        <v>4960</v>
      </c>
      <c r="AB15" s="1946" t="s">
        <v>4961</v>
      </c>
      <c r="AC15" s="1946" t="s">
        <v>5106</v>
      </c>
      <c r="AD15" s="1946" t="s">
        <v>5107</v>
      </c>
      <c r="AE15" s="1946" t="s">
        <v>5108</v>
      </c>
      <c r="AF15" s="1947" t="s">
        <v>5109</v>
      </c>
      <c r="AG15" s="1946" t="s">
        <v>5110</v>
      </c>
      <c r="AH15" s="1946" t="s">
        <v>5111</v>
      </c>
      <c r="AI15" s="1946" t="s">
        <v>5112</v>
      </c>
      <c r="AJ15" s="1946" t="s">
        <v>5113</v>
      </c>
      <c r="AK15" s="1946" t="s">
        <v>5114</v>
      </c>
      <c r="AL15" s="1946" t="s">
        <v>5115</v>
      </c>
      <c r="AM15" s="1946" t="s">
        <v>5116</v>
      </c>
      <c r="AN15" s="1946" t="s">
        <v>5117</v>
      </c>
      <c r="AO15" s="1946" t="s">
        <v>5118</v>
      </c>
      <c r="AP15" s="1946" t="s">
        <v>5119</v>
      </c>
      <c r="AQ15" s="1946" t="s">
        <v>5120</v>
      </c>
      <c r="AR15" s="1946" t="s">
        <v>5121</v>
      </c>
      <c r="AS15" s="1946" t="s">
        <v>5203</v>
      </c>
      <c r="AT15" s="1946" t="s">
        <v>5204</v>
      </c>
      <c r="AU15" s="1946" t="s">
        <v>5205</v>
      </c>
      <c r="AV15" s="1947" t="s">
        <v>5206</v>
      </c>
      <c r="AW15" s="1946" t="s">
        <v>5207</v>
      </c>
      <c r="AX15" s="1946" t="s">
        <v>5208</v>
      </c>
      <c r="AY15" s="1946" t="s">
        <v>5209</v>
      </c>
      <c r="AZ15" s="1946" t="s">
        <v>5210</v>
      </c>
      <c r="BA15" s="1946" t="s">
        <v>5211</v>
      </c>
      <c r="BB15" s="1946" t="s">
        <v>5212</v>
      </c>
      <c r="BC15" s="1946" t="s">
        <v>5213</v>
      </c>
      <c r="BD15" s="1946" t="s">
        <v>5214</v>
      </c>
      <c r="BE15" s="1946" t="s">
        <v>5215</v>
      </c>
      <c r="BF15" s="1946" t="s">
        <v>5216</v>
      </c>
      <c r="BG15" s="1946" t="s">
        <v>5217</v>
      </c>
      <c r="BH15" s="1946" t="s">
        <v>5218</v>
      </c>
      <c r="BI15" s="1946" t="s">
        <v>5219</v>
      </c>
      <c r="BJ15" s="1946" t="s">
        <v>5220</v>
      </c>
      <c r="BK15" s="1946" t="s">
        <v>5221</v>
      </c>
      <c r="BL15" s="1946" t="s">
        <v>5222</v>
      </c>
      <c r="BM15" s="1946" t="s">
        <v>5223</v>
      </c>
      <c r="BN15" s="1946" t="s">
        <v>5224</v>
      </c>
      <c r="BO15" s="1946" t="s">
        <v>5225</v>
      </c>
      <c r="BP15" s="1946" t="s">
        <v>5226</v>
      </c>
      <c r="BQ15" s="1946" t="s">
        <v>5227</v>
      </c>
      <c r="BR15" s="1946" t="s">
        <v>5228</v>
      </c>
      <c r="BS15" s="1946" t="s">
        <v>5229</v>
      </c>
      <c r="BT15" s="1946" t="s">
        <v>5230</v>
      </c>
      <c r="BU15" s="1946" t="s">
        <v>5231</v>
      </c>
      <c r="BV15" s="1946" t="s">
        <v>5232</v>
      </c>
      <c r="BW15" s="1946" t="s">
        <v>5233</v>
      </c>
      <c r="BX15" s="1946" t="s">
        <v>5234</v>
      </c>
      <c r="BY15" s="1946" t="s">
        <v>5235</v>
      </c>
      <c r="BZ15" s="1946" t="s">
        <v>5236</v>
      </c>
      <c r="CA15" s="1946" t="s">
        <v>5237</v>
      </c>
      <c r="CB15" s="1946" t="s">
        <v>5238</v>
      </c>
      <c r="CC15" s="1946" t="s">
        <v>5239</v>
      </c>
      <c r="CD15" s="1946" t="s">
        <v>5240</v>
      </c>
      <c r="CE15" s="1946" t="s">
        <v>5241</v>
      </c>
      <c r="CF15" s="1946" t="s">
        <v>5242</v>
      </c>
      <c r="CG15" s="1946" t="s">
        <v>5243</v>
      </c>
      <c r="CH15" s="1946" t="s">
        <v>5244</v>
      </c>
      <c r="CI15" s="1946" t="s">
        <v>5245</v>
      </c>
      <c r="CJ15" s="1946" t="s">
        <v>5246</v>
      </c>
      <c r="CK15" s="1946" t="s">
        <v>5247</v>
      </c>
      <c r="CL15" s="1946" t="s">
        <v>5248</v>
      </c>
      <c r="CM15" s="1946" t="s">
        <v>5249</v>
      </c>
      <c r="CN15" s="1946" t="s">
        <v>5250</v>
      </c>
      <c r="CO15" s="1946" t="s">
        <v>5251</v>
      </c>
      <c r="CP15" s="1946" t="s">
        <v>5252</v>
      </c>
      <c r="CQ15" s="1946" t="s">
        <v>5253</v>
      </c>
      <c r="CR15" s="1946" t="s">
        <v>5254</v>
      </c>
      <c r="CS15" s="1946" t="s">
        <v>5255</v>
      </c>
      <c r="CT15" s="1946" t="s">
        <v>5256</v>
      </c>
      <c r="CU15" s="1946" t="s">
        <v>5257</v>
      </c>
      <c r="CV15" s="1946" t="s">
        <v>5258</v>
      </c>
      <c r="CW15" s="1946" t="s">
        <v>5259</v>
      </c>
      <c r="CX15" s="1946" t="s">
        <v>5260</v>
      </c>
      <c r="CY15" s="1946" t="s">
        <v>5261</v>
      </c>
      <c r="CZ15" s="1946" t="s">
        <v>5262</v>
      </c>
      <c r="DA15" s="1946" t="s">
        <v>5263</v>
      </c>
      <c r="DB15" s="1946" t="s">
        <v>5264</v>
      </c>
      <c r="DC15" s="1946" t="s">
        <v>5265</v>
      </c>
      <c r="DD15" s="1946" t="s">
        <v>5266</v>
      </c>
      <c r="DE15" s="1946" t="s">
        <v>5267</v>
      </c>
      <c r="DF15" s="1946" t="s">
        <v>5268</v>
      </c>
      <c r="DG15" s="1946" t="s">
        <v>5269</v>
      </c>
      <c r="DH15" s="1946" t="s">
        <v>5270</v>
      </c>
      <c r="DI15" s="1946" t="s">
        <v>5271</v>
      </c>
      <c r="DJ15" s="1946" t="s">
        <v>5272</v>
      </c>
      <c r="DK15" s="1946" t="s">
        <v>5273</v>
      </c>
      <c r="DL15" s="1946" t="s">
        <v>5274</v>
      </c>
      <c r="DM15" s="1946" t="s">
        <v>5275</v>
      </c>
      <c r="DN15" s="1946" t="s">
        <v>5276</v>
      </c>
      <c r="DO15" s="1946" t="s">
        <v>5277</v>
      </c>
      <c r="DP15" s="1946" t="s">
        <v>5278</v>
      </c>
      <c r="DQ15" s="1946" t="s">
        <v>5279</v>
      </c>
      <c r="DR15" s="1946" t="s">
        <v>5280</v>
      </c>
      <c r="DS15" s="1946" t="s">
        <v>5281</v>
      </c>
      <c r="DT15" s="1946" t="s">
        <v>5282</v>
      </c>
      <c r="DU15" s="1946" t="s">
        <v>5283</v>
      </c>
      <c r="DV15" s="1946" t="s">
        <v>5284</v>
      </c>
      <c r="DW15" s="1946" t="s">
        <v>5285</v>
      </c>
      <c r="DX15" s="1946" t="s">
        <v>5286</v>
      </c>
      <c r="DY15" s="1946" t="s">
        <v>5287</v>
      </c>
      <c r="DZ15" s="1946" t="s">
        <v>5240</v>
      </c>
      <c r="EA15" s="1946" t="s">
        <v>5288</v>
      </c>
      <c r="EB15" s="1946" t="s">
        <v>5289</v>
      </c>
      <c r="EC15" s="1946" t="s">
        <v>5290</v>
      </c>
      <c r="ED15" s="1946" t="s">
        <v>5291</v>
      </c>
      <c r="EE15" s="1945"/>
      <c r="EF15" s="1945"/>
      <c r="EG15" s="1945"/>
      <c r="EH15" s="1945"/>
      <c r="EI15" s="1945"/>
      <c r="EJ15" s="1945"/>
      <c r="EK15" s="1945"/>
      <c r="EL15" s="1945"/>
      <c r="EM15" s="1945"/>
      <c r="EN15" s="1945"/>
      <c r="EO15" s="1945"/>
      <c r="EP15" s="1945"/>
      <c r="EQ15" s="1945"/>
      <c r="ER15" s="1945"/>
      <c r="ES15" s="1945"/>
      <c r="ET15" s="1945"/>
      <c r="EU15" s="1945"/>
      <c r="EV15" s="1945"/>
      <c r="EW15" s="1945"/>
      <c r="EX15" s="1945"/>
      <c r="EY15" s="1945"/>
      <c r="EZ15" s="1945"/>
      <c r="FA15" s="1945"/>
    </row>
    <row customHeight="true" ht="23.80952380952381" r="16">
      <c r="A16" s="1946" t="s">
        <v>5010</v>
      </c>
      <c r="B16" s="1946" t="s">
        <v>5011</v>
      </c>
      <c r="C16" s="1946" t="s">
        <v>5012</v>
      </c>
      <c r="D16" s="1946" t="s">
        <v>5013</v>
      </c>
      <c r="E16" s="1946" t="s">
        <v>5014</v>
      </c>
      <c r="F16" s="1947" t="s">
        <v>5015</v>
      </c>
      <c r="G16" s="1947" t="s">
        <v>5017</v>
      </c>
      <c r="H16" s="1946" t="s">
        <v>5018</v>
      </c>
      <c r="I16" s="1946" t="s">
        <v>5019</v>
      </c>
      <c r="J16" s="1947" t="s">
        <v>5020</v>
      </c>
      <c r="K16" s="1946" t="s">
        <v>5021</v>
      </c>
      <c r="L16" s="1946" t="s">
        <v>5022</v>
      </c>
      <c r="M16" s="1946" t="s">
        <v>5023</v>
      </c>
      <c r="N16" s="1946" t="s">
        <v>5024</v>
      </c>
      <c r="O16" s="1947" t="s">
        <v>5025</v>
      </c>
      <c r="P16" s="1946" t="s">
        <v>5035</v>
      </c>
      <c r="Q16" s="1947" t="s">
        <v>5079</v>
      </c>
      <c r="R16" s="1946" t="s">
        <v>5080</v>
      </c>
      <c r="S16" s="1947" t="s">
        <v>5081</v>
      </c>
      <c r="T16" s="1946" t="s">
        <v>5036</v>
      </c>
      <c r="U16" s="1947" t="s">
        <v>5037</v>
      </c>
      <c r="V16" s="1946" t="s">
        <v>5038</v>
      </c>
      <c r="W16" s="1946" t="s">
        <v>5039</v>
      </c>
      <c r="X16" s="1946" t="s">
        <v>5040</v>
      </c>
      <c r="Y16" s="1946" t="s">
        <v>5041</v>
      </c>
      <c r="Z16" s="1946" t="s">
        <v>5042</v>
      </c>
      <c r="AA16" s="1946" t="s">
        <v>5043</v>
      </c>
      <c r="AB16" s="1946" t="s">
        <v>5044</v>
      </c>
      <c r="AC16" s="1946" t="s">
        <v>5154</v>
      </c>
      <c r="AD16" s="1946" t="s">
        <v>5155</v>
      </c>
      <c r="AE16" s="1946" t="s">
        <v>5156</v>
      </c>
      <c r="AF16" s="1947" t="s">
        <v>5157</v>
      </c>
      <c r="AG16" s="1946" t="s">
        <v>5158</v>
      </c>
      <c r="AH16" s="1946" t="s">
        <v>5159</v>
      </c>
      <c r="AI16" s="1946" t="s">
        <v>5160</v>
      </c>
      <c r="AJ16" s="1946" t="s">
        <v>5161</v>
      </c>
      <c r="AK16" s="1946" t="s">
        <v>5162</v>
      </c>
      <c r="AL16" s="1946" t="s">
        <v>5163</v>
      </c>
      <c r="AM16" s="1946" t="s">
        <v>5164</v>
      </c>
      <c r="AN16" s="1946" t="s">
        <v>5165</v>
      </c>
      <c r="AO16" s="1946" t="s">
        <v>5166</v>
      </c>
      <c r="AP16" s="1946" t="s">
        <v>5167</v>
      </c>
      <c r="AQ16" s="1946" t="s">
        <v>5168</v>
      </c>
      <c r="AR16" s="1946" t="s">
        <v>5169</v>
      </c>
      <c r="AS16" s="1946" t="s">
        <v>5292</v>
      </c>
      <c r="AT16" s="1946" t="s">
        <v>5293</v>
      </c>
      <c r="AU16" s="1946" t="s">
        <v>5294</v>
      </c>
      <c r="AV16" s="1947" t="s">
        <v>5295</v>
      </c>
      <c r="AW16" s="1946" t="s">
        <v>5296</v>
      </c>
      <c r="AX16" s="1946" t="s">
        <v>5297</v>
      </c>
      <c r="AY16" s="1946" t="s">
        <v>5298</v>
      </c>
      <c r="AZ16" s="1946" t="s">
        <v>5299</v>
      </c>
      <c r="BA16" s="1946" t="s">
        <v>5300</v>
      </c>
      <c r="BB16" s="1946" t="s">
        <v>5301</v>
      </c>
      <c r="BC16" s="1946" t="s">
        <v>5302</v>
      </c>
      <c r="BD16" s="1946" t="s">
        <v>5303</v>
      </c>
      <c r="BE16" s="1946" t="s">
        <v>5304</v>
      </c>
      <c r="BF16" s="1946" t="s">
        <v>5305</v>
      </c>
      <c r="BG16" s="1946" t="s">
        <v>5306</v>
      </c>
      <c r="BH16" s="1946" t="s">
        <v>5307</v>
      </c>
      <c r="BI16" s="1946" t="s">
        <v>5308</v>
      </c>
      <c r="BJ16" s="1946" t="s">
        <v>5309</v>
      </c>
      <c r="BK16" s="1946" t="s">
        <v>5310</v>
      </c>
      <c r="BL16" s="1946" t="s">
        <v>5311</v>
      </c>
      <c r="BM16" s="1946" t="s">
        <v>5312</v>
      </c>
      <c r="BN16" s="1946" t="s">
        <v>5313</v>
      </c>
      <c r="BO16" s="1946" t="s">
        <v>5314</v>
      </c>
      <c r="BP16" s="1946" t="s">
        <v>5315</v>
      </c>
      <c r="BQ16" s="1946" t="s">
        <v>5316</v>
      </c>
      <c r="BR16" s="1946" t="s">
        <v>5317</v>
      </c>
      <c r="BS16" s="1946" t="s">
        <v>5318</v>
      </c>
      <c r="BT16" s="1946" t="s">
        <v>5319</v>
      </c>
      <c r="BU16" s="1946" t="s">
        <v>5320</v>
      </c>
      <c r="BV16" s="1946" t="s">
        <v>5321</v>
      </c>
      <c r="BW16" s="1946" t="s">
        <v>5322</v>
      </c>
      <c r="BX16" s="1946" t="s">
        <v>5323</v>
      </c>
      <c r="BY16" s="1946" t="s">
        <v>5324</v>
      </c>
      <c r="BZ16" s="1946" t="s">
        <v>5325</v>
      </c>
      <c r="CA16" s="1946" t="s">
        <v>5326</v>
      </c>
      <c r="CB16" s="1946" t="s">
        <v>5327</v>
      </c>
      <c r="CC16" s="1946" t="s">
        <v>5328</v>
      </c>
      <c r="CD16" s="1946" t="s">
        <v>5329</v>
      </c>
      <c r="CE16" s="1946" t="s">
        <v>5330</v>
      </c>
      <c r="CF16" s="1946" t="s">
        <v>5331</v>
      </c>
      <c r="CG16" s="1946" t="s">
        <v>5332</v>
      </c>
      <c r="CH16" s="1946" t="s">
        <v>5333</v>
      </c>
      <c r="CI16" s="1946" t="s">
        <v>5334</v>
      </c>
      <c r="CJ16" s="1946" t="s">
        <v>5335</v>
      </c>
      <c r="CK16" s="1946" t="s">
        <v>5336</v>
      </c>
      <c r="CL16" s="1946" t="s">
        <v>5337</v>
      </c>
      <c r="CM16" s="1946" t="s">
        <v>5338</v>
      </c>
      <c r="CN16" s="1946" t="s">
        <v>5339</v>
      </c>
      <c r="CO16" s="1946" t="s">
        <v>5340</v>
      </c>
      <c r="CP16" s="1946" t="s">
        <v>5341</v>
      </c>
      <c r="CQ16" s="1946" t="s">
        <v>5342</v>
      </c>
      <c r="CR16" s="1946" t="s">
        <v>5343</v>
      </c>
      <c r="CS16" s="1946" t="s">
        <v>5344</v>
      </c>
      <c r="CT16" s="1946" t="s">
        <v>5345</v>
      </c>
      <c r="CU16" s="1946" t="s">
        <v>5346</v>
      </c>
      <c r="CV16" s="1946" t="s">
        <v>5347</v>
      </c>
      <c r="CW16" s="1946" t="s">
        <v>5348</v>
      </c>
      <c r="CX16" s="1946" t="s">
        <v>5349</v>
      </c>
      <c r="CY16" s="1946" t="s">
        <v>5350</v>
      </c>
      <c r="CZ16" s="1946" t="s">
        <v>5351</v>
      </c>
      <c r="DA16" s="1946" t="s">
        <v>5352</v>
      </c>
      <c r="DB16" s="1946" t="s">
        <v>5353</v>
      </c>
      <c r="DC16" s="1946" t="s">
        <v>5354</v>
      </c>
      <c r="DD16" s="1946" t="s">
        <v>5355</v>
      </c>
      <c r="DE16" s="1946" t="s">
        <v>5356</v>
      </c>
      <c r="DF16" s="1946" t="s">
        <v>5357</v>
      </c>
      <c r="DG16" s="1946" t="s">
        <v>5358</v>
      </c>
      <c r="DH16" s="1946" t="s">
        <v>5359</v>
      </c>
      <c r="DI16" s="1946" t="s">
        <v>5360</v>
      </c>
      <c r="DJ16" s="1946" t="s">
        <v>5361</v>
      </c>
      <c r="DK16" s="1946" t="s">
        <v>5362</v>
      </c>
      <c r="DL16" s="1946" t="s">
        <v>5363</v>
      </c>
      <c r="DM16" s="1946" t="s">
        <v>5364</v>
      </c>
      <c r="DN16" s="1946" t="s">
        <v>5365</v>
      </c>
      <c r="DO16" s="1946" t="s">
        <v>5366</v>
      </c>
      <c r="DP16" s="1946" t="s">
        <v>5367</v>
      </c>
      <c r="DQ16" s="1946" t="s">
        <v>5368</v>
      </c>
      <c r="DR16" s="1946" t="s">
        <v>5369</v>
      </c>
      <c r="DS16" s="1946" t="s">
        <v>5370</v>
      </c>
      <c r="DT16" s="1946" t="s">
        <v>5371</v>
      </c>
      <c r="DU16" s="1946" t="s">
        <v>5372</v>
      </c>
      <c r="DV16" s="1946" t="s">
        <v>5373</v>
      </c>
      <c r="DW16" s="1946" t="s">
        <v>5374</v>
      </c>
      <c r="DX16" s="1946" t="s">
        <v>5375</v>
      </c>
      <c r="DY16" s="1946" t="s">
        <v>5376</v>
      </c>
      <c r="DZ16" s="1946" t="s">
        <v>5377</v>
      </c>
      <c r="EA16" s="1946" t="s">
        <v>5378</v>
      </c>
      <c r="EB16" s="1946" t="s">
        <v>5379</v>
      </c>
      <c r="EC16" s="1946" t="s">
        <v>5380</v>
      </c>
      <c r="ED16" s="1946" t="s">
        <v>5381</v>
      </c>
      <c r="EE16" s="1945"/>
      <c r="EF16" s="1945"/>
      <c r="EG16" s="1945"/>
      <c r="EH16" s="1945"/>
      <c r="EI16" s="1945"/>
      <c r="EJ16" s="1945"/>
      <c r="EK16" s="1945"/>
      <c r="EL16" s="1945"/>
      <c r="EM16" s="1945"/>
      <c r="EN16" s="1945"/>
      <c r="EO16" s="1945"/>
      <c r="EP16" s="1945"/>
      <c r="EQ16" s="1945"/>
      <c r="ER16" s="1945"/>
      <c r="ES16" s="1945"/>
      <c r="ET16" s="1945"/>
      <c r="EU16" s="1945"/>
      <c r="EV16" s="1945"/>
      <c r="EW16" s="1945"/>
      <c r="EX16" s="1945"/>
      <c r="EY16" s="1945"/>
      <c r="EZ16" s="1945"/>
      <c r="FA16" s="1945"/>
    </row>
    <row customHeight="true" ht="16.071428571428573" r="17">
      <c r="A17" s="1948"/>
      <c r="B17" s="1948"/>
      <c r="C17" s="1948"/>
      <c r="D17" s="1948"/>
      <c r="E17" s="1954" t="s">
        <v>5382</v>
      </c>
      <c r="F17" s="1948"/>
      <c r="G17" s="1954" t="s">
        <v>5383</v>
      </c>
      <c r="H17" s="1955"/>
      <c r="I17" s="1948"/>
      <c r="J17" s="1948"/>
      <c r="K17" s="1948"/>
      <c r="L17" s="1948"/>
      <c r="M17" s="1948"/>
      <c r="N17" s="1948"/>
      <c r="O17" s="1948"/>
      <c r="P17" s="1948"/>
      <c r="Q17" s="1948"/>
      <c r="R17" s="1948"/>
      <c r="S17" s="1948"/>
      <c r="T17" s="1948"/>
      <c r="U17" s="1948"/>
      <c r="V17" s="1949">
        <v>1001</v>
      </c>
      <c r="W17" s="1948"/>
      <c r="X17" s="1948"/>
      <c r="Y17" s="1948"/>
      <c r="Z17" s="1948"/>
      <c r="AA17" s="1948"/>
      <c r="AB17" s="1948"/>
      <c r="AC17" s="1956">
        <v>10</v>
      </c>
      <c r="AD17" s="1956"/>
      <c r="AE17" s="1956"/>
      <c r="AF17" s="1956"/>
      <c r="AG17" s="1956">
        <v>10</v>
      </c>
      <c r="AH17" s="1948"/>
      <c r="AI17" s="1948"/>
      <c r="AJ17" s="1948"/>
      <c r="AK17" s="1948"/>
      <c r="AL17" s="1948"/>
      <c r="AM17" s="1948"/>
      <c r="AN17" s="1948"/>
      <c r="AO17" s="1948"/>
      <c r="AP17" s="1948"/>
      <c r="AQ17" s="1948"/>
      <c r="AR17" s="1948"/>
      <c r="AS17" s="1948"/>
      <c r="AT17" s="1948"/>
      <c r="AU17" s="1948"/>
      <c r="AV17" s="1948"/>
      <c r="AW17" s="1956">
        <v>10</v>
      </c>
      <c r="AX17" s="1956"/>
      <c r="AY17" s="1956"/>
      <c r="AZ17" s="1956"/>
      <c r="BA17" s="1956">
        <v>10</v>
      </c>
      <c r="BB17" s="1948"/>
      <c r="BC17" s="1948"/>
      <c r="BD17" s="1948"/>
      <c r="BE17" s="1948"/>
      <c r="BF17" s="1948"/>
      <c r="BG17" s="1948"/>
      <c r="BH17" s="1948"/>
      <c r="BI17" s="1948"/>
      <c r="BJ17" s="1948"/>
      <c r="BK17" s="1948"/>
      <c r="BL17" s="1948"/>
      <c r="BM17" s="1956">
        <v>5</v>
      </c>
      <c r="BN17" s="1956">
        <f t="shared" ref="BN17:BN19" si="8">AX17*AV$14</f>
      </c>
      <c r="BO17" s="1956">
        <f t="shared" ref="BO17:BO19" si="9">AY17*AW$14</f>
      </c>
      <c r="BP17" s="1956">
        <f t="shared" ref="BP17:BP19" si="10">AZ17*AX$14</f>
      </c>
      <c r="BQ17" s="1956">
        <f t="shared" ref="BQ17:BQ19" si="11">BA17*AY$14</f>
      </c>
      <c r="BR17" s="1956">
        <f t="shared" ref="BR17:BR19" si="12">BB17*AZ$14</f>
      </c>
      <c r="BS17" s="1956">
        <f t="shared" ref="BS17:BS19" si="13">BC17*BA$14</f>
      </c>
      <c r="BT17" s="1948"/>
      <c r="BU17" s="1948"/>
      <c r="BV17" s="1948"/>
      <c r="BW17" s="1948"/>
      <c r="BX17" s="1948"/>
      <c r="BY17" s="1948"/>
      <c r="BZ17" s="1948"/>
      <c r="CA17" s="1948"/>
      <c r="CB17" s="1948"/>
      <c r="CC17" s="1957">
        <f>BM17/(BM17+BM18)</f>
      </c>
      <c r="CD17" s="1948">
        <f t="shared" ref="CD17:CD18" si="14">SUM(CE17:DI17)</f>
      </c>
      <c r="CE17" s="1956">
        <f t="shared" ref="CE17:CE18" si="20">BN$19*$CC17</f>
      </c>
      <c r="CF17" s="1956">
        <f t="shared" ref="CF17:CF18" si="21">BO$19*$CC17</f>
      </c>
      <c r="CG17" s="1956">
        <f t="shared" ref="CG17:CG18" si="22">BP$19*$CC17</f>
      </c>
      <c r="CH17" s="1956">
        <f t="shared" ref="CH17:CH18" si="23">BQ$19*$CC17</f>
      </c>
      <c r="CI17" s="1956">
        <f t="shared" ref="CI17:CI18" si="24">BR$19*$CC17</f>
      </c>
      <c r="CJ17" s="1957"/>
      <c r="CK17" s="1957"/>
      <c r="CL17" s="1957"/>
      <c r="CM17" s="1957"/>
      <c r="CN17" s="1957"/>
      <c r="CO17" s="1957"/>
      <c r="CP17" s="1957"/>
      <c r="CQ17" s="1957"/>
      <c r="CR17" s="1957"/>
      <c r="CS17" s="1957"/>
      <c r="CT17" s="1956">
        <f t="shared" ref="CT17:CT18" si="0">SUM(CU17:DI17)</f>
      </c>
      <c r="CU17" s="1956">
        <f t="shared" ref="CU17:CU18" si="15">AX17+BO17</f>
      </c>
      <c r="CV17" s="1956">
        <f t="shared" ref="CV17:CV18" si="16">AY17+BP17</f>
      </c>
      <c r="CW17" s="1956">
        <f t="shared" ref="CW17:CW18" si="17">AZ17+BQ17</f>
      </c>
      <c r="CX17" s="1956">
        <f t="shared" ref="CX17:CX18" si="18">BA17+BR17</f>
      </c>
      <c r="CY17" s="1956">
        <f t="shared" ref="CY17:CY18" si="19">BB17+BS17</f>
      </c>
      <c r="CZ17" s="1956">
        <f t="shared" ref="CZ17:CZ18" si="1">BC17+CJ17</f>
      </c>
      <c r="DA17" s="1956">
        <f t="shared" ref="DA17:DA18" si="2">BD17+CK17</f>
      </c>
      <c r="DB17" s="1956">
        <f t="shared" ref="DB17:DB18" si="3">BE17+CL17</f>
      </c>
      <c r="DC17" s="1956">
        <f t="shared" ref="DC17:DC18" si="4">BF17+CM17</f>
      </c>
      <c r="DD17" s="1956">
        <f t="shared" ref="DD17:DD18" si="5">BG17+CN17</f>
      </c>
      <c r="DE17" s="1956">
        <f t="shared" ref="DE17:DE18" si="6">BH17+CO17</f>
      </c>
      <c r="DF17" s="1956">
        <f t="shared" ref="DF17:DF18" si="7">BI17+CP17</f>
      </c>
      <c r="DG17" s="1956"/>
      <c r="DH17" s="1956"/>
      <c r="DI17" s="1956"/>
      <c r="DJ17" s="1956"/>
      <c r="DK17" s="1956"/>
      <c r="DL17" s="1956"/>
      <c r="DM17" s="1956"/>
      <c r="DN17" s="1956"/>
      <c r="DO17" s="1956"/>
      <c r="DP17" s="1956"/>
      <c r="DQ17" s="1956"/>
      <c r="DR17" s="1956"/>
      <c r="DS17" s="1956"/>
      <c r="DT17" s="1956"/>
      <c r="DU17" s="1956"/>
      <c r="DV17" s="1956"/>
      <c r="DW17" s="1956"/>
      <c r="DX17" s="1956"/>
      <c r="DY17" s="1956"/>
      <c r="DZ17" s="1956"/>
      <c r="EA17" s="1956"/>
      <c r="EB17" s="1956"/>
      <c r="EC17" s="1956"/>
      <c r="ED17" s="1956"/>
      <c r="EE17" s="1945"/>
      <c r="EF17" s="1945"/>
      <c r="EG17" s="1945"/>
      <c r="EH17" s="1945"/>
      <c r="EI17" s="1945"/>
      <c r="EJ17" s="1945"/>
      <c r="EK17" s="1945"/>
      <c r="EL17" s="1945"/>
      <c r="EM17" s="1945"/>
      <c r="EN17" s="1945"/>
      <c r="EO17" s="1945"/>
      <c r="EP17" s="1945"/>
      <c r="EQ17" s="1945"/>
      <c r="ER17" s="1945"/>
      <c r="ES17" s="1945"/>
      <c r="ET17" s="1945"/>
      <c r="EU17" s="1945"/>
      <c r="EV17" s="1945"/>
      <c r="EW17" s="1945"/>
      <c r="EX17" s="1945"/>
      <c r="EY17" s="1945"/>
      <c r="EZ17" s="1945"/>
      <c r="FA17" s="1945"/>
    </row>
    <row customHeight="true" ht="16.071428571428573" r="18">
      <c r="A18" s="1948"/>
      <c r="B18" s="1948"/>
      <c r="C18" s="1948"/>
      <c r="D18" s="1948"/>
      <c r="E18" s="1954" t="s">
        <v>5382</v>
      </c>
      <c r="F18" s="1954"/>
      <c r="G18" s="1954" t="s">
        <v>5383</v>
      </c>
      <c r="H18" s="1955"/>
      <c r="I18" s="1948"/>
      <c r="J18" s="1948"/>
      <c r="K18" s="1948"/>
      <c r="L18" s="1948"/>
      <c r="M18" s="1948"/>
      <c r="N18" s="1948"/>
      <c r="O18" s="1948"/>
      <c r="P18" s="1948"/>
      <c r="Q18" s="1948"/>
      <c r="R18" s="1948"/>
      <c r="S18" s="1948"/>
      <c r="T18" s="1948"/>
      <c r="U18" s="1948"/>
      <c r="V18" s="1949">
        <v>1002</v>
      </c>
      <c r="W18" s="1948"/>
      <c r="X18" s="1948"/>
      <c r="Y18" s="1948"/>
      <c r="Z18" s="1948"/>
      <c r="AA18" s="1948"/>
      <c r="AB18" s="1948"/>
      <c r="AC18" s="1956">
        <v>213</v>
      </c>
      <c r="AD18" s="1956">
        <v>100</v>
      </c>
      <c r="AE18" s="1956"/>
      <c r="AF18" s="1956">
        <v>113</v>
      </c>
      <c r="AG18" s="1956"/>
      <c r="AH18" s="1948"/>
      <c r="AI18" s="1948"/>
      <c r="AJ18" s="1948"/>
      <c r="AK18" s="1948"/>
      <c r="AL18" s="1948"/>
      <c r="AM18" s="1948"/>
      <c r="AN18" s="1948"/>
      <c r="AO18" s="1948"/>
      <c r="AP18" s="1948"/>
      <c r="AQ18" s="1948"/>
      <c r="AR18" s="1948"/>
      <c r="AS18" s="1948"/>
      <c r="AT18" s="1948"/>
      <c r="AU18" s="1948"/>
      <c r="AV18" s="1948"/>
      <c r="AW18" s="1956">
        <v>213</v>
      </c>
      <c r="AX18" s="1956">
        <v>100</v>
      </c>
      <c r="AY18" s="1956"/>
      <c r="AZ18" s="1956">
        <v>113</v>
      </c>
      <c r="BA18" s="1956"/>
      <c r="BB18" s="1948"/>
      <c r="BC18" s="1948"/>
      <c r="BD18" s="1948"/>
      <c r="BE18" s="1948"/>
      <c r="BF18" s="1948"/>
      <c r="BG18" s="1948"/>
      <c r="BH18" s="1948"/>
      <c r="BI18" s="1948"/>
      <c r="BJ18" s="1948"/>
      <c r="BK18" s="1948"/>
      <c r="BL18" s="1948"/>
      <c r="BM18" s="1956">
        <v>11.5</v>
      </c>
      <c r="BN18" s="1956">
        <f t="shared" si="8"/>
      </c>
      <c r="BO18" s="1956">
        <f t="shared" si="9"/>
      </c>
      <c r="BP18" s="1956">
        <f t="shared" si="10"/>
      </c>
      <c r="BQ18" s="1956">
        <f t="shared" si="11"/>
      </c>
      <c r="BR18" s="1956">
        <f t="shared" si="12"/>
      </c>
      <c r="BS18" s="1956">
        <f t="shared" si="13"/>
      </c>
      <c r="BT18" s="1948"/>
      <c r="BU18" s="1948"/>
      <c r="BV18" s="1948"/>
      <c r="BW18" s="1948"/>
      <c r="BX18" s="1948"/>
      <c r="BY18" s="1948"/>
      <c r="BZ18" s="1948"/>
      <c r="CA18" s="1948"/>
      <c r="CB18" s="1948"/>
      <c r="CC18" s="1957">
        <f>BM18/(BM18+BM17)</f>
      </c>
      <c r="CD18" s="1948">
        <f t="shared" si="14"/>
      </c>
      <c r="CE18" s="1956">
        <f t="shared" si="20"/>
      </c>
      <c r="CF18" s="1956">
        <f t="shared" si="21"/>
      </c>
      <c r="CG18" s="1956">
        <f t="shared" si="22"/>
      </c>
      <c r="CH18" s="1956">
        <f t="shared" si="23"/>
      </c>
      <c r="CI18" s="1956">
        <f t="shared" si="24"/>
      </c>
      <c r="CJ18" s="1957"/>
      <c r="CK18" s="1957"/>
      <c r="CL18" s="1957"/>
      <c r="CM18" s="1957"/>
      <c r="CN18" s="1957"/>
      <c r="CO18" s="1957"/>
      <c r="CP18" s="1957"/>
      <c r="CQ18" s="1957"/>
      <c r="CR18" s="1957"/>
      <c r="CS18" s="1957"/>
      <c r="CT18" s="1956">
        <f t="shared" si="0"/>
      </c>
      <c r="CU18" s="1956">
        <f t="shared" si="15"/>
      </c>
      <c r="CV18" s="1956">
        <f t="shared" si="16"/>
      </c>
      <c r="CW18" s="1956">
        <f t="shared" si="17"/>
      </c>
      <c r="CX18" s="1956">
        <f t="shared" si="18"/>
      </c>
      <c r="CY18" s="1956">
        <f t="shared" si="19"/>
      </c>
      <c r="CZ18" s="1956">
        <f t="shared" si="1"/>
      </c>
      <c r="DA18" s="1956">
        <f t="shared" si="2"/>
      </c>
      <c r="DB18" s="1956">
        <f t="shared" si="3"/>
      </c>
      <c r="DC18" s="1956">
        <f t="shared" si="4"/>
      </c>
      <c r="DD18" s="1956">
        <f t="shared" si="5"/>
      </c>
      <c r="DE18" s="1956">
        <f t="shared" si="6"/>
      </c>
      <c r="DF18" s="1956">
        <f t="shared" si="7"/>
      </c>
      <c r="DG18" s="1956"/>
      <c r="DH18" s="1956"/>
      <c r="DI18" s="1956"/>
      <c r="DJ18" s="1956"/>
      <c r="DK18" s="1956"/>
      <c r="DL18" s="1956"/>
      <c r="DM18" s="1956"/>
      <c r="DN18" s="1956"/>
      <c r="DO18" s="1956"/>
      <c r="DP18" s="1956"/>
      <c r="DQ18" s="1956"/>
      <c r="DR18" s="1956"/>
      <c r="DS18" s="1956"/>
      <c r="DT18" s="1956"/>
      <c r="DU18" s="1956"/>
      <c r="DV18" s="1956"/>
      <c r="DW18" s="1956"/>
      <c r="DX18" s="1956"/>
      <c r="DY18" s="1956"/>
      <c r="DZ18" s="1956"/>
      <c r="EA18" s="1956"/>
      <c r="EB18" s="1956"/>
      <c r="EC18" s="1956"/>
      <c r="ED18" s="1956"/>
      <c r="EE18" s="1945"/>
      <c r="EF18" s="1945"/>
      <c r="EG18" s="1945"/>
      <c r="EH18" s="1945"/>
      <c r="EI18" s="1945"/>
      <c r="EJ18" s="1945"/>
      <c r="EK18" s="1945"/>
      <c r="EL18" s="1945"/>
      <c r="EM18" s="1945"/>
      <c r="EN18" s="1945"/>
      <c r="EO18" s="1945"/>
      <c r="EP18" s="1945"/>
      <c r="EQ18" s="1945"/>
      <c r="ER18" s="1945"/>
      <c r="ES18" s="1945"/>
      <c r="ET18" s="1945"/>
      <c r="EU18" s="1945"/>
      <c r="EV18" s="1945"/>
      <c r="EW18" s="1945"/>
      <c r="EX18" s="1945"/>
      <c r="EY18" s="1945"/>
      <c r="EZ18" s="1945"/>
      <c r="FA18" s="1945"/>
    </row>
    <row customHeight="true" ht="16.071428571428573" r="19">
      <c r="A19" s="1948"/>
      <c r="B19" s="1948"/>
      <c r="C19" s="1948"/>
      <c r="D19" s="1948"/>
      <c r="E19" s="1954" t="s">
        <v>5382</v>
      </c>
      <c r="F19" s="1954"/>
      <c r="G19" s="1954" t="s">
        <v>5383</v>
      </c>
      <c r="H19" s="1955"/>
      <c r="I19" s="1948"/>
      <c r="J19" s="1948"/>
      <c r="K19" s="1948"/>
      <c r="L19" s="1948"/>
      <c r="M19" s="1948"/>
      <c r="N19" s="1948"/>
      <c r="O19" s="1948"/>
      <c r="P19" s="1948"/>
      <c r="Q19" s="1948"/>
      <c r="R19" s="1948"/>
      <c r="S19" s="1948"/>
      <c r="T19" s="1948"/>
      <c r="U19" s="1948"/>
      <c r="V19" s="1949">
        <v>1003</v>
      </c>
      <c r="W19" s="1948"/>
      <c r="X19" s="1948"/>
      <c r="Y19" s="1948"/>
      <c r="Z19" s="1948"/>
      <c r="AA19" s="1948"/>
      <c r="AB19" s="1948"/>
      <c r="AC19" s="1956">
        <v>-13</v>
      </c>
      <c r="AD19" s="1956"/>
      <c r="AE19" s="1958">
        <v>-13</v>
      </c>
      <c r="AF19" s="1956"/>
      <c r="AG19" s="1956"/>
      <c r="AH19" s="1948"/>
      <c r="AI19" s="1948"/>
      <c r="AJ19" s="1948"/>
      <c r="AK19" s="1948"/>
      <c r="AL19" s="1948"/>
      <c r="AM19" s="1948"/>
      <c r="AN19" s="1948"/>
      <c r="AO19" s="1948"/>
      <c r="AP19" s="1948"/>
      <c r="AQ19" s="1948"/>
      <c r="AR19" s="1948"/>
      <c r="AS19" s="1948"/>
      <c r="AT19" s="1948"/>
      <c r="AU19" s="1948"/>
      <c r="AV19" s="1948"/>
      <c r="AW19" s="1956">
        <v>-13</v>
      </c>
      <c r="AX19" s="1956"/>
      <c r="AY19" s="1958"/>
      <c r="AZ19" s="1958">
        <v>-3</v>
      </c>
      <c r="BA19" s="1958">
        <v>-10</v>
      </c>
      <c r="BB19" s="1948"/>
      <c r="BC19" s="1948"/>
      <c r="BD19" s="1948"/>
      <c r="BE19" s="1948"/>
      <c r="BF19" s="1948"/>
      <c r="BG19" s="1948"/>
      <c r="BH19" s="1948"/>
      <c r="BI19" s="1948"/>
      <c r="BJ19" s="1948"/>
      <c r="BK19" s="1948"/>
      <c r="BL19" s="1948"/>
      <c r="BM19" s="1956">
        <v>-5.3</v>
      </c>
      <c r="BN19" s="1956">
        <f t="shared" si="8"/>
      </c>
      <c r="BO19" s="1956">
        <f t="shared" si="9"/>
      </c>
      <c r="BP19" s="1956">
        <f t="shared" si="10"/>
      </c>
      <c r="BQ19" s="1956">
        <f t="shared" si="11"/>
      </c>
      <c r="BR19" s="1956">
        <f t="shared" si="12"/>
      </c>
      <c r="BS19" s="1956">
        <f t="shared" si="13"/>
      </c>
      <c r="BT19" s="1948"/>
      <c r="BU19" s="1948"/>
      <c r="BV19" s="1948"/>
      <c r="BW19" s="1948"/>
      <c r="BX19" s="1948"/>
      <c r="BY19" s="1948"/>
      <c r="BZ19" s="1948"/>
      <c r="CA19" s="1948"/>
      <c r="CB19" s="1948"/>
      <c r="CC19" s="1948"/>
      <c r="CD19" s="1948"/>
      <c r="CE19" s="1948"/>
      <c r="CF19" s="1948"/>
      <c r="CG19" s="1948"/>
      <c r="CH19" s="1948"/>
      <c r="CI19" s="1948"/>
      <c r="CJ19" s="1948"/>
      <c r="CK19" s="1948"/>
      <c r="CL19" s="1948"/>
      <c r="CM19" s="1948"/>
      <c r="CN19" s="1948"/>
      <c r="CO19" s="1948"/>
      <c r="CP19" s="1948"/>
      <c r="CQ19" s="1948"/>
      <c r="CR19" s="1948"/>
      <c r="CS19" s="1948"/>
      <c r="CT19" s="1948"/>
      <c r="CU19" s="1948"/>
      <c r="CV19" s="1948"/>
      <c r="CW19" s="1948"/>
      <c r="CX19" s="1948"/>
      <c r="CY19" s="1948"/>
      <c r="CZ19" s="1948"/>
      <c r="DA19" s="1948"/>
      <c r="DB19" s="1948"/>
      <c r="DC19" s="1948"/>
      <c r="DD19" s="1949"/>
      <c r="DE19" s="1948"/>
      <c r="DF19" s="1948"/>
      <c r="DG19" s="1948"/>
      <c r="DH19" s="1948"/>
      <c r="DI19" s="1948"/>
      <c r="DJ19" s="1956"/>
      <c r="DK19" s="1956"/>
      <c r="DL19" s="1956"/>
      <c r="DM19" s="1956"/>
      <c r="DN19" s="1956"/>
      <c r="DO19" s="1956"/>
      <c r="DP19" s="1956"/>
      <c r="DQ19" s="1956"/>
      <c r="DR19" s="1956"/>
      <c r="DS19" s="1956"/>
      <c r="DT19" s="1956"/>
      <c r="DU19" s="1956"/>
      <c r="DV19" s="1956"/>
      <c r="DW19" s="1956"/>
      <c r="DX19" s="1956"/>
      <c r="DY19" s="1956"/>
      <c r="DZ19" s="1956"/>
      <c r="EA19" s="1956"/>
      <c r="EB19" s="1956"/>
      <c r="EC19" s="1956"/>
      <c r="ED19" s="1956"/>
      <c r="EE19" s="1945"/>
      <c r="EF19" s="1945"/>
      <c r="EG19" s="1945"/>
      <c r="EH19" s="1945"/>
      <c r="EI19" s="1945"/>
      <c r="EJ19" s="1945"/>
      <c r="EK19" s="1945"/>
      <c r="EL19" s="1945"/>
      <c r="EM19" s="1945"/>
      <c r="EN19" s="1945"/>
      <c r="EO19" s="1945"/>
      <c r="EP19" s="1945"/>
      <c r="EQ19" s="1945"/>
      <c r="ER19" s="1945"/>
      <c r="ES19" s="1945"/>
      <c r="ET19" s="1945"/>
      <c r="EU19" s="1945"/>
      <c r="EV19" s="1945"/>
      <c r="EW19" s="1945"/>
      <c r="EX19" s="1945"/>
      <c r="EY19" s="1945"/>
      <c r="EZ19" s="1945"/>
      <c r="FA19" s="1945"/>
    </row>
    <row r="20"/>
    <row r="21"/>
    <row r="22">
      <c r="A22" s="1942" t="s">
        <v>5384</v>
      </c>
    </row>
    <row r="23">
      <c r="A23" s="1946" t="s">
        <v>4927</v>
      </c>
      <c r="B23" s="1959" t="s">
        <v>4928</v>
      </c>
      <c r="C23" s="1946" t="s">
        <v>4929</v>
      </c>
      <c r="D23" s="1946" t="s">
        <v>4930</v>
      </c>
      <c r="E23" s="1946" t="s">
        <v>4931</v>
      </c>
      <c r="F23" s="1947" t="s">
        <v>4932</v>
      </c>
      <c r="G23" s="1947" t="s">
        <v>4934</v>
      </c>
      <c r="H23" s="1946" t="s">
        <v>4935</v>
      </c>
      <c r="I23" s="1946" t="s">
        <v>4936</v>
      </c>
      <c r="J23" s="1947" t="s">
        <v>4937</v>
      </c>
      <c r="K23" s="1946" t="s">
        <v>4938</v>
      </c>
      <c r="L23" s="1946" t="s">
        <v>4939</v>
      </c>
      <c r="M23" s="1946" t="s">
        <v>4940</v>
      </c>
      <c r="N23" s="1947" t="s">
        <v>4941</v>
      </c>
      <c r="O23" s="1946" t="s">
        <v>4942</v>
      </c>
      <c r="P23" s="1947" t="s">
        <v>4952</v>
      </c>
      <c r="Q23" s="1946" t="s">
        <v>4953</v>
      </c>
      <c r="R23" s="1946" t="s">
        <v>4954</v>
      </c>
      <c r="S23" s="1946" t="s">
        <v>4955</v>
      </c>
      <c r="T23" s="1946" t="s">
        <v>4956</v>
      </c>
      <c r="U23" s="1946" t="s">
        <v>4957</v>
      </c>
      <c r="V23" s="1946" t="s">
        <v>4958</v>
      </c>
      <c r="W23" s="1946" t="s">
        <v>4959</v>
      </c>
      <c r="X23" s="1946" t="s">
        <v>4960</v>
      </c>
      <c r="Y23" s="1946" t="s">
        <v>5385</v>
      </c>
      <c r="Z23" s="1946" t="s">
        <v>5386</v>
      </c>
      <c r="AA23" s="1946" t="s">
        <v>5387</v>
      </c>
      <c r="AB23" s="1946" t="s">
        <v>5388</v>
      </c>
      <c r="AC23" s="1946" t="s">
        <v>5389</v>
      </c>
      <c r="AD23" s="1946" t="s">
        <v>5390</v>
      </c>
      <c r="AE23" s="1946" t="s">
        <v>5391</v>
      </c>
      <c r="AF23" s="1946" t="s">
        <v>5392</v>
      </c>
      <c r="AG23" s="1946" t="s">
        <v>5393</v>
      </c>
    </row>
    <row customHeight="true" ht="23.80952380952381" r="24">
      <c r="A24" s="1946" t="s">
        <v>5010</v>
      </c>
      <c r="B24" s="1959" t="s">
        <v>5011</v>
      </c>
      <c r="C24" s="1946" t="s">
        <v>5012</v>
      </c>
      <c r="D24" s="1946" t="s">
        <v>5013</v>
      </c>
      <c r="E24" s="1946" t="s">
        <v>5014</v>
      </c>
      <c r="F24" s="1947" t="s">
        <v>5015</v>
      </c>
      <c r="G24" s="1947" t="s">
        <v>5017</v>
      </c>
      <c r="H24" s="1946" t="s">
        <v>5018</v>
      </c>
      <c r="I24" s="1946" t="s">
        <v>5019</v>
      </c>
      <c r="J24" s="1947" t="s">
        <v>5020</v>
      </c>
      <c r="K24" s="1946" t="s">
        <v>5021</v>
      </c>
      <c r="L24" s="1946" t="s">
        <v>5022</v>
      </c>
      <c r="M24" s="1946" t="s">
        <v>5023</v>
      </c>
      <c r="N24" s="1947" t="s">
        <v>5024</v>
      </c>
      <c r="O24" s="1946" t="s">
        <v>5025</v>
      </c>
      <c r="P24" s="1947" t="s">
        <v>5035</v>
      </c>
      <c r="Q24" s="1946" t="s">
        <v>5036</v>
      </c>
      <c r="R24" s="1946" t="s">
        <v>5037</v>
      </c>
      <c r="S24" s="1946" t="s">
        <v>5038</v>
      </c>
      <c r="T24" s="1946" t="s">
        <v>5039</v>
      </c>
      <c r="U24" s="1946" t="s">
        <v>5040</v>
      </c>
      <c r="V24" s="1946" t="s">
        <v>5041</v>
      </c>
      <c r="W24" s="1946" t="s">
        <v>5042</v>
      </c>
      <c r="X24" s="1946" t="s">
        <v>5043</v>
      </c>
      <c r="Y24" s="1946" t="s">
        <v>5394</v>
      </c>
      <c r="Z24" s="1946" t="s">
        <v>5395</v>
      </c>
      <c r="AA24" s="1946" t="s">
        <v>5396</v>
      </c>
      <c r="AB24" s="1946" t="s">
        <v>5397</v>
      </c>
      <c r="AC24" s="1946" t="s">
        <v>5398</v>
      </c>
      <c r="AD24" s="1946" t="s">
        <v>5399</v>
      </c>
      <c r="AE24" s="1946" t="s">
        <v>5400</v>
      </c>
      <c r="AF24" s="1946" t="s">
        <v>5401</v>
      </c>
      <c r="AG24" s="1946" t="s">
        <v>5402</v>
      </c>
    </row>
    <row r="25">
      <c r="A25" s="1948"/>
      <c r="B25" s="1948"/>
      <c r="C25" s="1948"/>
      <c r="D25" s="1948"/>
      <c r="E25" s="1948"/>
      <c r="F25" s="1948"/>
      <c r="G25" s="1948"/>
      <c r="H25" s="1948"/>
      <c r="I25" s="1948"/>
      <c r="J25" s="1948"/>
      <c r="K25" s="1948"/>
      <c r="L25" s="1948"/>
      <c r="M25" s="1948"/>
      <c r="N25" s="1948"/>
      <c r="O25" s="1948"/>
      <c r="P25" s="1948"/>
      <c r="Q25" s="1948"/>
      <c r="R25" s="1948"/>
      <c r="S25" s="1948"/>
      <c r="T25" s="1948"/>
      <c r="U25" s="1948"/>
      <c r="V25" s="1948"/>
      <c r="W25" s="1948"/>
      <c r="X25" s="1948"/>
      <c r="Y25" s="1948"/>
      <c r="Z25" s="1948"/>
      <c r="AA25" s="1948"/>
      <c r="AB25" s="1948"/>
      <c r="AC25" s="1948"/>
      <c r="AD25" s="1948"/>
      <c r="AE25" s="1948"/>
      <c r="AF25" s="1948"/>
      <c r="AG25" s="1948"/>
    </row>
    <row r="26"/>
    <row r="27"/>
    <row r="28">
      <c r="A28" s="1942" t="s">
        <v>5403</v>
      </c>
    </row>
    <row r="29">
      <c r="A29" s="1946" t="s">
        <v>4927</v>
      </c>
      <c r="B29" s="1959" t="s">
        <v>4928</v>
      </c>
      <c r="C29" s="1946" t="s">
        <v>4929</v>
      </c>
      <c r="D29" s="1946" t="s">
        <v>4930</v>
      </c>
      <c r="E29" s="1946" t="s">
        <v>4931</v>
      </c>
      <c r="F29" s="1946" t="s">
        <v>4932</v>
      </c>
      <c r="G29" s="1947" t="s">
        <v>4934</v>
      </c>
      <c r="H29" s="1946" t="s">
        <v>4935</v>
      </c>
      <c r="I29" s="1946" t="s">
        <v>4940</v>
      </c>
      <c r="J29" s="1947" t="s">
        <v>4941</v>
      </c>
      <c r="K29" s="1946" t="s">
        <v>4942</v>
      </c>
      <c r="L29" s="1946" t="s">
        <v>4952</v>
      </c>
      <c r="M29" s="1947" t="s">
        <v>4953</v>
      </c>
      <c r="N29" s="1946" t="s">
        <v>4954</v>
      </c>
      <c r="O29" s="1947" t="s">
        <v>4955</v>
      </c>
      <c r="P29" s="1946" t="s">
        <v>4956</v>
      </c>
      <c r="Q29" s="1946" t="s">
        <v>4957</v>
      </c>
      <c r="R29" s="1946" t="s">
        <v>4960</v>
      </c>
      <c r="S29" s="1946" t="s">
        <v>5404</v>
      </c>
    </row>
    <row customHeight="true" ht="23.80952380952381" r="30">
      <c r="A30" s="1946" t="s">
        <v>5010</v>
      </c>
      <c r="B30" s="1959" t="s">
        <v>5011</v>
      </c>
      <c r="C30" s="1946" t="s">
        <v>5012</v>
      </c>
      <c r="D30" s="1946" t="s">
        <v>5013</v>
      </c>
      <c r="E30" s="1946" t="s">
        <v>5014</v>
      </c>
      <c r="F30" s="1946" t="s">
        <v>5015</v>
      </c>
      <c r="G30" s="1947" t="s">
        <v>5017</v>
      </c>
      <c r="H30" s="1946" t="s">
        <v>5018</v>
      </c>
      <c r="I30" s="1946" t="s">
        <v>5023</v>
      </c>
      <c r="J30" s="1947" t="s">
        <v>5024</v>
      </c>
      <c r="K30" s="1946" t="s">
        <v>5025</v>
      </c>
      <c r="L30" s="1946" t="s">
        <v>5035</v>
      </c>
      <c r="M30" s="1947" t="s">
        <v>5036</v>
      </c>
      <c r="N30" s="1946" t="s">
        <v>5037</v>
      </c>
      <c r="O30" s="1947" t="s">
        <v>5038</v>
      </c>
      <c r="P30" s="1946" t="s">
        <v>5039</v>
      </c>
      <c r="Q30" s="1946" t="s">
        <v>5040</v>
      </c>
      <c r="R30" s="1946" t="s">
        <v>5043</v>
      </c>
      <c r="S30" s="1946" t="s">
        <v>5405</v>
      </c>
    </row>
    <row r="31">
      <c r="A31" s="1948"/>
      <c r="B31" s="1948"/>
      <c r="C31" s="1948"/>
      <c r="D31" s="1948"/>
      <c r="E31" s="1948"/>
      <c r="F31" s="1948"/>
      <c r="G31" s="1948"/>
      <c r="H31" s="1948"/>
      <c r="I31" s="1948"/>
      <c r="J31" s="1948"/>
      <c r="K31" s="1948"/>
      <c r="L31" s="1948"/>
      <c r="M31" s="1948"/>
      <c r="N31" s="1948"/>
      <c r="O31" s="1948"/>
      <c r="P31" s="1948"/>
      <c r="Q31" s="1948"/>
      <c r="R31" s="1948"/>
      <c r="S31" s="1948"/>
    </row>
  </sheetData>
  <picture r:id="rId1"/>
</worksheet>
</file>

<file path=xl/worksheets/sheet3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cols>
    <col collapsed="false" customWidth="true" hidden="false" max="12" min="12" style="0" width="16.95774647887324"/>
    <col collapsed="false" customWidth="true" hidden="false" max="28" min="28" style="0" width="16.281690140845072"/>
    <col collapsed="false" customWidth="true" hidden="false" max="44" min="44" style="0" width="22.47887323943662"/>
    <col collapsed="false" customWidth="true" hidden="false" max="60" min="60" style="0" width="28.788732394366196"/>
    <col collapsed="false" customWidth="true" hidden="false" max="73" min="73" style="0" width="22.47887323943662"/>
    <col collapsed="false" customWidth="true" hidden="false" max="89" min="89" style="0" width="21.802816901408452"/>
    <col collapsed="false" customWidth="true" hidden="false" max="11" min="11" style="0" width="13.014084507042254"/>
    <col collapsed="false" customWidth="true" hidden="false" max="27" min="27" style="0" width="16.95774647887324"/>
    <col collapsed="false" customWidth="true" hidden="false" max="43" min="43" style="0" width="22.47887323943662"/>
    <col collapsed="false" customWidth="true" hidden="false" max="59" min="59" style="0" width="28.788732394366196"/>
    <col collapsed="false" customWidth="true" hidden="false" max="76" min="76" style="0" width="22.47887323943662"/>
    <col collapsed="false" customWidth="true" hidden="false" max="92" min="92" style="0" width="21.802816901408452"/>
    <col collapsed="false" customWidth="true" hidden="false" max="6" min="6" style="0" width="17.295774647887324"/>
    <col collapsed="false" customWidth="true" hidden="false" max="22" min="22" style="0" width="16.281690140845072"/>
    <col collapsed="false" customWidth="true" hidden="false" max="38" min="38" style="0" width="22.47887323943662"/>
    <col collapsed="false" customWidth="true" hidden="false" max="54" min="54" style="0" width="28.788732394366196"/>
    <col collapsed="false" customWidth="true" hidden="false" max="75" min="75" style="0" width="22.47887323943662"/>
    <col collapsed="false" customWidth="true" hidden="false" max="91" min="91" style="0" width="21.802816901408452"/>
    <col collapsed="false" customWidth="true" hidden="false" max="5" min="5" style="0" width="15.173708856758758"/>
    <col collapsed="false" customWidth="true" hidden="false" max="21" min="21" style="0" width="16.95774647887324"/>
    <col collapsed="false" customWidth="true" hidden="false" max="37" min="37" style="0" width="20.901408450704224"/>
    <col collapsed="false" customWidth="true" hidden="false" max="53" min="53" style="0" width="25.633802816901408"/>
    <col collapsed="false" customWidth="true" hidden="false" max="70" min="70" style="0" width="22.47887323943662"/>
    <col collapsed="false" customWidth="true" hidden="false" max="86" min="86" style="0" width="21.802816901408452"/>
    <col collapsed="false" customWidth="true" hidden="false" max="8" min="8" style="0" width="9.859154929577464"/>
    <col collapsed="false" customWidth="true" hidden="false" max="24" min="24" style="0" width="16.95774647887324"/>
    <col collapsed="false" customWidth="true" hidden="false" max="40" min="40" style="0" width="22.47887323943662"/>
    <col collapsed="false" customWidth="true" hidden="false" max="56" min="56" style="0" width="28.788732394366196"/>
    <col collapsed="false" customWidth="true" hidden="false" max="69" min="69" style="0" width="30.366197183098592"/>
    <col collapsed="false" customWidth="true" hidden="false" max="85" min="85" style="0" width="27.211267605633804"/>
    <col collapsed="false" customWidth="true" hidden="false" max="7" min="7" style="0" width="13.014084507042254"/>
    <col collapsed="false" customWidth="true" hidden="false" max="23" min="23" style="0" width="16.281690140845072"/>
    <col collapsed="false" customWidth="true" hidden="false" max="39" min="39" style="0" width="22.47887323943662"/>
    <col collapsed="false" customWidth="true" hidden="false" max="55" min="55" style="0" width="28.788732394366196"/>
    <col collapsed="false" customWidth="true" hidden="false" max="72" min="72" style="0" width="22.47887323943662"/>
    <col collapsed="false" customWidth="true" hidden="false" max="88" min="88" style="0" width="21.802816901408452"/>
    <col collapsed="false" customWidth="true" hidden="false" max="2" min="2" style="0" width="11.549295774647888"/>
    <col collapsed="false" customWidth="true" hidden="false" max="18" min="18" style="0" width="16.95774647887324"/>
    <col collapsed="false" customWidth="true" hidden="false" max="34" min="34" style="0" width="20.901408450704224"/>
    <col collapsed="false" customWidth="true" hidden="false" max="50" min="50" style="0" width="25.633802816901408"/>
    <col collapsed="false" customWidth="true" hidden="false" max="71" min="71" style="0" width="22.47887323943662"/>
    <col collapsed="false" customWidth="true" hidden="false" max="87" min="87" style="0" width="21.802816901408452"/>
    <col collapsed="false" customWidth="true" hidden="false" max="1" min="1" style="0" width="22.92957746478873"/>
    <col collapsed="false" customWidth="true" hidden="false" max="17" min="17" style="0" width="14.366197183098592"/>
    <col collapsed="false" customWidth="true" hidden="false" max="33" min="33" style="0" width="20.901408450704224"/>
    <col collapsed="false" customWidth="true" hidden="false" max="49" min="49" style="0" width="25.633802816901408"/>
    <col collapsed="false" customWidth="true" hidden="false" max="66" min="66" style="0" width="30.366197183098592"/>
    <col collapsed="false" customWidth="true" hidden="false" max="82" min="82" style="0" width="27.211267605633804"/>
    <col collapsed="false" customWidth="true" hidden="false" max="98" min="98" style="0" width="17.840385142253044"/>
    <col collapsed="false" customWidth="true" hidden="false" max="4" min="4" style="0" width="11.43661971830986"/>
    <col collapsed="false" customWidth="true" hidden="false" max="20" min="20" style="0" width="16.95774647887324"/>
    <col collapsed="false" customWidth="true" hidden="false" max="36" min="36" style="0" width="20.901408450704224"/>
    <col collapsed="false" customWidth="true" hidden="false" max="52" min="52" style="0" width="25.633802816901408"/>
    <col collapsed="false" customWidth="true" hidden="false" max="65" min="65" style="0" width="26.535211267605632"/>
    <col collapsed="false" customWidth="true" hidden="false" max="81" min="81" style="0" width="27.211267605633804"/>
    <col collapsed="false" customWidth="true" hidden="false" max="97" min="97" style="0" width="17.840385142253044"/>
    <col collapsed="false" customWidth="true" hidden="false" max="3" min="3" style="0" width="11.90610349159658"/>
    <col collapsed="false" customWidth="true" hidden="false" max="19" min="19" style="0" width="16.95774647887324"/>
    <col collapsed="false" customWidth="true" hidden="false" max="35" min="35" style="0" width="20.901408450704224"/>
    <col collapsed="false" customWidth="true" hidden="false" max="51" min="51" style="0" width="25.633802816901408"/>
    <col collapsed="false" customWidth="true" hidden="false" max="68" min="68" style="0" width="30.366197183098592"/>
    <col collapsed="false" customWidth="true" hidden="false" max="84" min="84" style="0" width="27.211267605633804"/>
    <col collapsed="false" customWidth="true" hidden="false" max="100" min="100" style="0" width="13.78405658366785"/>
    <col collapsed="false" customWidth="true" hidden="false" max="14" min="14" style="0" width="16.95774647887324"/>
    <col collapsed="false" customWidth="true" hidden="false" max="30" min="30" style="0" width="20.901408450704224"/>
    <col collapsed="false" customWidth="true" hidden="false" max="46" min="46" style="0" width="25.633802816901408"/>
    <col collapsed="false" customWidth="true" hidden="false" max="62" min="62" style="0" width="30.366197183098592"/>
    <col collapsed="false" customWidth="true" hidden="false" max="67" min="67" style="0" width="30.366197183098592"/>
    <col collapsed="false" customWidth="true" hidden="false" max="83" min="83" style="0" width="27.211267605633804"/>
    <col collapsed="false" customWidth="true" hidden="false" max="99" min="99" style="0" width="17.840385142253044"/>
    <col collapsed="false" customWidth="true" hidden="false" max="13" min="13" style="0" width="16.95774647887324"/>
    <col collapsed="false" customWidth="true" hidden="false" max="29" min="29" style="0" width="16.281690140845072"/>
    <col collapsed="false" customWidth="true" hidden="false" max="45" min="45" style="0" width="22.47887323943662"/>
    <col collapsed="false" customWidth="true" hidden="false" max="61" min="61" style="0" width="28.788732394366196"/>
    <col collapsed="false" customWidth="true" hidden="false" max="78" min="78" style="0" width="27.211267605633804"/>
    <col collapsed="false" customWidth="true" hidden="false" max="94" min="94" style="0" width="17.840385142253044"/>
    <col collapsed="false" customWidth="true" hidden="false" max="16" min="16" style="0" width="14.816901408450704"/>
    <col collapsed="false" customWidth="true" hidden="false" max="32" min="32" style="0" width="20.901408450704224"/>
    <col collapsed="false" customWidth="true" hidden="false" max="48" min="48" style="0" width="25.633802816901408"/>
    <col collapsed="false" customWidth="true" hidden="false" max="64" min="64" style="0" width="30.366197183098592"/>
    <col collapsed="false" customWidth="true" hidden="false" max="77" min="77" style="0" width="22.47887323943662"/>
    <col collapsed="false" customWidth="true" hidden="false" max="93" min="93" style="0" width="21.802816901408452"/>
    <col collapsed="false" customWidth="true" hidden="false" max="15" min="15" style="0" width="16.95774647887324"/>
    <col collapsed="false" customWidth="true" hidden="false" max="31" min="31" style="0" width="20.901408450704224"/>
    <col collapsed="false" customWidth="true" hidden="false" max="47" min="47" style="0" width="25.633802816901408"/>
    <col collapsed="false" customWidth="true" hidden="false" max="63" min="63" style="0" width="30.366197183098592"/>
    <col collapsed="false" customWidth="true" hidden="false" max="80" min="80" style="0" width="27.211267605633804"/>
    <col collapsed="false" customWidth="true" hidden="false" max="96" min="96" style="0" width="17.840385142253044"/>
    <col collapsed="false" customWidth="true" hidden="false" max="10" min="10" style="0" width="13.014084507042254"/>
    <col collapsed="false" customWidth="true" hidden="false" max="26" min="26" style="0" width="16.95774647887324"/>
    <col collapsed="false" customWidth="true" hidden="false" max="42" min="42" style="0" width="22.47887323943662"/>
    <col collapsed="false" customWidth="true" hidden="false" max="58" min="58" style="0" width="28.788732394366196"/>
    <col collapsed="false" customWidth="true" hidden="false" max="79" min="79" style="0" width="27.211267605633804"/>
    <col collapsed="false" customWidth="true" hidden="false" max="95" min="95" style="0" width="17.840385142253044"/>
    <col collapsed="false" customWidth="true" hidden="false" max="9" min="9" style="0" width="9.859154929577464"/>
    <col collapsed="false" customWidth="true" hidden="false" max="25" min="25" style="0" width="16.95774647887324"/>
    <col collapsed="false" customWidth="true" hidden="false" max="41" min="41" style="0" width="22.47887323943662"/>
    <col collapsed="false" customWidth="true" hidden="false" max="57" min="57" style="0" width="28.788732394366196"/>
    <col collapsed="false" customWidth="true" hidden="false" max="74" min="74" style="0" width="22.47887323943662"/>
    <col collapsed="false" customWidth="true" hidden="false" max="90" min="90" style="0" width="21.802816901408452"/>
  </cols>
  <sheetData>
    <row r="1">
      <c r="A1" s="1960" t="s">
        <v>5406</v>
      </c>
      <c r="C1" s="1961"/>
      <c r="BH1" s="1962"/>
      <c r="BI1" s="1962"/>
      <c r="BJ1" s="1962"/>
      <c r="BK1" s="1962"/>
      <c r="BT1" s="1962"/>
    </row>
    <row customHeight="true" ht="23.80952380952381" r="2">
      <c r="A2" s="1963" t="s">
        <v>5407</v>
      </c>
      <c r="B2" s="1963" t="s">
        <v>5408</v>
      </c>
      <c r="C2" s="1964" t="s">
        <v>5409</v>
      </c>
      <c r="D2" s="1963" t="s">
        <v>5410</v>
      </c>
      <c r="E2" s="1964" t="s">
        <v>5411</v>
      </c>
      <c r="F2" s="1963" t="s">
        <v>5412</v>
      </c>
      <c r="G2" s="1963" t="s">
        <v>5413</v>
      </c>
      <c r="H2" s="1963" t="s">
        <v>5414</v>
      </c>
      <c r="I2" s="1963" t="s">
        <v>5415</v>
      </c>
      <c r="J2" s="1963" t="s">
        <v>5416</v>
      </c>
      <c r="K2" s="1963" t="s">
        <v>5417</v>
      </c>
      <c r="L2" s="1963" t="s">
        <v>5418</v>
      </c>
      <c r="M2" s="1963" t="s">
        <v>5419</v>
      </c>
      <c r="N2" s="1963" t="s">
        <v>5420</v>
      </c>
      <c r="O2" s="1963" t="s">
        <v>5421</v>
      </c>
      <c r="P2" s="1963" t="s">
        <v>5422</v>
      </c>
      <c r="Q2" s="1963" t="s">
        <v>5423</v>
      </c>
      <c r="R2" s="1964" t="s">
        <v>5424</v>
      </c>
      <c r="S2" s="1964" t="s">
        <v>5425</v>
      </c>
      <c r="T2" s="1964" t="s">
        <v>5426</v>
      </c>
      <c r="U2" s="1964" t="s">
        <v>5427</v>
      </c>
      <c r="V2" s="1964" t="s">
        <v>5428</v>
      </c>
      <c r="W2" s="1964" t="s">
        <v>5429</v>
      </c>
      <c r="X2" s="1964" t="s">
        <v>5430</v>
      </c>
      <c r="Y2" s="1964" t="s">
        <v>5431</v>
      </c>
      <c r="Z2" s="1964" t="s">
        <v>5432</v>
      </c>
      <c r="AA2" s="1964" t="s">
        <v>5433</v>
      </c>
      <c r="AB2" s="1964" t="s">
        <v>5434</v>
      </c>
      <c r="AC2" s="1963" t="s">
        <v>5435</v>
      </c>
      <c r="AD2" s="1963" t="s">
        <v>5436</v>
      </c>
      <c r="AE2" s="1963" t="s">
        <v>5437</v>
      </c>
      <c r="AF2" s="1963" t="s">
        <v>5438</v>
      </c>
      <c r="BH2" s="1962"/>
      <c r="BI2" s="1962"/>
      <c r="BJ2" s="1962"/>
      <c r="BK2" s="1962"/>
      <c r="BT2" s="1962"/>
    </row>
    <row customHeight="true" ht="23.80952380952381" r="3">
      <c r="A3" s="1963" t="s">
        <v>5439</v>
      </c>
      <c r="B3" s="1963" t="s">
        <v>5440</v>
      </c>
      <c r="C3" s="1964" t="s">
        <v>5441</v>
      </c>
      <c r="D3" s="1963" t="s">
        <v>5442</v>
      </c>
      <c r="E3" s="1964" t="s">
        <v>5443</v>
      </c>
      <c r="F3" s="1963" t="s">
        <v>5444</v>
      </c>
      <c r="G3" s="1963" t="s">
        <v>5445</v>
      </c>
      <c r="H3" s="1963" t="s">
        <v>5446</v>
      </c>
      <c r="I3" s="1963" t="s">
        <v>5447</v>
      </c>
      <c r="J3" s="1963" t="s">
        <v>5448</v>
      </c>
      <c r="K3" s="1963" t="s">
        <v>5449</v>
      </c>
      <c r="L3" s="1963" t="s">
        <v>5450</v>
      </c>
      <c r="M3" s="1963" t="s">
        <v>5451</v>
      </c>
      <c r="N3" s="1963" t="s">
        <v>5452</v>
      </c>
      <c r="O3" s="1963" t="s">
        <v>5453</v>
      </c>
      <c r="P3" s="1963" t="s">
        <v>5454</v>
      </c>
      <c r="Q3" s="1963" t="s">
        <v>5455</v>
      </c>
      <c r="R3" s="1964" t="s">
        <v>5456</v>
      </c>
      <c r="S3" s="1964" t="s">
        <v>5457</v>
      </c>
      <c r="T3" s="1964" t="s">
        <v>5458</v>
      </c>
      <c r="U3" s="1964" t="s">
        <v>5459</v>
      </c>
      <c r="V3" s="1964" t="s">
        <v>5460</v>
      </c>
      <c r="W3" s="1964" t="s">
        <v>5461</v>
      </c>
      <c r="X3" s="1964" t="s">
        <v>5462</v>
      </c>
      <c r="Y3" s="1964" t="s">
        <v>5463</v>
      </c>
      <c r="Z3" s="1964" t="s">
        <v>5464</v>
      </c>
      <c r="AA3" s="1964" t="s">
        <v>5465</v>
      </c>
      <c r="AB3" s="1964" t="s">
        <v>5466</v>
      </c>
      <c r="AC3" s="1963" t="s">
        <v>5467</v>
      </c>
      <c r="AD3" s="1963" t="s">
        <v>5468</v>
      </c>
      <c r="AE3" s="1963" t="s">
        <v>5469</v>
      </c>
      <c r="AF3" s="1963" t="s">
        <v>5470</v>
      </c>
      <c r="BH3" s="1962"/>
      <c r="BI3" s="1962"/>
      <c r="BJ3" s="1962"/>
      <c r="BK3" s="1962"/>
      <c r="BT3" s="1962"/>
    </row>
    <row r="4">
      <c r="A4" s="1965"/>
      <c r="B4" s="1965"/>
      <c r="C4" s="1965"/>
      <c r="D4" s="1965"/>
      <c r="E4" s="1965"/>
      <c r="F4" s="1965"/>
      <c r="G4" s="1965"/>
      <c r="H4" s="1965"/>
      <c r="I4" s="1965"/>
      <c r="J4" s="1965"/>
      <c r="K4" s="1965"/>
      <c r="L4" s="1965"/>
      <c r="M4" s="1965"/>
      <c r="N4" s="1965"/>
      <c r="O4" s="1965"/>
      <c r="P4" s="1965"/>
      <c r="Q4" s="1965"/>
      <c r="R4" s="1965"/>
      <c r="S4" s="1965"/>
      <c r="T4" s="1965"/>
      <c r="U4" s="1965"/>
      <c r="V4" s="1965"/>
      <c r="W4" s="1965"/>
      <c r="X4" s="1965"/>
      <c r="Y4" s="1965"/>
      <c r="Z4" s="1965"/>
      <c r="AA4" s="1965"/>
      <c r="AB4" s="1965"/>
      <c r="AC4" s="1965"/>
      <c r="AD4" s="1965"/>
      <c r="AE4" s="1965"/>
      <c r="AF4" s="1965"/>
      <c r="BH4" s="1962"/>
      <c r="BI4" s="1962"/>
      <c r="BJ4" s="1962"/>
      <c r="BK4" s="1962"/>
      <c r="BT4" s="1962"/>
    </row>
    <row r="5">
      <c r="A5" s="1965"/>
      <c r="B5" s="1965"/>
      <c r="C5" s="1965"/>
      <c r="D5" s="1965"/>
      <c r="E5" s="1965"/>
      <c r="F5" s="1965"/>
      <c r="G5" s="1965"/>
      <c r="H5" s="1965"/>
      <c r="I5" s="1965"/>
      <c r="J5" s="1965"/>
      <c r="K5" s="1965"/>
      <c r="L5" s="1965"/>
      <c r="M5" s="1965"/>
      <c r="N5" s="1965"/>
      <c r="O5" s="1965"/>
      <c r="P5" s="1965"/>
      <c r="Q5" s="1965"/>
      <c r="R5" s="1965"/>
      <c r="S5" s="1965"/>
      <c r="T5" s="1965"/>
      <c r="U5" s="1965"/>
      <c r="V5" s="1965"/>
      <c r="W5" s="1965"/>
      <c r="X5" s="1965"/>
      <c r="Y5" s="1965"/>
      <c r="Z5" s="1965"/>
      <c r="AA5" s="1965"/>
      <c r="AB5" s="1965"/>
      <c r="AC5" s="1965"/>
      <c r="AD5" s="1965"/>
      <c r="AE5" s="1965"/>
      <c r="AF5" s="1965"/>
      <c r="AG5" s="1966"/>
      <c r="AH5" s="1966"/>
      <c r="AI5" s="1966"/>
      <c r="AJ5" s="1966"/>
      <c r="AK5" s="1966"/>
      <c r="AL5" s="1966"/>
      <c r="AM5" s="1966"/>
      <c r="AN5" s="1966"/>
      <c r="AO5" s="1966"/>
      <c r="AP5" s="1966"/>
      <c r="AQ5" s="1966"/>
      <c r="AR5" s="1966"/>
      <c r="AS5" s="1966"/>
      <c r="AT5" s="1966"/>
      <c r="AU5" s="1966"/>
      <c r="AV5" s="1966"/>
      <c r="AW5" s="1966"/>
      <c r="AX5" s="1966"/>
      <c r="AY5" s="1966"/>
      <c r="AZ5" s="1966"/>
      <c r="BA5" s="1966"/>
      <c r="BB5" s="1966"/>
      <c r="BC5" s="1966"/>
      <c r="BD5" s="1966"/>
      <c r="BE5" s="1966"/>
      <c r="BF5" s="1966"/>
      <c r="BG5" s="1966"/>
      <c r="BH5" s="1967"/>
      <c r="BI5" s="1967"/>
      <c r="BJ5" s="1967"/>
      <c r="BK5" s="1967"/>
      <c r="BL5" s="1966"/>
      <c r="BM5" s="1966"/>
      <c r="BN5" s="1966"/>
      <c r="BO5" s="1966"/>
      <c r="BP5" s="1966"/>
      <c r="BQ5" s="1966"/>
      <c r="BR5" s="1966"/>
      <c r="BS5" s="1966"/>
      <c r="BT5" s="1967"/>
      <c r="BU5" s="1966"/>
      <c r="BV5" s="1966"/>
      <c r="BW5" s="1966"/>
      <c r="BX5" s="1966"/>
      <c r="BY5" s="1966"/>
      <c r="BZ5" s="1966"/>
      <c r="CA5" s="1966"/>
      <c r="CB5" s="1966"/>
      <c r="CC5" s="1966"/>
      <c r="CD5" s="1966"/>
      <c r="CE5" s="1966"/>
      <c r="CF5" s="1966"/>
      <c r="CG5" s="1966"/>
      <c r="CH5" s="1966"/>
      <c r="CI5" s="1966"/>
      <c r="CJ5" s="1966"/>
      <c r="CK5" s="1966"/>
      <c r="CL5" s="1966"/>
      <c r="CM5" s="1966"/>
      <c r="CN5" s="1966"/>
      <c r="CO5" s="1966"/>
    </row>
    <row r="6">
      <c r="BH6" s="1962"/>
      <c r="BI6" s="1962"/>
      <c r="BJ6" s="1962"/>
      <c r="BK6" s="1962"/>
      <c r="BT6" s="1962"/>
    </row>
    <row hidden="true" r="7">
      <c r="A7" s="1961" t="s">
        <v>5471</v>
      </c>
      <c r="BH7" s="1962"/>
      <c r="BI7" s="1962"/>
      <c r="BJ7" s="1962"/>
      <c r="BK7" s="1962"/>
      <c r="BT7" s="1962"/>
    </row>
    <row hidden="true" r="8">
      <c r="A8" s="1961" t="s">
        <v>5472</v>
      </c>
      <c r="BH8" s="1962"/>
      <c r="BI8" s="1962"/>
      <c r="BJ8" s="1962"/>
      <c r="BK8" s="1962"/>
      <c r="BT8" s="1962"/>
    </row>
    <row hidden="true" r="9">
      <c r="A9" s="1961" t="s">
        <v>5473</v>
      </c>
      <c r="BH9" s="1962"/>
      <c r="BI9" s="1962"/>
      <c r="BJ9" s="1962"/>
      <c r="BK9" s="1962"/>
      <c r="BT9" s="1962"/>
    </row>
    <row r="10">
      <c r="BH10" s="1962"/>
      <c r="BI10" s="1962"/>
      <c r="BJ10" s="1962"/>
      <c r="BK10" s="1962"/>
      <c r="BT10" s="1962"/>
    </row>
    <row customHeight="true" ht="16.071428571428573" r="11">
      <c r="A11" s="1960" t="s">
        <v>5474</v>
      </c>
      <c r="C11" s="1961"/>
      <c r="BH11" s="1962"/>
      <c r="BI11" s="1962"/>
      <c r="BJ11" s="1962"/>
      <c r="BK11" s="1962"/>
      <c r="BT11" s="1962"/>
    </row>
    <row customHeight="true" ht="23.80952380952381" r="12">
      <c r="A12" s="1963" t="s">
        <v>5407</v>
      </c>
      <c r="B12" s="1963" t="s">
        <v>5408</v>
      </c>
      <c r="C12" s="1963" t="s">
        <v>5410</v>
      </c>
      <c r="D12" s="1964" t="s">
        <v>5411</v>
      </c>
      <c r="E12" s="1963" t="s">
        <v>5412</v>
      </c>
      <c r="F12" s="1964" t="s">
        <v>5413</v>
      </c>
      <c r="G12" s="1963" t="s">
        <v>5414</v>
      </c>
      <c r="H12" s="1963" t="s">
        <v>5415</v>
      </c>
      <c r="I12" s="1963" t="s">
        <v>5416</v>
      </c>
      <c r="J12" s="1963" t="s">
        <v>5417</v>
      </c>
      <c r="K12" s="1963" t="s">
        <v>5418</v>
      </c>
      <c r="L12" s="1964" t="s">
        <v>5419</v>
      </c>
      <c r="M12" s="1964" t="s">
        <v>5420</v>
      </c>
      <c r="N12" s="1964" t="s">
        <v>5421</v>
      </c>
      <c r="O12" s="1964" t="s">
        <v>5475</v>
      </c>
      <c r="P12" s="1964" t="s">
        <v>5476</v>
      </c>
      <c r="Q12" s="1964" t="s">
        <v>5477</v>
      </c>
      <c r="R12" s="1964" t="s">
        <v>5478</v>
      </c>
      <c r="S12" s="1964" t="s">
        <v>5479</v>
      </c>
      <c r="T12" s="1964" t="s">
        <v>5480</v>
      </c>
      <c r="U12" s="1964" t="s">
        <v>5481</v>
      </c>
      <c r="V12" s="1964" t="s">
        <v>5482</v>
      </c>
      <c r="W12" s="1964" t="s">
        <v>5483</v>
      </c>
      <c r="X12" s="1964" t="s">
        <v>5484</v>
      </c>
      <c r="Y12" s="1964" t="s">
        <v>5485</v>
      </c>
      <c r="Z12" s="1964" t="s">
        <v>5423</v>
      </c>
      <c r="AA12" s="1964" t="s">
        <v>5424</v>
      </c>
      <c r="AB12" s="1964" t="s">
        <v>5425</v>
      </c>
      <c r="AC12" s="1964" t="s">
        <v>5426</v>
      </c>
      <c r="AD12" s="1964" t="s">
        <v>5427</v>
      </c>
      <c r="AE12" s="1964" t="s">
        <v>5486</v>
      </c>
      <c r="AF12" s="1964" t="s">
        <v>5428</v>
      </c>
      <c r="AG12" s="1964" t="s">
        <v>5487</v>
      </c>
      <c r="AH12" s="1964" t="s">
        <v>5488</v>
      </c>
      <c r="AI12" s="1964" t="s">
        <v>5489</v>
      </c>
      <c r="AJ12" s="1964" t="s">
        <v>5490</v>
      </c>
      <c r="AK12" s="1964" t="s">
        <v>5491</v>
      </c>
      <c r="AL12" s="1964" t="s">
        <v>5492</v>
      </c>
      <c r="AM12" s="1964" t="s">
        <v>5493</v>
      </c>
      <c r="AN12" s="1964" t="s">
        <v>5494</v>
      </c>
      <c r="AO12" s="1964" t="s">
        <v>5495</v>
      </c>
      <c r="AP12" s="1964" t="s">
        <v>5496</v>
      </c>
      <c r="AQ12" s="1964" t="s">
        <v>5497</v>
      </c>
      <c r="AR12" s="1964" t="s">
        <v>5498</v>
      </c>
      <c r="AS12" s="1964" t="s">
        <v>5499</v>
      </c>
      <c r="AT12" s="1964" t="s">
        <v>5500</v>
      </c>
      <c r="AU12" s="1968" t="s">
        <v>5501</v>
      </c>
      <c r="AV12" s="1968" t="s">
        <v>5502</v>
      </c>
      <c r="AW12" s="1968" t="s">
        <v>5503</v>
      </c>
      <c r="AX12" s="1968" t="s">
        <v>5504</v>
      </c>
      <c r="AY12" s="1968" t="s">
        <v>5505</v>
      </c>
      <c r="AZ12" s="1968" t="s">
        <v>5506</v>
      </c>
      <c r="BA12" s="1968" t="s">
        <v>5507</v>
      </c>
      <c r="BB12" s="1968" t="s">
        <v>5508</v>
      </c>
      <c r="BC12" s="1968" t="s">
        <v>5509</v>
      </c>
      <c r="BD12" s="1968" t="s">
        <v>5510</v>
      </c>
      <c r="BE12" s="1968" t="s">
        <v>5511</v>
      </c>
      <c r="BF12" s="1968" t="s">
        <v>5512</v>
      </c>
      <c r="BG12" s="1968" t="s">
        <v>5513</v>
      </c>
      <c r="BH12" s="1969" t="s">
        <v>5514</v>
      </c>
      <c r="BI12" s="1969" t="s">
        <v>5515</v>
      </c>
      <c r="BJ12" s="1969" t="s">
        <v>5516</v>
      </c>
      <c r="BK12" s="1969" t="s">
        <v>5517</v>
      </c>
      <c r="BL12" s="1968" t="s">
        <v>5518</v>
      </c>
      <c r="BM12" s="1968" t="s">
        <v>5519</v>
      </c>
      <c r="BN12" s="1968" t="s">
        <v>5520</v>
      </c>
      <c r="BO12" s="1968" t="s">
        <v>5521</v>
      </c>
      <c r="BP12" s="1968" t="s">
        <v>5522</v>
      </c>
      <c r="BQ12" s="1968" t="s">
        <v>5523</v>
      </c>
      <c r="BR12" s="1968" t="s">
        <v>5524</v>
      </c>
      <c r="BS12" s="1968" t="s">
        <v>5525</v>
      </c>
      <c r="BT12" s="1969" t="s">
        <v>5526</v>
      </c>
      <c r="BU12" s="1969" t="s">
        <v>5527</v>
      </c>
      <c r="BV12" s="1969" t="s">
        <v>5528</v>
      </c>
      <c r="BW12" s="1969" t="s">
        <v>5529</v>
      </c>
      <c r="BX12" s="1969" t="s">
        <v>5530</v>
      </c>
      <c r="BY12" s="1969" t="s">
        <v>5531</v>
      </c>
      <c r="BZ12" s="1969" t="s">
        <v>5532</v>
      </c>
      <c r="CA12" s="1969" t="s">
        <v>5533</v>
      </c>
      <c r="CB12" s="1969" t="s">
        <v>5534</v>
      </c>
      <c r="CC12" s="1969" t="s">
        <v>5535</v>
      </c>
      <c r="CD12" s="1969" t="s">
        <v>5536</v>
      </c>
      <c r="CE12" s="1969" t="s">
        <v>5537</v>
      </c>
      <c r="CF12" s="1969" t="s">
        <v>5538</v>
      </c>
      <c r="CG12" s="1969" t="s">
        <v>5539</v>
      </c>
      <c r="CH12" s="1969" t="s">
        <v>5540</v>
      </c>
      <c r="CI12" s="1969" t="s">
        <v>5541</v>
      </c>
      <c r="CJ12" s="1969" t="s">
        <v>5542</v>
      </c>
      <c r="CK12" s="1969" t="s">
        <v>5543</v>
      </c>
      <c r="CL12" s="1969" t="s">
        <v>5544</v>
      </c>
      <c r="CM12" s="1969" t="s">
        <v>5545</v>
      </c>
      <c r="CN12" s="1969" t="s">
        <v>5546</v>
      </c>
      <c r="CO12" s="1969" t="s">
        <v>5547</v>
      </c>
      <c r="CP12" s="1969" t="s">
        <v>5548</v>
      </c>
      <c r="CQ12" s="1969" t="s">
        <v>5549</v>
      </c>
      <c r="CR12" s="1969" t="s">
        <v>5550</v>
      </c>
      <c r="CS12" s="1969" t="s">
        <v>5551</v>
      </c>
      <c r="CT12" s="1969" t="s">
        <v>5552</v>
      </c>
      <c r="CU12" s="1969" t="s">
        <v>5553</v>
      </c>
      <c r="CV12" s="1969" t="s">
        <v>5554</v>
      </c>
      <c r="CW12" s="1969" t="s">
        <v>5555</v>
      </c>
      <c r="CX12" s="1969" t="s">
        <v>5556</v>
      </c>
      <c r="CY12" s="1969" t="s">
        <v>5557</v>
      </c>
      <c r="CZ12" s="1969" t="s">
        <v>5558</v>
      </c>
      <c r="DA12" s="1969" t="s">
        <v>5559</v>
      </c>
      <c r="DB12" s="1969" t="s">
        <v>5560</v>
      </c>
      <c r="DC12" s="1969" t="s">
        <v>5561</v>
      </c>
      <c r="DD12" s="1969" t="s">
        <v>5562</v>
      </c>
      <c r="DE12" s="1969" t="s">
        <v>5563</v>
      </c>
      <c r="DF12" s="1969" t="s">
        <v>5564</v>
      </c>
      <c r="DG12" s="1969" t="s">
        <v>5565</v>
      </c>
      <c r="DH12" s="1969" t="s">
        <v>5566</v>
      </c>
      <c r="DI12" s="1969" t="s">
        <v>5567</v>
      </c>
      <c r="DJ12" s="1969" t="s">
        <v>5568</v>
      </c>
      <c r="DK12" s="1969" t="s">
        <v>5569</v>
      </c>
      <c r="DL12" s="1969" t="s">
        <v>5570</v>
      </c>
      <c r="DM12" s="1969" t="s">
        <v>5571</v>
      </c>
      <c r="DN12" s="1969" t="s">
        <v>5572</v>
      </c>
      <c r="DO12" s="1969" t="s">
        <v>5573</v>
      </c>
      <c r="DP12" s="1969" t="s">
        <v>5574</v>
      </c>
      <c r="DQ12" s="1969" t="s">
        <v>5575</v>
      </c>
      <c r="DR12" s="1969" t="s">
        <v>5576</v>
      </c>
      <c r="DS12" s="1969" t="s">
        <v>5577</v>
      </c>
      <c r="DT12" s="1969" t="s">
        <v>5578</v>
      </c>
      <c r="DU12" s="1969" t="s">
        <v>5579</v>
      </c>
      <c r="DV12" s="1969" t="s">
        <v>5580</v>
      </c>
      <c r="DW12" s="1969" t="s">
        <v>5581</v>
      </c>
      <c r="DX12" s="1969" t="s">
        <v>5582</v>
      </c>
      <c r="DY12" s="1969" t="s">
        <v>5583</v>
      </c>
    </row>
    <row r="13">
      <c r="A13" s="1963" t="s">
        <v>5439</v>
      </c>
      <c r="B13" s="1963" t="s">
        <v>5440</v>
      </c>
      <c r="C13" s="1963" t="s">
        <v>5442</v>
      </c>
      <c r="D13" s="1964" t="s">
        <v>5443</v>
      </c>
      <c r="E13" s="1963" t="s">
        <v>5444</v>
      </c>
      <c r="F13" s="1964" t="s">
        <v>5445</v>
      </c>
      <c r="G13" s="1963" t="s">
        <v>5446</v>
      </c>
      <c r="H13" s="1963" t="s">
        <v>5447</v>
      </c>
      <c r="I13" s="1963" t="s">
        <v>5448</v>
      </c>
      <c r="J13" s="1963" t="s">
        <v>5449</v>
      </c>
      <c r="K13" s="1963" t="s">
        <v>5450</v>
      </c>
      <c r="L13" s="1964" t="s">
        <v>5451</v>
      </c>
      <c r="M13" s="1964" t="s">
        <v>5452</v>
      </c>
      <c r="N13" s="1964" t="s">
        <v>5453</v>
      </c>
      <c r="O13" s="1964" t="s">
        <v>5584</v>
      </c>
      <c r="P13" s="1964" t="s">
        <v>5585</v>
      </c>
      <c r="Q13" s="1964" t="s">
        <v>5586</v>
      </c>
      <c r="R13" s="1964" t="s">
        <v>5587</v>
      </c>
      <c r="S13" s="1964" t="s">
        <v>5588</v>
      </c>
      <c r="T13" s="1964" t="s">
        <v>5589</v>
      </c>
      <c r="U13" s="1964" t="s">
        <v>5590</v>
      </c>
      <c r="V13" s="1964" t="s">
        <v>5591</v>
      </c>
      <c r="W13" s="1964" t="s">
        <v>5592</v>
      </c>
      <c r="X13" s="1964" t="s">
        <v>5593</v>
      </c>
      <c r="Y13" s="1964" t="s">
        <v>5594</v>
      </c>
      <c r="Z13" s="1964" t="s">
        <v>5455</v>
      </c>
      <c r="AA13" s="1964" t="s">
        <v>5456</v>
      </c>
      <c r="AB13" s="1964" t="s">
        <v>5457</v>
      </c>
      <c r="AC13" s="1964" t="s">
        <v>5458</v>
      </c>
      <c r="AD13" s="1964" t="s">
        <v>5459</v>
      </c>
      <c r="AE13" s="1964" t="s">
        <v>5595</v>
      </c>
      <c r="AF13" s="1964" t="s">
        <v>5460</v>
      </c>
      <c r="AG13" s="1964" t="s">
        <v>5596</v>
      </c>
      <c r="AH13" s="1964" t="s">
        <v>5597</v>
      </c>
      <c r="AI13" s="1964" t="s">
        <v>5598</v>
      </c>
      <c r="AJ13" s="1964" t="s">
        <v>5599</v>
      </c>
      <c r="AK13" s="1964" t="s">
        <v>5600</v>
      </c>
      <c r="AL13" s="1964" t="s">
        <v>5601</v>
      </c>
      <c r="AM13" s="1964" t="s">
        <v>5602</v>
      </c>
      <c r="AN13" s="1964" t="s">
        <v>5603</v>
      </c>
      <c r="AO13" s="1964" t="s">
        <v>5604</v>
      </c>
      <c r="AP13" s="1964" t="s">
        <v>5605</v>
      </c>
      <c r="AQ13" s="1964" t="s">
        <v>5606</v>
      </c>
      <c r="AR13" s="1964" t="s">
        <v>5607</v>
      </c>
      <c r="AS13" s="1964" t="s">
        <v>5608</v>
      </c>
      <c r="AT13" s="1964" t="s">
        <v>5609</v>
      </c>
      <c r="AU13" s="1968" t="s">
        <v>5610</v>
      </c>
      <c r="AV13" s="1968" t="s">
        <v>5611</v>
      </c>
      <c r="AW13" s="1968" t="s">
        <v>5612</v>
      </c>
      <c r="AX13" s="1968" t="s">
        <v>5613</v>
      </c>
      <c r="AY13" s="1968" t="s">
        <v>5614</v>
      </c>
      <c r="AZ13" s="1968" t="s">
        <v>5615</v>
      </c>
      <c r="BA13" s="1968" t="s">
        <v>5616</v>
      </c>
      <c r="BB13" s="1968" t="s">
        <v>5617</v>
      </c>
      <c r="BC13" s="1968" t="s">
        <v>5618</v>
      </c>
      <c r="BD13" s="1968" t="s">
        <v>5619</v>
      </c>
      <c r="BE13" s="1968" t="s">
        <v>5620</v>
      </c>
      <c r="BF13" s="1968" t="s">
        <v>5621</v>
      </c>
      <c r="BG13" s="1968" t="s">
        <v>5622</v>
      </c>
      <c r="BH13" s="1969" t="s">
        <v>5623</v>
      </c>
      <c r="BI13" s="1969" t="s">
        <v>5624</v>
      </c>
      <c r="BJ13" s="1969" t="s">
        <v>5625</v>
      </c>
      <c r="BK13" s="1969" t="s">
        <v>5626</v>
      </c>
      <c r="BL13" s="1968" t="s">
        <v>5627</v>
      </c>
      <c r="BM13" s="1968" t="s">
        <v>5628</v>
      </c>
      <c r="BN13" s="1968" t="s">
        <v>5629</v>
      </c>
      <c r="BO13" s="1968" t="s">
        <v>5630</v>
      </c>
      <c r="BP13" s="1968" t="s">
        <v>5631</v>
      </c>
      <c r="BQ13" s="1968" t="s">
        <v>5632</v>
      </c>
      <c r="BR13" s="1968" t="s">
        <v>5633</v>
      </c>
      <c r="BS13" s="1968" t="s">
        <v>5634</v>
      </c>
      <c r="BT13" s="1969" t="s">
        <v>5635</v>
      </c>
      <c r="BU13" s="1969" t="s">
        <v>5636</v>
      </c>
      <c r="BV13" s="1969" t="s">
        <v>5637</v>
      </c>
      <c r="BW13" s="1969" t="s">
        <v>5638</v>
      </c>
      <c r="BX13" s="1969" t="s">
        <v>5639</v>
      </c>
      <c r="BY13" s="1969" t="s">
        <v>5640</v>
      </c>
      <c r="BZ13" s="1969" t="s">
        <v>5641</v>
      </c>
      <c r="CA13" s="1969" t="s">
        <v>5642</v>
      </c>
      <c r="CB13" s="1969" t="s">
        <v>5643</v>
      </c>
      <c r="CC13" s="1969" t="s">
        <v>5644</v>
      </c>
      <c r="CD13" s="1969" t="s">
        <v>5645</v>
      </c>
      <c r="CE13" s="1969" t="s">
        <v>5646</v>
      </c>
      <c r="CF13" s="1969" t="s">
        <v>5647</v>
      </c>
      <c r="CG13" s="1969" t="s">
        <v>5648</v>
      </c>
      <c r="CH13" s="1969" t="s">
        <v>5649</v>
      </c>
      <c r="CI13" s="1969" t="s">
        <v>5650</v>
      </c>
      <c r="CJ13" s="1969" t="s">
        <v>5651</v>
      </c>
      <c r="CK13" s="1969" t="s">
        <v>5652</v>
      </c>
      <c r="CL13" s="1969" t="s">
        <v>5653</v>
      </c>
      <c r="CM13" s="1969" t="s">
        <v>5654</v>
      </c>
      <c r="CN13" s="1969" t="s">
        <v>5655</v>
      </c>
      <c r="CO13" s="1969" t="s">
        <v>5656</v>
      </c>
      <c r="CP13" s="1969" t="s">
        <v>5657</v>
      </c>
      <c r="CQ13" s="1969" t="s">
        <v>5658</v>
      </c>
      <c r="CR13" s="1969" t="s">
        <v>5659</v>
      </c>
      <c r="CS13" s="1969" t="s">
        <v>5660</v>
      </c>
      <c r="CT13" s="1969" t="s">
        <v>5661</v>
      </c>
      <c r="CU13" s="1969" t="s">
        <v>5662</v>
      </c>
      <c r="CV13" s="1969" t="s">
        <v>5663</v>
      </c>
      <c r="CW13" s="1969" t="s">
        <v>5664</v>
      </c>
      <c r="CX13" s="1969" t="s">
        <v>5665</v>
      </c>
      <c r="CY13" s="1969" t="s">
        <v>5666</v>
      </c>
      <c r="CZ13" s="1969" t="s">
        <v>5667</v>
      </c>
      <c r="DA13" s="1969" t="s">
        <v>5668</v>
      </c>
      <c r="DB13" s="1969" t="s">
        <v>5669</v>
      </c>
      <c r="DC13" s="1969" t="s">
        <v>5670</v>
      </c>
      <c r="DD13" s="1969" t="s">
        <v>5671</v>
      </c>
      <c r="DE13" s="1969" t="s">
        <v>5672</v>
      </c>
      <c r="DF13" s="1969" t="s">
        <v>5673</v>
      </c>
      <c r="DG13" s="1969" t="s">
        <v>5674</v>
      </c>
      <c r="DH13" s="1969" t="s">
        <v>5675</v>
      </c>
      <c r="DI13" s="1969" t="s">
        <v>5676</v>
      </c>
      <c r="DJ13" s="1969" t="s">
        <v>5677</v>
      </c>
      <c r="DK13" s="1969" t="s">
        <v>5678</v>
      </c>
      <c r="DL13" s="1969" t="s">
        <v>5679</v>
      </c>
      <c r="DM13" s="1969" t="s">
        <v>5680</v>
      </c>
      <c r="DN13" s="1969" t="s">
        <v>5681</v>
      </c>
      <c r="DO13" s="1969" t="s">
        <v>5682</v>
      </c>
      <c r="DP13" s="1969" t="s">
        <v>5683</v>
      </c>
      <c r="DQ13" s="1969" t="s">
        <v>5684</v>
      </c>
      <c r="DR13" s="1969" t="s">
        <v>5685</v>
      </c>
      <c r="DS13" s="1969" t="s">
        <v>5686</v>
      </c>
      <c r="DT13" s="1969" t="s">
        <v>5687</v>
      </c>
      <c r="DU13" s="1969" t="s">
        <v>5688</v>
      </c>
      <c r="DV13" s="1969" t="s">
        <v>5689</v>
      </c>
      <c r="DW13" s="1969" t="s">
        <v>5690</v>
      </c>
      <c r="DX13" s="1969" t="s">
        <v>5691</v>
      </c>
      <c r="DY13" s="1969" t="s">
        <v>5692</v>
      </c>
    </row>
    <row customHeight="true" ht="16.071428571428573" r="14">
      <c r="A14" s="1965"/>
      <c r="B14" s="1965"/>
      <c r="C14" s="1965"/>
      <c r="D14" s="1965"/>
      <c r="E14" s="1965"/>
      <c r="F14" s="1965"/>
      <c r="G14" s="1965"/>
      <c r="H14" s="1965"/>
      <c r="I14" s="1965"/>
      <c r="J14" s="1965"/>
      <c r="K14" s="1965"/>
      <c r="L14" s="1965"/>
      <c r="M14" s="1965"/>
      <c r="N14" s="1965"/>
      <c r="O14" s="1965"/>
      <c r="P14" s="1965"/>
      <c r="Q14" s="1965"/>
      <c r="R14" s="1965"/>
      <c r="S14" s="1965"/>
      <c r="T14" s="1965"/>
      <c r="U14" s="1965"/>
      <c r="V14" s="1965"/>
      <c r="W14" s="1965"/>
      <c r="X14" s="1965"/>
      <c r="Y14" s="1965"/>
      <c r="Z14" s="1965"/>
      <c r="AA14" s="1965"/>
      <c r="AB14" s="1965"/>
      <c r="AC14" s="1965"/>
      <c r="AD14" s="1965"/>
      <c r="AE14" s="1965"/>
      <c r="AF14" s="1965"/>
      <c r="AG14" s="1965"/>
      <c r="AH14" s="1965"/>
      <c r="AI14" s="1965"/>
      <c r="AJ14" s="1965"/>
      <c r="AK14" s="1965"/>
      <c r="AL14" s="1965"/>
      <c r="AM14" s="1965"/>
      <c r="AN14" s="1965"/>
      <c r="AO14" s="1965"/>
      <c r="AP14" s="1965"/>
      <c r="AQ14" s="1965"/>
      <c r="AR14" s="1965"/>
      <c r="AS14" s="1965"/>
      <c r="AT14" s="1965"/>
      <c r="AU14" s="1965"/>
      <c r="AV14" s="1965"/>
      <c r="AW14" s="1965"/>
      <c r="AX14" s="1965"/>
      <c r="AY14" s="1965"/>
      <c r="AZ14" s="1965"/>
      <c r="BA14" s="1965"/>
      <c r="BB14" s="1965"/>
      <c r="BC14" s="1965"/>
      <c r="BD14" s="1965"/>
      <c r="BE14" s="1965"/>
      <c r="BF14" s="1965"/>
      <c r="BG14" s="1965"/>
      <c r="BH14" s="1965"/>
      <c r="BI14" s="1965"/>
      <c r="BJ14" s="1965"/>
      <c r="BK14" s="1965"/>
      <c r="BL14" s="1965"/>
      <c r="BM14" s="1965"/>
      <c r="BN14" s="1965"/>
      <c r="BO14" s="1965"/>
      <c r="BP14" s="1965"/>
      <c r="BQ14" s="1965"/>
      <c r="BR14" s="1965"/>
      <c r="BS14" s="1965"/>
      <c r="BT14" s="1965"/>
      <c r="BU14" s="1965"/>
      <c r="BV14" s="1965"/>
      <c r="BW14" s="1965"/>
      <c r="BX14" s="1965"/>
      <c r="BY14" s="1965"/>
      <c r="BZ14" s="1965"/>
      <c r="CA14" s="1965"/>
      <c r="CB14" s="1965"/>
      <c r="CC14" s="1965"/>
      <c r="CD14" s="1965"/>
      <c r="CE14" s="1965"/>
      <c r="CF14" s="1965"/>
      <c r="CG14" s="1965"/>
      <c r="CH14" s="1965"/>
      <c r="CI14" s="1965"/>
      <c r="CJ14" s="1965"/>
      <c r="CK14" s="1965"/>
      <c r="CL14" s="1965"/>
      <c r="CM14" s="1965"/>
      <c r="CN14" s="1965"/>
      <c r="CO14" s="1965"/>
      <c r="CP14" s="1965"/>
      <c r="CQ14" s="1965"/>
      <c r="CR14" s="1965"/>
      <c r="CS14" s="1965"/>
      <c r="CT14" s="1965"/>
      <c r="CU14" s="1965"/>
      <c r="CV14" s="1965"/>
      <c r="CW14" s="1965"/>
      <c r="CX14" s="1965"/>
      <c r="CY14" s="1965"/>
      <c r="CZ14" s="1965"/>
      <c r="DA14" s="1965"/>
      <c r="DB14" s="1965"/>
      <c r="DC14" s="1965"/>
      <c r="DD14" s="1965"/>
      <c r="DE14" s="1965"/>
      <c r="DF14" s="1965"/>
      <c r="DG14" s="1965"/>
      <c r="DH14" s="1965"/>
      <c r="DI14" s="1965"/>
      <c r="DJ14" s="1965"/>
      <c r="DK14" s="1965"/>
      <c r="DL14" s="1965"/>
      <c r="DM14" s="1965"/>
      <c r="DN14" s="1965"/>
      <c r="DO14" s="1965"/>
      <c r="DP14" s="1965"/>
      <c r="DQ14" s="1965"/>
      <c r="DR14" s="1965"/>
      <c r="DS14" s="1965"/>
      <c r="DT14" s="1965"/>
      <c r="DU14" s="1965"/>
      <c r="DV14" s="1965"/>
      <c r="DW14" s="1965"/>
      <c r="DX14" s="1965"/>
      <c r="DY14" s="1965"/>
    </row>
    <row customHeight="true" ht="16.071428571428573" r="15">
      <c r="A15" s="1960"/>
      <c r="C15" s="1961"/>
      <c r="BH15" s="1962"/>
      <c r="BI15" s="1962"/>
      <c r="BJ15" s="1962"/>
      <c r="BK15" s="1962"/>
      <c r="BT15" s="1962"/>
    </row>
    <row customHeight="true" ht="16.071428571428573" r="16">
      <c r="A16" s="1960"/>
      <c r="C16" s="1961"/>
      <c r="BH16" s="1962"/>
      <c r="BI16" s="1962"/>
      <c r="BJ16" s="1962"/>
      <c r="BK16" s="1962"/>
      <c r="BT16" s="1962"/>
    </row>
    <row customHeight="true" ht="16.071428571428573" r="17">
      <c r="A17" s="1960"/>
      <c r="C17" s="1961"/>
      <c r="L17" s="1966"/>
      <c r="M17" s="1966"/>
      <c r="N17" s="1966"/>
      <c r="O17" s="1966"/>
      <c r="P17" s="1966"/>
      <c r="Q17" s="1966"/>
      <c r="R17" s="1966"/>
      <c r="S17" s="1966"/>
      <c r="T17" s="1966"/>
      <c r="U17" s="1966"/>
      <c r="V17" s="1966"/>
      <c r="W17" s="1966"/>
      <c r="X17" s="1966"/>
      <c r="Y17" s="1966"/>
      <c r="Z17" s="1966"/>
      <c r="AA17" s="1966"/>
      <c r="AB17" s="1966"/>
      <c r="AC17" s="1966"/>
      <c r="AD17" s="1966"/>
      <c r="AE17" s="1966"/>
      <c r="AF17" s="1966"/>
      <c r="AG17" s="1966"/>
      <c r="AH17" s="1966"/>
      <c r="AI17" s="1966"/>
      <c r="AJ17" s="1966"/>
      <c r="AK17" s="1966"/>
      <c r="AL17" s="1966"/>
      <c r="AM17" s="1966"/>
      <c r="AN17" s="1966"/>
      <c r="AO17" s="1966"/>
      <c r="AP17" s="1966"/>
      <c r="AQ17" s="1966"/>
      <c r="AR17" s="1966"/>
      <c r="AS17" s="1966"/>
      <c r="AT17" s="1966"/>
      <c r="AU17" s="1966"/>
      <c r="AV17" s="1966"/>
      <c r="AW17" s="1966"/>
      <c r="AX17" s="1966"/>
      <c r="AY17" s="1966"/>
      <c r="AZ17" s="1966"/>
      <c r="BA17" s="1966"/>
      <c r="BB17" s="1966"/>
      <c r="BC17" s="1966"/>
      <c r="BD17" s="1966"/>
      <c r="BH17" s="1962"/>
      <c r="BI17" s="1962"/>
      <c r="BJ17" s="1962"/>
      <c r="BK17" s="1962"/>
      <c r="BT17" s="1962"/>
    </row>
    <row r="18">
      <c r="A18" s="1970" t="s">
        <v>5693</v>
      </c>
      <c r="B18" s="1971"/>
      <c r="C18" s="1972"/>
      <c r="D18" s="1971"/>
      <c r="E18" s="1971"/>
      <c r="F18" s="1971"/>
      <c r="G18" s="1971"/>
      <c r="H18" s="1971"/>
      <c r="I18" s="1971"/>
      <c r="J18" s="1971"/>
      <c r="K18" s="1971"/>
      <c r="L18" s="1973"/>
      <c r="M18" s="1973"/>
      <c r="N18" s="1973"/>
      <c r="O18" s="1973"/>
      <c r="P18" s="1973"/>
      <c r="Q18" s="1973"/>
      <c r="R18" s="1973"/>
      <c r="S18" s="1974" t="s">
        <v>5694</v>
      </c>
      <c r="T18" s="1974"/>
      <c r="U18" s="1974"/>
      <c r="V18" s="1974"/>
      <c r="W18" s="1974"/>
      <c r="X18" s="1974"/>
      <c r="Y18" s="1974" t="s">
        <v>5695</v>
      </c>
      <c r="Z18" s="1974"/>
      <c r="AA18" s="1974"/>
      <c r="AB18" s="1974"/>
      <c r="AC18" s="1974"/>
      <c r="AD18" s="1974"/>
      <c r="AE18" s="1974" t="s">
        <v>5696</v>
      </c>
      <c r="AF18" s="1974"/>
      <c r="AG18" s="1974"/>
      <c r="AH18" s="1974"/>
      <c r="AI18" s="1974"/>
      <c r="AJ18" s="1974"/>
      <c r="AK18" s="1974" t="s">
        <v>5695</v>
      </c>
      <c r="AL18" s="1974"/>
      <c r="AM18" s="1974"/>
      <c r="AN18" s="1974"/>
      <c r="AO18" s="1974" t="s">
        <v>5696</v>
      </c>
      <c r="AP18" s="1974"/>
      <c r="AQ18" s="1974"/>
      <c r="AR18" s="1974"/>
      <c r="AS18" s="1974" t="s">
        <v>5695</v>
      </c>
      <c r="AT18" s="1974"/>
      <c r="AU18" s="1974"/>
      <c r="AV18" s="1974"/>
      <c r="AW18" s="1974" t="s">
        <v>5696</v>
      </c>
      <c r="AX18" s="1974"/>
      <c r="AY18" s="1974"/>
      <c r="AZ18" s="1974"/>
      <c r="BA18" s="1974" t="s">
        <v>5695</v>
      </c>
      <c r="BB18" s="1974"/>
      <c r="BC18" s="1974"/>
      <c r="BD18" s="1974"/>
      <c r="BE18" s="1974" t="s">
        <v>5696</v>
      </c>
      <c r="BF18" s="1974"/>
      <c r="BG18" s="1974"/>
      <c r="BH18" s="1974"/>
      <c r="BI18" s="1974" t="s">
        <v>5695</v>
      </c>
      <c r="BJ18" s="1974"/>
      <c r="BK18" s="1974"/>
      <c r="BL18" s="1974"/>
      <c r="BM18" s="1974" t="s">
        <v>5696</v>
      </c>
      <c r="BN18" s="1974"/>
      <c r="BO18" s="1974"/>
      <c r="BP18" s="1974"/>
      <c r="BQ18" s="1974" t="s">
        <v>5695</v>
      </c>
      <c r="BR18" s="1974"/>
      <c r="BS18" s="1974"/>
      <c r="BT18" s="1974"/>
      <c r="BU18" s="1974" t="s">
        <v>5696</v>
      </c>
      <c r="BV18" s="1974"/>
      <c r="BW18" s="1974"/>
      <c r="BX18" s="1974"/>
      <c r="BY18" s="1974" t="s">
        <v>5695</v>
      </c>
      <c r="BZ18" s="1974"/>
      <c r="CA18" s="1974"/>
      <c r="CB18" s="1974"/>
      <c r="CC18" s="1974" t="s">
        <v>5696</v>
      </c>
      <c r="CD18" s="1974"/>
      <c r="CE18" s="1974"/>
      <c r="CF18" s="1974"/>
      <c r="CG18" s="1974" t="s">
        <v>5695</v>
      </c>
      <c r="CH18" s="1974"/>
      <c r="CI18" s="1974"/>
      <c r="CJ18" s="1974"/>
      <c r="CK18" s="1974" t="s">
        <v>5696</v>
      </c>
      <c r="CL18" s="1974"/>
      <c r="CM18" s="1974"/>
      <c r="CN18" s="1974"/>
      <c r="CO18" s="1974" t="s">
        <v>5695</v>
      </c>
      <c r="CP18" s="1974"/>
      <c r="CQ18" s="1974"/>
      <c r="CR18" s="1974"/>
      <c r="CS18" s="1974" t="s">
        <v>5696</v>
      </c>
      <c r="CT18" s="1974"/>
      <c r="CU18" s="1974"/>
      <c r="CV18" s="1974"/>
    </row>
    <row r="19">
      <c r="A19" s="1963" t="s">
        <v>5407</v>
      </c>
      <c r="B19" s="1963" t="s">
        <v>5408</v>
      </c>
      <c r="C19" s="1964" t="s">
        <v>5409</v>
      </c>
      <c r="D19" s="1963" t="s">
        <v>5410</v>
      </c>
      <c r="E19" s="1963" t="s">
        <v>5412</v>
      </c>
      <c r="F19" s="1975" t="s">
        <v>5413</v>
      </c>
      <c r="G19" s="1975" t="s">
        <v>5414</v>
      </c>
      <c r="H19" s="1975" t="s">
        <v>5415</v>
      </c>
      <c r="I19" s="1975" t="s">
        <v>5416</v>
      </c>
      <c r="J19" s="1975" t="s">
        <v>5417</v>
      </c>
      <c r="K19" s="1975" t="s">
        <v>5418</v>
      </c>
      <c r="L19" s="1975" t="s">
        <v>5419</v>
      </c>
      <c r="M19" s="1975" t="s">
        <v>5423</v>
      </c>
      <c r="N19" s="1975" t="s">
        <v>5424</v>
      </c>
      <c r="O19" s="1975" t="s">
        <v>5425</v>
      </c>
      <c r="P19" s="1975" t="s">
        <v>5426</v>
      </c>
      <c r="Q19" s="1975" t="s">
        <v>5427</v>
      </c>
      <c r="R19" s="1975" t="s">
        <v>5428</v>
      </c>
      <c r="S19" s="1975" t="s">
        <v>5697</v>
      </c>
      <c r="T19" s="1975" t="s">
        <v>5698</v>
      </c>
      <c r="U19" s="1975" t="s">
        <v>5699</v>
      </c>
      <c r="V19" s="1975" t="s">
        <v>5700</v>
      </c>
      <c r="W19" s="1975" t="s">
        <v>5701</v>
      </c>
      <c r="X19" s="1976" t="s">
        <v>5702</v>
      </c>
      <c r="Y19" s="1974" t="s">
        <v>5703</v>
      </c>
      <c r="Z19" s="1974" t="s">
        <v>5704</v>
      </c>
      <c r="AA19" s="1974" t="s">
        <v>5705</v>
      </c>
      <c r="AB19" s="1974" t="s">
        <v>5706</v>
      </c>
      <c r="AC19" s="1974" t="s">
        <v>5707</v>
      </c>
      <c r="AD19" s="1977" t="s">
        <v>5708</v>
      </c>
      <c r="AE19" s="1977" t="s">
        <v>5709</v>
      </c>
      <c r="AF19" s="1977" t="s">
        <v>5710</v>
      </c>
      <c r="AG19" s="1977" t="s">
        <v>5711</v>
      </c>
      <c r="AH19" s="1977" t="s">
        <v>5712</v>
      </c>
      <c r="AI19" s="1977" t="s">
        <v>5713</v>
      </c>
      <c r="AJ19" s="1977" t="s">
        <v>5714</v>
      </c>
      <c r="AK19" s="1977" t="s">
        <v>5715</v>
      </c>
      <c r="AL19" s="1977" t="s">
        <v>5716</v>
      </c>
      <c r="AM19" s="1977" t="s">
        <v>5717</v>
      </c>
      <c r="AN19" s="1977" t="s">
        <v>5718</v>
      </c>
      <c r="AO19" s="1977" t="s">
        <v>5719</v>
      </c>
      <c r="AP19" s="1977" t="s">
        <v>5720</v>
      </c>
      <c r="AQ19" s="1977" t="s">
        <v>5721</v>
      </c>
      <c r="AR19" s="1977" t="s">
        <v>5722</v>
      </c>
      <c r="AS19" s="1977" t="s">
        <v>5723</v>
      </c>
      <c r="AT19" s="1977" t="s">
        <v>5724</v>
      </c>
      <c r="AU19" s="1977" t="s">
        <v>5725</v>
      </c>
      <c r="AV19" s="1977" t="s">
        <v>5726</v>
      </c>
      <c r="AW19" s="1977" t="s">
        <v>5727</v>
      </c>
      <c r="AX19" s="1977" t="s">
        <v>5728</v>
      </c>
      <c r="AY19" s="1977" t="s">
        <v>5729</v>
      </c>
      <c r="AZ19" s="1977" t="s">
        <v>5730</v>
      </c>
      <c r="BA19" s="1977" t="s">
        <v>5731</v>
      </c>
      <c r="BB19" s="1977" t="s">
        <v>5732</v>
      </c>
      <c r="BC19" s="1977" t="s">
        <v>5733</v>
      </c>
      <c r="BD19" s="1977" t="s">
        <v>5734</v>
      </c>
      <c r="BE19" s="1977" t="s">
        <v>5735</v>
      </c>
      <c r="BF19" s="1977" t="s">
        <v>5736</v>
      </c>
      <c r="BG19" s="1977" t="s">
        <v>5737</v>
      </c>
      <c r="BH19" s="1977" t="s">
        <v>5738</v>
      </c>
      <c r="BI19" s="1977" t="s">
        <v>5739</v>
      </c>
      <c r="BJ19" s="1977" t="s">
        <v>5740</v>
      </c>
      <c r="BK19" s="1977" t="s">
        <v>5741</v>
      </c>
      <c r="BL19" s="1977" t="s">
        <v>5742</v>
      </c>
      <c r="BM19" s="1977" t="s">
        <v>5743</v>
      </c>
      <c r="BN19" s="1977" t="s">
        <v>5744</v>
      </c>
      <c r="BO19" s="1977" t="s">
        <v>5745</v>
      </c>
      <c r="BP19" s="1977" t="s">
        <v>5746</v>
      </c>
      <c r="BQ19" s="1977" t="s">
        <v>5747</v>
      </c>
      <c r="BR19" s="1977" t="s">
        <v>5748</v>
      </c>
      <c r="BS19" s="1977" t="s">
        <v>5749</v>
      </c>
      <c r="BT19" s="1977" t="s">
        <v>5750</v>
      </c>
      <c r="BU19" s="1977" t="s">
        <v>5751</v>
      </c>
      <c r="BV19" s="1977" t="s">
        <v>5752</v>
      </c>
      <c r="BW19" s="1977" t="s">
        <v>5753</v>
      </c>
      <c r="BX19" s="1977" t="s">
        <v>5754</v>
      </c>
      <c r="BY19" s="1977" t="s">
        <v>5755</v>
      </c>
      <c r="BZ19" s="1977" t="s">
        <v>5756</v>
      </c>
      <c r="CA19" s="1977" t="s">
        <v>5757</v>
      </c>
      <c r="CB19" s="1977" t="s">
        <v>5758</v>
      </c>
      <c r="CC19" s="1977" t="s">
        <v>5759</v>
      </c>
      <c r="CD19" s="1977" t="s">
        <v>5760</v>
      </c>
      <c r="CE19" s="1977" t="s">
        <v>5761</v>
      </c>
      <c r="CF19" s="1977" t="s">
        <v>5762</v>
      </c>
      <c r="CG19" s="1977" t="s">
        <v>5763</v>
      </c>
      <c r="CH19" s="1977" t="s">
        <v>5764</v>
      </c>
      <c r="CI19" s="1977" t="s">
        <v>5765</v>
      </c>
      <c r="CJ19" s="1977" t="s">
        <v>5766</v>
      </c>
      <c r="CK19" s="1977" t="s">
        <v>5767</v>
      </c>
      <c r="CL19" s="1977" t="s">
        <v>5768</v>
      </c>
      <c r="CM19" s="1977" t="s">
        <v>5769</v>
      </c>
      <c r="CN19" s="1977" t="s">
        <v>5770</v>
      </c>
      <c r="CO19" s="1977" t="s">
        <v>5771</v>
      </c>
      <c r="CP19" s="1977" t="s">
        <v>5772</v>
      </c>
      <c r="CQ19" s="1977" t="s">
        <v>5773</v>
      </c>
      <c r="CR19" s="1977" t="s">
        <v>5774</v>
      </c>
      <c r="CS19" s="1977" t="s">
        <v>5775</v>
      </c>
      <c r="CT19" s="1977" t="s">
        <v>5776</v>
      </c>
      <c r="CU19" s="1977" t="s">
        <v>5777</v>
      </c>
      <c r="CV19" s="1977" t="s">
        <v>5778</v>
      </c>
    </row>
    <row r="20">
      <c r="A20" s="1963" t="s">
        <v>5439</v>
      </c>
      <c r="B20" s="1963" t="s">
        <v>5440</v>
      </c>
      <c r="C20" s="1964" t="s">
        <v>5441</v>
      </c>
      <c r="D20" s="1963" t="s">
        <v>5442</v>
      </c>
      <c r="E20" s="1963" t="s">
        <v>5444</v>
      </c>
      <c r="F20" s="1975" t="s">
        <v>5445</v>
      </c>
      <c r="G20" s="1975" t="s">
        <v>5446</v>
      </c>
      <c r="H20" s="1975" t="s">
        <v>5447</v>
      </c>
      <c r="I20" s="1975" t="s">
        <v>5448</v>
      </c>
      <c r="J20" s="1975" t="s">
        <v>5449</v>
      </c>
      <c r="K20" s="1975" t="s">
        <v>5450</v>
      </c>
      <c r="L20" s="1975" t="s">
        <v>5451</v>
      </c>
      <c r="M20" s="1975" t="s">
        <v>5455</v>
      </c>
      <c r="N20" s="1975" t="s">
        <v>5456</v>
      </c>
      <c r="O20" s="1975" t="s">
        <v>5457</v>
      </c>
      <c r="P20" s="1975" t="s">
        <v>5458</v>
      </c>
      <c r="Q20" s="1975" t="s">
        <v>5459</v>
      </c>
      <c r="R20" s="1975" t="s">
        <v>5460</v>
      </c>
      <c r="S20" s="1975" t="s">
        <v>5779</v>
      </c>
      <c r="T20" s="1975" t="s">
        <v>5780</v>
      </c>
      <c r="U20" s="1975" t="s">
        <v>5781</v>
      </c>
      <c r="V20" s="1975" t="s">
        <v>5782</v>
      </c>
      <c r="W20" s="1975" t="s">
        <v>5783</v>
      </c>
      <c r="X20" s="1976" t="s">
        <v>5784</v>
      </c>
      <c r="Y20" s="1974" t="s">
        <v>5785</v>
      </c>
      <c r="Z20" s="1974" t="s">
        <v>5786</v>
      </c>
      <c r="AA20" s="1974" t="s">
        <v>5787</v>
      </c>
      <c r="AB20" s="1974" t="s">
        <v>5788</v>
      </c>
      <c r="AC20" s="1974" t="s">
        <v>5789</v>
      </c>
      <c r="AD20" s="1977" t="s">
        <v>5790</v>
      </c>
      <c r="AE20" s="1977" t="s">
        <v>5791</v>
      </c>
      <c r="AF20" s="1977" t="s">
        <v>5792</v>
      </c>
      <c r="AG20" s="1977" t="s">
        <v>5793</v>
      </c>
      <c r="AH20" s="1977" t="s">
        <v>5794</v>
      </c>
      <c r="AI20" s="1977" t="s">
        <v>5795</v>
      </c>
      <c r="AJ20" s="1977" t="s">
        <v>5796</v>
      </c>
      <c r="AK20" s="1977" t="s">
        <v>5797</v>
      </c>
      <c r="AL20" s="1977" t="s">
        <v>5798</v>
      </c>
      <c r="AM20" s="1977" t="s">
        <v>5799</v>
      </c>
      <c r="AN20" s="1977" t="s">
        <v>5800</v>
      </c>
      <c r="AO20" s="1977" t="s">
        <v>5801</v>
      </c>
      <c r="AP20" s="1977" t="s">
        <v>5802</v>
      </c>
      <c r="AQ20" s="1977" t="s">
        <v>5803</v>
      </c>
      <c r="AR20" s="1977" t="s">
        <v>5804</v>
      </c>
      <c r="AS20" s="1977" t="s">
        <v>5805</v>
      </c>
      <c r="AT20" s="1977" t="s">
        <v>5806</v>
      </c>
      <c r="AU20" s="1977" t="s">
        <v>5807</v>
      </c>
      <c r="AV20" s="1977" t="s">
        <v>5808</v>
      </c>
      <c r="AW20" s="1977" t="s">
        <v>5809</v>
      </c>
      <c r="AX20" s="1977" t="s">
        <v>5810</v>
      </c>
      <c r="AY20" s="1977" t="s">
        <v>5811</v>
      </c>
      <c r="AZ20" s="1977" t="s">
        <v>5812</v>
      </c>
      <c r="BA20" s="1977" t="s">
        <v>5813</v>
      </c>
      <c r="BB20" s="1977" t="s">
        <v>5814</v>
      </c>
      <c r="BC20" s="1977" t="s">
        <v>5815</v>
      </c>
      <c r="BD20" s="1977" t="s">
        <v>5816</v>
      </c>
      <c r="BE20" s="1977" t="s">
        <v>5817</v>
      </c>
      <c r="BF20" s="1977" t="s">
        <v>5818</v>
      </c>
      <c r="BG20" s="1977" t="s">
        <v>5819</v>
      </c>
      <c r="BH20" s="1977" t="s">
        <v>5820</v>
      </c>
      <c r="BI20" s="1977" t="s">
        <v>5821</v>
      </c>
      <c r="BJ20" s="1977" t="s">
        <v>5822</v>
      </c>
      <c r="BK20" s="1977" t="s">
        <v>5823</v>
      </c>
      <c r="BL20" s="1977" t="s">
        <v>5824</v>
      </c>
      <c r="BM20" s="1977" t="s">
        <v>5825</v>
      </c>
      <c r="BN20" s="1977" t="s">
        <v>5826</v>
      </c>
      <c r="BO20" s="1977" t="s">
        <v>5827</v>
      </c>
      <c r="BP20" s="1977" t="s">
        <v>5828</v>
      </c>
      <c r="BQ20" s="1977" t="s">
        <v>5829</v>
      </c>
      <c r="BR20" s="1977" t="s">
        <v>5830</v>
      </c>
      <c r="BS20" s="1977" t="s">
        <v>5831</v>
      </c>
      <c r="BT20" s="1977" t="s">
        <v>5832</v>
      </c>
      <c r="BU20" s="1977" t="s">
        <v>5833</v>
      </c>
      <c r="BV20" s="1977" t="s">
        <v>5834</v>
      </c>
      <c r="BW20" s="1977" t="s">
        <v>5835</v>
      </c>
      <c r="BX20" s="1977" t="s">
        <v>5836</v>
      </c>
      <c r="BY20" s="1977" t="s">
        <v>5837</v>
      </c>
      <c r="BZ20" s="1977" t="s">
        <v>5838</v>
      </c>
      <c r="CA20" s="1977" t="s">
        <v>5839</v>
      </c>
      <c r="CB20" s="1977" t="s">
        <v>5840</v>
      </c>
      <c r="CC20" s="1977" t="s">
        <v>5841</v>
      </c>
      <c r="CD20" s="1977" t="s">
        <v>5842</v>
      </c>
      <c r="CE20" s="1977" t="s">
        <v>5843</v>
      </c>
      <c r="CF20" s="1977" t="s">
        <v>5844</v>
      </c>
      <c r="CG20" s="1977" t="s">
        <v>5845</v>
      </c>
      <c r="CH20" s="1977" t="s">
        <v>5846</v>
      </c>
      <c r="CI20" s="1977" t="s">
        <v>5847</v>
      </c>
      <c r="CJ20" s="1977" t="s">
        <v>5848</v>
      </c>
      <c r="CK20" s="1977" t="s">
        <v>5849</v>
      </c>
      <c r="CL20" s="1977" t="s">
        <v>5850</v>
      </c>
      <c r="CM20" s="1977" t="s">
        <v>5851</v>
      </c>
      <c r="CN20" s="1977" t="s">
        <v>5852</v>
      </c>
      <c r="CO20" s="1977" t="s">
        <v>5853</v>
      </c>
      <c r="CP20" s="1977" t="s">
        <v>5854</v>
      </c>
      <c r="CQ20" s="1977" t="s">
        <v>5855</v>
      </c>
      <c r="CR20" s="1977" t="s">
        <v>5856</v>
      </c>
      <c r="CS20" s="1977" t="s">
        <v>5857</v>
      </c>
      <c r="CT20" s="1977" t="s">
        <v>5858</v>
      </c>
      <c r="CU20" s="1977" t="s">
        <v>5859</v>
      </c>
      <c r="CV20" s="1977" t="s">
        <v>5860</v>
      </c>
    </row>
    <row r="21">
      <c r="A21" s="1978"/>
      <c r="B21" s="1978"/>
      <c r="C21" s="1978"/>
      <c r="D21" s="1978"/>
      <c r="E21" s="1978"/>
      <c r="F21" s="1978"/>
      <c r="G21" s="1978"/>
      <c r="H21" s="1978"/>
      <c r="I21" s="1978"/>
      <c r="J21" s="1978"/>
      <c r="K21" s="1978"/>
      <c r="L21" s="1978"/>
      <c r="M21" s="1978"/>
      <c r="N21" s="1978"/>
      <c r="O21" s="1978"/>
      <c r="P21" s="1978"/>
      <c r="Q21" s="1978"/>
      <c r="R21" s="1978"/>
      <c r="S21" s="1978"/>
      <c r="T21" s="1978"/>
      <c r="U21" s="1978"/>
      <c r="V21" s="1978"/>
      <c r="W21" s="1978"/>
      <c r="X21" s="1978"/>
      <c r="Y21" s="1978"/>
      <c r="Z21" s="1978"/>
      <c r="AA21" s="1978"/>
      <c r="AB21" s="1978"/>
      <c r="AC21" s="1978"/>
      <c r="AD21" s="1978"/>
      <c r="AE21" s="1978"/>
      <c r="AF21" s="1978"/>
      <c r="AG21" s="1978"/>
      <c r="AH21" s="1978"/>
      <c r="AI21" s="1978"/>
      <c r="AJ21" s="1978"/>
      <c r="AK21" s="1978"/>
      <c r="AL21" s="1978"/>
      <c r="AM21" s="1978"/>
      <c r="AN21" s="1978"/>
      <c r="AO21" s="1978"/>
      <c r="AP21" s="1978"/>
      <c r="AQ21" s="1978"/>
      <c r="AR21" s="1978"/>
      <c r="AS21" s="1978"/>
      <c r="AT21" s="1978"/>
      <c r="AU21" s="1978"/>
      <c r="AV21" s="1978"/>
      <c r="AW21" s="1978"/>
      <c r="AX21" s="1978"/>
      <c r="AY21" s="1978"/>
      <c r="AZ21" s="1978"/>
      <c r="BA21" s="1978"/>
      <c r="BB21" s="1978"/>
      <c r="BC21" s="1978"/>
      <c r="BD21" s="1978"/>
      <c r="BE21" s="1978"/>
      <c r="BF21" s="1978"/>
      <c r="BG21" s="1978"/>
      <c r="BH21" s="1978"/>
      <c r="BI21" s="1978"/>
      <c r="BJ21" s="1978"/>
      <c r="BK21" s="1978"/>
      <c r="BL21" s="1978"/>
      <c r="BM21" s="1978"/>
      <c r="BN21" s="1978"/>
      <c r="BO21" s="1978"/>
      <c r="BP21" s="1978"/>
      <c r="BQ21" s="1978"/>
      <c r="BR21" s="1978"/>
      <c r="BS21" s="1978"/>
      <c r="BT21" s="1978"/>
      <c r="BU21" s="1978"/>
      <c r="BV21" s="1978"/>
      <c r="BW21" s="1978"/>
      <c r="BX21" s="1978"/>
      <c r="BY21" s="1978"/>
      <c r="BZ21" s="1978"/>
      <c r="CA21" s="1978"/>
      <c r="CB21" s="1978"/>
      <c r="CC21" s="1978"/>
      <c r="CD21" s="1978"/>
      <c r="CE21" s="1978"/>
      <c r="CF21" s="1978"/>
      <c r="CG21" s="1978"/>
      <c r="CH21" s="1978"/>
      <c r="CI21" s="1978"/>
      <c r="CJ21" s="1978"/>
      <c r="CK21" s="1978"/>
      <c r="CL21" s="1978"/>
      <c r="CM21" s="1978"/>
      <c r="CN21" s="1978"/>
      <c r="CO21" s="1978"/>
      <c r="CP21" s="1978"/>
      <c r="CQ21" s="1978"/>
      <c r="CR21" s="1978"/>
      <c r="CS21" s="1978"/>
      <c r="CT21" s="1978"/>
      <c r="CU21" s="1978"/>
      <c r="CV21" s="1979"/>
    </row>
    <row r="22">
      <c r="L22" s="1966"/>
      <c r="M22" s="1966"/>
      <c r="N22" s="1966"/>
      <c r="O22" s="1966"/>
      <c r="P22" s="1966"/>
      <c r="Q22" s="1966"/>
      <c r="R22" s="1966"/>
      <c r="S22" s="1966"/>
      <c r="T22" s="1966"/>
      <c r="U22" s="1966"/>
      <c r="V22" s="1966"/>
      <c r="W22" s="1966"/>
      <c r="X22" s="1966"/>
      <c r="Y22" s="1966"/>
      <c r="Z22" s="1966"/>
      <c r="AA22" s="1966"/>
      <c r="AB22" s="1966"/>
      <c r="AC22" s="1966"/>
      <c r="AD22" s="1966"/>
      <c r="AE22" s="1966"/>
      <c r="AF22" s="1966"/>
      <c r="AG22" s="1966"/>
      <c r="AH22" s="1966"/>
      <c r="AI22" s="1966"/>
      <c r="AJ22" s="1966"/>
      <c r="AK22" s="1966"/>
      <c r="AL22" s="1966"/>
      <c r="AM22" s="1966"/>
      <c r="AN22" s="1966"/>
      <c r="AO22" s="1966"/>
      <c r="AP22" s="1966"/>
      <c r="AQ22" s="1966"/>
      <c r="AR22" s="1966"/>
      <c r="AS22" s="1966"/>
      <c r="AT22" s="1966"/>
      <c r="AU22" s="1966"/>
      <c r="AV22" s="1966"/>
      <c r="AW22" s="1966"/>
      <c r="AX22" s="1966"/>
      <c r="AY22" s="1966"/>
      <c r="AZ22" s="1966"/>
      <c r="BA22" s="1966"/>
      <c r="BB22" s="1966"/>
      <c r="BC22" s="1966"/>
      <c r="BD22" s="1966"/>
      <c r="BH22" s="1962"/>
      <c r="BI22" s="1962"/>
      <c r="BJ22" s="1962"/>
      <c r="BK22" s="1962"/>
      <c r="BT22" s="1962"/>
    </row>
    <row r="23">
      <c r="BH23" s="1962"/>
      <c r="BI23" s="1962"/>
      <c r="BJ23" s="1962"/>
      <c r="BK23" s="1962"/>
      <c r="BT23" s="1962"/>
    </row>
    <row r="24">
      <c r="BH24" s="1962"/>
      <c r="BI24" s="1962"/>
      <c r="BJ24" s="1962"/>
      <c r="BK24" s="1962"/>
      <c r="BT24" s="1962"/>
    </row>
    <row r="25">
      <c r="BH25" s="1962"/>
      <c r="BI25" s="1962"/>
      <c r="BJ25" s="1962"/>
      <c r="BK25" s="1962"/>
      <c r="BT25" s="1962"/>
    </row>
    <row r="26">
      <c r="BH26" s="1962"/>
      <c r="BI26" s="1962"/>
      <c r="BJ26" s="1962"/>
      <c r="BK26" s="1962"/>
      <c r="BT26" s="1962"/>
    </row>
    <row r="27">
      <c r="BH27" s="1962"/>
      <c r="BI27" s="1962"/>
      <c r="BJ27" s="1962"/>
      <c r="BK27" s="1962"/>
      <c r="BT27" s="1962"/>
    </row>
    <row r="28">
      <c r="BH28" s="1962"/>
      <c r="BI28" s="1962"/>
      <c r="BJ28" s="1962"/>
      <c r="BK28" s="1962"/>
      <c r="BT28" s="1962"/>
    </row>
    <row r="29">
      <c r="BH29" s="1962"/>
      <c r="BI29" s="1962"/>
      <c r="BJ29" s="1962"/>
      <c r="BK29" s="1962"/>
      <c r="BT29" s="1962"/>
    </row>
    <row r="30">
      <c r="BH30" s="1962"/>
      <c r="BI30" s="1962"/>
      <c r="BJ30" s="1962"/>
      <c r="BK30" s="1962"/>
      <c r="BT30" s="1962"/>
    </row>
    <row r="31">
      <c r="BH31" s="1962"/>
      <c r="BI31" s="1962"/>
      <c r="BJ31" s="1962"/>
      <c r="BK31" s="1962"/>
      <c r="BT31" s="1962"/>
    </row>
    <row r="32">
      <c r="BH32" s="1962"/>
      <c r="BI32" s="1962"/>
      <c r="BJ32" s="1962"/>
      <c r="BK32" s="1962"/>
      <c r="BT32" s="1962"/>
    </row>
    <row r="33">
      <c r="BH33" s="1962"/>
      <c r="BI33" s="1962"/>
      <c r="BJ33" s="1962"/>
      <c r="BK33" s="1962"/>
      <c r="BT33" s="1962"/>
    </row>
    <row r="34">
      <c r="BH34" s="1962"/>
      <c r="BI34" s="1962"/>
      <c r="BJ34" s="1962"/>
      <c r="BK34" s="1962"/>
      <c r="BT34" s="1962"/>
    </row>
    <row r="35">
      <c r="BH35" s="1962"/>
      <c r="BI35" s="1962"/>
      <c r="BJ35" s="1962"/>
      <c r="BK35" s="1962"/>
      <c r="BT35" s="1962"/>
    </row>
    <row r="36">
      <c r="BH36" s="1962"/>
      <c r="BI36" s="1962"/>
      <c r="BJ36" s="1962"/>
      <c r="BK36" s="1962"/>
      <c r="BT36" s="1962"/>
    </row>
    <row r="37">
      <c r="BH37" s="1962"/>
      <c r="BI37" s="1962"/>
      <c r="BJ37" s="1962"/>
      <c r="BK37" s="1962"/>
      <c r="BT37" s="1962"/>
    </row>
    <row r="38">
      <c r="BH38" s="1962"/>
      <c r="BI38" s="1962"/>
      <c r="BJ38" s="1962"/>
      <c r="BK38" s="1962"/>
      <c r="BT38" s="1962"/>
    </row>
    <row r="39">
      <c r="BH39" s="1962"/>
      <c r="BI39" s="1962"/>
      <c r="BJ39" s="1962"/>
      <c r="BK39" s="1962"/>
      <c r="BT39" s="1962"/>
    </row>
    <row r="40">
      <c r="BH40" s="1962"/>
      <c r="BI40" s="1962"/>
      <c r="BJ40" s="1962"/>
      <c r="BK40" s="1962"/>
      <c r="BT40" s="1962"/>
    </row>
    <row r="41">
      <c r="BH41" s="1962"/>
      <c r="BI41" s="1962"/>
      <c r="BJ41" s="1962"/>
      <c r="BK41" s="1962"/>
      <c r="BT41" s="1962"/>
    </row>
    <row r="42">
      <c r="BH42" s="1962"/>
      <c r="BI42" s="1962"/>
      <c r="BJ42" s="1962"/>
      <c r="BK42" s="1962"/>
      <c r="BT42" s="1962"/>
    </row>
    <row r="43">
      <c r="BH43" s="1962"/>
      <c r="BI43" s="1962"/>
      <c r="BJ43" s="1962"/>
      <c r="BK43" s="1962"/>
      <c r="BT43" s="1962"/>
    </row>
    <row r="44">
      <c r="BH44" s="1962"/>
      <c r="BI44" s="1962"/>
      <c r="BJ44" s="1962"/>
      <c r="BK44" s="1962"/>
      <c r="BT44" s="1962"/>
    </row>
    <row r="45">
      <c r="BH45" s="1962"/>
      <c r="BI45" s="1962"/>
      <c r="BJ45" s="1962"/>
      <c r="BK45" s="1962"/>
      <c r="BT45" s="1962"/>
    </row>
    <row r="46">
      <c r="BH46" s="1962"/>
      <c r="BI46" s="1962"/>
      <c r="BJ46" s="1962"/>
      <c r="BK46" s="1962"/>
      <c r="BT46" s="1962"/>
    </row>
    <row r="47">
      <c r="BH47" s="1962"/>
      <c r="BI47" s="1962"/>
      <c r="BJ47" s="1962"/>
      <c r="BK47" s="1962"/>
      <c r="BT47" s="1962"/>
    </row>
    <row r="48">
      <c r="BH48" s="1962"/>
      <c r="BI48" s="1962"/>
      <c r="BJ48" s="1962"/>
      <c r="BK48" s="1962"/>
      <c r="BT48" s="1962"/>
    </row>
    <row r="49">
      <c r="BH49" s="1962"/>
      <c r="BI49" s="1962"/>
      <c r="BJ49" s="1962"/>
      <c r="BK49" s="1962"/>
      <c r="BT49" s="1962"/>
    </row>
    <row r="50">
      <c r="BH50" s="1962"/>
      <c r="BI50" s="1962"/>
      <c r="BJ50" s="1962"/>
      <c r="BK50" s="1962"/>
      <c r="BT50" s="1962"/>
    </row>
    <row r="51">
      <c r="BH51" s="1962"/>
      <c r="BI51" s="1962"/>
      <c r="BJ51" s="1962"/>
      <c r="BK51" s="1962"/>
      <c r="BT51" s="1962"/>
    </row>
    <row r="52">
      <c r="BH52" s="1962"/>
      <c r="BI52" s="1962"/>
      <c r="BJ52" s="1962"/>
      <c r="BK52" s="1962"/>
      <c r="BT52" s="1962"/>
    </row>
    <row r="53">
      <c r="BH53" s="1962"/>
      <c r="BI53" s="1962"/>
      <c r="BJ53" s="1962"/>
      <c r="BK53" s="1962"/>
      <c r="BT53" s="1962"/>
    </row>
    <row r="54">
      <c r="BH54" s="1962"/>
      <c r="BI54" s="1962"/>
      <c r="BJ54" s="1962"/>
      <c r="BK54" s="1962"/>
      <c r="BT54" s="1962"/>
    </row>
    <row r="55">
      <c r="BH55" s="1962"/>
      <c r="BI55" s="1962"/>
      <c r="BJ55" s="1962"/>
      <c r="BK55" s="1962"/>
      <c r="BT55" s="1962"/>
    </row>
    <row r="56">
      <c r="BH56" s="1962"/>
      <c r="BI56" s="1962"/>
      <c r="BJ56" s="1962"/>
      <c r="BK56" s="1962"/>
      <c r="BT56" s="1962"/>
    </row>
    <row r="57">
      <c r="BH57" s="1962"/>
      <c r="BI57" s="1962"/>
      <c r="BJ57" s="1962"/>
      <c r="BK57" s="1962"/>
      <c r="BT57" s="1962"/>
    </row>
    <row r="58">
      <c r="BH58" s="1962"/>
      <c r="BI58" s="1962"/>
      <c r="BJ58" s="1962"/>
      <c r="BK58" s="1962"/>
      <c r="BT58" s="1962"/>
    </row>
    <row r="59">
      <c r="BH59" s="1962"/>
      <c r="BI59" s="1962"/>
      <c r="BJ59" s="1962"/>
      <c r="BK59" s="1962"/>
      <c r="BT59" s="1962"/>
    </row>
    <row r="60">
      <c r="BH60" s="1962"/>
      <c r="BI60" s="1962"/>
      <c r="BJ60" s="1962"/>
      <c r="BK60" s="1962"/>
      <c r="BT60" s="1962"/>
    </row>
    <row r="61">
      <c r="BH61" s="1962"/>
      <c r="BI61" s="1962"/>
      <c r="BJ61" s="1962"/>
      <c r="BK61" s="1962"/>
      <c r="BT61" s="1962"/>
    </row>
    <row r="62">
      <c r="BH62" s="1962"/>
      <c r="BI62" s="1962"/>
      <c r="BJ62" s="1962"/>
      <c r="BK62" s="1962"/>
      <c r="BT62" s="1962"/>
    </row>
    <row r="63">
      <c r="BH63" s="1962"/>
      <c r="BI63" s="1962"/>
      <c r="BJ63" s="1962"/>
      <c r="BK63" s="1962"/>
      <c r="BT63" s="1962"/>
    </row>
    <row r="64">
      <c r="BH64" s="1962"/>
      <c r="BI64" s="1962"/>
      <c r="BJ64" s="1962"/>
      <c r="BK64" s="1962"/>
      <c r="BT64" s="1962"/>
    </row>
    <row r="65">
      <c r="BH65" s="1962"/>
      <c r="BI65" s="1962"/>
      <c r="BJ65" s="1962"/>
      <c r="BK65" s="1962"/>
      <c r="BT65" s="1962"/>
    </row>
    <row r="66">
      <c r="BH66" s="1962"/>
      <c r="BI66" s="1962"/>
      <c r="BJ66" s="1962"/>
      <c r="BK66" s="1962"/>
      <c r="BT66" s="1962"/>
    </row>
    <row r="67">
      <c r="BH67" s="1962"/>
      <c r="BI67" s="1962"/>
      <c r="BJ67" s="1962"/>
      <c r="BK67" s="1962"/>
      <c r="BT67" s="1962"/>
    </row>
    <row r="68">
      <c r="BH68" s="1962"/>
      <c r="BI68" s="1962"/>
      <c r="BJ68" s="1962"/>
      <c r="BK68" s="1962"/>
      <c r="BT68" s="1962"/>
    </row>
    <row r="69">
      <c r="BH69" s="1962"/>
      <c r="BI69" s="1962"/>
      <c r="BJ69" s="1962"/>
      <c r="BK69" s="1962"/>
      <c r="BT69" s="1962"/>
    </row>
    <row r="70">
      <c r="BH70" s="1962"/>
      <c r="BI70" s="1962"/>
      <c r="BJ70" s="1962"/>
      <c r="BK70" s="1962"/>
      <c r="BT70" s="1962"/>
    </row>
    <row r="71">
      <c r="BH71" s="1962"/>
      <c r="BI71" s="1962"/>
      <c r="BJ71" s="1962"/>
      <c r="BK71" s="1962"/>
      <c r="BT71" s="1962"/>
    </row>
    <row r="72">
      <c r="BH72" s="1962"/>
      <c r="BI72" s="1962"/>
      <c r="BJ72" s="1962"/>
      <c r="BK72" s="1962"/>
      <c r="BT72" s="1962"/>
    </row>
    <row r="73">
      <c r="BH73" s="1962"/>
      <c r="BI73" s="1962"/>
      <c r="BJ73" s="1962"/>
      <c r="BK73" s="1962"/>
      <c r="BT73" s="1962"/>
    </row>
    <row r="74">
      <c r="BH74" s="1962"/>
      <c r="BI74" s="1962"/>
      <c r="BJ74" s="1962"/>
      <c r="BK74" s="1962"/>
      <c r="BT74" s="1962"/>
    </row>
    <row r="75">
      <c r="BH75" s="1962"/>
      <c r="BI75" s="1962"/>
      <c r="BJ75" s="1962"/>
      <c r="BK75" s="1962"/>
      <c r="BT75" s="1962"/>
    </row>
    <row r="76">
      <c r="BH76" s="1962"/>
      <c r="BI76" s="1962"/>
      <c r="BJ76" s="1962"/>
      <c r="BK76" s="1962"/>
      <c r="BT76" s="1962"/>
    </row>
    <row r="77">
      <c r="BH77" s="1962"/>
      <c r="BI77" s="1962"/>
      <c r="BJ77" s="1962"/>
      <c r="BK77" s="1962"/>
      <c r="BT77" s="1962"/>
    </row>
    <row r="78">
      <c r="BH78" s="1962"/>
      <c r="BI78" s="1962"/>
      <c r="BJ78" s="1962"/>
      <c r="BK78" s="1962"/>
      <c r="BT78" s="1962"/>
    </row>
    <row r="79">
      <c r="BH79" s="1962"/>
      <c r="BI79" s="1962"/>
      <c r="BJ79" s="1962"/>
      <c r="BK79" s="1962"/>
      <c r="BT79" s="1962"/>
    </row>
    <row r="80">
      <c r="BH80" s="1962"/>
      <c r="BI80" s="1962"/>
      <c r="BJ80" s="1962"/>
      <c r="BK80" s="1962"/>
      <c r="BT80" s="1962"/>
    </row>
    <row r="81">
      <c r="BH81" s="1962"/>
      <c r="BI81" s="1962"/>
      <c r="BJ81" s="1962"/>
      <c r="BK81" s="1962"/>
      <c r="BT81" s="1962"/>
    </row>
    <row r="82">
      <c r="BH82" s="1962"/>
      <c r="BI82" s="1962"/>
      <c r="BJ82" s="1962"/>
      <c r="BK82" s="1962"/>
      <c r="BT82" s="1962"/>
    </row>
    <row r="83">
      <c r="BH83" s="1962"/>
      <c r="BI83" s="1962"/>
      <c r="BJ83" s="1962"/>
      <c r="BK83" s="1962"/>
      <c r="BT83" s="1962"/>
    </row>
    <row r="84">
      <c r="BH84" s="1962"/>
      <c r="BI84" s="1962"/>
      <c r="BJ84" s="1962"/>
      <c r="BK84" s="1962"/>
      <c r="BT84" s="1962"/>
    </row>
    <row r="85">
      <c r="BH85" s="1962"/>
      <c r="BI85" s="1962"/>
      <c r="BJ85" s="1962"/>
      <c r="BK85" s="1962"/>
      <c r="BT85" s="1962"/>
    </row>
    <row r="86">
      <c r="BH86" s="1962"/>
      <c r="BI86" s="1962"/>
      <c r="BJ86" s="1962"/>
      <c r="BK86" s="1962"/>
      <c r="BT86" s="1962"/>
    </row>
    <row r="87">
      <c r="BH87" s="1962"/>
      <c r="BI87" s="1962"/>
      <c r="BJ87" s="1962"/>
      <c r="BK87" s="1962"/>
      <c r="BT87" s="1962"/>
    </row>
    <row r="88">
      <c r="BH88" s="1962"/>
      <c r="BI88" s="1962"/>
      <c r="BJ88" s="1962"/>
      <c r="BK88" s="1962"/>
      <c r="BT88" s="1962"/>
    </row>
    <row r="89">
      <c r="BH89" s="1962"/>
      <c r="BI89" s="1962"/>
      <c r="BJ89" s="1962"/>
      <c r="BK89" s="1962"/>
      <c r="BT89" s="1962"/>
    </row>
    <row r="90">
      <c r="BH90" s="1962"/>
      <c r="BI90" s="1962"/>
      <c r="BJ90" s="1962"/>
      <c r="BK90" s="1962"/>
      <c r="BT90" s="1962"/>
    </row>
    <row r="91">
      <c r="BH91" s="1962"/>
      <c r="BI91" s="1962"/>
      <c r="BJ91" s="1962"/>
      <c r="BK91" s="1962"/>
      <c r="BT91" s="1962"/>
    </row>
    <row r="92">
      <c r="BH92" s="1962"/>
      <c r="BI92" s="1962"/>
      <c r="BJ92" s="1962"/>
      <c r="BK92" s="1962"/>
      <c r="BT92" s="1962"/>
    </row>
    <row r="93">
      <c r="BH93" s="1962"/>
      <c r="BI93" s="1962"/>
      <c r="BJ93" s="1962"/>
      <c r="BK93" s="1962"/>
      <c r="BT93" s="1962"/>
    </row>
    <row r="94">
      <c r="BH94" s="1962"/>
      <c r="BI94" s="1962"/>
      <c r="BJ94" s="1962"/>
      <c r="BK94" s="1962"/>
      <c r="BT94" s="1962"/>
    </row>
    <row r="95">
      <c r="BH95" s="1962"/>
      <c r="BI95" s="1962"/>
      <c r="BJ95" s="1962"/>
      <c r="BK95" s="1962"/>
      <c r="BT95" s="1962"/>
    </row>
    <row r="96">
      <c r="BH96" s="1962"/>
      <c r="BI96" s="1962"/>
      <c r="BJ96" s="1962"/>
      <c r="BK96" s="1962"/>
      <c r="BT96" s="1962"/>
    </row>
    <row r="97">
      <c r="BH97" s="1962"/>
      <c r="BI97" s="1962"/>
      <c r="BJ97" s="1962"/>
      <c r="BK97" s="1962"/>
      <c r="BT97" s="1962"/>
    </row>
    <row r="98">
      <c r="BH98" s="1962"/>
      <c r="BI98" s="1962"/>
      <c r="BJ98" s="1962"/>
      <c r="BK98" s="1962"/>
      <c r="BT98" s="1962"/>
    </row>
    <row r="99">
      <c r="BH99" s="1962"/>
      <c r="BI99" s="1962"/>
      <c r="BJ99" s="1962"/>
      <c r="BK99" s="1962"/>
      <c r="BT99" s="1962"/>
    </row>
    <row r="100">
      <c r="BH100" s="1962"/>
      <c r="BI100" s="1962"/>
      <c r="BJ100" s="1962"/>
      <c r="BK100" s="1962"/>
      <c r="BT100" s="1962"/>
    </row>
    <row r="101">
      <c r="BH101" s="1962"/>
      <c r="BI101" s="1962"/>
      <c r="BJ101" s="1962"/>
      <c r="BK101" s="1962"/>
      <c r="BT101" s="1962"/>
    </row>
    <row r="102">
      <c r="BH102" s="1962"/>
      <c r="BI102" s="1962"/>
      <c r="BJ102" s="1962"/>
      <c r="BK102" s="1962"/>
      <c r="BT102" s="1962"/>
    </row>
    <row r="103">
      <c r="BH103" s="1962"/>
      <c r="BI103" s="1962"/>
      <c r="BJ103" s="1962"/>
      <c r="BK103" s="1962"/>
      <c r="BT103" s="1962"/>
    </row>
    <row r="104">
      <c r="BH104" s="1962"/>
      <c r="BI104" s="1962"/>
      <c r="BJ104" s="1962"/>
      <c r="BK104" s="1962"/>
      <c r="BT104" s="1962"/>
    </row>
    <row r="105">
      <c r="BH105" s="1962"/>
      <c r="BI105" s="1962"/>
      <c r="BJ105" s="1962"/>
      <c r="BK105" s="1962"/>
      <c r="BT105" s="1962"/>
    </row>
    <row r="106">
      <c r="BH106" s="1962"/>
      <c r="BI106" s="1962"/>
      <c r="BJ106" s="1962"/>
      <c r="BK106" s="1962"/>
      <c r="BT106" s="1962"/>
    </row>
    <row r="107">
      <c r="BH107" s="1962"/>
      <c r="BI107" s="1962"/>
      <c r="BJ107" s="1962"/>
      <c r="BK107" s="1962"/>
      <c r="BT107" s="1962"/>
    </row>
    <row r="108">
      <c r="BH108" s="1962"/>
      <c r="BI108" s="1962"/>
      <c r="BJ108" s="1962"/>
      <c r="BK108" s="1962"/>
      <c r="BT108" s="1962"/>
    </row>
    <row r="109">
      <c r="BH109" s="1962"/>
      <c r="BI109" s="1962"/>
      <c r="BJ109" s="1962"/>
      <c r="BK109" s="1962"/>
      <c r="BT109" s="1962"/>
    </row>
    <row r="110">
      <c r="BH110" s="1962"/>
      <c r="BI110" s="1962"/>
      <c r="BJ110" s="1962"/>
      <c r="BK110" s="1962"/>
      <c r="BT110" s="1962"/>
    </row>
    <row r="111">
      <c r="BH111" s="1962"/>
      <c r="BI111" s="1962"/>
      <c r="BJ111" s="1962"/>
      <c r="BK111" s="1962"/>
      <c r="BT111" s="1962"/>
    </row>
    <row r="112">
      <c r="BH112" s="1962"/>
      <c r="BI112" s="1962"/>
      <c r="BJ112" s="1962"/>
      <c r="BK112" s="1962"/>
      <c r="BT112" s="1962"/>
    </row>
    <row r="113">
      <c r="BH113" s="1962"/>
      <c r="BI113" s="1962"/>
      <c r="BJ113" s="1962"/>
      <c r="BK113" s="1962"/>
      <c r="BT113" s="1962"/>
    </row>
    <row r="114">
      <c r="BH114" s="1962"/>
      <c r="BI114" s="1962"/>
      <c r="BJ114" s="1962"/>
      <c r="BK114" s="1962"/>
      <c r="BT114" s="1962"/>
    </row>
    <row r="115">
      <c r="BH115" s="1962"/>
      <c r="BI115" s="1962"/>
      <c r="BJ115" s="1962"/>
      <c r="BK115" s="1962"/>
      <c r="BT115" s="1962"/>
    </row>
    <row r="116">
      <c r="BH116" s="1962"/>
      <c r="BI116" s="1962"/>
      <c r="BJ116" s="1962"/>
      <c r="BK116" s="1962"/>
      <c r="BT116" s="1962"/>
    </row>
    <row r="117">
      <c r="BH117" s="1962"/>
      <c r="BI117" s="1962"/>
      <c r="BJ117" s="1962"/>
      <c r="BK117" s="1962"/>
      <c r="BT117" s="1962"/>
    </row>
    <row r="118">
      <c r="BH118" s="1962"/>
      <c r="BI118" s="1962"/>
      <c r="BJ118" s="1962"/>
      <c r="BK118" s="1962"/>
      <c r="BT118" s="1962"/>
    </row>
    <row r="119">
      <c r="BH119" s="1962"/>
      <c r="BI119" s="1962"/>
      <c r="BJ119" s="1962"/>
      <c r="BK119" s="1962"/>
      <c r="BT119" s="1962"/>
    </row>
    <row r="120">
      <c r="BH120" s="1962"/>
      <c r="BI120" s="1962"/>
      <c r="BJ120" s="1962"/>
      <c r="BK120" s="1962"/>
      <c r="BT120" s="1962"/>
    </row>
    <row r="121">
      <c r="BH121" s="1962"/>
      <c r="BI121" s="1962"/>
      <c r="BJ121" s="1962"/>
      <c r="BK121" s="1962"/>
      <c r="BT121" s="1962"/>
    </row>
    <row r="122">
      <c r="BH122" s="1962"/>
      <c r="BI122" s="1962"/>
      <c r="BJ122" s="1962"/>
      <c r="BK122" s="1962"/>
      <c r="BT122" s="1962"/>
    </row>
    <row r="123">
      <c r="BH123" s="1962"/>
      <c r="BI123" s="1962"/>
      <c r="BJ123" s="1962"/>
      <c r="BK123" s="1962"/>
      <c r="BT123" s="1962"/>
    </row>
    <row r="124">
      <c r="BH124" s="1962"/>
      <c r="BI124" s="1962"/>
      <c r="BJ124" s="1962"/>
      <c r="BK124" s="1962"/>
      <c r="BT124" s="1962"/>
    </row>
    <row r="125">
      <c r="BH125" s="1962"/>
      <c r="BI125" s="1962"/>
      <c r="BJ125" s="1962"/>
      <c r="BK125" s="1962"/>
      <c r="BT125" s="1962"/>
    </row>
    <row r="126">
      <c r="BH126" s="1962"/>
      <c r="BI126" s="1962"/>
      <c r="BJ126" s="1962"/>
      <c r="BK126" s="1962"/>
      <c r="BT126" s="1962"/>
    </row>
    <row r="127">
      <c r="BH127" s="1962"/>
      <c r="BI127" s="1962"/>
      <c r="BJ127" s="1962"/>
      <c r="BK127" s="1962"/>
      <c r="BT127" s="1962"/>
    </row>
    <row r="128">
      <c r="BH128" s="1962"/>
      <c r="BI128" s="1962"/>
      <c r="BJ128" s="1962"/>
      <c r="BK128" s="1962"/>
      <c r="BT128" s="1962"/>
    </row>
    <row r="129">
      <c r="BH129" s="1962"/>
      <c r="BI129" s="1962"/>
      <c r="BJ129" s="1962"/>
      <c r="BK129" s="1962"/>
      <c r="BT129" s="1962"/>
    </row>
    <row r="130">
      <c r="BH130" s="1962"/>
      <c r="BI130" s="1962"/>
      <c r="BJ130" s="1962"/>
      <c r="BK130" s="1962"/>
      <c r="BT130" s="1962"/>
    </row>
    <row r="131">
      <c r="BH131" s="1962"/>
      <c r="BI131" s="1962"/>
      <c r="BJ131" s="1962"/>
      <c r="BK131" s="1962"/>
      <c r="BT131" s="1962"/>
    </row>
    <row r="132">
      <c r="BH132" s="1962"/>
      <c r="BI132" s="1962"/>
      <c r="BJ132" s="1962"/>
      <c r="BK132" s="1962"/>
      <c r="BT132" s="1962"/>
    </row>
    <row r="133">
      <c r="BH133" s="1962"/>
      <c r="BI133" s="1962"/>
      <c r="BJ133" s="1962"/>
      <c r="BK133" s="1962"/>
      <c r="BT133" s="1962"/>
    </row>
    <row r="134">
      <c r="BH134" s="1962"/>
      <c r="BI134" s="1962"/>
      <c r="BJ134" s="1962"/>
      <c r="BK134" s="1962"/>
      <c r="BT134" s="1962"/>
    </row>
    <row r="135">
      <c r="BH135" s="1962"/>
      <c r="BI135" s="1962"/>
      <c r="BJ135" s="1962"/>
      <c r="BK135" s="1962"/>
      <c r="BT135" s="1962"/>
    </row>
    <row r="136">
      <c r="BH136" s="1962"/>
      <c r="BI136" s="1962"/>
      <c r="BJ136" s="1962"/>
      <c r="BK136" s="1962"/>
      <c r="BT136" s="1962"/>
    </row>
    <row r="137">
      <c r="BH137" s="1962"/>
      <c r="BI137" s="1962"/>
      <c r="BJ137" s="1962"/>
      <c r="BK137" s="1962"/>
      <c r="BT137" s="1962"/>
    </row>
    <row r="138">
      <c r="BH138" s="1962"/>
      <c r="BI138" s="1962"/>
      <c r="BJ138" s="1962"/>
      <c r="BK138" s="1962"/>
      <c r="BT138" s="1962"/>
    </row>
    <row r="139">
      <c r="BH139" s="1962"/>
      <c r="BI139" s="1962"/>
      <c r="BJ139" s="1962"/>
      <c r="BK139" s="1962"/>
      <c r="BT139" s="1962"/>
    </row>
    <row r="140">
      <c r="BH140" s="1962"/>
      <c r="BI140" s="1962"/>
      <c r="BJ140" s="1962"/>
      <c r="BK140" s="1962"/>
      <c r="BT140" s="1962"/>
    </row>
    <row r="141">
      <c r="BH141" s="1962"/>
      <c r="BI141" s="1962"/>
      <c r="BJ141" s="1962"/>
      <c r="BK141" s="1962"/>
      <c r="BT141" s="1962"/>
    </row>
    <row r="142">
      <c r="BH142" s="1962"/>
      <c r="BI142" s="1962"/>
      <c r="BJ142" s="1962"/>
      <c r="BK142" s="1962"/>
      <c r="BT142" s="1962"/>
    </row>
    <row r="143">
      <c r="BH143" s="1962"/>
      <c r="BI143" s="1962"/>
      <c r="BJ143" s="1962"/>
      <c r="BK143" s="1962"/>
      <c r="BT143" s="1962"/>
    </row>
    <row r="144">
      <c r="BH144" s="1962"/>
      <c r="BI144" s="1962"/>
      <c r="BJ144" s="1962"/>
      <c r="BK144" s="1962"/>
      <c r="BT144" s="1962"/>
    </row>
    <row r="145">
      <c r="BH145" s="1962"/>
      <c r="BI145" s="1962"/>
      <c r="BJ145" s="1962"/>
      <c r="BK145" s="1962"/>
      <c r="BT145" s="1962"/>
    </row>
    <row r="146">
      <c r="BH146" s="1962"/>
      <c r="BI146" s="1962"/>
      <c r="BJ146" s="1962"/>
      <c r="BK146" s="1962"/>
      <c r="BT146" s="1962"/>
    </row>
    <row r="147">
      <c r="BH147" s="1962"/>
      <c r="BI147" s="1962"/>
      <c r="BJ147" s="1962"/>
      <c r="BK147" s="1962"/>
      <c r="BT147" s="1962"/>
    </row>
    <row r="148">
      <c r="BH148" s="1962"/>
      <c r="BI148" s="1962"/>
      <c r="BJ148" s="1962"/>
      <c r="BK148" s="1962"/>
      <c r="BT148" s="1962"/>
    </row>
    <row r="149">
      <c r="BH149" s="1962"/>
      <c r="BI149" s="1962"/>
      <c r="BJ149" s="1962"/>
      <c r="BK149" s="1962"/>
      <c r="BT149" s="1962"/>
    </row>
    <row r="150">
      <c r="BH150" s="1962"/>
      <c r="BI150" s="1962"/>
      <c r="BJ150" s="1962"/>
      <c r="BK150" s="1962"/>
      <c r="BT150" s="1962"/>
    </row>
    <row r="151">
      <c r="BH151" s="1962"/>
      <c r="BI151" s="1962"/>
      <c r="BJ151" s="1962"/>
      <c r="BK151" s="1962"/>
      <c r="BT151" s="1962"/>
    </row>
    <row r="152">
      <c r="BH152" s="1962"/>
      <c r="BI152" s="1962"/>
      <c r="BJ152" s="1962"/>
      <c r="BK152" s="1962"/>
      <c r="BT152" s="1962"/>
    </row>
    <row r="153">
      <c r="BH153" s="1962"/>
      <c r="BI153" s="1962"/>
      <c r="BJ153" s="1962"/>
      <c r="BK153" s="1962"/>
      <c r="BT153" s="1962"/>
    </row>
    <row r="154">
      <c r="BH154" s="1962"/>
      <c r="BI154" s="1962"/>
      <c r="BJ154" s="1962"/>
      <c r="BK154" s="1962"/>
      <c r="BT154" s="1962"/>
    </row>
    <row r="155">
      <c r="BH155" s="1962"/>
      <c r="BI155" s="1962"/>
      <c r="BJ155" s="1962"/>
      <c r="BK155" s="1962"/>
      <c r="BT155" s="1962"/>
    </row>
    <row r="156">
      <c r="BH156" s="1962"/>
      <c r="BI156" s="1962"/>
      <c r="BJ156" s="1962"/>
      <c r="BK156" s="1962"/>
      <c r="BT156" s="1962"/>
    </row>
    <row r="157">
      <c r="BH157" s="1962"/>
      <c r="BI157" s="1962"/>
      <c r="BJ157" s="1962"/>
      <c r="BK157" s="1962"/>
      <c r="BT157" s="1962"/>
    </row>
    <row r="158">
      <c r="BH158" s="1962"/>
      <c r="BI158" s="1962"/>
      <c r="BJ158" s="1962"/>
      <c r="BK158" s="1962"/>
      <c r="BT158" s="1962"/>
    </row>
    <row r="159">
      <c r="BH159" s="1962"/>
      <c r="BI159" s="1962"/>
      <c r="BJ159" s="1962"/>
      <c r="BK159" s="1962"/>
      <c r="BT159" s="1962"/>
    </row>
    <row r="160">
      <c r="BH160" s="1962"/>
      <c r="BI160" s="1962"/>
      <c r="BJ160" s="1962"/>
      <c r="BK160" s="1962"/>
      <c r="BT160" s="1962"/>
    </row>
    <row r="161">
      <c r="BH161" s="1962"/>
      <c r="BI161" s="1962"/>
      <c r="BJ161" s="1962"/>
      <c r="BK161" s="1962"/>
      <c r="BT161" s="1962"/>
    </row>
    <row r="162">
      <c r="BH162" s="1962"/>
      <c r="BI162" s="1962"/>
      <c r="BJ162" s="1962"/>
      <c r="BK162" s="1962"/>
      <c r="BT162" s="1962"/>
    </row>
    <row r="163">
      <c r="BH163" s="1962"/>
      <c r="BI163" s="1962"/>
      <c r="BJ163" s="1962"/>
      <c r="BK163" s="1962"/>
      <c r="BT163" s="1962"/>
    </row>
    <row r="164">
      <c r="BH164" s="1962"/>
      <c r="BI164" s="1962"/>
      <c r="BJ164" s="1962"/>
      <c r="BK164" s="1962"/>
      <c r="BT164" s="1962"/>
    </row>
    <row r="165">
      <c r="BH165" s="1962"/>
      <c r="BI165" s="1962"/>
      <c r="BJ165" s="1962"/>
      <c r="BK165" s="1962"/>
      <c r="BT165" s="1962"/>
    </row>
    <row r="166">
      <c r="BH166" s="1962"/>
      <c r="BI166" s="1962"/>
      <c r="BJ166" s="1962"/>
      <c r="BK166" s="1962"/>
      <c r="BT166" s="1962"/>
    </row>
    <row r="167">
      <c r="BH167" s="1962"/>
      <c r="BI167" s="1962"/>
      <c r="BJ167" s="1962"/>
      <c r="BK167" s="1962"/>
      <c r="BT167" s="1962"/>
    </row>
    <row r="168">
      <c r="BH168" s="1962"/>
      <c r="BI168" s="1962"/>
      <c r="BJ168" s="1962"/>
      <c r="BK168" s="1962"/>
      <c r="BT168" s="1962"/>
    </row>
    <row r="169">
      <c r="BH169" s="1962"/>
      <c r="BI169" s="1962"/>
      <c r="BJ169" s="1962"/>
      <c r="BK169" s="1962"/>
      <c r="BT169" s="1962"/>
    </row>
    <row r="170">
      <c r="BH170" s="1962"/>
      <c r="BI170" s="1962"/>
      <c r="BJ170" s="1962"/>
      <c r="BK170" s="1962"/>
      <c r="BT170" s="1962"/>
    </row>
    <row r="171">
      <c r="BH171" s="1962"/>
      <c r="BI171" s="1962"/>
      <c r="BJ171" s="1962"/>
      <c r="BK171" s="1962"/>
      <c r="BT171" s="1962"/>
    </row>
    <row r="172">
      <c r="BH172" s="1962"/>
      <c r="BI172" s="1962"/>
      <c r="BJ172" s="1962"/>
      <c r="BK172" s="1962"/>
      <c r="BT172" s="1962"/>
    </row>
    <row r="173">
      <c r="BH173" s="1962"/>
      <c r="BI173" s="1962"/>
      <c r="BJ173" s="1962"/>
      <c r="BK173" s="1962"/>
      <c r="BT173" s="1962"/>
    </row>
    <row r="174">
      <c r="BH174" s="1962"/>
      <c r="BI174" s="1962"/>
      <c r="BJ174" s="1962"/>
      <c r="BK174" s="1962"/>
      <c r="BT174" s="1962"/>
    </row>
    <row r="175">
      <c r="BH175" s="1962"/>
      <c r="BI175" s="1962"/>
      <c r="BJ175" s="1962"/>
      <c r="BK175" s="1962"/>
      <c r="BT175" s="1962"/>
    </row>
    <row r="176">
      <c r="BH176" s="1962"/>
      <c r="BI176" s="1962"/>
      <c r="BJ176" s="1962"/>
      <c r="BK176" s="1962"/>
      <c r="BT176" s="1962"/>
    </row>
    <row r="177">
      <c r="BH177" s="1962"/>
      <c r="BI177" s="1962"/>
      <c r="BJ177" s="1962"/>
      <c r="BK177" s="1962"/>
      <c r="BT177" s="1962"/>
    </row>
    <row r="178">
      <c r="BH178" s="1962"/>
      <c r="BI178" s="1962"/>
      <c r="BJ178" s="1962"/>
      <c r="BK178" s="1962"/>
      <c r="BT178" s="1962"/>
    </row>
    <row r="179">
      <c r="BH179" s="1962"/>
      <c r="BI179" s="1962"/>
      <c r="BJ179" s="1962"/>
      <c r="BK179" s="1962"/>
      <c r="BT179" s="1962"/>
    </row>
    <row r="180">
      <c r="BH180" s="1962"/>
      <c r="BI180" s="1962"/>
      <c r="BJ180" s="1962"/>
      <c r="BK180" s="1962"/>
      <c r="BT180" s="1962"/>
    </row>
    <row r="181">
      <c r="BH181" s="1962"/>
      <c r="BI181" s="1962"/>
      <c r="BJ181" s="1962"/>
      <c r="BK181" s="1962"/>
      <c r="BT181" s="1962"/>
    </row>
    <row r="182">
      <c r="BH182" s="1962"/>
      <c r="BI182" s="1962"/>
      <c r="BJ182" s="1962"/>
      <c r="BK182" s="1962"/>
      <c r="BT182" s="1962"/>
    </row>
    <row r="183">
      <c r="BH183" s="1962"/>
      <c r="BI183" s="1962"/>
      <c r="BJ183" s="1962"/>
      <c r="BK183" s="1962"/>
      <c r="BT183" s="1962"/>
    </row>
    <row r="184">
      <c r="BH184" s="1962"/>
      <c r="BI184" s="1962"/>
      <c r="BJ184" s="1962"/>
      <c r="BK184" s="1962"/>
      <c r="BT184" s="1962"/>
    </row>
    <row r="185">
      <c r="BH185" s="1962"/>
      <c r="BI185" s="1962"/>
      <c r="BJ185" s="1962"/>
      <c r="BK185" s="1962"/>
      <c r="BT185" s="1962"/>
    </row>
    <row r="186">
      <c r="BH186" s="1962"/>
      <c r="BI186" s="1962"/>
      <c r="BJ186" s="1962"/>
      <c r="BK186" s="1962"/>
      <c r="BT186" s="1962"/>
    </row>
    <row r="187">
      <c r="BH187" s="1962"/>
      <c r="BI187" s="1962"/>
      <c r="BJ187" s="1962"/>
      <c r="BK187" s="1962"/>
      <c r="BT187" s="1962"/>
    </row>
    <row r="188">
      <c r="BH188" s="1962"/>
      <c r="BI188" s="1962"/>
      <c r="BJ188" s="1962"/>
      <c r="BK188" s="1962"/>
      <c r="BT188" s="1962"/>
    </row>
    <row r="189">
      <c r="BH189" s="1962"/>
      <c r="BI189" s="1962"/>
      <c r="BJ189" s="1962"/>
      <c r="BK189" s="1962"/>
      <c r="BT189" s="1962"/>
    </row>
    <row r="190">
      <c r="BH190" s="1962"/>
      <c r="BI190" s="1962"/>
      <c r="BJ190" s="1962"/>
      <c r="BK190" s="1962"/>
      <c r="BT190" s="1962"/>
    </row>
    <row r="191">
      <c r="BH191" s="1962"/>
      <c r="BI191" s="1962"/>
      <c r="BJ191" s="1962"/>
      <c r="BK191" s="1962"/>
      <c r="BT191" s="1962"/>
    </row>
    <row r="192">
      <c r="BH192" s="1962"/>
      <c r="BI192" s="1962"/>
      <c r="BJ192" s="1962"/>
      <c r="BK192" s="1962"/>
      <c r="BT192" s="1962"/>
    </row>
    <row r="193">
      <c r="BH193" s="1962"/>
      <c r="BI193" s="1962"/>
      <c r="BJ193" s="1962"/>
      <c r="BK193" s="1962"/>
      <c r="BT193" s="1962"/>
    </row>
    <row r="194">
      <c r="BH194" s="1962"/>
      <c r="BI194" s="1962"/>
      <c r="BJ194" s="1962"/>
      <c r="BK194" s="1962"/>
      <c r="BT194" s="1962"/>
    </row>
    <row r="195">
      <c r="BH195" s="1962"/>
      <c r="BI195" s="1962"/>
      <c r="BJ195" s="1962"/>
      <c r="BK195" s="1962"/>
      <c r="BT195" s="1962"/>
    </row>
    <row r="196">
      <c r="BH196" s="1962"/>
      <c r="BI196" s="1962"/>
      <c r="BJ196" s="1962"/>
      <c r="BK196" s="1962"/>
      <c r="BT196" s="1962"/>
    </row>
    <row r="197">
      <c r="BH197" s="1962"/>
      <c r="BI197" s="1962"/>
      <c r="BJ197" s="1962"/>
      <c r="BK197" s="1962"/>
      <c r="BT197" s="1962"/>
    </row>
    <row r="198">
      <c r="BH198" s="1962"/>
      <c r="BI198" s="1962"/>
      <c r="BJ198" s="1962"/>
      <c r="BK198" s="1962"/>
      <c r="BT198" s="1962"/>
    </row>
    <row r="199">
      <c r="BH199" s="1962"/>
      <c r="BI199" s="1962"/>
      <c r="BJ199" s="1962"/>
      <c r="BK199" s="1962"/>
      <c r="BT199" s="1962"/>
    </row>
    <row r="200">
      <c r="BH200" s="1962"/>
      <c r="BI200" s="1962"/>
      <c r="BJ200" s="1962"/>
      <c r="BK200" s="1962"/>
      <c r="BT200" s="1962"/>
    </row>
    <row r="201">
      <c r="BH201" s="1962"/>
      <c r="BI201" s="1962"/>
      <c r="BJ201" s="1962"/>
      <c r="BK201" s="1962"/>
      <c r="BT201" s="1962"/>
    </row>
    <row r="202">
      <c r="BH202" s="1962"/>
      <c r="BI202" s="1962"/>
      <c r="BJ202" s="1962"/>
      <c r="BK202" s="1962"/>
      <c r="BT202" s="1962"/>
    </row>
    <row r="203">
      <c r="BH203" s="1962"/>
      <c r="BI203" s="1962"/>
      <c r="BJ203" s="1962"/>
      <c r="BK203" s="1962"/>
      <c r="BT203" s="1962"/>
    </row>
    <row r="204">
      <c r="BH204" s="1962"/>
      <c r="BI204" s="1962"/>
      <c r="BJ204" s="1962"/>
      <c r="BK204" s="1962"/>
      <c r="BT204" s="1962"/>
    </row>
    <row r="205">
      <c r="BH205" s="1962"/>
      <c r="BI205" s="1962"/>
      <c r="BJ205" s="1962"/>
      <c r="BK205" s="1962"/>
      <c r="BT205" s="1962"/>
    </row>
  </sheetData>
  <mergeCells>
    <mergeCell ref="S18:X18"/>
    <mergeCell ref="AE18:AJ18"/>
    <mergeCell ref="Y18:AD18"/>
    <mergeCell ref="AK18:AN18"/>
    <mergeCell ref="AO18:AR18"/>
    <mergeCell ref="AS18:AV18"/>
    <mergeCell ref="AW18:AZ18"/>
    <mergeCell ref="BA18:BD18"/>
    <mergeCell ref="BE18:BH18"/>
    <mergeCell ref="BI18:BL18"/>
    <mergeCell ref="BM18:BP18"/>
    <mergeCell ref="BQ18:BT18"/>
    <mergeCell ref="BU18:BX18"/>
    <mergeCell ref="BY18:CB18"/>
    <mergeCell ref="CC18:CF18"/>
    <mergeCell ref="CG18:CJ18"/>
    <mergeCell ref="CK18:CN18"/>
    <mergeCell ref="CO18:CR18"/>
    <mergeCell ref="CS18:CV18"/>
  </mergeCells>
  <picture r:id="rId1"/>
</worksheet>
</file>

<file path=xl/worksheets/sheet4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2" ySplit="1"/>
    </sheetView>
  </sheetViews>
  <sheetFormatPr defaultRowHeight="0"/>
  <cols>
    <col collapsed="false" customWidth="true" hidden="false" max="1" min="1" style="0" width="24.619718309859156"/>
    <col collapsed="false" customWidth="true" hidden="false" max="2" min="2" style="0" width="11.211267605633802"/>
    <col collapsed="false" customWidth="true" hidden="false" max="3" min="3" style="0" width="31.50130375546475"/>
  </cols>
  <sheetData>
    <row customHeight="true" ht="207.72398843930637" r="1">
      <c r="A1" s="1980" t="s">
        <v>5861</v>
      </c>
      <c r="B1" s="1981" t="s">
        <v>5862</v>
      </c>
      <c r="C1" s="1980" t="s">
        <v>5863</v>
      </c>
      <c r="D1" s="1982"/>
    </row>
    <row r="2">
      <c r="A2" s="1983" t="s">
        <v>5864</v>
      </c>
      <c r="B2" s="1984" t="s">
        <v>5865</v>
      </c>
      <c r="C2" s="1984" t="s">
        <v>5866</v>
      </c>
      <c r="D2" s="1982"/>
    </row>
    <row r="3">
      <c r="A3" s="1985" t="s">
        <v>5867</v>
      </c>
      <c r="B3" s="1985" t="s">
        <v>5868</v>
      </c>
      <c r="C3" s="1984" t="s">
        <v>5869</v>
      </c>
      <c r="D3" s="1982"/>
    </row>
    <row r="4">
      <c r="A4" s="1984" t="s">
        <v>5870</v>
      </c>
      <c r="B4" s="1985" t="s">
        <v>5871</v>
      </c>
      <c r="C4" s="1984" t="s">
        <v>5872</v>
      </c>
      <c r="D4" s="1982"/>
    </row>
    <row r="5">
      <c r="A5" s="1984" t="s">
        <v>5873</v>
      </c>
      <c r="B5" s="1984" t="s">
        <v>5874</v>
      </c>
      <c r="C5" s="1984" t="s">
        <v>5875</v>
      </c>
      <c r="D5" s="1982"/>
    </row>
    <row r="6">
      <c r="A6" s="1984" t="s">
        <v>5876</v>
      </c>
      <c r="B6" s="1985" t="s">
        <v>5871</v>
      </c>
      <c r="C6" s="1985" t="s">
        <v>5877</v>
      </c>
      <c r="D6" s="1982"/>
    </row>
    <row r="7">
      <c r="A7" s="1984" t="s">
        <v>5878</v>
      </c>
      <c r="B7" s="1984" t="s">
        <v>5874</v>
      </c>
      <c r="C7" s="1985" t="s">
        <v>5879</v>
      </c>
      <c r="D7" s="1982"/>
    </row>
    <row r="8">
      <c r="A8" s="1985" t="s">
        <v>5880</v>
      </c>
      <c r="B8" s="1986" t="s">
        <v>5868</v>
      </c>
      <c r="C8" s="1984" t="s">
        <v>5881</v>
      </c>
      <c r="D8" s="1982"/>
    </row>
    <row r="9">
      <c r="A9" s="1984" t="s">
        <v>5882</v>
      </c>
      <c r="B9" s="1986" t="s">
        <v>5883</v>
      </c>
      <c r="C9" s="1984" t="s">
        <v>5884</v>
      </c>
      <c r="D9" s="1982"/>
    </row>
    <row r="10">
      <c r="A10" s="1984" t="s">
        <v>5885</v>
      </c>
      <c r="B10" s="1986" t="s">
        <v>5886</v>
      </c>
      <c r="C10" s="1984" t="s">
        <v>5887</v>
      </c>
      <c r="D10" s="1982"/>
    </row>
    <row r="11">
      <c r="A11" s="1984" t="s">
        <v>5888</v>
      </c>
      <c r="B11" s="1986" t="s">
        <v>5883</v>
      </c>
      <c r="C11" s="1984" t="s">
        <v>5889</v>
      </c>
      <c r="D11" s="1982"/>
    </row>
    <row r="12">
      <c r="A12" s="1984" t="s">
        <v>5890</v>
      </c>
      <c r="B12" s="1983" t="s">
        <v>5891</v>
      </c>
      <c r="C12" s="1984" t="s">
        <v>5892</v>
      </c>
      <c r="D12" s="1982"/>
    </row>
    <row r="13">
      <c r="A13" s="1987" t="s">
        <v>5893</v>
      </c>
      <c r="B13" s="1986" t="s">
        <v>5883</v>
      </c>
      <c r="C13" s="1985" t="s">
        <v>5894</v>
      </c>
      <c r="D13" s="1982"/>
    </row>
    <row r="14">
      <c r="A14" s="1984" t="s">
        <v>5895</v>
      </c>
      <c r="B14" s="1985" t="s">
        <v>5871</v>
      </c>
      <c r="C14" s="1984" t="s">
        <v>5896</v>
      </c>
      <c r="D14" s="1982"/>
    </row>
    <row r="15">
      <c r="A15" s="1984" t="s">
        <v>5897</v>
      </c>
      <c r="B15" s="1984" t="s">
        <v>5865</v>
      </c>
      <c r="C15" s="1984" t="s">
        <v>5898</v>
      </c>
      <c r="D15" s="1982"/>
    </row>
    <row r="16">
      <c r="A16" s="1984" t="s">
        <v>5899</v>
      </c>
      <c r="B16" s="1985" t="s">
        <v>5871</v>
      </c>
      <c r="C16" s="1984" t="s">
        <v>5900</v>
      </c>
      <c r="D16" s="1982"/>
    </row>
    <row r="17">
      <c r="A17" s="1984" t="s">
        <v>5901</v>
      </c>
      <c r="B17" s="1984" t="s">
        <v>5865</v>
      </c>
      <c r="C17" s="1984" t="s">
        <v>5902</v>
      </c>
      <c r="D17" s="1982"/>
    </row>
    <row r="18">
      <c r="A18" s="1984" t="s">
        <v>5903</v>
      </c>
      <c r="B18" s="1985" t="s">
        <v>5871</v>
      </c>
      <c r="C18" s="1984" t="s">
        <v>5904</v>
      </c>
      <c r="D18" s="1982"/>
    </row>
    <row r="19">
      <c r="A19" s="1984" t="s">
        <v>5905</v>
      </c>
      <c r="B19" s="1984" t="s">
        <v>5865</v>
      </c>
      <c r="C19" s="1984" t="s">
        <v>5906</v>
      </c>
      <c r="D19" s="1982"/>
    </row>
    <row r="20">
      <c r="A20" s="1984" t="s">
        <v>5907</v>
      </c>
      <c r="B20" s="1985" t="s">
        <v>5871</v>
      </c>
      <c r="C20" s="1984" t="s">
        <v>5908</v>
      </c>
      <c r="D20" s="1982"/>
    </row>
    <row r="21">
      <c r="A21" s="1984" t="s">
        <v>5909</v>
      </c>
      <c r="B21" s="1984" t="s">
        <v>5865</v>
      </c>
      <c r="C21" s="1984" t="s">
        <v>5910</v>
      </c>
      <c r="D21" s="1982"/>
    </row>
    <row r="22">
      <c r="A22" s="1984" t="s">
        <v>5911</v>
      </c>
      <c r="B22" s="1985" t="s">
        <v>5886</v>
      </c>
      <c r="C22" s="1984" t="s">
        <v>5912</v>
      </c>
      <c r="D22" s="1982"/>
    </row>
    <row r="23">
      <c r="A23" s="1984" t="s">
        <v>5913</v>
      </c>
      <c r="B23" s="1986" t="s">
        <v>5883</v>
      </c>
      <c r="C23" s="1984" t="s">
        <v>5914</v>
      </c>
      <c r="D23" s="1982"/>
    </row>
    <row r="24">
      <c r="A24" s="1985" t="s">
        <v>5915</v>
      </c>
      <c r="B24" s="1984" t="s">
        <v>5916</v>
      </c>
      <c r="C24" s="1985" t="s">
        <v>5917</v>
      </c>
      <c r="D24" s="1982"/>
    </row>
    <row r="25">
      <c r="A25" s="1984" t="s">
        <v>5918</v>
      </c>
      <c r="B25" s="1984" t="s">
        <v>5916</v>
      </c>
      <c r="C25" s="1985" t="s">
        <v>5919</v>
      </c>
      <c r="D25" s="1982"/>
    </row>
    <row r="26">
      <c r="A26" s="1985" t="s">
        <v>5920</v>
      </c>
      <c r="B26" s="1984" t="s">
        <v>5865</v>
      </c>
      <c r="C26" s="1985" t="s">
        <v>5921</v>
      </c>
      <c r="D26" s="1982"/>
    </row>
    <row customHeight="true" ht="16.071428571428573" r="27">
      <c r="A27" s="1984" t="s">
        <v>5922</v>
      </c>
      <c r="B27" s="1985" t="s">
        <v>5871</v>
      </c>
      <c r="C27" s="1984" t="s">
        <v>5923</v>
      </c>
      <c r="D27" s="1982"/>
    </row>
    <row r="28">
      <c r="A28" s="1984" t="s">
        <v>5924</v>
      </c>
      <c r="B28" s="1984" t="s">
        <v>5865</v>
      </c>
      <c r="C28" s="1984" t="s">
        <v>5925</v>
      </c>
      <c r="D28" s="1982"/>
    </row>
    <row r="29">
      <c r="A29" s="1985" t="s">
        <v>5926</v>
      </c>
      <c r="B29" s="1985" t="s">
        <v>5868</v>
      </c>
      <c r="C29" s="1984" t="s">
        <v>5927</v>
      </c>
      <c r="D29" s="1982"/>
    </row>
    <row r="30">
      <c r="A30" s="1985" t="s">
        <v>5928</v>
      </c>
      <c r="B30" s="1984" t="s">
        <v>5865</v>
      </c>
      <c r="C30" s="1984" t="s">
        <v>5929</v>
      </c>
      <c r="D30" s="1982"/>
    </row>
    <row r="31">
      <c r="A31" s="1985" t="s">
        <v>5930</v>
      </c>
      <c r="B31" s="1985" t="s">
        <v>5871</v>
      </c>
      <c r="C31" s="1985" t="s">
        <v>5931</v>
      </c>
      <c r="D31" s="1982"/>
    </row>
    <row r="32">
      <c r="A32" s="1985" t="s">
        <v>5932</v>
      </c>
      <c r="B32" s="1985" t="s">
        <v>5871</v>
      </c>
      <c r="C32" s="1984" t="s">
        <v>5933</v>
      </c>
      <c r="D32" s="1982"/>
    </row>
    <row r="33">
      <c r="A33" s="1985" t="s">
        <v>5934</v>
      </c>
      <c r="B33" s="1984" t="s">
        <v>5865</v>
      </c>
      <c r="C33" s="1984" t="s">
        <v>5935</v>
      </c>
      <c r="D33" s="1982"/>
    </row>
    <row r="34">
      <c r="A34" s="1985" t="s">
        <v>5936</v>
      </c>
      <c r="B34" s="1984" t="s">
        <v>5865</v>
      </c>
      <c r="C34" s="1985" t="s">
        <v>5937</v>
      </c>
      <c r="D34" s="1982"/>
    </row>
    <row r="35">
      <c r="A35" s="1985" t="s">
        <v>5938</v>
      </c>
      <c r="B35" s="1985" t="s">
        <v>5939</v>
      </c>
      <c r="C35" s="1985" t="s">
        <v>5940</v>
      </c>
      <c r="D35" s="1982"/>
    </row>
    <row r="36">
      <c r="A36" s="1984" t="s">
        <v>5941</v>
      </c>
      <c r="B36" s="1984" t="s">
        <v>5865</v>
      </c>
      <c r="C36" s="1984" t="s">
        <v>5942</v>
      </c>
      <c r="D36" s="1982"/>
    </row>
    <row r="37">
      <c r="A37" s="1986" t="s">
        <v>5943</v>
      </c>
      <c r="B37" s="1983" t="s">
        <v>5944</v>
      </c>
      <c r="C37" s="1985" t="s">
        <v>5945</v>
      </c>
      <c r="D37" s="1982"/>
    </row>
    <row r="38">
      <c r="A38" s="1985" t="s">
        <v>5946</v>
      </c>
      <c r="B38" s="1985" t="s">
        <v>5886</v>
      </c>
      <c r="C38" s="1985" t="s">
        <v>5947</v>
      </c>
      <c r="D38" s="1982"/>
    </row>
    <row r="39">
      <c r="A39" s="1984" t="s">
        <v>5948</v>
      </c>
      <c r="B39" s="1985" t="s">
        <v>5871</v>
      </c>
      <c r="C39" s="1984" t="s">
        <v>5949</v>
      </c>
      <c r="D39" s="1982"/>
    </row>
    <row r="40">
      <c r="A40" s="1984" t="s">
        <v>5950</v>
      </c>
      <c r="B40" s="1984" t="s">
        <v>5865</v>
      </c>
      <c r="C40" s="1984" t="s">
        <v>5951</v>
      </c>
      <c r="D40" s="1982"/>
    </row>
    <row r="41">
      <c r="A41" s="1985" t="s">
        <v>5952</v>
      </c>
      <c r="B41" s="1984" t="s">
        <v>5953</v>
      </c>
      <c r="C41" s="1984" t="s">
        <v>5954</v>
      </c>
      <c r="D41" s="1982"/>
    </row>
    <row r="42">
      <c r="A42" s="1984" t="s">
        <v>5955</v>
      </c>
      <c r="B42" s="1984" t="s">
        <v>5865</v>
      </c>
      <c r="C42" s="1984" t="s">
        <v>5956</v>
      </c>
      <c r="D42" s="1982"/>
    </row>
    <row r="43">
      <c r="A43" s="1987" t="s">
        <v>5957</v>
      </c>
      <c r="B43" s="1986" t="s">
        <v>5883</v>
      </c>
      <c r="C43" s="1985" t="s">
        <v>5958</v>
      </c>
      <c r="D43" s="1982"/>
    </row>
    <row r="44">
      <c r="A44" s="1984" t="s">
        <v>5959</v>
      </c>
      <c r="B44" s="1985" t="s">
        <v>5871</v>
      </c>
      <c r="C44" s="1984" t="s">
        <v>5960</v>
      </c>
      <c r="D44" s="1982"/>
    </row>
    <row r="45">
      <c r="A45" s="1984" t="s">
        <v>5961</v>
      </c>
      <c r="B45" s="1984" t="s">
        <v>5865</v>
      </c>
      <c r="C45" s="1984" t="s">
        <v>5962</v>
      </c>
      <c r="D45" s="1982"/>
    </row>
    <row r="46">
      <c r="A46" s="1984" t="s">
        <v>5963</v>
      </c>
      <c r="B46" s="1985" t="s">
        <v>5868</v>
      </c>
      <c r="C46" s="1984" t="s">
        <v>5964</v>
      </c>
      <c r="D46" s="1982"/>
    </row>
    <row r="47">
      <c r="A47" s="1984" t="s">
        <v>5965</v>
      </c>
      <c r="B47" s="1985" t="s">
        <v>5966</v>
      </c>
      <c r="C47" s="1984" t="s">
        <v>5967</v>
      </c>
      <c r="D47" s="1982"/>
    </row>
    <row r="48">
      <c r="A48" s="1985" t="s">
        <v>5968</v>
      </c>
      <c r="B48" s="1985" t="s">
        <v>5969</v>
      </c>
      <c r="C48" s="1984" t="s">
        <v>5970</v>
      </c>
      <c r="D48" s="1982"/>
    </row>
    <row r="49">
      <c r="A49" s="1985" t="s">
        <v>5971</v>
      </c>
      <c r="B49" s="1985" t="s">
        <v>5886</v>
      </c>
      <c r="C49" s="1984" t="s">
        <v>5972</v>
      </c>
      <c r="D49" s="1982"/>
    </row>
    <row r="50">
      <c r="A50" s="1984" t="s">
        <v>5973</v>
      </c>
      <c r="B50" s="1986" t="s">
        <v>5883</v>
      </c>
      <c r="C50" s="1984" t="s">
        <v>5974</v>
      </c>
      <c r="D50" s="1982"/>
    </row>
    <row r="51">
      <c r="A51" s="1984" t="s">
        <v>5975</v>
      </c>
      <c r="B51" s="1985" t="s">
        <v>5871</v>
      </c>
      <c r="C51" s="1984" t="s">
        <v>5976</v>
      </c>
      <c r="D51" s="1982"/>
    </row>
    <row r="52">
      <c r="A52" s="1984" t="s">
        <v>5977</v>
      </c>
      <c r="B52" s="1984" t="s">
        <v>5865</v>
      </c>
      <c r="C52" s="1984" t="s">
        <v>5978</v>
      </c>
      <c r="D52" s="1982"/>
    </row>
    <row r="53">
      <c r="A53" s="1984" t="s">
        <v>5979</v>
      </c>
      <c r="B53" s="1986" t="s">
        <v>5883</v>
      </c>
      <c r="C53" s="1984" t="s">
        <v>5980</v>
      </c>
      <c r="D53" s="1982"/>
    </row>
    <row r="54">
      <c r="A54" s="1984" t="s">
        <v>5981</v>
      </c>
      <c r="B54" s="1984" t="s">
        <v>5865</v>
      </c>
      <c r="C54" s="1984" t="s">
        <v>5982</v>
      </c>
      <c r="D54" s="1982"/>
    </row>
    <row r="55">
      <c r="A55" s="1984" t="s">
        <v>5983</v>
      </c>
      <c r="B55" s="1985" t="s">
        <v>5944</v>
      </c>
      <c r="C55" s="1985" t="s">
        <v>5984</v>
      </c>
      <c r="D55" s="1982"/>
    </row>
    <row r="56">
      <c r="A56" s="1985" t="s">
        <v>5985</v>
      </c>
      <c r="B56" s="1985" t="s">
        <v>5871</v>
      </c>
      <c r="C56" s="1985" t="s">
        <v>5986</v>
      </c>
      <c r="D56" s="1982"/>
    </row>
    <row r="57">
      <c r="A57" s="1985" t="s">
        <v>5987</v>
      </c>
      <c r="B57" s="1984" t="s">
        <v>5865</v>
      </c>
      <c r="C57" s="1985" t="s">
        <v>5988</v>
      </c>
      <c r="D57" s="1982"/>
    </row>
    <row r="58">
      <c r="A58" s="1984" t="s">
        <v>5989</v>
      </c>
      <c r="B58" s="1984" t="s">
        <v>5990</v>
      </c>
      <c r="C58" s="1985" t="s">
        <v>5991</v>
      </c>
      <c r="D58" s="1982"/>
      <c r="E58" s="1982"/>
      <c r="F58" s="1982"/>
      <c r="G58" s="1982"/>
      <c r="H58" s="1982"/>
      <c r="I58" s="1982"/>
      <c r="J58" s="1982"/>
      <c r="K58" s="1982"/>
      <c r="L58" s="1982"/>
      <c r="M58" s="1982"/>
      <c r="N58" s="1982"/>
    </row>
    <row r="59">
      <c r="A59" s="1985" t="s">
        <v>5992</v>
      </c>
      <c r="B59" s="1986" t="s">
        <v>5883</v>
      </c>
      <c r="C59" s="1985" t="s">
        <v>5993</v>
      </c>
      <c r="D59" s="1982"/>
      <c r="E59" s="1982"/>
      <c r="F59" s="1982"/>
      <c r="G59" s="1982"/>
      <c r="H59" s="1982"/>
      <c r="I59" s="1982"/>
      <c r="J59" s="1982"/>
      <c r="K59" s="1982"/>
      <c r="L59" s="1982"/>
      <c r="M59" s="1982"/>
      <c r="N59" s="1982"/>
    </row>
    <row r="60">
      <c r="A60" s="1985" t="s">
        <v>5994</v>
      </c>
      <c r="B60" s="1984" t="s">
        <v>5995</v>
      </c>
      <c r="C60" s="1984" t="s">
        <v>5996</v>
      </c>
      <c r="D60" s="1982"/>
    </row>
    <row r="61">
      <c r="A61" s="1987" t="s">
        <v>5997</v>
      </c>
      <c r="B61" s="1986" t="s">
        <v>5883</v>
      </c>
      <c r="C61" s="1985" t="s">
        <v>5998</v>
      </c>
      <c r="D61" s="1982"/>
    </row>
    <row r="62">
      <c r="A62" s="1987" t="s">
        <v>5999</v>
      </c>
      <c r="B62" s="1986" t="s">
        <v>5883</v>
      </c>
      <c r="C62" s="1985" t="s">
        <v>6000</v>
      </c>
      <c r="D62" s="1982"/>
    </row>
    <row r="63">
      <c r="A63" s="1987" t="s">
        <v>6001</v>
      </c>
      <c r="B63" s="1986" t="s">
        <v>5883</v>
      </c>
      <c r="C63" s="1985" t="s">
        <v>6002</v>
      </c>
      <c r="D63" s="1982"/>
    </row>
    <row r="64">
      <c r="A64" s="1987" t="s">
        <v>6003</v>
      </c>
      <c r="B64" s="1986" t="s">
        <v>5883</v>
      </c>
      <c r="C64" s="1985" t="s">
        <v>6004</v>
      </c>
      <c r="D64" s="1982"/>
    </row>
    <row r="65">
      <c r="A65" s="1987" t="s">
        <v>6005</v>
      </c>
      <c r="B65" s="1986" t="s">
        <v>5883</v>
      </c>
      <c r="C65" s="1985" t="s">
        <v>6006</v>
      </c>
      <c r="D65" s="1982"/>
    </row>
    <row r="66">
      <c r="A66" s="1987" t="s">
        <v>6007</v>
      </c>
      <c r="B66" s="1986" t="s">
        <v>5883</v>
      </c>
      <c r="C66" s="1985" t="s">
        <v>6008</v>
      </c>
      <c r="D66" s="1982"/>
    </row>
    <row r="67">
      <c r="A67" s="1987" t="s">
        <v>6009</v>
      </c>
      <c r="B67" s="1986" t="s">
        <v>5883</v>
      </c>
      <c r="C67" s="1985" t="s">
        <v>6010</v>
      </c>
      <c r="D67" s="1982"/>
    </row>
    <row r="68">
      <c r="A68" s="1987" t="s">
        <v>6011</v>
      </c>
      <c r="B68" s="1986" t="s">
        <v>5883</v>
      </c>
      <c r="C68" s="1985" t="s">
        <v>6012</v>
      </c>
      <c r="D68" s="1982"/>
    </row>
    <row r="69">
      <c r="A69" s="1987" t="s">
        <v>6013</v>
      </c>
      <c r="B69" s="1986" t="s">
        <v>5883</v>
      </c>
      <c r="C69" s="1985" t="s">
        <v>6014</v>
      </c>
      <c r="D69" s="1982"/>
    </row>
    <row r="70">
      <c r="A70" s="1985" t="s">
        <v>6015</v>
      </c>
      <c r="B70" s="1988" t="s">
        <v>6016</v>
      </c>
      <c r="C70" s="1985" t="s">
        <v>6017</v>
      </c>
      <c r="D70" s="1982"/>
    </row>
    <row r="71">
      <c r="A71" s="1985" t="s">
        <v>6018</v>
      </c>
      <c r="B71" s="1988" t="s">
        <v>5953</v>
      </c>
      <c r="C71" s="1985" t="s">
        <v>6019</v>
      </c>
      <c r="D71" s="1982"/>
    </row>
    <row r="72">
      <c r="A72" s="1985" t="s">
        <v>6020</v>
      </c>
      <c r="B72" s="1988" t="s">
        <v>5871</v>
      </c>
      <c r="C72" s="1985" t="s">
        <v>6021</v>
      </c>
      <c r="D72" s="1982"/>
    </row>
    <row r="73">
      <c r="A73" s="1985" t="s">
        <v>6022</v>
      </c>
      <c r="B73" s="1988" t="s">
        <v>5871</v>
      </c>
      <c r="C73" s="1985" t="s">
        <v>6023</v>
      </c>
      <c r="D73" s="1982"/>
    </row>
    <row r="74">
      <c r="A74" s="1985" t="s">
        <v>6024</v>
      </c>
      <c r="B74" s="1988" t="s">
        <v>5871</v>
      </c>
      <c r="C74" s="1985" t="s">
        <v>6025</v>
      </c>
      <c r="D74" s="1982"/>
    </row>
    <row r="75">
      <c r="A75" s="1985" t="s">
        <v>6026</v>
      </c>
      <c r="B75" s="1989" t="s">
        <v>6027</v>
      </c>
      <c r="C75" s="1985" t="s">
        <v>6028</v>
      </c>
      <c r="D75" s="1982"/>
    </row>
    <row r="76">
      <c r="A76" s="1985" t="s">
        <v>6029</v>
      </c>
      <c r="B76" s="1989" t="s">
        <v>6030</v>
      </c>
      <c r="C76" s="1985" t="s">
        <v>6031</v>
      </c>
      <c r="D76" s="1982"/>
    </row>
    <row r="77">
      <c r="A77" s="1985" t="s">
        <v>6032</v>
      </c>
      <c r="B77" s="1989" t="s">
        <v>6030</v>
      </c>
      <c r="C77" s="1985" t="s">
        <v>6033</v>
      </c>
      <c r="D77" s="1982"/>
    </row>
    <row r="78">
      <c r="A78" s="1985" t="s">
        <v>6034</v>
      </c>
      <c r="B78" s="1989" t="s">
        <v>6030</v>
      </c>
      <c r="C78" s="1985" t="s">
        <v>6035</v>
      </c>
      <c r="D78" s="1982"/>
    </row>
    <row r="79">
      <c r="A79" s="1985" t="s">
        <v>6036</v>
      </c>
      <c r="B79" s="1988" t="s">
        <v>5871</v>
      </c>
      <c r="C79" s="1985" t="s">
        <v>6037</v>
      </c>
      <c r="D79" s="1982"/>
    </row>
    <row r="80">
      <c r="A80" s="1985" t="s">
        <v>6038</v>
      </c>
      <c r="B80" s="1988" t="s">
        <v>5871</v>
      </c>
      <c r="C80" s="1985" t="s">
        <v>5908</v>
      </c>
      <c r="D80" s="1982"/>
    </row>
    <row r="81">
      <c r="A81" s="1985" t="s">
        <v>6039</v>
      </c>
      <c r="B81" s="1988" t="s">
        <v>5871</v>
      </c>
      <c r="C81" s="1985" t="s">
        <v>5960</v>
      </c>
      <c r="D81" s="1982"/>
    </row>
    <row r="82">
      <c r="A82" s="1985" t="s">
        <v>6040</v>
      </c>
      <c r="B82" s="1988" t="s">
        <v>5871</v>
      </c>
      <c r="C82" s="1985" t="s">
        <v>5976</v>
      </c>
      <c r="D82" s="1982"/>
    </row>
    <row r="83">
      <c r="A83" s="1985" t="s">
        <v>6041</v>
      </c>
      <c r="B83" s="1988" t="s">
        <v>5871</v>
      </c>
      <c r="C83" s="1985" t="s">
        <v>5896</v>
      </c>
      <c r="D83" s="1982"/>
    </row>
    <row r="84">
      <c r="A84" s="1985" t="s">
        <v>6042</v>
      </c>
      <c r="B84" s="1988" t="s">
        <v>5871</v>
      </c>
      <c r="C84" s="1985" t="s">
        <v>5949</v>
      </c>
      <c r="D84" s="1982"/>
    </row>
    <row r="85">
      <c r="A85" s="1985" t="s">
        <v>6043</v>
      </c>
      <c r="B85" s="1988" t="s">
        <v>5891</v>
      </c>
      <c r="C85" s="1985" t="s">
        <v>5892</v>
      </c>
      <c r="D85" s="1982"/>
    </row>
    <row r="86">
      <c r="A86" s="1985" t="s">
        <v>6044</v>
      </c>
      <c r="B86" s="1988" t="s">
        <v>5891</v>
      </c>
      <c r="C86" s="1985" t="s">
        <v>5982</v>
      </c>
      <c r="D86" s="1982"/>
    </row>
    <row r="87">
      <c r="A87" s="1985" t="s">
        <v>6045</v>
      </c>
      <c r="B87" s="1985" t="s">
        <v>6046</v>
      </c>
      <c r="C87" s="1985" t="s">
        <v>6047</v>
      </c>
      <c r="D87" s="1982"/>
    </row>
    <row r="88">
      <c r="A88" s="1985" t="s">
        <v>6048</v>
      </c>
      <c r="B88" s="1985" t="s">
        <v>6046</v>
      </c>
      <c r="C88" s="1985" t="s">
        <v>6049</v>
      </c>
      <c r="D88" s="1982"/>
    </row>
    <row r="89">
      <c r="A89" s="1985" t="s">
        <v>6050</v>
      </c>
      <c r="B89" s="1985" t="s">
        <v>6046</v>
      </c>
      <c r="C89" s="1985" t="s">
        <v>6051</v>
      </c>
      <c r="D89" s="1982"/>
    </row>
    <row r="90">
      <c r="A90" s="1985" t="s">
        <v>6052</v>
      </c>
      <c r="B90" s="1985" t="s">
        <v>6046</v>
      </c>
      <c r="C90" s="1985" t="s">
        <v>6053</v>
      </c>
      <c r="D90" s="1982"/>
    </row>
    <row r="91">
      <c r="A91" s="1985" t="s">
        <v>6054</v>
      </c>
      <c r="B91" s="1985" t="s">
        <v>6046</v>
      </c>
      <c r="C91" s="1985" t="s">
        <v>6055</v>
      </c>
      <c r="D91" s="1982"/>
    </row>
    <row r="92">
      <c r="A92" s="1985" t="s">
        <v>6056</v>
      </c>
      <c r="B92" s="1985" t="s">
        <v>6046</v>
      </c>
      <c r="C92" s="1985" t="s">
        <v>6057</v>
      </c>
      <c r="D92" s="1982"/>
    </row>
    <row r="93">
      <c r="A93" s="1985" t="s">
        <v>6058</v>
      </c>
      <c r="B93" s="1985" t="s">
        <v>6046</v>
      </c>
      <c r="C93" s="1985" t="s">
        <v>6059</v>
      </c>
      <c r="D93" s="1982"/>
    </row>
    <row r="94">
      <c r="A94" s="1985" t="s">
        <v>6060</v>
      </c>
      <c r="B94" s="1985" t="s">
        <v>6046</v>
      </c>
      <c r="C94" s="1985" t="s">
        <v>6061</v>
      </c>
      <c r="D94" s="1982"/>
    </row>
    <row r="95">
      <c r="A95" s="1985" t="s">
        <v>6062</v>
      </c>
      <c r="B95" s="1985" t="s">
        <v>6046</v>
      </c>
      <c r="C95" s="1985" t="s">
        <v>6063</v>
      </c>
      <c r="D95" s="1982"/>
    </row>
    <row r="96">
      <c r="A96" s="1985" t="s">
        <v>6064</v>
      </c>
      <c r="B96" s="1985" t="s">
        <v>6046</v>
      </c>
      <c r="C96" s="1985" t="s">
        <v>6065</v>
      </c>
      <c r="D96" s="1982"/>
    </row>
    <row r="97">
      <c r="A97" s="1985" t="s">
        <v>6066</v>
      </c>
      <c r="B97" s="1985" t="s">
        <v>6046</v>
      </c>
      <c r="C97" s="1985" t="s">
        <v>6067</v>
      </c>
      <c r="D97" s="1982"/>
    </row>
    <row r="98">
      <c r="A98" s="1985" t="s">
        <v>6068</v>
      </c>
      <c r="B98" s="1985" t="s">
        <v>6046</v>
      </c>
      <c r="C98" s="1985" t="s">
        <v>6069</v>
      </c>
      <c r="D98" s="1982"/>
    </row>
    <row r="99">
      <c r="A99" s="1985" t="s">
        <v>6070</v>
      </c>
      <c r="B99" s="1985" t="s">
        <v>6046</v>
      </c>
      <c r="C99" s="1985" t="s">
        <v>6071</v>
      </c>
      <c r="D99" s="1982"/>
    </row>
    <row r="100">
      <c r="A100" s="1985" t="s">
        <v>6072</v>
      </c>
      <c r="B100" s="1985" t="s">
        <v>6046</v>
      </c>
      <c r="C100" s="1985" t="s">
        <v>6073</v>
      </c>
      <c r="D100" s="1982"/>
    </row>
    <row r="101">
      <c r="A101" s="1985" t="s">
        <v>6074</v>
      </c>
      <c r="B101" s="1985" t="s">
        <v>6046</v>
      </c>
      <c r="C101" s="1985" t="s">
        <v>6075</v>
      </c>
      <c r="D101" s="1982"/>
    </row>
    <row r="102">
      <c r="A102" s="1985" t="s">
        <v>6076</v>
      </c>
      <c r="B102" s="1985" t="s">
        <v>6046</v>
      </c>
      <c r="C102" s="1985" t="s">
        <v>6077</v>
      </c>
      <c r="D102" s="1982"/>
    </row>
    <row r="103">
      <c r="A103" s="1985" t="s">
        <v>6078</v>
      </c>
      <c r="B103" s="1985" t="s">
        <v>6046</v>
      </c>
      <c r="C103" s="1985" t="s">
        <v>6079</v>
      </c>
      <c r="D103" s="1982"/>
    </row>
    <row r="104">
      <c r="A104" s="1985" t="s">
        <v>6080</v>
      </c>
      <c r="B104" s="1985" t="s">
        <v>6046</v>
      </c>
      <c r="C104" s="1985" t="s">
        <v>6081</v>
      </c>
      <c r="D104" s="1982"/>
    </row>
    <row r="105">
      <c r="A105" s="1985" t="s">
        <v>6082</v>
      </c>
      <c r="B105" s="1985" t="s">
        <v>6046</v>
      </c>
      <c r="C105" s="1985" t="s">
        <v>6083</v>
      </c>
      <c r="D105" s="1982"/>
    </row>
    <row r="106">
      <c r="A106" s="1985" t="s">
        <v>6084</v>
      </c>
      <c r="B106" s="1985" t="s">
        <v>6046</v>
      </c>
      <c r="C106" s="1985" t="s">
        <v>6085</v>
      </c>
      <c r="D106" s="1982"/>
    </row>
    <row r="107">
      <c r="A107" s="1985" t="s">
        <v>6086</v>
      </c>
      <c r="B107" s="1985" t="s">
        <v>6046</v>
      </c>
      <c r="C107" s="1985" t="s">
        <v>6087</v>
      </c>
      <c r="D107" s="1982"/>
    </row>
    <row r="108">
      <c r="A108" s="1985" t="s">
        <v>6088</v>
      </c>
      <c r="B108" s="1985" t="s">
        <v>6046</v>
      </c>
      <c r="C108" s="1985" t="s">
        <v>6089</v>
      </c>
      <c r="D108" s="1982"/>
    </row>
    <row r="109">
      <c r="A109" s="1985" t="s">
        <v>6090</v>
      </c>
      <c r="B109" s="1985" t="s">
        <v>6046</v>
      </c>
      <c r="C109" s="1985" t="s">
        <v>6091</v>
      </c>
      <c r="D109" s="1982"/>
    </row>
    <row r="110">
      <c r="A110" s="1985" t="s">
        <v>6092</v>
      </c>
      <c r="B110" s="1985" t="s">
        <v>6046</v>
      </c>
      <c r="C110" s="1985" t="s">
        <v>6093</v>
      </c>
      <c r="D110" s="1982"/>
    </row>
    <row r="111">
      <c r="A111" s="1985" t="s">
        <v>6094</v>
      </c>
      <c r="B111" s="1985" t="s">
        <v>6046</v>
      </c>
      <c r="C111" s="1985" t="s">
        <v>6095</v>
      </c>
      <c r="D111" s="1982"/>
    </row>
    <row r="112">
      <c r="A112" s="1985" t="s">
        <v>6096</v>
      </c>
      <c r="B112" s="1985" t="s">
        <v>6046</v>
      </c>
      <c r="C112" s="1985" t="s">
        <v>6097</v>
      </c>
      <c r="D112" s="1982"/>
    </row>
    <row r="113">
      <c r="A113" s="1985" t="s">
        <v>6098</v>
      </c>
      <c r="B113" s="1985" t="s">
        <v>6046</v>
      </c>
      <c r="C113" s="1985" t="s">
        <v>6099</v>
      </c>
      <c r="D113" s="1982"/>
    </row>
    <row r="114">
      <c r="A114" s="1985" t="s">
        <v>6100</v>
      </c>
      <c r="B114" s="1985" t="s">
        <v>6046</v>
      </c>
      <c r="C114" s="1985" t="s">
        <v>6101</v>
      </c>
      <c r="D114" s="1982"/>
    </row>
    <row r="115">
      <c r="A115" s="1985" t="s">
        <v>6102</v>
      </c>
      <c r="B115" s="1985" t="s">
        <v>6046</v>
      </c>
      <c r="C115" s="1985" t="s">
        <v>6103</v>
      </c>
      <c r="D115" s="1982"/>
    </row>
    <row r="116">
      <c r="A116" s="1985" t="s">
        <v>6104</v>
      </c>
      <c r="B116" s="1985" t="s">
        <v>6046</v>
      </c>
      <c r="C116" s="1985" t="s">
        <v>6105</v>
      </c>
      <c r="D116" s="1982"/>
    </row>
    <row r="117">
      <c r="A117" s="1985" t="s">
        <v>6106</v>
      </c>
      <c r="B117" s="1985" t="s">
        <v>6046</v>
      </c>
      <c r="C117" s="1985" t="s">
        <v>6107</v>
      </c>
      <c r="D117" s="1982"/>
    </row>
    <row r="118">
      <c r="A118" s="1985" t="s">
        <v>6108</v>
      </c>
      <c r="B118" s="1985" t="s">
        <v>6046</v>
      </c>
      <c r="C118" s="1985" t="s">
        <v>6109</v>
      </c>
      <c r="D118" s="1982"/>
    </row>
    <row r="119">
      <c r="A119" s="1985" t="s">
        <v>6110</v>
      </c>
      <c r="B119" s="1985" t="s">
        <v>6046</v>
      </c>
      <c r="C119" s="1985" t="s">
        <v>6111</v>
      </c>
      <c r="D119" s="1982"/>
    </row>
    <row r="120">
      <c r="A120" s="1985" t="s">
        <v>6112</v>
      </c>
      <c r="B120" s="1985" t="s">
        <v>6046</v>
      </c>
      <c r="C120" s="1985" t="s">
        <v>6113</v>
      </c>
      <c r="D120" s="1982"/>
    </row>
    <row r="121">
      <c r="A121" s="1985" t="s">
        <v>6114</v>
      </c>
      <c r="B121" s="1985" t="s">
        <v>6046</v>
      </c>
      <c r="C121" s="1985" t="s">
        <v>6115</v>
      </c>
      <c r="D121" s="1982"/>
    </row>
    <row r="122">
      <c r="A122" s="1984" t="s">
        <v>6116</v>
      </c>
      <c r="B122" s="1988" t="s">
        <v>5871</v>
      </c>
      <c r="C122" s="1985" t="s">
        <v>5923</v>
      </c>
      <c r="D122" s="1982"/>
    </row>
    <row r="123">
      <c r="A123" s="1987" t="s">
        <v>6117</v>
      </c>
      <c r="B123" s="1986" t="s">
        <v>5883</v>
      </c>
      <c r="C123" s="1985" t="s">
        <v>6118</v>
      </c>
      <c r="D123" s="1982"/>
    </row>
    <row r="124">
      <c r="A124" s="1987" t="s">
        <v>6119</v>
      </c>
      <c r="B124" s="1986" t="s">
        <v>5883</v>
      </c>
      <c r="C124" s="1985" t="s">
        <v>6120</v>
      </c>
      <c r="D124" s="1982"/>
    </row>
    <row r="125">
      <c r="A125" s="1987" t="s">
        <v>6121</v>
      </c>
      <c r="B125" s="1986" t="s">
        <v>5883</v>
      </c>
      <c r="C125" s="1985" t="s">
        <v>6122</v>
      </c>
      <c r="D125" s="1982"/>
    </row>
    <row r="126">
      <c r="A126" s="1987" t="s">
        <v>6123</v>
      </c>
      <c r="B126" s="1986" t="s">
        <v>5883</v>
      </c>
      <c r="C126" s="1985" t="s">
        <v>6124</v>
      </c>
      <c r="D126" s="1982"/>
    </row>
    <row r="127">
      <c r="A127" s="1987" t="s">
        <v>6125</v>
      </c>
      <c r="B127" s="1986" t="s">
        <v>5883</v>
      </c>
      <c r="C127" s="1985" t="s">
        <v>6126</v>
      </c>
      <c r="D127" s="1982"/>
    </row>
    <row r="128">
      <c r="A128" s="1987" t="s">
        <v>6127</v>
      </c>
      <c r="B128" s="1986" t="s">
        <v>5883</v>
      </c>
      <c r="C128" s="1985" t="s">
        <v>6128</v>
      </c>
      <c r="D128" s="1982"/>
    </row>
    <row r="129">
      <c r="A129" s="1987" t="s">
        <v>6129</v>
      </c>
      <c r="B129" s="1986" t="s">
        <v>5883</v>
      </c>
      <c r="C129" s="1985" t="s">
        <v>6130</v>
      </c>
      <c r="D129" s="1982"/>
    </row>
    <row r="130">
      <c r="A130" s="1987" t="s">
        <v>6131</v>
      </c>
      <c r="B130" s="1986" t="s">
        <v>5883</v>
      </c>
      <c r="C130" s="1985" t="s">
        <v>6132</v>
      </c>
      <c r="D130" s="1982"/>
    </row>
    <row r="131">
      <c r="A131" s="1987" t="s">
        <v>6133</v>
      </c>
      <c r="B131" s="1986" t="s">
        <v>5883</v>
      </c>
      <c r="C131" s="1985" t="s">
        <v>6134</v>
      </c>
      <c r="D131" s="1982"/>
    </row>
    <row r="132">
      <c r="A132" s="1987" t="s">
        <v>6135</v>
      </c>
      <c r="B132" s="1986" t="s">
        <v>5883</v>
      </c>
      <c r="C132" s="1985" t="s">
        <v>6136</v>
      </c>
      <c r="D132" s="1982"/>
      <c r="E132" s="1982"/>
      <c r="F132" s="1982"/>
      <c r="G132" s="1982"/>
      <c r="H132" s="1982"/>
      <c r="I132" s="1982"/>
      <c r="J132" s="1982"/>
      <c r="K132" s="1982"/>
      <c r="L132" s="1982"/>
      <c r="M132" s="1982"/>
      <c r="N132" s="1982"/>
    </row>
    <row r="133">
      <c r="A133" s="1987" t="s">
        <v>6137</v>
      </c>
      <c r="B133" s="1986" t="s">
        <v>5883</v>
      </c>
      <c r="C133" s="1985" t="s">
        <v>6138</v>
      </c>
      <c r="D133" s="1982"/>
      <c r="E133" s="1982"/>
      <c r="F133" s="1982"/>
      <c r="G133" s="1982"/>
      <c r="H133" s="1982"/>
      <c r="I133" s="1982"/>
      <c r="J133" s="1982"/>
      <c r="K133" s="1982"/>
      <c r="L133" s="1982"/>
      <c r="M133" s="1982"/>
      <c r="N133" s="1982"/>
    </row>
    <row r="134">
      <c r="A134" s="1987" t="s">
        <v>6139</v>
      </c>
      <c r="B134" s="1986" t="s">
        <v>5883</v>
      </c>
      <c r="C134" s="1985" t="s">
        <v>6140</v>
      </c>
      <c r="D134" s="1982"/>
      <c r="E134" s="1982"/>
      <c r="F134" s="1982"/>
      <c r="G134" s="1982"/>
      <c r="H134" s="1982"/>
      <c r="I134" s="1982"/>
      <c r="J134" s="1982"/>
      <c r="K134" s="1982"/>
      <c r="L134" s="1982"/>
      <c r="M134" s="1982"/>
      <c r="N134" s="1982"/>
    </row>
    <row r="135">
      <c r="A135" s="1987" t="s">
        <v>6141</v>
      </c>
      <c r="B135" s="1986" t="s">
        <v>5883</v>
      </c>
      <c r="C135" s="1985" t="s">
        <v>6142</v>
      </c>
      <c r="D135" s="1982"/>
      <c r="E135" s="1982"/>
      <c r="F135" s="1982"/>
      <c r="G135" s="1982"/>
      <c r="H135" s="1982"/>
      <c r="I135" s="1982"/>
      <c r="J135" s="1982"/>
      <c r="K135" s="1982"/>
      <c r="L135" s="1982"/>
      <c r="M135" s="1982"/>
      <c r="N135" s="1982"/>
    </row>
    <row r="136">
      <c r="A136" s="1985" t="s">
        <v>6143</v>
      </c>
      <c r="B136" s="1985" t="s">
        <v>6046</v>
      </c>
      <c r="C136" s="1985" t="s">
        <v>6144</v>
      </c>
      <c r="D136" s="1982"/>
      <c r="E136" s="1982"/>
      <c r="F136" s="1982"/>
      <c r="G136" s="1982"/>
      <c r="H136" s="1982"/>
      <c r="I136" s="1982"/>
      <c r="J136" s="1982"/>
      <c r="K136" s="1982"/>
      <c r="L136" s="1982"/>
      <c r="M136" s="1982"/>
      <c r="N136" s="1982"/>
    </row>
    <row r="137">
      <c r="A137" s="1985" t="s">
        <v>6145</v>
      </c>
      <c r="B137" s="1985" t="s">
        <v>6046</v>
      </c>
      <c r="C137" s="1985" t="s">
        <v>6146</v>
      </c>
      <c r="D137" s="1982"/>
      <c r="E137" s="1982"/>
      <c r="F137" s="1982"/>
      <c r="G137" s="1982"/>
      <c r="H137" s="1982"/>
      <c r="I137" s="1982"/>
      <c r="J137" s="1982"/>
      <c r="K137" s="1982"/>
      <c r="L137" s="1982"/>
      <c r="M137" s="1982"/>
      <c r="N137" s="1982"/>
    </row>
    <row r="138">
      <c r="A138" s="1985" t="s">
        <v>5992</v>
      </c>
      <c r="B138" s="1985" t="s">
        <v>6046</v>
      </c>
      <c r="C138" s="1985" t="s">
        <v>6147</v>
      </c>
      <c r="D138" s="1982"/>
      <c r="E138" s="1982"/>
      <c r="F138" s="1982"/>
      <c r="G138" s="1982"/>
      <c r="H138" s="1982"/>
      <c r="I138" s="1982"/>
      <c r="J138" s="1982"/>
      <c r="K138" s="1982"/>
      <c r="L138" s="1982"/>
      <c r="M138" s="1982"/>
      <c r="N138" s="1982"/>
    </row>
    <row r="139">
      <c r="A139" s="1985" t="s">
        <v>6148</v>
      </c>
      <c r="B139" s="1985" t="s">
        <v>6046</v>
      </c>
      <c r="C139" s="1985" t="s">
        <v>6149</v>
      </c>
      <c r="D139" s="1982"/>
      <c r="E139" s="1982"/>
      <c r="F139" s="1982"/>
      <c r="G139" s="1982"/>
      <c r="H139" s="1982"/>
      <c r="I139" s="1982"/>
      <c r="J139" s="1982"/>
      <c r="K139" s="1982"/>
      <c r="L139" s="1982"/>
      <c r="M139" s="1982"/>
      <c r="N139" s="1982"/>
    </row>
    <row r="140">
      <c r="A140" s="1985" t="s">
        <v>5893</v>
      </c>
      <c r="B140" s="1985" t="s">
        <v>6046</v>
      </c>
      <c r="C140" s="1985" t="s">
        <v>6150</v>
      </c>
      <c r="D140" s="1982"/>
    </row>
    <row r="141">
      <c r="A141" s="1985" t="s">
        <v>6151</v>
      </c>
      <c r="B141" s="1985" t="s">
        <v>6046</v>
      </c>
      <c r="C141" s="1985" t="s">
        <v>6152</v>
      </c>
      <c r="D141" s="1982"/>
    </row>
    <row r="142">
      <c r="A142" s="1985" t="s">
        <v>6153</v>
      </c>
      <c r="B142" s="1989" t="s">
        <v>6027</v>
      </c>
      <c r="C142" s="1985" t="s">
        <v>6154</v>
      </c>
      <c r="D142" s="1982"/>
    </row>
    <row r="143">
      <c r="A143" s="1985" t="s">
        <v>6155</v>
      </c>
      <c r="B143" s="1989" t="s">
        <v>6027</v>
      </c>
      <c r="C143" s="1985" t="s">
        <v>6156</v>
      </c>
      <c r="D143" s="1982"/>
    </row>
    <row r="144">
      <c r="A144" s="1985" t="s">
        <v>6157</v>
      </c>
      <c r="B144" s="1989" t="s">
        <v>6027</v>
      </c>
      <c r="C144" s="1985" t="s">
        <v>6158</v>
      </c>
      <c r="D144" s="1982"/>
    </row>
    <row r="145">
      <c r="A145" s="1985" t="s">
        <v>6159</v>
      </c>
      <c r="B145" s="1985" t="s">
        <v>6046</v>
      </c>
      <c r="C145" s="1985" t="s">
        <v>6160</v>
      </c>
      <c r="D145" s="1982"/>
    </row>
    <row r="146">
      <c r="A146" s="1985" t="s">
        <v>6161</v>
      </c>
      <c r="B146" s="1988" t="s">
        <v>5891</v>
      </c>
      <c r="C146" s="1985" t="s">
        <v>6162</v>
      </c>
      <c r="D146" s="1982"/>
    </row>
    <row r="147">
      <c r="A147" s="1985" t="s">
        <v>6163</v>
      </c>
      <c r="B147" s="1988" t="s">
        <v>5891</v>
      </c>
      <c r="C147" s="1985" t="s">
        <v>6164</v>
      </c>
      <c r="D147" s="1982"/>
    </row>
    <row r="148">
      <c r="A148" s="1985" t="s">
        <v>6165</v>
      </c>
      <c r="B148" s="1988" t="s">
        <v>5891</v>
      </c>
      <c r="C148" s="1985" t="s">
        <v>6166</v>
      </c>
      <c r="D148" s="1982"/>
    </row>
    <row r="149">
      <c r="A149" s="1987" t="s">
        <v>6167</v>
      </c>
      <c r="B149" s="1985" t="s">
        <v>6046</v>
      </c>
      <c r="C149" s="1985" t="s">
        <v>6168</v>
      </c>
      <c r="D149" s="1982"/>
    </row>
    <row r="150">
      <c r="A150" s="1987" t="s">
        <v>6169</v>
      </c>
      <c r="B150" s="1985" t="s">
        <v>6046</v>
      </c>
      <c r="C150" s="1985" t="s">
        <v>6170</v>
      </c>
      <c r="D150" s="1982"/>
    </row>
    <row r="151">
      <c r="A151" s="1987" t="s">
        <v>6171</v>
      </c>
      <c r="B151" s="1985" t="s">
        <v>6046</v>
      </c>
      <c r="C151" s="1985" t="s">
        <v>6172</v>
      </c>
      <c r="D151" s="1982"/>
    </row>
    <row r="152">
      <c r="A152" s="1987" t="s">
        <v>6173</v>
      </c>
      <c r="B152" s="1985" t="s">
        <v>6046</v>
      </c>
      <c r="C152" s="1985" t="s">
        <v>6174</v>
      </c>
      <c r="D152" s="1982"/>
    </row>
    <row r="153">
      <c r="A153" s="1987" t="s">
        <v>6175</v>
      </c>
      <c r="B153" s="1985" t="s">
        <v>6046</v>
      </c>
      <c r="C153" s="1985" t="s">
        <v>6176</v>
      </c>
      <c r="D153" s="1982"/>
    </row>
    <row r="154">
      <c r="A154" s="1987" t="s">
        <v>6177</v>
      </c>
      <c r="B154" s="1985" t="s">
        <v>6046</v>
      </c>
      <c r="C154" s="1985" t="s">
        <v>6178</v>
      </c>
      <c r="D154" s="1982"/>
    </row>
    <row r="155">
      <c r="A155" s="1987" t="s">
        <v>6179</v>
      </c>
      <c r="B155" s="1985" t="s">
        <v>6046</v>
      </c>
      <c r="C155" s="1985" t="s">
        <v>6180</v>
      </c>
      <c r="D155" s="1982"/>
    </row>
    <row r="156">
      <c r="A156" s="1987" t="s">
        <v>6181</v>
      </c>
      <c r="B156" s="1985" t="s">
        <v>6046</v>
      </c>
      <c r="C156" s="1985" t="s">
        <v>6182</v>
      </c>
      <c r="D156" s="1982"/>
    </row>
    <row r="157">
      <c r="A157" s="1987" t="s">
        <v>6183</v>
      </c>
      <c r="B157" s="1985" t="s">
        <v>6046</v>
      </c>
      <c r="C157" s="1985" t="s">
        <v>6184</v>
      </c>
      <c r="D157" s="1982"/>
    </row>
    <row r="158">
      <c r="A158" s="1987" t="s">
        <v>6185</v>
      </c>
      <c r="B158" s="1985" t="s">
        <v>6046</v>
      </c>
      <c r="C158" s="1985" t="s">
        <v>6186</v>
      </c>
      <c r="D158" s="1982"/>
    </row>
    <row r="159">
      <c r="A159" s="1987" t="s">
        <v>6187</v>
      </c>
      <c r="B159" s="1985" t="s">
        <v>6046</v>
      </c>
      <c r="C159" s="1985" t="s">
        <v>6188</v>
      </c>
      <c r="D159" s="1982"/>
    </row>
    <row r="160">
      <c r="A160" s="1987" t="s">
        <v>6189</v>
      </c>
      <c r="B160" s="1985" t="s">
        <v>6046</v>
      </c>
      <c r="C160" s="1985" t="s">
        <v>6190</v>
      </c>
      <c r="D160" s="1982"/>
    </row>
    <row r="161">
      <c r="A161" s="1987" t="s">
        <v>6191</v>
      </c>
      <c r="B161" s="1985" t="s">
        <v>6046</v>
      </c>
      <c r="C161" s="1985" t="s">
        <v>6192</v>
      </c>
      <c r="D161" s="1982"/>
    </row>
    <row r="162">
      <c r="A162" s="1987" t="s">
        <v>6193</v>
      </c>
      <c r="B162" s="1985" t="s">
        <v>6046</v>
      </c>
      <c r="C162" s="1985" t="s">
        <v>6194</v>
      </c>
      <c r="D162" s="1982"/>
    </row>
    <row r="163">
      <c r="A163" s="1987" t="s">
        <v>6195</v>
      </c>
      <c r="B163" s="1985" t="s">
        <v>6046</v>
      </c>
      <c r="C163" s="1985" t="s">
        <v>6196</v>
      </c>
      <c r="D163" s="1982"/>
    </row>
    <row r="164">
      <c r="A164" s="1987" t="s">
        <v>6197</v>
      </c>
      <c r="B164" s="1985" t="s">
        <v>6046</v>
      </c>
      <c r="C164" s="1985" t="s">
        <v>6198</v>
      </c>
      <c r="D164" s="1982"/>
    </row>
    <row r="165">
      <c r="A165" s="1987" t="s">
        <v>6199</v>
      </c>
      <c r="B165" s="1985" t="s">
        <v>6046</v>
      </c>
      <c r="C165" s="1985" t="s">
        <v>6200</v>
      </c>
      <c r="D165" s="1982"/>
    </row>
    <row r="166">
      <c r="A166" s="1984" t="s">
        <v>6201</v>
      </c>
      <c r="B166" s="1985" t="s">
        <v>6046</v>
      </c>
      <c r="C166" s="1988" t="s">
        <v>6202</v>
      </c>
      <c r="D166" s="1990"/>
    </row>
    <row r="167">
      <c r="A167" s="1984" t="s">
        <v>6203</v>
      </c>
      <c r="B167" s="1985" t="s">
        <v>6046</v>
      </c>
      <c r="C167" s="1988" t="s">
        <v>6204</v>
      </c>
      <c r="D167" s="1990"/>
    </row>
    <row r="168">
      <c r="A168" s="1984" t="s">
        <v>6205</v>
      </c>
      <c r="B168" s="1985" t="s">
        <v>6046</v>
      </c>
      <c r="C168" s="1988" t="s">
        <v>6206</v>
      </c>
      <c r="D168" s="1991"/>
    </row>
    <row r="169">
      <c r="A169" s="1985" t="s">
        <v>6207</v>
      </c>
      <c r="B169" s="1985" t="s">
        <v>6046</v>
      </c>
      <c r="C169" s="1985" t="s">
        <v>6208</v>
      </c>
      <c r="D169" s="1982"/>
    </row>
    <row r="170">
      <c r="A170" s="1985" t="s">
        <v>6209</v>
      </c>
      <c r="B170" s="1985" t="s">
        <v>6046</v>
      </c>
      <c r="C170" s="1985" t="s">
        <v>6210</v>
      </c>
      <c r="D170" s="1982"/>
    </row>
    <row r="171">
      <c r="A171" s="1985" t="s">
        <v>6211</v>
      </c>
      <c r="B171" s="1985" t="s">
        <v>6046</v>
      </c>
      <c r="C171" s="1985" t="s">
        <v>6212</v>
      </c>
      <c r="D171" s="1982"/>
    </row>
    <row r="172">
      <c r="A172" s="1985" t="s">
        <v>6213</v>
      </c>
      <c r="B172" s="1985" t="s">
        <v>6046</v>
      </c>
      <c r="C172" s="1985" t="s">
        <v>6214</v>
      </c>
      <c r="D172" s="1982"/>
    </row>
    <row r="173">
      <c r="A173" s="1985" t="s">
        <v>6215</v>
      </c>
      <c r="B173" s="1985" t="s">
        <v>6046</v>
      </c>
      <c r="C173" s="1985" t="s">
        <v>6216</v>
      </c>
      <c r="D173" s="1982"/>
    </row>
    <row r="174">
      <c r="A174" s="1985" t="s">
        <v>6217</v>
      </c>
      <c r="B174" s="1985" t="s">
        <v>6046</v>
      </c>
      <c r="C174" s="1985" t="s">
        <v>6218</v>
      </c>
      <c r="D174" s="1982"/>
    </row>
    <row r="175">
      <c r="A175" s="1985" t="s">
        <v>6219</v>
      </c>
      <c r="B175" s="1985" t="s">
        <v>6046</v>
      </c>
      <c r="C175" s="1985" t="s">
        <v>6220</v>
      </c>
      <c r="D175" s="1982"/>
    </row>
    <row r="176">
      <c r="A176" s="1985" t="s">
        <v>6221</v>
      </c>
      <c r="B176" s="1985" t="s">
        <v>6046</v>
      </c>
      <c r="C176" s="1985" t="s">
        <v>6222</v>
      </c>
      <c r="D176" s="1982"/>
    </row>
    <row r="177">
      <c r="A177" s="1985" t="s">
        <v>6223</v>
      </c>
      <c r="B177" s="1985" t="s">
        <v>6046</v>
      </c>
      <c r="C177" s="1985" t="s">
        <v>6224</v>
      </c>
      <c r="D177" s="1982"/>
    </row>
    <row r="178">
      <c r="A178" s="1985" t="s">
        <v>6225</v>
      </c>
      <c r="B178" s="1985" t="s">
        <v>6046</v>
      </c>
      <c r="C178" s="1985" t="s">
        <v>6226</v>
      </c>
      <c r="D178" s="1982"/>
    </row>
    <row r="179">
      <c r="A179" s="1985" t="s">
        <v>6227</v>
      </c>
      <c r="B179" s="1985" t="s">
        <v>6046</v>
      </c>
      <c r="C179" s="1985" t="s">
        <v>6228</v>
      </c>
      <c r="D179" s="1982"/>
    </row>
    <row r="180">
      <c r="A180" s="1985" t="s">
        <v>6229</v>
      </c>
      <c r="B180" s="1985" t="s">
        <v>6046</v>
      </c>
      <c r="C180" s="1985" t="s">
        <v>6230</v>
      </c>
      <c r="D180" s="1982"/>
    </row>
    <row r="181">
      <c r="A181" s="1985" t="s">
        <v>6231</v>
      </c>
      <c r="B181" s="1985" t="s">
        <v>6046</v>
      </c>
      <c r="C181" s="1985" t="s">
        <v>6232</v>
      </c>
      <c r="D181" s="1982"/>
    </row>
    <row r="182">
      <c r="A182" s="1985" t="s">
        <v>6233</v>
      </c>
      <c r="B182" s="1985" t="s">
        <v>6046</v>
      </c>
      <c r="C182" s="1985" t="s">
        <v>6234</v>
      </c>
      <c r="D182" s="1982"/>
    </row>
    <row r="183">
      <c r="A183" s="1985" t="s">
        <v>6235</v>
      </c>
      <c r="B183" s="1985" t="s">
        <v>6046</v>
      </c>
      <c r="C183" s="1985" t="s">
        <v>6236</v>
      </c>
      <c r="D183" s="1982"/>
    </row>
    <row r="184">
      <c r="A184" s="1985" t="s">
        <v>6237</v>
      </c>
      <c r="B184" s="1985" t="s">
        <v>6046</v>
      </c>
      <c r="C184" s="1985" t="s">
        <v>6238</v>
      </c>
      <c r="D184" s="1982"/>
    </row>
    <row r="185">
      <c r="A185" s="1985" t="s">
        <v>6239</v>
      </c>
      <c r="B185" s="1985" t="s">
        <v>6046</v>
      </c>
      <c r="C185" s="1985" t="s">
        <v>6240</v>
      </c>
      <c r="D185" s="1982"/>
    </row>
    <row r="186">
      <c r="A186" s="1985" t="s">
        <v>6241</v>
      </c>
      <c r="B186" s="1985" t="s">
        <v>6046</v>
      </c>
      <c r="C186" s="1985" t="s">
        <v>6242</v>
      </c>
      <c r="D186" s="1982"/>
    </row>
    <row r="187">
      <c r="A187" s="1985" t="s">
        <v>6243</v>
      </c>
      <c r="B187" s="1985" t="s">
        <v>6046</v>
      </c>
      <c r="C187" s="1985" t="s">
        <v>6244</v>
      </c>
      <c r="D187" s="1982"/>
    </row>
    <row r="188">
      <c r="A188" s="1985" t="s">
        <v>6245</v>
      </c>
      <c r="B188" s="1985" t="s">
        <v>6046</v>
      </c>
      <c r="C188" s="1985" t="s">
        <v>6246</v>
      </c>
      <c r="D188" s="1982"/>
    </row>
    <row r="189">
      <c r="A189" s="1985" t="s">
        <v>6247</v>
      </c>
      <c r="B189" s="1985" t="s">
        <v>6046</v>
      </c>
      <c r="C189" s="1985" t="s">
        <v>6248</v>
      </c>
      <c r="D189" s="1982"/>
    </row>
    <row r="190">
      <c r="A190" s="1985" t="s">
        <v>6249</v>
      </c>
      <c r="B190" s="1985" t="s">
        <v>6046</v>
      </c>
      <c r="C190" s="1985" t="s">
        <v>6250</v>
      </c>
      <c r="D190" s="1982"/>
    </row>
    <row r="191">
      <c r="A191" s="1985" t="s">
        <v>6251</v>
      </c>
      <c r="B191" s="1985" t="s">
        <v>6046</v>
      </c>
      <c r="C191" s="1985" t="s">
        <v>6252</v>
      </c>
      <c r="D191" s="1982"/>
    </row>
    <row r="192">
      <c r="A192" s="1985" t="s">
        <v>6253</v>
      </c>
      <c r="B192" s="1985" t="s">
        <v>6046</v>
      </c>
      <c r="C192" s="1985" t="s">
        <v>6254</v>
      </c>
      <c r="D192" s="1982"/>
    </row>
    <row r="193">
      <c r="A193" s="1985" t="s">
        <v>6255</v>
      </c>
      <c r="B193" s="1985" t="s">
        <v>6046</v>
      </c>
      <c r="C193" s="1985" t="s">
        <v>6256</v>
      </c>
      <c r="D193" s="1982"/>
    </row>
    <row r="194">
      <c r="A194" s="1985" t="s">
        <v>6257</v>
      </c>
      <c r="B194" s="1985" t="s">
        <v>6046</v>
      </c>
      <c r="C194" s="1985" t="s">
        <v>6258</v>
      </c>
      <c r="D194" s="1982"/>
    </row>
    <row r="195">
      <c r="A195" s="1985" t="s">
        <v>6259</v>
      </c>
      <c r="B195" s="1985" t="s">
        <v>6046</v>
      </c>
      <c r="C195" s="1985" t="s">
        <v>6260</v>
      </c>
      <c r="D195" s="1982"/>
    </row>
    <row r="196">
      <c r="A196" s="1985" t="s">
        <v>6261</v>
      </c>
      <c r="B196" s="1985" t="s">
        <v>6046</v>
      </c>
      <c r="C196" s="1985" t="s">
        <v>6262</v>
      </c>
      <c r="D196" s="1982"/>
    </row>
    <row r="197">
      <c r="A197" s="1985" t="s">
        <v>6263</v>
      </c>
      <c r="B197" s="1985" t="s">
        <v>6046</v>
      </c>
      <c r="C197" s="1985" t="s">
        <v>6264</v>
      </c>
      <c r="D197" s="1982"/>
    </row>
    <row r="198">
      <c r="A198" s="1985" t="s">
        <v>6265</v>
      </c>
      <c r="B198" s="1985" t="s">
        <v>6046</v>
      </c>
      <c r="C198" s="1985" t="s">
        <v>6266</v>
      </c>
      <c r="D198" s="1982"/>
    </row>
    <row r="199">
      <c r="A199" s="1985" t="s">
        <v>6267</v>
      </c>
      <c r="B199" s="1985" t="s">
        <v>6046</v>
      </c>
      <c r="C199" s="1985" t="s">
        <v>6268</v>
      </c>
      <c r="D199" s="1982"/>
    </row>
    <row r="200">
      <c r="A200" s="1985" t="s">
        <v>6269</v>
      </c>
      <c r="B200" s="1985" t="s">
        <v>6046</v>
      </c>
      <c r="C200" s="1985" t="s">
        <v>6270</v>
      </c>
      <c r="D200" s="1982"/>
    </row>
    <row r="201">
      <c r="A201" s="1984" t="s">
        <v>6271</v>
      </c>
      <c r="B201" s="1985" t="s">
        <v>6046</v>
      </c>
      <c r="C201" s="1992" t="s">
        <v>6272</v>
      </c>
      <c r="D201" s="1982"/>
    </row>
    <row r="202">
      <c r="A202" s="1984" t="s">
        <v>6273</v>
      </c>
      <c r="B202" s="1985" t="s">
        <v>6046</v>
      </c>
      <c r="C202" s="1992" t="s">
        <v>6274</v>
      </c>
      <c r="D202" s="1982"/>
    </row>
    <row r="203">
      <c r="A203" s="1985" t="s">
        <v>6275</v>
      </c>
      <c r="B203" s="1985" t="s">
        <v>6046</v>
      </c>
      <c r="C203" s="1992" t="s">
        <v>6276</v>
      </c>
      <c r="D203" s="1982"/>
    </row>
    <row r="204">
      <c r="A204" s="1985" t="s">
        <v>6277</v>
      </c>
      <c r="B204" s="1985" t="s">
        <v>6046</v>
      </c>
      <c r="C204" s="1993" t="s">
        <v>6278</v>
      </c>
      <c r="D204" s="1982"/>
    </row>
    <row r="205">
      <c r="A205" s="1985" t="s">
        <v>6279</v>
      </c>
      <c r="B205" s="1985" t="s">
        <v>6046</v>
      </c>
      <c r="C205" s="1993" t="s">
        <v>6280</v>
      </c>
      <c r="D205" s="1982"/>
    </row>
    <row r="206">
      <c r="A206" s="1985" t="s">
        <v>6281</v>
      </c>
      <c r="B206" s="1985" t="s">
        <v>6046</v>
      </c>
      <c r="C206" s="1993" t="s">
        <v>6282</v>
      </c>
      <c r="D206" s="1982"/>
    </row>
    <row r="207">
      <c r="A207" s="1985" t="s">
        <v>6283</v>
      </c>
      <c r="B207" s="1985" t="s">
        <v>6046</v>
      </c>
      <c r="C207" s="1993" t="s">
        <v>6284</v>
      </c>
      <c r="D207" s="1982"/>
    </row>
    <row r="208">
      <c r="A208" s="1985" t="s">
        <v>6285</v>
      </c>
      <c r="B208" s="1985" t="s">
        <v>6046</v>
      </c>
      <c r="C208" s="1993" t="s">
        <v>6286</v>
      </c>
      <c r="D208" s="1982"/>
    </row>
    <row r="209">
      <c r="A209" s="1985" t="s">
        <v>6287</v>
      </c>
      <c r="B209" s="1985" t="s">
        <v>6046</v>
      </c>
      <c r="C209" s="1993" t="s">
        <v>6288</v>
      </c>
      <c r="D209" s="1982"/>
    </row>
    <row r="210">
      <c r="A210" s="1985" t="s">
        <v>6289</v>
      </c>
      <c r="B210" s="1985" t="s">
        <v>6046</v>
      </c>
      <c r="C210" s="1993" t="s">
        <v>6290</v>
      </c>
      <c r="D210" s="1982"/>
    </row>
    <row r="211">
      <c r="A211" s="1985" t="s">
        <v>6291</v>
      </c>
      <c r="B211" s="1985" t="s">
        <v>6046</v>
      </c>
      <c r="C211" s="1993" t="s">
        <v>6292</v>
      </c>
      <c r="D211" s="1982"/>
    </row>
    <row r="212">
      <c r="A212" s="1985" t="s">
        <v>6293</v>
      </c>
      <c r="B212" s="1985" t="s">
        <v>6046</v>
      </c>
      <c r="C212" s="1993" t="s">
        <v>6294</v>
      </c>
      <c r="D212" s="1982"/>
    </row>
    <row r="213">
      <c r="A213" s="1985" t="s">
        <v>6295</v>
      </c>
      <c r="B213" s="1985" t="s">
        <v>6046</v>
      </c>
      <c r="C213" s="1993" t="s">
        <v>6296</v>
      </c>
      <c r="D213" s="1982"/>
    </row>
    <row r="214">
      <c r="A214" s="1985" t="s">
        <v>6297</v>
      </c>
      <c r="B214" s="1985" t="s">
        <v>6046</v>
      </c>
      <c r="C214" s="1993" t="s">
        <v>6298</v>
      </c>
      <c r="D214" s="1982"/>
    </row>
    <row r="215">
      <c r="A215" s="1985" t="s">
        <v>6299</v>
      </c>
      <c r="B215" s="1985" t="s">
        <v>6046</v>
      </c>
      <c r="C215" s="1993" t="s">
        <v>6300</v>
      </c>
      <c r="D215" s="1982"/>
    </row>
    <row r="216">
      <c r="A216" s="1985" t="s">
        <v>6301</v>
      </c>
      <c r="B216" s="1985" t="s">
        <v>6046</v>
      </c>
      <c r="C216" s="1993" t="s">
        <v>6302</v>
      </c>
      <c r="D216" s="1982"/>
    </row>
    <row r="217">
      <c r="A217" s="1985" t="s">
        <v>6303</v>
      </c>
      <c r="B217" s="1985" t="s">
        <v>6046</v>
      </c>
      <c r="C217" s="1993" t="s">
        <v>6304</v>
      </c>
      <c r="D217" s="1982"/>
    </row>
    <row r="218">
      <c r="A218" s="1985" t="s">
        <v>6305</v>
      </c>
      <c r="B218" s="1985" t="s">
        <v>6046</v>
      </c>
      <c r="C218" s="1993" t="s">
        <v>6306</v>
      </c>
      <c r="D218" s="1982"/>
    </row>
    <row r="219">
      <c r="A219" s="1987" t="s">
        <v>6307</v>
      </c>
      <c r="B219" s="1985" t="s">
        <v>6046</v>
      </c>
      <c r="C219" s="1993" t="s">
        <v>6274</v>
      </c>
      <c r="D219" s="1982"/>
    </row>
    <row r="220">
      <c r="A220" s="1987" t="s">
        <v>6308</v>
      </c>
      <c r="B220" s="1985" t="s">
        <v>6046</v>
      </c>
      <c r="C220" s="1993" t="s">
        <v>6309</v>
      </c>
      <c r="D220" s="1982"/>
    </row>
    <row r="221">
      <c r="A221" s="1987" t="s">
        <v>6310</v>
      </c>
      <c r="B221" s="1985" t="s">
        <v>6046</v>
      </c>
      <c r="C221" s="1993" t="s">
        <v>6311</v>
      </c>
      <c r="D221" s="1982"/>
    </row>
    <row r="222">
      <c r="A222" s="1987" t="s">
        <v>6312</v>
      </c>
      <c r="B222" s="1985" t="s">
        <v>6046</v>
      </c>
      <c r="C222" s="1993" t="s">
        <v>6313</v>
      </c>
      <c r="D222" s="1982"/>
    </row>
    <row r="223">
      <c r="A223" s="1987" t="s">
        <v>6314</v>
      </c>
      <c r="B223" s="1985" t="s">
        <v>6046</v>
      </c>
      <c r="C223" s="1993" t="s">
        <v>6315</v>
      </c>
      <c r="D223" s="1982"/>
    </row>
    <row r="224">
      <c r="A224" s="1987" t="s">
        <v>6316</v>
      </c>
      <c r="B224" s="1985" t="s">
        <v>6046</v>
      </c>
      <c r="C224" s="1993" t="s">
        <v>6317</v>
      </c>
      <c r="D224" s="1982"/>
    </row>
    <row r="225">
      <c r="A225" s="1987" t="s">
        <v>6318</v>
      </c>
      <c r="B225" s="1985" t="s">
        <v>6046</v>
      </c>
      <c r="C225" s="1993" t="s">
        <v>6319</v>
      </c>
      <c r="D225" s="1982"/>
    </row>
    <row r="226">
      <c r="A226" s="1987" t="s">
        <v>6320</v>
      </c>
      <c r="B226" s="1985" t="s">
        <v>6046</v>
      </c>
      <c r="C226" s="1993" t="s">
        <v>6321</v>
      </c>
      <c r="D226" s="1982"/>
    </row>
    <row r="227">
      <c r="A227" s="1987" t="s">
        <v>6322</v>
      </c>
      <c r="B227" s="1985" t="s">
        <v>6046</v>
      </c>
      <c r="C227" s="1993" t="s">
        <v>6323</v>
      </c>
      <c r="D227" s="1982"/>
    </row>
    <row r="228">
      <c r="A228" s="1987" t="s">
        <v>6324</v>
      </c>
      <c r="B228" s="1985" t="s">
        <v>6046</v>
      </c>
      <c r="C228" s="1993" t="s">
        <v>6325</v>
      </c>
      <c r="D228" s="1982"/>
    </row>
    <row r="229">
      <c r="A229" s="1987" t="s">
        <v>6326</v>
      </c>
      <c r="B229" s="1985" t="s">
        <v>6046</v>
      </c>
      <c r="C229" s="1993" t="s">
        <v>6327</v>
      </c>
      <c r="D229" s="1982"/>
    </row>
    <row r="230">
      <c r="A230" s="1987" t="s">
        <v>6328</v>
      </c>
      <c r="B230" s="1985" t="s">
        <v>6046</v>
      </c>
      <c r="C230" s="1993" t="s">
        <v>6329</v>
      </c>
      <c r="D230" s="1982"/>
    </row>
    <row r="231">
      <c r="A231" s="1987" t="s">
        <v>6330</v>
      </c>
      <c r="B231" s="1985" t="s">
        <v>6046</v>
      </c>
      <c r="C231" s="1993" t="s">
        <v>6331</v>
      </c>
      <c r="D231" s="1982"/>
    </row>
    <row r="232">
      <c r="A232" s="1987" t="s">
        <v>6332</v>
      </c>
      <c r="B232" s="1985" t="s">
        <v>6046</v>
      </c>
      <c r="C232" s="1993" t="s">
        <v>6333</v>
      </c>
      <c r="D232" s="1982"/>
    </row>
    <row r="233">
      <c r="A233" s="1987" t="s">
        <v>6334</v>
      </c>
      <c r="B233" s="1985" t="s">
        <v>6046</v>
      </c>
      <c r="C233" s="1993" t="s">
        <v>6335</v>
      </c>
      <c r="D233" s="1982"/>
    </row>
    <row r="234">
      <c r="A234" s="1987" t="s">
        <v>6336</v>
      </c>
      <c r="B234" s="1985" t="s">
        <v>6046</v>
      </c>
      <c r="C234" s="1993" t="s">
        <v>6337</v>
      </c>
      <c r="D234" s="1982"/>
    </row>
    <row r="235">
      <c r="A235" s="1985" t="s">
        <v>6338</v>
      </c>
      <c r="B235" s="1985" t="s">
        <v>6046</v>
      </c>
      <c r="C235" s="1985" t="s">
        <v>6339</v>
      </c>
      <c r="D235" s="1982"/>
    </row>
    <row r="236">
      <c r="A236" s="1985" t="s">
        <v>6340</v>
      </c>
      <c r="B236" s="1985" t="s">
        <v>6046</v>
      </c>
      <c r="C236" s="1985" t="s">
        <v>6341</v>
      </c>
      <c r="D236" s="1982"/>
    </row>
    <row r="237">
      <c r="A237" s="1985" t="s">
        <v>6342</v>
      </c>
      <c r="B237" s="1985" t="s">
        <v>6046</v>
      </c>
      <c r="C237" s="1985" t="s">
        <v>6343</v>
      </c>
      <c r="D237" s="1982"/>
    </row>
    <row r="238">
      <c r="A238" s="1985" t="s">
        <v>6344</v>
      </c>
      <c r="B238" s="1985" t="s">
        <v>6046</v>
      </c>
      <c r="C238" s="1985" t="s">
        <v>6345</v>
      </c>
      <c r="D238" s="1982"/>
    </row>
    <row r="239">
      <c r="A239" s="1985" t="s">
        <v>6346</v>
      </c>
      <c r="B239" s="1985" t="s">
        <v>6046</v>
      </c>
      <c r="C239" s="1985" t="s">
        <v>6347</v>
      </c>
      <c r="D239" s="1982"/>
    </row>
    <row r="240">
      <c r="A240" s="1985" t="s">
        <v>6348</v>
      </c>
      <c r="B240" s="1985" t="s">
        <v>6046</v>
      </c>
      <c r="C240" s="1985" t="s">
        <v>6349</v>
      </c>
      <c r="D240" s="1982"/>
    </row>
    <row r="241">
      <c r="A241" s="1985" t="s">
        <v>6350</v>
      </c>
      <c r="B241" s="1985" t="s">
        <v>6046</v>
      </c>
      <c r="C241" s="1985" t="s">
        <v>6351</v>
      </c>
      <c r="D241" s="1982"/>
    </row>
    <row r="242">
      <c r="A242" s="1985" t="s">
        <v>6352</v>
      </c>
      <c r="B242" s="1985" t="s">
        <v>6046</v>
      </c>
      <c r="C242" s="1985" t="s">
        <v>6353</v>
      </c>
      <c r="D242" s="1982"/>
    </row>
    <row r="243">
      <c r="A243" s="1985" t="s">
        <v>6354</v>
      </c>
      <c r="B243" s="1985" t="s">
        <v>6046</v>
      </c>
      <c r="C243" s="1985" t="s">
        <v>6355</v>
      </c>
      <c r="D243" s="1982"/>
    </row>
    <row r="244">
      <c r="A244" s="1985" t="s">
        <v>6356</v>
      </c>
      <c r="B244" s="1985" t="s">
        <v>6046</v>
      </c>
      <c r="C244" s="1985" t="s">
        <v>6357</v>
      </c>
      <c r="D244" s="1982"/>
    </row>
    <row r="245">
      <c r="A245" s="1985" t="s">
        <v>6358</v>
      </c>
      <c r="B245" s="1985" t="s">
        <v>6046</v>
      </c>
      <c r="C245" s="1985" t="s">
        <v>6359</v>
      </c>
      <c r="D245" s="1982"/>
    </row>
    <row r="246">
      <c r="A246" s="1985" t="s">
        <v>6360</v>
      </c>
      <c r="B246" s="1985" t="s">
        <v>6046</v>
      </c>
      <c r="C246" s="1985" t="s">
        <v>6361</v>
      </c>
      <c r="D246" s="1982"/>
    </row>
    <row r="247">
      <c r="A247" s="1985" t="s">
        <v>6362</v>
      </c>
      <c r="B247" s="1985" t="s">
        <v>6046</v>
      </c>
      <c r="C247" s="1985" t="s">
        <v>6363</v>
      </c>
      <c r="D247" s="1982"/>
    </row>
    <row r="248">
      <c r="A248" s="1985" t="s">
        <v>6364</v>
      </c>
      <c r="B248" s="1985" t="s">
        <v>6046</v>
      </c>
      <c r="C248" s="1985" t="s">
        <v>6365</v>
      </c>
      <c r="D248" s="1982"/>
    </row>
    <row r="249">
      <c r="A249" s="1985" t="s">
        <v>6366</v>
      </c>
      <c r="B249" s="1985" t="s">
        <v>6046</v>
      </c>
      <c r="C249" s="1985" t="s">
        <v>6367</v>
      </c>
      <c r="D249" s="1982"/>
    </row>
    <row r="250">
      <c r="A250" s="1985" t="s">
        <v>6368</v>
      </c>
      <c r="B250" s="1985" t="s">
        <v>6046</v>
      </c>
      <c r="C250" s="1985" t="s">
        <v>6369</v>
      </c>
      <c r="D250" s="1982"/>
    </row>
    <row r="251">
      <c r="A251" s="1987" t="s">
        <v>6370</v>
      </c>
      <c r="B251" s="1985" t="s">
        <v>6046</v>
      </c>
      <c r="C251" s="1985" t="s">
        <v>6371</v>
      </c>
      <c r="D251" s="1982"/>
    </row>
    <row r="252">
      <c r="A252" s="1984" t="s">
        <v>6372</v>
      </c>
      <c r="B252" s="1988" t="s">
        <v>5871</v>
      </c>
      <c r="C252" s="1985" t="s">
        <v>6373</v>
      </c>
      <c r="D252" s="1982"/>
    </row>
    <row r="253">
      <c r="A253" s="1985" t="s">
        <v>6374</v>
      </c>
      <c r="B253" s="1985" t="s">
        <v>6046</v>
      </c>
      <c r="C253" s="1985" t="s">
        <v>6375</v>
      </c>
      <c r="D253" s="1982"/>
    </row>
    <row r="254">
      <c r="A254" s="1985" t="s">
        <v>6376</v>
      </c>
      <c r="B254" s="1985" t="s">
        <v>6046</v>
      </c>
      <c r="C254" s="1985" t="s">
        <v>6377</v>
      </c>
      <c r="D254" s="1982"/>
    </row>
    <row r="255">
      <c r="A255" s="1985" t="s">
        <v>6378</v>
      </c>
      <c r="B255" s="1985" t="s">
        <v>6046</v>
      </c>
      <c r="C255" s="1985" t="s">
        <v>6379</v>
      </c>
      <c r="D255" s="1982"/>
    </row>
    <row r="256">
      <c r="A256" s="1985" t="s">
        <v>6380</v>
      </c>
      <c r="B256" s="1985" t="s">
        <v>6046</v>
      </c>
      <c r="C256" s="1985" t="s">
        <v>6381</v>
      </c>
      <c r="D256" s="1982"/>
    </row>
    <row r="257">
      <c r="A257" s="1985" t="s">
        <v>6382</v>
      </c>
      <c r="B257" s="1985" t="s">
        <v>6046</v>
      </c>
      <c r="C257" s="1985" t="s">
        <v>6383</v>
      </c>
      <c r="D257" s="1982"/>
    </row>
    <row r="258">
      <c r="A258" s="1985" t="s">
        <v>6384</v>
      </c>
      <c r="B258" s="1985" t="s">
        <v>6046</v>
      </c>
      <c r="C258" s="1985" t="s">
        <v>6385</v>
      </c>
      <c r="D258" s="1982"/>
    </row>
    <row r="259">
      <c r="A259" s="1985" t="s">
        <v>6386</v>
      </c>
      <c r="B259" s="1985" t="s">
        <v>6046</v>
      </c>
      <c r="C259" s="1985" t="s">
        <v>6387</v>
      </c>
      <c r="D259" s="1982"/>
    </row>
    <row r="260">
      <c r="A260" s="1985" t="s">
        <v>6388</v>
      </c>
      <c r="B260" s="1985" t="s">
        <v>6046</v>
      </c>
      <c r="C260" s="1985" t="s">
        <v>6389</v>
      </c>
      <c r="D260" s="1982"/>
    </row>
    <row r="261">
      <c r="A261" s="1985" t="s">
        <v>6390</v>
      </c>
      <c r="B261" s="1985" t="s">
        <v>6046</v>
      </c>
      <c r="C261" s="1985" t="s">
        <v>6391</v>
      </c>
      <c r="D261" s="1982"/>
    </row>
    <row r="262">
      <c r="A262" s="1985" t="s">
        <v>6392</v>
      </c>
      <c r="B262" s="1985" t="s">
        <v>6046</v>
      </c>
      <c r="C262" s="1985" t="s">
        <v>6393</v>
      </c>
      <c r="D262" s="1982"/>
    </row>
    <row r="263">
      <c r="A263" s="1985" t="s">
        <v>6394</v>
      </c>
      <c r="B263" s="1985" t="s">
        <v>6046</v>
      </c>
      <c r="C263" s="1985" t="s">
        <v>6395</v>
      </c>
      <c r="D263" s="1982"/>
    </row>
    <row r="264">
      <c r="A264" s="1984" t="s">
        <v>6396</v>
      </c>
      <c r="B264" s="1988" t="s">
        <v>5871</v>
      </c>
      <c r="C264" s="1985" t="s">
        <v>6397</v>
      </c>
      <c r="D264" s="1982"/>
    </row>
    <row r="265">
      <c r="A265" s="1985" t="s">
        <v>6398</v>
      </c>
      <c r="B265" s="1985" t="s">
        <v>6046</v>
      </c>
      <c r="C265" s="1985" t="s">
        <v>6399</v>
      </c>
      <c r="D265" s="1982"/>
    </row>
    <row r="266">
      <c r="A266" s="1984" t="s">
        <v>6400</v>
      </c>
      <c r="B266" s="1988" t="s">
        <v>6046</v>
      </c>
      <c r="C266" s="1985" t="s">
        <v>6401</v>
      </c>
      <c r="D266" s="1982"/>
      <c r="E266" s="1982"/>
      <c r="F266" s="1982"/>
      <c r="G266" s="1982"/>
      <c r="H266" s="1982"/>
      <c r="I266" s="1982"/>
      <c r="J266" s="1982"/>
      <c r="K266" s="1982"/>
      <c r="L266" s="1982"/>
      <c r="M266" s="1982"/>
      <c r="N266" s="1982"/>
    </row>
    <row r="267">
      <c r="A267" s="1984" t="s">
        <v>6402</v>
      </c>
      <c r="B267" s="1989" t="s">
        <v>6027</v>
      </c>
      <c r="C267" s="1985" t="s">
        <v>6403</v>
      </c>
      <c r="D267" s="1982"/>
      <c r="E267" s="1982"/>
      <c r="F267" s="1982"/>
      <c r="G267" s="1982"/>
      <c r="H267" s="1982"/>
      <c r="I267" s="1982"/>
      <c r="J267" s="1982"/>
      <c r="K267" s="1982"/>
      <c r="L267" s="1982"/>
      <c r="M267" s="1982"/>
      <c r="N267" s="1982"/>
    </row>
    <row r="268">
      <c r="A268" s="1985" t="s">
        <v>6404</v>
      </c>
      <c r="B268" s="1985" t="s">
        <v>5871</v>
      </c>
      <c r="C268" s="1985" t="s">
        <v>6405</v>
      </c>
      <c r="D268" s="1982"/>
      <c r="E268" s="1982"/>
      <c r="F268" s="1982"/>
      <c r="G268" s="1982"/>
      <c r="H268" s="1982"/>
      <c r="I268" s="1982"/>
      <c r="J268" s="1982"/>
      <c r="K268" s="1982"/>
      <c r="L268" s="1982"/>
      <c r="M268" s="1982"/>
      <c r="N268" s="1982"/>
    </row>
    <row r="269">
      <c r="A269" s="1985" t="s">
        <v>6406</v>
      </c>
      <c r="B269" s="1989" t="s">
        <v>5865</v>
      </c>
      <c r="C269" s="1985" t="s">
        <v>6407</v>
      </c>
      <c r="D269" s="1982"/>
      <c r="E269" s="1982"/>
      <c r="F269" s="1982"/>
      <c r="G269" s="1982"/>
      <c r="H269" s="1982"/>
      <c r="I269" s="1982"/>
      <c r="J269" s="1982"/>
      <c r="K269" s="1982"/>
      <c r="L269" s="1982"/>
      <c r="M269" s="1982"/>
      <c r="N269" s="1982"/>
    </row>
    <row r="270">
      <c r="A270" s="1985" t="s">
        <v>6408</v>
      </c>
      <c r="B270" s="1985" t="s">
        <v>5871</v>
      </c>
      <c r="C270" s="1985" t="s">
        <v>6409</v>
      </c>
      <c r="D270" s="1982"/>
      <c r="E270" s="1982"/>
      <c r="F270" s="1982"/>
      <c r="G270" s="1982"/>
      <c r="H270" s="1982"/>
      <c r="I270" s="1982"/>
      <c r="J270" s="1982"/>
      <c r="K270" s="1982"/>
      <c r="L270" s="1982"/>
      <c r="M270" s="1982"/>
      <c r="N270" s="1982"/>
    </row>
    <row r="271">
      <c r="A271" s="1985" t="s">
        <v>6410</v>
      </c>
      <c r="B271" s="1989" t="s">
        <v>5865</v>
      </c>
      <c r="C271" s="1983" t="s">
        <v>6411</v>
      </c>
      <c r="D271" s="1982"/>
      <c r="E271" s="1982"/>
      <c r="F271" s="1982"/>
      <c r="G271" s="1982"/>
      <c r="H271" s="1982"/>
      <c r="I271" s="1982"/>
      <c r="J271" s="1982"/>
      <c r="K271" s="1982"/>
      <c r="L271" s="1982"/>
      <c r="M271" s="1982"/>
      <c r="N271" s="1982"/>
    </row>
    <row r="272">
      <c r="A272" s="1985" t="s">
        <v>6412</v>
      </c>
      <c r="B272" s="1985" t="s">
        <v>5871</v>
      </c>
      <c r="C272" s="1985" t="s">
        <v>6413</v>
      </c>
      <c r="D272" s="1982"/>
      <c r="E272" s="1982"/>
      <c r="F272" s="1982"/>
      <c r="G272" s="1982"/>
      <c r="H272" s="1982"/>
      <c r="I272" s="1982"/>
      <c r="J272" s="1982"/>
      <c r="K272" s="1982"/>
      <c r="L272" s="1982"/>
      <c r="M272" s="1982"/>
      <c r="N272" s="1982"/>
    </row>
    <row r="273">
      <c r="A273" s="1985" t="s">
        <v>6414</v>
      </c>
      <c r="B273" s="1985" t="s">
        <v>5871</v>
      </c>
      <c r="C273" s="1985" t="s">
        <v>6415</v>
      </c>
      <c r="D273" s="1982"/>
      <c r="E273" s="1982"/>
      <c r="F273" s="1982"/>
      <c r="G273" s="1982"/>
      <c r="H273" s="1982"/>
      <c r="I273" s="1982"/>
      <c r="J273" s="1982"/>
      <c r="K273" s="1982"/>
      <c r="L273" s="1982"/>
      <c r="M273" s="1982"/>
      <c r="N273" s="1982"/>
    </row>
    <row r="274">
      <c r="A274" s="1985" t="s">
        <v>6416</v>
      </c>
      <c r="B274" s="1989" t="s">
        <v>5865</v>
      </c>
      <c r="C274" s="1985" t="s">
        <v>6417</v>
      </c>
      <c r="D274" s="1982"/>
    </row>
    <row r="275">
      <c r="A275" s="1985" t="s">
        <v>6418</v>
      </c>
      <c r="B275" s="1985" t="s">
        <v>5871</v>
      </c>
      <c r="C275" s="1985" t="s">
        <v>6419</v>
      </c>
      <c r="D275" s="1982"/>
    </row>
    <row r="276">
      <c r="A276" s="1985" t="s">
        <v>6420</v>
      </c>
      <c r="B276" s="1985" t="s">
        <v>5865</v>
      </c>
      <c r="C276" s="1985" t="s">
        <v>6421</v>
      </c>
      <c r="D276" s="1982"/>
    </row>
    <row r="277">
      <c r="A277" s="1985" t="s">
        <v>6422</v>
      </c>
      <c r="B277" s="1985" t="s">
        <v>5865</v>
      </c>
      <c r="C277" s="1985" t="s">
        <v>6423</v>
      </c>
      <c r="D277" s="1982"/>
    </row>
    <row r="278">
      <c r="A278" s="1985" t="s">
        <v>6424</v>
      </c>
      <c r="B278" s="1985" t="s">
        <v>5871</v>
      </c>
      <c r="C278" s="1985" t="s">
        <v>6425</v>
      </c>
      <c r="D278" s="1982"/>
    </row>
    <row r="279">
      <c r="A279" s="1985" t="s">
        <v>6426</v>
      </c>
      <c r="B279" s="1985" t="s">
        <v>5886</v>
      </c>
      <c r="C279" s="1985" t="s">
        <v>6427</v>
      </c>
      <c r="D279" s="1982"/>
    </row>
    <row r="280">
      <c r="A280" s="1994" t="s">
        <v>6428</v>
      </c>
      <c r="B280" s="1985" t="s">
        <v>6046</v>
      </c>
      <c r="C280" s="1985" t="s">
        <v>6429</v>
      </c>
      <c r="D280" s="1982"/>
    </row>
    <row r="281">
      <c r="A281" s="1985" t="s">
        <v>6430</v>
      </c>
      <c r="B281" s="1985" t="s">
        <v>6046</v>
      </c>
      <c r="C281" s="1985" t="s">
        <v>6431</v>
      </c>
      <c r="D281" s="1982"/>
    </row>
    <row r="282">
      <c r="A282" s="1985" t="s">
        <v>6432</v>
      </c>
      <c r="B282" s="1985" t="s">
        <v>6046</v>
      </c>
      <c r="C282" s="1985" t="s">
        <v>6433</v>
      </c>
      <c r="D282" s="1982"/>
    </row>
    <row r="283">
      <c r="A283" s="1985" t="s">
        <v>6434</v>
      </c>
      <c r="B283" s="1985" t="s">
        <v>5871</v>
      </c>
      <c r="C283" s="1985" t="s">
        <v>6435</v>
      </c>
      <c r="D283" s="1982"/>
    </row>
    <row r="284">
      <c r="A284" s="1985" t="s">
        <v>6436</v>
      </c>
      <c r="B284" s="1985" t="s">
        <v>5865</v>
      </c>
      <c r="C284" s="1985" t="s">
        <v>6437</v>
      </c>
      <c r="D284" s="1982"/>
    </row>
    <row r="285">
      <c r="A285" s="1984" t="s">
        <v>6438</v>
      </c>
      <c r="B285" s="1988" t="s">
        <v>6046</v>
      </c>
      <c r="C285" s="1985" t="s">
        <v>6439</v>
      </c>
      <c r="D285" s="1982"/>
    </row>
    <row r="286">
      <c r="A286" s="1984" t="s">
        <v>6440</v>
      </c>
      <c r="B286" s="1988" t="s">
        <v>6046</v>
      </c>
      <c r="C286" s="1985" t="s">
        <v>6441</v>
      </c>
      <c r="D286" s="1982"/>
    </row>
    <row r="287">
      <c r="A287" s="1984" t="s">
        <v>6442</v>
      </c>
      <c r="B287" s="1985" t="s">
        <v>5865</v>
      </c>
      <c r="C287" s="1985" t="s">
        <v>6443</v>
      </c>
      <c r="D287" s="1982"/>
    </row>
    <row r="288">
      <c r="A288" s="1985" t="s">
        <v>6444</v>
      </c>
      <c r="B288" s="1985" t="s">
        <v>5865</v>
      </c>
      <c r="C288" s="1985" t="s">
        <v>6445</v>
      </c>
      <c r="D288" s="1982"/>
    </row>
    <row r="289">
      <c r="A289" s="1985" t="s">
        <v>6446</v>
      </c>
      <c r="B289" s="1985" t="s">
        <v>5865</v>
      </c>
      <c r="C289" s="1985" t="s">
        <v>6447</v>
      </c>
      <c r="D289" s="1982"/>
    </row>
    <row r="290">
      <c r="A290" s="1985" t="s">
        <v>6448</v>
      </c>
      <c r="B290" s="1985" t="s">
        <v>5953</v>
      </c>
      <c r="C290" s="1985" t="s">
        <v>6449</v>
      </c>
      <c r="D290" s="1982"/>
    </row>
    <row r="291">
      <c r="A291" s="1985" t="s">
        <v>6450</v>
      </c>
      <c r="B291" s="1985" t="s">
        <v>5953</v>
      </c>
      <c r="C291" s="1985" t="s">
        <v>6451</v>
      </c>
      <c r="D291" s="1982"/>
    </row>
    <row r="292">
      <c r="A292" s="1984" t="s">
        <v>6452</v>
      </c>
      <c r="B292" s="1985" t="s">
        <v>6453</v>
      </c>
      <c r="C292" s="1985" t="s">
        <v>6454</v>
      </c>
      <c r="D292" s="1982"/>
    </row>
    <row r="293">
      <c r="A293" s="1985" t="s">
        <v>6455</v>
      </c>
      <c r="B293" s="1985" t="s">
        <v>6453</v>
      </c>
      <c r="C293" s="1985" t="s">
        <v>6456</v>
      </c>
      <c r="D293" s="1982"/>
    </row>
    <row r="294">
      <c r="A294" s="1984" t="s">
        <v>6457</v>
      </c>
      <c r="B294" s="1985" t="s">
        <v>5886</v>
      </c>
      <c r="C294" s="1985" t="s">
        <v>6458</v>
      </c>
      <c r="D294" s="1982"/>
    </row>
    <row r="295">
      <c r="A295" s="1984" t="s">
        <v>6459</v>
      </c>
      <c r="B295" s="1985" t="s">
        <v>5865</v>
      </c>
      <c r="C295" s="1985" t="s">
        <v>6460</v>
      </c>
      <c r="D295" s="1982"/>
    </row>
    <row r="296">
      <c r="A296" s="1984" t="s">
        <v>6461</v>
      </c>
      <c r="B296" s="1985" t="s">
        <v>5865</v>
      </c>
      <c r="C296" s="1985" t="s">
        <v>6462</v>
      </c>
      <c r="D296" s="1982"/>
    </row>
    <row r="297">
      <c r="A297" s="1985" t="s">
        <v>6463</v>
      </c>
      <c r="B297" s="1988" t="s">
        <v>6046</v>
      </c>
      <c r="C297" s="1985" t="s">
        <v>6464</v>
      </c>
      <c r="D297" s="1982"/>
    </row>
    <row r="298">
      <c r="A298" s="1985" t="s">
        <v>6465</v>
      </c>
      <c r="B298" s="1988" t="s">
        <v>6046</v>
      </c>
      <c r="C298" s="1985" t="s">
        <v>6466</v>
      </c>
      <c r="D298" s="1982"/>
    </row>
    <row r="299">
      <c r="A299" s="1984" t="s">
        <v>6400</v>
      </c>
      <c r="B299" s="1988" t="s">
        <v>6046</v>
      </c>
      <c r="C299" s="1985" t="s">
        <v>6401</v>
      </c>
      <c r="D299" s="1982"/>
    </row>
    <row r="300">
      <c r="A300" s="1984" t="s">
        <v>6467</v>
      </c>
      <c r="B300" s="1988" t="s">
        <v>6046</v>
      </c>
      <c r="C300" s="1985" t="s">
        <v>6468</v>
      </c>
      <c r="D300" s="1982"/>
    </row>
    <row r="301">
      <c r="A301" s="1985" t="s">
        <v>6469</v>
      </c>
      <c r="B301" s="1985" t="s">
        <v>5953</v>
      </c>
      <c r="C301" s="1985" t="s">
        <v>6470</v>
      </c>
      <c r="D301" s="1982"/>
    </row>
    <row r="302">
      <c r="A302" s="1984" t="s">
        <v>6471</v>
      </c>
      <c r="B302" s="1985" t="s">
        <v>6453</v>
      </c>
      <c r="C302" s="1985" t="s">
        <v>6472</v>
      </c>
      <c r="D302" s="1982"/>
    </row>
    <row r="303">
      <c r="A303" s="1984" t="s">
        <v>6473</v>
      </c>
      <c r="B303" s="1985" t="s">
        <v>5865</v>
      </c>
      <c r="C303" s="1985" t="s">
        <v>6474</v>
      </c>
      <c r="D303" s="1982"/>
    </row>
    <row r="304">
      <c r="A304" s="1995" t="s">
        <v>6475</v>
      </c>
      <c r="B304" s="1985" t="s">
        <v>5865</v>
      </c>
      <c r="C304" s="1995" t="s">
        <v>6476</v>
      </c>
      <c r="D304" s="1982"/>
    </row>
    <row r="305">
      <c r="A305" s="1995" t="s">
        <v>6477</v>
      </c>
      <c r="B305" s="1988" t="s">
        <v>6046</v>
      </c>
      <c r="C305" s="1995" t="s">
        <v>6478</v>
      </c>
      <c r="D305" s="1982"/>
    </row>
    <row r="306">
      <c r="A306" s="1995" t="s">
        <v>6479</v>
      </c>
      <c r="B306" s="1988" t="s">
        <v>6046</v>
      </c>
      <c r="C306" s="1995" t="s">
        <v>6480</v>
      </c>
      <c r="D306" s="1982"/>
    </row>
    <row r="307">
      <c r="A307" s="1995" t="s">
        <v>6481</v>
      </c>
      <c r="B307" s="1988" t="s">
        <v>6046</v>
      </c>
      <c r="C307" s="1995" t="s">
        <v>6482</v>
      </c>
      <c r="D307" s="1982"/>
    </row>
    <row r="308">
      <c r="A308" s="1995" t="s">
        <v>6483</v>
      </c>
      <c r="B308" s="1988" t="s">
        <v>6046</v>
      </c>
      <c r="C308" s="1995" t="s">
        <v>6484</v>
      </c>
      <c r="D308" s="1982"/>
    </row>
    <row r="309">
      <c r="A309" s="1995" t="s">
        <v>6485</v>
      </c>
      <c r="B309" s="1988" t="s">
        <v>6046</v>
      </c>
      <c r="C309" s="1995" t="s">
        <v>6486</v>
      </c>
      <c r="D309" s="1982"/>
    </row>
    <row r="310">
      <c r="A310" s="1995" t="s">
        <v>6487</v>
      </c>
      <c r="B310" s="1988" t="s">
        <v>6046</v>
      </c>
      <c r="C310" s="1995" t="s">
        <v>6488</v>
      </c>
      <c r="D310" s="1982"/>
    </row>
    <row r="311">
      <c r="A311" s="1995" t="s">
        <v>6489</v>
      </c>
      <c r="B311" s="1988" t="s">
        <v>6046</v>
      </c>
      <c r="C311" s="1995" t="s">
        <v>6490</v>
      </c>
      <c r="D311" s="1982"/>
    </row>
    <row r="312">
      <c r="A312" s="1995" t="s">
        <v>6491</v>
      </c>
      <c r="B312" s="1988" t="s">
        <v>6046</v>
      </c>
      <c r="C312" s="1995" t="s">
        <v>6492</v>
      </c>
      <c r="D312" s="1982"/>
    </row>
    <row r="313">
      <c r="A313" s="1995" t="s">
        <v>6493</v>
      </c>
      <c r="B313" s="1988" t="s">
        <v>6046</v>
      </c>
      <c r="C313" s="1995" t="s">
        <v>6494</v>
      </c>
      <c r="D313" s="1982"/>
    </row>
    <row r="314">
      <c r="A314" s="1995" t="s">
        <v>6495</v>
      </c>
      <c r="B314" s="1988" t="s">
        <v>6046</v>
      </c>
      <c r="C314" s="1995" t="s">
        <v>6496</v>
      </c>
      <c r="D314" s="1982"/>
    </row>
    <row r="315">
      <c r="A315" s="1995" t="s">
        <v>6497</v>
      </c>
      <c r="B315" s="1988" t="s">
        <v>6046</v>
      </c>
      <c r="C315" s="1995" t="s">
        <v>6498</v>
      </c>
      <c r="D315" s="1982"/>
    </row>
    <row r="316">
      <c r="A316" s="1995" t="s">
        <v>6499</v>
      </c>
      <c r="B316" s="1988" t="s">
        <v>6046</v>
      </c>
      <c r="C316" s="1995" t="s">
        <v>6500</v>
      </c>
      <c r="D316" s="1982"/>
    </row>
    <row r="317">
      <c r="A317" s="1995" t="s">
        <v>6501</v>
      </c>
      <c r="B317" s="1988" t="s">
        <v>6046</v>
      </c>
      <c r="C317" s="1995" t="s">
        <v>6502</v>
      </c>
      <c r="D317" s="1982"/>
    </row>
    <row r="318">
      <c r="A318" s="1995" t="s">
        <v>6503</v>
      </c>
      <c r="B318" s="1988" t="s">
        <v>6046</v>
      </c>
      <c r="C318" s="1995" t="s">
        <v>6504</v>
      </c>
      <c r="D318" s="1982"/>
    </row>
    <row r="319">
      <c r="A319" s="1995" t="s">
        <v>6505</v>
      </c>
      <c r="B319" s="1988" t="s">
        <v>6046</v>
      </c>
      <c r="C319" s="1995" t="s">
        <v>6506</v>
      </c>
      <c r="D319" s="1982"/>
    </row>
    <row r="320">
      <c r="A320" s="1995" t="s">
        <v>6507</v>
      </c>
      <c r="B320" s="1988" t="s">
        <v>6046</v>
      </c>
      <c r="C320" s="1995" t="s">
        <v>6508</v>
      </c>
      <c r="D320" s="1982"/>
    </row>
    <row r="321">
      <c r="A321" s="1995" t="s">
        <v>6509</v>
      </c>
      <c r="B321" s="1988" t="s">
        <v>6046</v>
      </c>
      <c r="C321" s="1995" t="s">
        <v>6510</v>
      </c>
      <c r="D321" s="1982"/>
    </row>
    <row r="322">
      <c r="A322" s="1995" t="s">
        <v>6511</v>
      </c>
      <c r="B322" s="1988" t="s">
        <v>6046</v>
      </c>
      <c r="C322" s="1995" t="s">
        <v>6512</v>
      </c>
      <c r="D322" s="1982"/>
    </row>
    <row r="323">
      <c r="A323" s="1995" t="s">
        <v>6513</v>
      </c>
      <c r="B323" s="1988" t="s">
        <v>6046</v>
      </c>
      <c r="C323" s="1995" t="s">
        <v>6514</v>
      </c>
      <c r="D323" s="1982"/>
    </row>
    <row r="324">
      <c r="A324" s="1995" t="s">
        <v>6515</v>
      </c>
      <c r="B324" s="1988" t="s">
        <v>6046</v>
      </c>
      <c r="C324" s="1995" t="s">
        <v>6516</v>
      </c>
      <c r="D324" s="1982"/>
    </row>
    <row r="325">
      <c r="A325" s="1995" t="s">
        <v>6517</v>
      </c>
      <c r="B325" s="1988" t="s">
        <v>6046</v>
      </c>
      <c r="C325" s="1995" t="s">
        <v>6518</v>
      </c>
      <c r="D325" s="1982"/>
    </row>
    <row r="326">
      <c r="A326" s="1995" t="s">
        <v>6519</v>
      </c>
      <c r="B326" s="1988" t="s">
        <v>6046</v>
      </c>
      <c r="C326" s="1995" t="s">
        <v>6520</v>
      </c>
      <c r="D326" s="1982"/>
    </row>
    <row r="327">
      <c r="A327" s="1995" t="s">
        <v>6521</v>
      </c>
      <c r="B327" s="1988" t="s">
        <v>6046</v>
      </c>
      <c r="C327" s="1995" t="s">
        <v>6522</v>
      </c>
      <c r="D327" s="1982"/>
    </row>
    <row r="328">
      <c r="A328" s="1995" t="s">
        <v>6523</v>
      </c>
      <c r="B328" s="1988" t="s">
        <v>6046</v>
      </c>
      <c r="C328" s="1995" t="s">
        <v>6524</v>
      </c>
      <c r="D328" s="1982"/>
    </row>
    <row r="329">
      <c r="A329" s="1995" t="s">
        <v>6525</v>
      </c>
      <c r="B329" s="1988" t="s">
        <v>6046</v>
      </c>
      <c r="C329" s="1995" t="s">
        <v>6526</v>
      </c>
      <c r="D329" s="1982"/>
    </row>
    <row r="330">
      <c r="A330" s="1995" t="s">
        <v>6527</v>
      </c>
      <c r="B330" s="1988" t="s">
        <v>6046</v>
      </c>
      <c r="C330" s="1995" t="s">
        <v>6528</v>
      </c>
      <c r="D330" s="1982"/>
    </row>
    <row r="331">
      <c r="A331" s="1995" t="s">
        <v>6529</v>
      </c>
      <c r="B331" s="1988" t="s">
        <v>6046</v>
      </c>
      <c r="C331" s="1995" t="s">
        <v>6530</v>
      </c>
      <c r="D331" s="1982"/>
    </row>
    <row r="332">
      <c r="A332" s="1995" t="s">
        <v>6531</v>
      </c>
      <c r="B332" s="1988" t="s">
        <v>6046</v>
      </c>
      <c r="C332" s="1995" t="s">
        <v>6532</v>
      </c>
      <c r="D332" s="1982"/>
    </row>
    <row r="333">
      <c r="A333" s="1995" t="s">
        <v>6533</v>
      </c>
      <c r="B333" s="1988" t="s">
        <v>6046</v>
      </c>
      <c r="C333" s="1995" t="s">
        <v>6534</v>
      </c>
      <c r="D333" s="1982"/>
    </row>
    <row r="334">
      <c r="A334" s="1995" t="s">
        <v>6535</v>
      </c>
      <c r="B334" s="1988" t="s">
        <v>6046</v>
      </c>
      <c r="C334" s="1995" t="s">
        <v>6536</v>
      </c>
      <c r="D334" s="1982"/>
    </row>
    <row r="335">
      <c r="A335" s="1995" t="s">
        <v>6537</v>
      </c>
      <c r="B335" s="1988" t="s">
        <v>6046</v>
      </c>
      <c r="C335" s="1995" t="s">
        <v>6538</v>
      </c>
      <c r="D335" s="1982"/>
    </row>
    <row r="336">
      <c r="A336" s="1995" t="s">
        <v>6539</v>
      </c>
      <c r="B336" s="1988" t="s">
        <v>6046</v>
      </c>
      <c r="C336" s="1995" t="s">
        <v>6540</v>
      </c>
      <c r="D336" s="1982"/>
    </row>
    <row r="337">
      <c r="A337" s="1995" t="s">
        <v>6541</v>
      </c>
      <c r="B337" s="1988" t="s">
        <v>6046</v>
      </c>
      <c r="C337" s="1995" t="s">
        <v>6542</v>
      </c>
      <c r="D337" s="1982"/>
    </row>
    <row r="338">
      <c r="A338" s="1995" t="s">
        <v>6543</v>
      </c>
      <c r="B338" s="1988" t="s">
        <v>6046</v>
      </c>
      <c r="C338" s="1995" t="s">
        <v>6544</v>
      </c>
      <c r="D338" s="1982"/>
    </row>
    <row r="339">
      <c r="A339" s="1995" t="s">
        <v>6545</v>
      </c>
      <c r="B339" s="1988" t="s">
        <v>6046</v>
      </c>
      <c r="C339" s="1995" t="s">
        <v>6546</v>
      </c>
      <c r="D339" s="1982"/>
    </row>
    <row r="340">
      <c r="A340" s="1995" t="s">
        <v>6547</v>
      </c>
      <c r="B340" s="1988" t="s">
        <v>6046</v>
      </c>
      <c r="C340" s="1995" t="s">
        <v>6548</v>
      </c>
      <c r="D340" s="1982"/>
    </row>
    <row r="341">
      <c r="A341" s="1995" t="s">
        <v>6549</v>
      </c>
      <c r="B341" s="1988" t="s">
        <v>6046</v>
      </c>
      <c r="C341" s="1995" t="s">
        <v>6550</v>
      </c>
      <c r="D341" s="1982"/>
    </row>
    <row r="342">
      <c r="A342" s="1995" t="s">
        <v>6551</v>
      </c>
      <c r="B342" s="1988" t="s">
        <v>6046</v>
      </c>
      <c r="C342" s="1995" t="s">
        <v>6552</v>
      </c>
      <c r="D342" s="1982"/>
    </row>
    <row r="343">
      <c r="A343" s="1995" t="s">
        <v>6553</v>
      </c>
      <c r="B343" s="1988" t="s">
        <v>6046</v>
      </c>
      <c r="C343" s="1995" t="s">
        <v>6554</v>
      </c>
      <c r="D343" s="1982"/>
    </row>
    <row r="344">
      <c r="A344" s="1995" t="s">
        <v>6555</v>
      </c>
      <c r="B344" s="1988" t="s">
        <v>6046</v>
      </c>
      <c r="C344" s="1995" t="s">
        <v>6556</v>
      </c>
      <c r="D344" s="1982"/>
    </row>
    <row r="345">
      <c r="A345" s="1995" t="s">
        <v>6557</v>
      </c>
      <c r="B345" s="1988" t="s">
        <v>6046</v>
      </c>
      <c r="C345" s="1995" t="s">
        <v>6558</v>
      </c>
      <c r="D345" s="1982"/>
    </row>
    <row r="346">
      <c r="A346" s="1995" t="s">
        <v>6559</v>
      </c>
      <c r="B346" s="1988" t="s">
        <v>6046</v>
      </c>
      <c r="C346" s="1995" t="s">
        <v>6560</v>
      </c>
      <c r="D346" s="1982"/>
    </row>
    <row r="347">
      <c r="A347" s="1995" t="s">
        <v>6561</v>
      </c>
      <c r="B347" s="1988" t="s">
        <v>6046</v>
      </c>
      <c r="C347" s="1995" t="s">
        <v>6562</v>
      </c>
      <c r="D347" s="1982"/>
    </row>
    <row r="348">
      <c r="A348" s="1995" t="s">
        <v>6563</v>
      </c>
      <c r="B348" s="1988" t="s">
        <v>6046</v>
      </c>
      <c r="C348" s="1995" t="s">
        <v>6564</v>
      </c>
      <c r="D348" s="1982"/>
    </row>
    <row r="349">
      <c r="A349" s="1995" t="s">
        <v>6565</v>
      </c>
      <c r="B349" s="1988" t="s">
        <v>6046</v>
      </c>
      <c r="C349" s="1995" t="s">
        <v>6566</v>
      </c>
      <c r="D349" s="1982"/>
    </row>
    <row r="350">
      <c r="A350" s="1995" t="s">
        <v>6567</v>
      </c>
      <c r="B350" s="1988" t="s">
        <v>6046</v>
      </c>
      <c r="C350" s="1995" t="s">
        <v>6568</v>
      </c>
      <c r="D350" s="1982"/>
    </row>
    <row r="351">
      <c r="A351" s="1995" t="s">
        <v>6569</v>
      </c>
      <c r="B351" s="1988" t="s">
        <v>6046</v>
      </c>
      <c r="C351" s="1995" t="s">
        <v>6570</v>
      </c>
      <c r="D351" s="1982"/>
    </row>
    <row r="352">
      <c r="A352" s="1995" t="s">
        <v>6571</v>
      </c>
      <c r="B352" s="1988" t="s">
        <v>6046</v>
      </c>
      <c r="C352" s="1995" t="s">
        <v>6572</v>
      </c>
      <c r="D352" s="1982"/>
    </row>
    <row r="353">
      <c r="A353" s="1995" t="s">
        <v>6573</v>
      </c>
      <c r="B353" s="1988" t="s">
        <v>6046</v>
      </c>
      <c r="C353" s="1995" t="s">
        <v>6574</v>
      </c>
      <c r="D353" s="1982"/>
    </row>
    <row r="354">
      <c r="A354" s="1995" t="s">
        <v>6575</v>
      </c>
      <c r="B354" s="1988" t="s">
        <v>6046</v>
      </c>
      <c r="C354" s="1995" t="s">
        <v>6576</v>
      </c>
      <c r="D354" s="1982"/>
    </row>
    <row r="355">
      <c r="A355" s="1995" t="s">
        <v>6577</v>
      </c>
      <c r="B355" s="1988" t="s">
        <v>6046</v>
      </c>
      <c r="C355" s="1995" t="s">
        <v>6578</v>
      </c>
      <c r="D355" s="1982"/>
    </row>
    <row r="356">
      <c r="A356" s="1995" t="s">
        <v>6579</v>
      </c>
      <c r="B356" s="1988" t="s">
        <v>6046</v>
      </c>
      <c r="C356" s="1995" t="s">
        <v>6580</v>
      </c>
      <c r="D356" s="1982"/>
    </row>
    <row r="357">
      <c r="A357" s="1995" t="s">
        <v>6581</v>
      </c>
      <c r="B357" s="1988" t="s">
        <v>6046</v>
      </c>
      <c r="C357" s="1995" t="s">
        <v>6582</v>
      </c>
      <c r="D357" s="1982"/>
    </row>
    <row r="358">
      <c r="A358" s="1995" t="s">
        <v>6583</v>
      </c>
      <c r="B358" s="1988" t="s">
        <v>6046</v>
      </c>
      <c r="C358" s="1995" t="s">
        <v>6584</v>
      </c>
      <c r="D358" s="1982"/>
    </row>
    <row r="359">
      <c r="A359" s="1995" t="s">
        <v>6585</v>
      </c>
      <c r="B359" s="1988" t="s">
        <v>6046</v>
      </c>
      <c r="C359" s="1995" t="s">
        <v>6586</v>
      </c>
      <c r="D359" s="1982"/>
    </row>
    <row r="360">
      <c r="A360" s="1995" t="s">
        <v>6587</v>
      </c>
      <c r="B360" s="1988" t="s">
        <v>6046</v>
      </c>
      <c r="C360" s="1995" t="s">
        <v>6588</v>
      </c>
      <c r="D360" s="1982"/>
    </row>
    <row r="361">
      <c r="A361" s="1995" t="s">
        <v>6589</v>
      </c>
      <c r="B361" s="1988" t="s">
        <v>6046</v>
      </c>
      <c r="C361" s="1995" t="s">
        <v>6590</v>
      </c>
      <c r="D361" s="1982"/>
    </row>
    <row r="362">
      <c r="A362" s="1995" t="s">
        <v>6591</v>
      </c>
      <c r="B362" s="1988" t="s">
        <v>6046</v>
      </c>
      <c r="C362" s="1995" t="s">
        <v>6592</v>
      </c>
      <c r="D362" s="1982"/>
    </row>
    <row r="363">
      <c r="A363" s="1995" t="s">
        <v>6593</v>
      </c>
      <c r="B363" s="1988" t="s">
        <v>6046</v>
      </c>
      <c r="C363" s="1995" t="s">
        <v>6594</v>
      </c>
      <c r="D363" s="1982"/>
    </row>
    <row r="364">
      <c r="A364" s="1995" t="s">
        <v>6595</v>
      </c>
      <c r="B364" s="1988" t="s">
        <v>6046</v>
      </c>
      <c r="C364" s="1995" t="s">
        <v>6596</v>
      </c>
      <c r="D364" s="1982"/>
    </row>
    <row r="365">
      <c r="A365" s="1995" t="s">
        <v>6597</v>
      </c>
      <c r="B365" s="1988" t="s">
        <v>6046</v>
      </c>
      <c r="C365" s="1995" t="s">
        <v>6598</v>
      </c>
      <c r="D365" s="1982"/>
    </row>
    <row r="366">
      <c r="A366" s="1995" t="s">
        <v>6599</v>
      </c>
      <c r="B366" s="1988" t="s">
        <v>6046</v>
      </c>
      <c r="C366" s="1995" t="s">
        <v>6600</v>
      </c>
      <c r="D366" s="1982"/>
    </row>
    <row r="367">
      <c r="A367" s="1995" t="s">
        <v>6601</v>
      </c>
      <c r="B367" s="1988" t="s">
        <v>6046</v>
      </c>
      <c r="C367" s="1995" t="s">
        <v>6602</v>
      </c>
      <c r="D367" s="1982"/>
    </row>
    <row r="368">
      <c r="A368" s="1995" t="s">
        <v>6603</v>
      </c>
      <c r="B368" s="1988" t="s">
        <v>6046</v>
      </c>
      <c r="C368" s="1995" t="s">
        <v>6604</v>
      </c>
      <c r="D368" s="1982"/>
    </row>
    <row r="369">
      <c r="A369" s="1995" t="s">
        <v>6605</v>
      </c>
      <c r="B369" s="1988" t="s">
        <v>6046</v>
      </c>
      <c r="C369" s="1995" t="s">
        <v>6606</v>
      </c>
      <c r="D369" s="1982"/>
    </row>
    <row r="370">
      <c r="A370" s="1995" t="s">
        <v>6607</v>
      </c>
      <c r="B370" s="1988" t="s">
        <v>6046</v>
      </c>
      <c r="C370" s="1995" t="s">
        <v>6608</v>
      </c>
      <c r="D370" s="1982"/>
    </row>
    <row r="371">
      <c r="A371" s="1995" t="s">
        <v>6609</v>
      </c>
      <c r="B371" s="1988" t="s">
        <v>6046</v>
      </c>
      <c r="C371" s="1995" t="s">
        <v>6610</v>
      </c>
      <c r="D371" s="1982"/>
    </row>
    <row r="372">
      <c r="A372" s="1995" t="s">
        <v>6611</v>
      </c>
      <c r="B372" s="1988" t="s">
        <v>6046</v>
      </c>
      <c r="C372" s="1995" t="s">
        <v>6612</v>
      </c>
      <c r="D372" s="1982"/>
    </row>
    <row r="373">
      <c r="A373" s="1995" t="s">
        <v>6613</v>
      </c>
      <c r="B373" s="1988" t="s">
        <v>6046</v>
      </c>
      <c r="C373" s="1995" t="s">
        <v>6614</v>
      </c>
      <c r="D373" s="1982"/>
    </row>
    <row r="374">
      <c r="A374" s="1995" t="s">
        <v>6615</v>
      </c>
      <c r="B374" s="1988" t="s">
        <v>6046</v>
      </c>
      <c r="C374" s="1995" t="s">
        <v>6616</v>
      </c>
      <c r="D374" s="1982"/>
    </row>
    <row r="375">
      <c r="A375" s="1995" t="s">
        <v>6617</v>
      </c>
      <c r="B375" s="1988" t="s">
        <v>6046</v>
      </c>
      <c r="C375" s="1995" t="s">
        <v>6618</v>
      </c>
      <c r="D375" s="1982"/>
    </row>
    <row r="376">
      <c r="A376" s="1995" t="s">
        <v>6619</v>
      </c>
      <c r="B376" s="1988" t="s">
        <v>6046</v>
      </c>
      <c r="C376" s="1995" t="s">
        <v>6620</v>
      </c>
      <c r="D376" s="1982"/>
    </row>
    <row r="377">
      <c r="A377" s="1995" t="s">
        <v>6621</v>
      </c>
      <c r="B377" s="1988" t="s">
        <v>6046</v>
      </c>
      <c r="C377" s="1995" t="s">
        <v>6622</v>
      </c>
      <c r="D377" s="1982"/>
    </row>
    <row r="378">
      <c r="A378" s="1995" t="s">
        <v>6623</v>
      </c>
      <c r="B378" s="1988" t="s">
        <v>6046</v>
      </c>
      <c r="C378" s="1995" t="s">
        <v>6624</v>
      </c>
      <c r="D378" s="1982"/>
    </row>
    <row r="379">
      <c r="A379" s="1995" t="s">
        <v>6625</v>
      </c>
      <c r="B379" s="1988" t="s">
        <v>6046</v>
      </c>
      <c r="C379" s="1995" t="s">
        <v>6626</v>
      </c>
      <c r="D379" s="1982"/>
    </row>
    <row r="380">
      <c r="A380" s="1995" t="s">
        <v>6627</v>
      </c>
      <c r="B380" s="1988" t="s">
        <v>6046</v>
      </c>
      <c r="C380" s="1995" t="s">
        <v>6628</v>
      </c>
      <c r="D380" s="1982"/>
    </row>
    <row r="381">
      <c r="A381" s="1995" t="s">
        <v>6629</v>
      </c>
      <c r="B381" s="1988" t="s">
        <v>6046</v>
      </c>
      <c r="C381" s="1995" t="s">
        <v>6630</v>
      </c>
      <c r="D381" s="1982"/>
    </row>
    <row r="382">
      <c r="A382" s="1995" t="s">
        <v>6631</v>
      </c>
      <c r="B382" s="1988" t="s">
        <v>6046</v>
      </c>
      <c r="C382" s="1995" t="s">
        <v>6632</v>
      </c>
      <c r="D382" s="1982"/>
    </row>
    <row r="383">
      <c r="A383" s="1995" t="s">
        <v>6633</v>
      </c>
      <c r="B383" s="1988" t="s">
        <v>6046</v>
      </c>
      <c r="C383" s="1995" t="s">
        <v>6634</v>
      </c>
      <c r="D383" s="1982"/>
    </row>
    <row r="384">
      <c r="A384" s="1995" t="s">
        <v>6635</v>
      </c>
      <c r="B384" s="1988" t="s">
        <v>6046</v>
      </c>
      <c r="C384" s="1995" t="s">
        <v>6636</v>
      </c>
      <c r="D384" s="1982"/>
    </row>
    <row r="385">
      <c r="A385" s="1995" t="s">
        <v>6637</v>
      </c>
      <c r="B385" s="1988" t="s">
        <v>6046</v>
      </c>
      <c r="C385" s="1995" t="s">
        <v>6638</v>
      </c>
      <c r="D385" s="1982"/>
    </row>
    <row r="386">
      <c r="A386" s="1995" t="s">
        <v>6639</v>
      </c>
      <c r="B386" s="1988" t="s">
        <v>6046</v>
      </c>
      <c r="C386" s="1995" t="s">
        <v>6640</v>
      </c>
      <c r="D386" s="1982"/>
    </row>
    <row r="387">
      <c r="A387" s="1985" t="s">
        <v>6641</v>
      </c>
      <c r="B387" s="1985" t="s">
        <v>5871</v>
      </c>
      <c r="C387" s="1985" t="s">
        <v>6642</v>
      </c>
      <c r="D387" s="1982"/>
    </row>
    <row r="388">
      <c r="A388" s="1985" t="s">
        <v>6643</v>
      </c>
      <c r="B388" s="1985" t="s">
        <v>5865</v>
      </c>
      <c r="C388" s="1985" t="s">
        <v>6644</v>
      </c>
      <c r="D388" s="1982"/>
    </row>
    <row r="389">
      <c r="A389" s="1985" t="s">
        <v>6645</v>
      </c>
      <c r="B389" s="1985" t="s">
        <v>5871</v>
      </c>
      <c r="C389" s="1985" t="s">
        <v>6646</v>
      </c>
      <c r="D389" s="1982"/>
    </row>
    <row r="390">
      <c r="A390" s="1985" t="s">
        <v>6647</v>
      </c>
      <c r="B390" s="1985" t="s">
        <v>5865</v>
      </c>
      <c r="C390" s="1985" t="s">
        <v>6648</v>
      </c>
      <c r="D390" s="1982"/>
    </row>
    <row r="391">
      <c r="A391" s="1985" t="s">
        <v>6649</v>
      </c>
      <c r="B391" s="1985" t="s">
        <v>5871</v>
      </c>
      <c r="C391" s="1985" t="s">
        <v>6650</v>
      </c>
      <c r="D391" s="1982"/>
    </row>
    <row r="392">
      <c r="A392" s="1985" t="s">
        <v>6651</v>
      </c>
      <c r="B392" s="1985" t="s">
        <v>6453</v>
      </c>
      <c r="C392" s="1985" t="s">
        <v>6652</v>
      </c>
      <c r="D392" s="1982"/>
    </row>
    <row r="393">
      <c r="A393" s="1985" t="s">
        <v>6653</v>
      </c>
      <c r="B393" s="1988" t="s">
        <v>5891</v>
      </c>
      <c r="C393" s="1985" t="s">
        <v>6654</v>
      </c>
      <c r="D393" s="1982"/>
    </row>
    <row r="394">
      <c r="A394" s="1985" t="s">
        <v>6655</v>
      </c>
      <c r="B394" s="1988" t="s">
        <v>5891</v>
      </c>
      <c r="C394" s="1985" t="s">
        <v>6656</v>
      </c>
      <c r="D394" s="1982"/>
    </row>
    <row r="395">
      <c r="A395" s="1985" t="s">
        <v>6657</v>
      </c>
      <c r="B395" s="1988" t="s">
        <v>5891</v>
      </c>
      <c r="C395" s="1985" t="s">
        <v>6658</v>
      </c>
      <c r="D395" s="1982"/>
    </row>
    <row r="396">
      <c r="A396" s="1985" t="s">
        <v>6659</v>
      </c>
      <c r="B396" s="1985" t="s">
        <v>5871</v>
      </c>
      <c r="C396" s="1985" t="s">
        <v>6660</v>
      </c>
      <c r="D396" s="1982"/>
    </row>
    <row r="397">
      <c r="A397" s="1984" t="s">
        <v>6661</v>
      </c>
      <c r="B397" s="1985" t="s">
        <v>5871</v>
      </c>
      <c r="C397" s="1985" t="s">
        <v>6662</v>
      </c>
      <c r="D397" s="1982"/>
    </row>
    <row r="398">
      <c r="A398" s="1985" t="s">
        <v>6663</v>
      </c>
      <c r="B398" s="1985" t="s">
        <v>5871</v>
      </c>
      <c r="C398" s="1985" t="s">
        <v>6664</v>
      </c>
      <c r="D398" s="1982"/>
    </row>
    <row r="399">
      <c r="A399" s="1996" t="s">
        <v>6665</v>
      </c>
      <c r="B399" s="1985" t="s">
        <v>5871</v>
      </c>
      <c r="C399" s="1985" t="s">
        <v>6666</v>
      </c>
      <c r="D399" s="1982"/>
    </row>
    <row r="400">
      <c r="A400" s="1996" t="s">
        <v>6667</v>
      </c>
      <c r="B400" s="1985" t="s">
        <v>5871</v>
      </c>
      <c r="C400" s="1985" t="s">
        <v>6668</v>
      </c>
      <c r="D400" s="1982"/>
    </row>
    <row r="401">
      <c r="A401" s="1983" t="s">
        <v>6669</v>
      </c>
      <c r="B401" s="1985" t="s">
        <v>5871</v>
      </c>
      <c r="C401" s="1997" t="s">
        <v>6670</v>
      </c>
      <c r="D401" s="1982"/>
    </row>
    <row r="402">
      <c r="A402" s="1983" t="s">
        <v>6671</v>
      </c>
      <c r="B402" s="1985" t="s">
        <v>5871</v>
      </c>
      <c r="C402" s="1997" t="s">
        <v>6672</v>
      </c>
      <c r="D402" s="1982"/>
    </row>
    <row r="403">
      <c r="A403" s="1998" t="s">
        <v>6673</v>
      </c>
      <c r="B403" s="1985" t="s">
        <v>5871</v>
      </c>
      <c r="C403" s="1985" t="s">
        <v>6674</v>
      </c>
      <c r="D403" s="1982"/>
    </row>
    <row r="404">
      <c r="A404" s="1999" t="s">
        <v>6675</v>
      </c>
      <c r="B404" s="1985" t="s">
        <v>5865</v>
      </c>
      <c r="C404" s="1985" t="s">
        <v>6676</v>
      </c>
      <c r="D404" s="1982"/>
    </row>
    <row r="405">
      <c r="A405" s="1985" t="s">
        <v>6677</v>
      </c>
      <c r="B405" s="1985" t="s">
        <v>5865</v>
      </c>
      <c r="C405" s="1985" t="s">
        <v>6678</v>
      </c>
      <c r="D405" s="1982"/>
    </row>
    <row r="406">
      <c r="A406" s="1985" t="s">
        <v>6679</v>
      </c>
      <c r="B406" s="1985" t="s">
        <v>5865</v>
      </c>
      <c r="C406" s="1985" t="s">
        <v>6680</v>
      </c>
      <c r="D406" s="1982"/>
    </row>
    <row r="407">
      <c r="A407" s="2000" t="s">
        <v>6681</v>
      </c>
      <c r="B407" s="1985" t="s">
        <v>5871</v>
      </c>
      <c r="C407" s="1985" t="s">
        <v>6682</v>
      </c>
      <c r="D407" s="1982"/>
    </row>
    <row r="408">
      <c r="A408" s="1985" t="s">
        <v>6683</v>
      </c>
      <c r="B408" s="1985" t="s">
        <v>5871</v>
      </c>
      <c r="C408" s="1985" t="s">
        <v>6684</v>
      </c>
      <c r="D408" s="1982"/>
    </row>
    <row r="409">
      <c r="A409" s="1985" t="s">
        <v>6685</v>
      </c>
      <c r="B409" s="1985" t="s">
        <v>5886</v>
      </c>
      <c r="C409" s="1985" t="s">
        <v>6686</v>
      </c>
      <c r="D409" s="1982"/>
    </row>
    <row r="410">
      <c r="A410" s="1985" t="s">
        <v>6687</v>
      </c>
      <c r="B410" s="1985" t="s">
        <v>5871</v>
      </c>
      <c r="C410" s="1985" t="s">
        <v>6688</v>
      </c>
      <c r="D410" s="1982"/>
    </row>
    <row r="411">
      <c r="A411" s="1985" t="s">
        <v>6689</v>
      </c>
      <c r="B411" s="1985" t="s">
        <v>5871</v>
      </c>
      <c r="C411" s="1985" t="s">
        <v>6690</v>
      </c>
      <c r="D411" s="1982"/>
    </row>
    <row r="412">
      <c r="A412" s="1984" t="s">
        <v>6691</v>
      </c>
      <c r="B412" s="2001" t="s">
        <v>5868</v>
      </c>
      <c r="C412" s="2001" t="s">
        <v>6692</v>
      </c>
      <c r="D412" s="1982"/>
    </row>
    <row r="413">
      <c r="A413" s="1984" t="s">
        <v>6693</v>
      </c>
      <c r="B413" s="2002" t="s">
        <v>6046</v>
      </c>
      <c r="C413" s="2001" t="s">
        <v>6694</v>
      </c>
      <c r="D413" s="1982"/>
    </row>
    <row r="414">
      <c r="A414" s="1984" t="s">
        <v>6695</v>
      </c>
      <c r="B414" s="2002" t="s">
        <v>6046</v>
      </c>
      <c r="C414" s="2001" t="s">
        <v>6696</v>
      </c>
      <c r="D414" s="1982"/>
    </row>
    <row r="415">
      <c r="A415" s="1984" t="s">
        <v>6697</v>
      </c>
      <c r="B415" s="2002" t="s">
        <v>6046</v>
      </c>
      <c r="C415" s="2001" t="s">
        <v>6698</v>
      </c>
      <c r="D415" s="1982"/>
    </row>
    <row r="416">
      <c r="A416" s="1984" t="s">
        <v>6699</v>
      </c>
      <c r="B416" s="2001" t="s">
        <v>5868</v>
      </c>
      <c r="C416" s="2001" t="s">
        <v>6700</v>
      </c>
      <c r="D416" s="1982"/>
    </row>
    <row r="417">
      <c r="A417" s="1984" t="s">
        <v>6701</v>
      </c>
      <c r="B417" s="2001" t="s">
        <v>5868</v>
      </c>
      <c r="C417" s="2001" t="s">
        <v>6702</v>
      </c>
      <c r="D417" s="1982"/>
    </row>
    <row r="418">
      <c r="A418" s="1984" t="s">
        <v>6703</v>
      </c>
      <c r="B418" s="2002" t="s">
        <v>6046</v>
      </c>
      <c r="C418" s="2001" t="s">
        <v>6704</v>
      </c>
      <c r="D418" s="1982"/>
    </row>
    <row r="419">
      <c r="A419" s="1984" t="s">
        <v>6705</v>
      </c>
      <c r="B419" s="2002" t="s">
        <v>6046</v>
      </c>
      <c r="C419" s="2001" t="s">
        <v>6706</v>
      </c>
      <c r="D419" s="1982"/>
    </row>
    <row r="420">
      <c r="A420" s="1984" t="s">
        <v>6707</v>
      </c>
      <c r="B420" s="2002" t="s">
        <v>6046</v>
      </c>
      <c r="C420" s="2001" t="s">
        <v>6708</v>
      </c>
      <c r="D420" s="1982"/>
    </row>
    <row r="421">
      <c r="A421" s="1984" t="s">
        <v>6709</v>
      </c>
      <c r="B421" s="2002" t="s">
        <v>6046</v>
      </c>
      <c r="C421" s="2001" t="s">
        <v>6710</v>
      </c>
      <c r="D421" s="1982"/>
    </row>
    <row r="422">
      <c r="A422" s="1984"/>
      <c r="B422" s="1984"/>
      <c r="C422" s="2003"/>
      <c r="D422" s="1982"/>
    </row>
    <row r="423">
      <c r="A423" s="1984"/>
      <c r="B423" s="1984"/>
      <c r="C423" s="2003"/>
      <c r="D423" s="1982"/>
    </row>
    <row r="424">
      <c r="A424" s="1984"/>
      <c r="B424" s="1984"/>
      <c r="C424" s="2003"/>
      <c r="D424" s="1982"/>
    </row>
    <row r="425">
      <c r="A425" s="1984"/>
      <c r="B425" s="1984"/>
      <c r="C425" s="2003"/>
      <c r="D425" s="1982"/>
    </row>
    <row r="426">
      <c r="A426" s="1984"/>
      <c r="B426" s="1984"/>
      <c r="C426" s="1984"/>
      <c r="D426" s="1982"/>
    </row>
    <row r="427">
      <c r="A427" s="1984"/>
      <c r="B427" s="1984"/>
      <c r="C427" s="1984"/>
      <c r="D427" s="1982"/>
    </row>
    <row r="428">
      <c r="A428" s="1984"/>
      <c r="B428" s="1984"/>
      <c r="C428" s="1984"/>
      <c r="D428" s="1982"/>
    </row>
    <row r="429">
      <c r="A429" s="1984"/>
      <c r="B429" s="1984"/>
      <c r="C429" s="1984"/>
      <c r="D429" s="1982"/>
    </row>
    <row r="430">
      <c r="A430" s="1984"/>
      <c r="B430" s="1984"/>
      <c r="C430" s="1984"/>
      <c r="D430" s="1982"/>
    </row>
    <row r="431">
      <c r="A431" s="1984"/>
      <c r="B431" s="1984"/>
      <c r="C431" s="1984"/>
      <c r="D431" s="1982"/>
    </row>
    <row r="432">
      <c r="A432" s="1984"/>
      <c r="B432" s="1984"/>
      <c r="C432" s="1984"/>
      <c r="D432" s="1982"/>
    </row>
    <row r="433">
      <c r="A433" s="1984"/>
      <c r="B433" s="1984"/>
      <c r="C433" s="1984"/>
      <c r="D433" s="1982"/>
    </row>
    <row r="434">
      <c r="A434" s="1984"/>
      <c r="B434" s="1984"/>
      <c r="C434" s="1984"/>
      <c r="D434" s="1982"/>
    </row>
    <row r="435">
      <c r="A435" s="1984"/>
      <c r="B435" s="1984"/>
      <c r="C435" s="1984"/>
      <c r="D435" s="1982"/>
    </row>
    <row r="436">
      <c r="A436" s="1984"/>
      <c r="B436" s="1984"/>
      <c r="C436" s="1984"/>
      <c r="D436" s="1982"/>
    </row>
    <row r="437">
      <c r="A437" s="1984"/>
      <c r="B437" s="1984"/>
      <c r="C437" s="1984"/>
      <c r="D437" s="1982"/>
    </row>
    <row r="438">
      <c r="A438" s="1984"/>
      <c r="B438" s="1984"/>
      <c r="C438" s="1984"/>
      <c r="D438" s="1982"/>
    </row>
    <row r="439">
      <c r="A439" s="1984"/>
      <c r="B439" s="1984"/>
      <c r="C439" s="1984"/>
      <c r="D439" s="1982"/>
    </row>
    <row r="440">
      <c r="A440" s="1984"/>
      <c r="B440" s="1984"/>
      <c r="C440" s="1984"/>
      <c r="D440" s="1982"/>
    </row>
    <row r="441">
      <c r="A441" s="1984"/>
      <c r="B441" s="1984"/>
      <c r="C441" s="1984"/>
      <c r="D441" s="1982"/>
    </row>
    <row r="442">
      <c r="A442" s="1984"/>
      <c r="B442" s="1984"/>
      <c r="C442" s="1984"/>
      <c r="D442" s="1982"/>
    </row>
    <row r="443">
      <c r="A443" s="1984"/>
      <c r="B443" s="1984"/>
      <c r="C443" s="1984"/>
      <c r="D443" s="1982"/>
    </row>
    <row r="444">
      <c r="A444" s="1984"/>
      <c r="B444" s="1984"/>
      <c r="C444" s="1984"/>
      <c r="D444" s="1982"/>
    </row>
    <row r="445">
      <c r="A445" s="1984"/>
      <c r="B445" s="1984"/>
      <c r="C445" s="1984"/>
      <c r="D445" s="1982"/>
    </row>
    <row r="446">
      <c r="A446" s="1984"/>
      <c r="B446" s="1984"/>
      <c r="C446" s="1984"/>
      <c r="D446" s="1982"/>
    </row>
    <row r="447">
      <c r="A447" s="1984"/>
      <c r="B447" s="1984"/>
      <c r="C447" s="1984"/>
      <c r="D447" s="1982"/>
    </row>
    <row r="448">
      <c r="A448" s="1984"/>
      <c r="B448" s="1984"/>
      <c r="C448" s="1984"/>
      <c r="D448" s="1982"/>
    </row>
    <row r="449">
      <c r="A449" s="1984"/>
      <c r="B449" s="1984"/>
      <c r="C449" s="1984"/>
      <c r="D449" s="1982"/>
    </row>
    <row r="450">
      <c r="A450" s="1984"/>
      <c r="B450" s="1984"/>
      <c r="C450" s="1984"/>
      <c r="D450" s="1982"/>
    </row>
    <row r="451">
      <c r="A451" s="1984"/>
      <c r="B451" s="1984"/>
      <c r="C451" s="1984"/>
      <c r="D451" s="1982"/>
    </row>
    <row r="452">
      <c r="A452" s="1984"/>
      <c r="B452" s="1984"/>
      <c r="C452" s="1984"/>
      <c r="D452" s="1982"/>
    </row>
    <row r="453">
      <c r="A453" s="1984"/>
      <c r="B453" s="1984"/>
      <c r="C453" s="1984"/>
      <c r="D453" s="1982"/>
    </row>
    <row r="454">
      <c r="A454" s="1984"/>
      <c r="B454" s="1984"/>
      <c r="C454" s="1984"/>
      <c r="D454" s="1982"/>
    </row>
    <row r="455">
      <c r="A455" s="1984"/>
      <c r="B455" s="1984"/>
      <c r="C455" s="1984"/>
      <c r="D455" s="1982"/>
    </row>
    <row r="456">
      <c r="A456" s="1984"/>
      <c r="B456" s="1984"/>
      <c r="C456" s="1984"/>
      <c r="D456" s="1982"/>
    </row>
    <row r="457">
      <c r="A457" s="1984"/>
      <c r="B457" s="1984"/>
      <c r="C457" s="1984"/>
      <c r="D457" s="1982"/>
    </row>
    <row r="458">
      <c r="A458" s="1984"/>
      <c r="B458" s="1984"/>
      <c r="C458" s="1984"/>
      <c r="D458" s="1982"/>
    </row>
    <row r="459">
      <c r="A459" s="1984"/>
      <c r="B459" s="1984"/>
      <c r="C459" s="1984"/>
      <c r="D459" s="1982"/>
    </row>
    <row r="460">
      <c r="A460" s="1984"/>
      <c r="B460" s="1984"/>
      <c r="C460" s="1984"/>
      <c r="D460" s="1982"/>
    </row>
    <row r="461">
      <c r="A461" s="1984"/>
      <c r="B461" s="1984"/>
      <c r="C461" s="1984"/>
      <c r="D461" s="1982"/>
    </row>
    <row r="462">
      <c r="A462" s="1984"/>
      <c r="B462" s="1984"/>
      <c r="C462" s="1984"/>
      <c r="D462" s="1982"/>
    </row>
    <row r="463">
      <c r="A463" s="1984"/>
      <c r="B463" s="1984"/>
      <c r="C463" s="1984"/>
      <c r="D463" s="1982"/>
    </row>
    <row r="464">
      <c r="A464" s="1984"/>
      <c r="B464" s="1984"/>
      <c r="C464" s="1984"/>
      <c r="D464" s="1982"/>
    </row>
    <row r="465">
      <c r="A465" s="1984"/>
      <c r="B465" s="1984"/>
      <c r="C465" s="1984"/>
      <c r="D465" s="1982"/>
    </row>
    <row r="466">
      <c r="A466" s="1984"/>
      <c r="B466" s="1984"/>
      <c r="C466" s="1984"/>
      <c r="D466" s="1982"/>
    </row>
    <row r="467">
      <c r="A467" s="1984"/>
      <c r="B467" s="1984"/>
      <c r="C467" s="1984"/>
      <c r="D467" s="1982"/>
    </row>
    <row r="468">
      <c r="A468" s="1984"/>
      <c r="B468" s="1984"/>
      <c r="C468" s="1984"/>
      <c r="D468" s="1982"/>
    </row>
    <row r="469">
      <c r="A469" s="1984"/>
      <c r="B469" s="1984"/>
      <c r="C469" s="1984"/>
      <c r="D469" s="1982"/>
    </row>
    <row r="470">
      <c r="A470" s="1984"/>
      <c r="B470" s="1984"/>
      <c r="C470" s="1984"/>
      <c r="D470" s="1982"/>
    </row>
    <row r="471">
      <c r="A471" s="1984"/>
      <c r="B471" s="1984"/>
      <c r="C471" s="1984"/>
      <c r="D471" s="1982"/>
    </row>
    <row r="472">
      <c r="A472" s="1984"/>
      <c r="B472" s="1984"/>
      <c r="C472" s="1984"/>
      <c r="D472" s="1982"/>
    </row>
    <row r="473">
      <c r="A473" s="1984"/>
      <c r="B473" s="1984"/>
      <c r="C473" s="1984"/>
      <c r="D473" s="1982"/>
    </row>
    <row r="474">
      <c r="A474" s="1984"/>
      <c r="B474" s="1984"/>
      <c r="C474" s="1984"/>
      <c r="D474" s="1982"/>
    </row>
    <row r="475">
      <c r="A475" s="1984"/>
      <c r="B475" s="1984"/>
      <c r="C475" s="1984"/>
      <c r="D475" s="1982"/>
    </row>
    <row r="476">
      <c r="A476" s="1984"/>
      <c r="B476" s="1984"/>
      <c r="C476" s="1984"/>
      <c r="D476" s="1982"/>
    </row>
    <row r="477">
      <c r="A477" s="1984"/>
      <c r="B477" s="1984"/>
      <c r="C477" s="1984"/>
      <c r="D477" s="1982"/>
    </row>
    <row r="478">
      <c r="A478" s="1984"/>
      <c r="B478" s="1984"/>
      <c r="C478" s="1984"/>
      <c r="D478" s="1982"/>
    </row>
    <row r="479">
      <c r="A479" s="1984"/>
      <c r="B479" s="1984"/>
      <c r="C479" s="1984"/>
      <c r="D479" s="1982"/>
    </row>
    <row r="480">
      <c r="A480" s="1984"/>
      <c r="B480" s="1984"/>
      <c r="C480" s="1984"/>
      <c r="D480" s="1982"/>
    </row>
    <row r="481">
      <c r="A481" s="1984"/>
      <c r="B481" s="1984"/>
      <c r="C481" s="1984"/>
      <c r="D481" s="1982"/>
    </row>
    <row r="482">
      <c r="A482" s="1984"/>
      <c r="B482" s="1984"/>
      <c r="C482" s="1984"/>
      <c r="D482" s="1982"/>
    </row>
    <row r="483">
      <c r="A483" s="1984"/>
      <c r="B483" s="1984"/>
      <c r="C483" s="1984"/>
      <c r="D483" s="1982"/>
    </row>
    <row r="484">
      <c r="A484" s="1984"/>
      <c r="B484" s="1984"/>
      <c r="C484" s="1984"/>
      <c r="D484" s="1982"/>
    </row>
    <row r="485">
      <c r="A485" s="1984"/>
      <c r="B485" s="1984"/>
      <c r="C485" s="1984"/>
      <c r="D485" s="1982"/>
    </row>
    <row r="486">
      <c r="A486" s="1984"/>
      <c r="B486" s="1984"/>
      <c r="C486" s="1984"/>
      <c r="D486" s="1982"/>
    </row>
    <row r="487">
      <c r="A487" s="1984"/>
      <c r="B487" s="1984"/>
      <c r="C487" s="1984"/>
      <c r="D487" s="1982"/>
    </row>
    <row r="488">
      <c r="A488" s="1984"/>
      <c r="B488" s="1984"/>
      <c r="C488" s="1984"/>
      <c r="D488" s="1982"/>
    </row>
    <row r="489">
      <c r="A489" s="1984"/>
      <c r="B489" s="1984"/>
      <c r="C489" s="1984"/>
      <c r="D489" s="1982"/>
    </row>
    <row r="490">
      <c r="A490" s="1984"/>
      <c r="B490" s="1984"/>
      <c r="C490" s="1984"/>
      <c r="D490" s="1982"/>
    </row>
    <row r="491">
      <c r="A491" s="1984"/>
      <c r="B491" s="1984"/>
      <c r="C491" s="1984"/>
      <c r="D491" s="1982"/>
    </row>
    <row r="492">
      <c r="A492" s="1984"/>
      <c r="B492" s="1984"/>
      <c r="C492" s="1984"/>
      <c r="D492" s="1982"/>
    </row>
    <row r="493">
      <c r="A493" s="1984"/>
      <c r="B493" s="1984"/>
      <c r="C493" s="1984"/>
      <c r="D493" s="1982"/>
    </row>
    <row r="494">
      <c r="A494" s="1984"/>
      <c r="B494" s="1984"/>
      <c r="C494" s="1984"/>
      <c r="D494" s="1982"/>
    </row>
    <row r="495">
      <c r="A495" s="1984"/>
      <c r="B495" s="1984"/>
      <c r="C495" s="1984"/>
      <c r="D495" s="1982"/>
    </row>
    <row r="496">
      <c r="A496" s="1984"/>
      <c r="B496" s="1984"/>
      <c r="C496" s="1984"/>
      <c r="D496" s="1982"/>
    </row>
    <row r="497">
      <c r="A497" s="1984"/>
      <c r="B497" s="1984"/>
      <c r="C497" s="1984"/>
      <c r="D497" s="1982"/>
    </row>
    <row r="498">
      <c r="A498" s="1984"/>
      <c r="B498" s="1984"/>
      <c r="C498" s="1984"/>
      <c r="D498" s="1982"/>
    </row>
    <row r="499">
      <c r="A499" s="1984"/>
      <c r="B499" s="1984"/>
      <c r="C499" s="1984"/>
      <c r="D499" s="1982"/>
    </row>
    <row r="500">
      <c r="A500" s="1984"/>
      <c r="B500" s="1984"/>
      <c r="C500" s="1984"/>
      <c r="D500" s="1982"/>
    </row>
    <row r="501">
      <c r="A501" s="1984"/>
      <c r="B501" s="1984"/>
      <c r="C501" s="1984"/>
      <c r="D501" s="1982"/>
    </row>
    <row r="502">
      <c r="A502" s="1984"/>
      <c r="B502" s="1984"/>
      <c r="C502" s="1984"/>
      <c r="D502" s="1982"/>
    </row>
    <row r="503">
      <c r="A503" s="1984"/>
      <c r="B503" s="1984"/>
      <c r="C503" s="1984"/>
      <c r="D503" s="1982"/>
    </row>
    <row r="504">
      <c r="A504" s="1984"/>
      <c r="B504" s="1984"/>
      <c r="C504" s="1984"/>
      <c r="D504" s="1982"/>
    </row>
    <row r="505">
      <c r="A505" s="1984"/>
      <c r="B505" s="1984"/>
      <c r="C505" s="1984"/>
      <c r="D505" s="1982"/>
    </row>
    <row r="506">
      <c r="A506" s="1984"/>
      <c r="B506" s="1984"/>
      <c r="C506" s="1984"/>
      <c r="D506" s="1982"/>
    </row>
    <row r="507">
      <c r="A507" s="1984"/>
      <c r="B507" s="1984"/>
      <c r="C507" s="1984"/>
      <c r="D507" s="1982"/>
    </row>
    <row r="508">
      <c r="A508" s="1984"/>
      <c r="B508" s="1984"/>
      <c r="C508" s="1984"/>
      <c r="D508" s="1982"/>
    </row>
    <row r="509">
      <c r="A509" s="1984"/>
      <c r="B509" s="1984"/>
      <c r="C509" s="1984"/>
      <c r="D509" s="1982"/>
    </row>
    <row r="510">
      <c r="A510" s="1984"/>
      <c r="B510" s="1984"/>
      <c r="C510" s="1984"/>
      <c r="D510" s="1982"/>
    </row>
    <row r="511">
      <c r="A511" s="1984"/>
      <c r="B511" s="1984"/>
      <c r="C511" s="1984"/>
      <c r="D511" s="1982"/>
    </row>
    <row r="512">
      <c r="A512" s="1984"/>
      <c r="B512" s="1984"/>
      <c r="C512" s="1984"/>
      <c r="D512" s="1982"/>
    </row>
    <row r="513">
      <c r="A513" s="1984"/>
      <c r="B513" s="1984"/>
      <c r="C513" s="1984"/>
      <c r="D513" s="1982"/>
    </row>
    <row r="514">
      <c r="A514" s="1984"/>
      <c r="B514" s="1984"/>
      <c r="C514" s="1984"/>
      <c r="D514" s="1982"/>
    </row>
    <row r="515">
      <c r="A515" s="1984"/>
      <c r="B515" s="1984"/>
      <c r="C515" s="1984"/>
      <c r="D515" s="1982"/>
    </row>
    <row r="516">
      <c r="A516" s="1984"/>
      <c r="B516" s="1984"/>
      <c r="C516" s="1984"/>
      <c r="D516" s="1982"/>
    </row>
    <row r="517">
      <c r="A517" s="1984"/>
      <c r="B517" s="1984"/>
      <c r="C517" s="1984"/>
      <c r="D517" s="1982"/>
    </row>
    <row r="518">
      <c r="A518" s="1984"/>
      <c r="B518" s="1984"/>
      <c r="C518" s="1984"/>
      <c r="D518" s="1982"/>
    </row>
    <row r="519">
      <c r="A519" s="1984"/>
      <c r="B519" s="1984"/>
      <c r="C519" s="1984"/>
      <c r="D519" s="1982"/>
    </row>
    <row r="520">
      <c r="A520" s="1984"/>
      <c r="B520" s="1984"/>
      <c r="C520" s="1984"/>
      <c r="D520" s="1982"/>
    </row>
    <row r="521">
      <c r="A521" s="1984"/>
      <c r="B521" s="1984"/>
      <c r="C521" s="1984"/>
      <c r="D521" s="1982"/>
    </row>
    <row r="522">
      <c r="A522" s="1984"/>
      <c r="B522" s="1984"/>
      <c r="C522" s="1984"/>
      <c r="D522" s="1982"/>
    </row>
    <row r="523">
      <c r="A523" s="1984"/>
      <c r="B523" s="1984"/>
      <c r="C523" s="1984"/>
      <c r="D523" s="1982"/>
    </row>
    <row r="524">
      <c r="A524" s="1984"/>
      <c r="B524" s="1984"/>
      <c r="C524" s="1984"/>
      <c r="D524" s="1982"/>
    </row>
    <row r="525">
      <c r="A525" s="1984"/>
      <c r="B525" s="1984"/>
      <c r="C525" s="1984"/>
      <c r="D525" s="1982"/>
    </row>
    <row r="526">
      <c r="A526" s="1984"/>
      <c r="B526" s="1984"/>
      <c r="C526" s="1984"/>
      <c r="D526" s="1982"/>
    </row>
    <row r="527">
      <c r="A527" s="1984"/>
      <c r="B527" s="1984"/>
      <c r="C527" s="1984"/>
      <c r="D527" s="1982"/>
    </row>
    <row r="528">
      <c r="A528" s="1984"/>
      <c r="B528" s="1984"/>
      <c r="C528" s="1984"/>
      <c r="D528" s="1982"/>
    </row>
    <row r="529">
      <c r="A529" s="1984"/>
      <c r="B529" s="1984"/>
      <c r="C529" s="1984"/>
      <c r="D529" s="1982"/>
    </row>
    <row r="530">
      <c r="A530" s="1984"/>
      <c r="B530" s="1984"/>
      <c r="C530" s="1984"/>
      <c r="D530" s="1982"/>
    </row>
    <row r="531">
      <c r="A531" s="1984"/>
      <c r="B531" s="1984"/>
      <c r="C531" s="1984"/>
      <c r="D531" s="1982"/>
    </row>
    <row r="532">
      <c r="A532" s="1984"/>
      <c r="B532" s="1984"/>
      <c r="C532" s="1984"/>
      <c r="D532" s="1982"/>
    </row>
    <row r="533">
      <c r="A533" s="1984"/>
      <c r="B533" s="1984"/>
      <c r="C533" s="1984"/>
      <c r="D533" s="1982"/>
    </row>
    <row r="534">
      <c r="A534" s="1984"/>
      <c r="B534" s="1984"/>
      <c r="C534" s="1984"/>
      <c r="D534" s="1982"/>
    </row>
    <row r="535">
      <c r="A535" s="1984"/>
      <c r="B535" s="1984"/>
      <c r="C535" s="1984"/>
      <c r="D535" s="1982"/>
    </row>
    <row r="536">
      <c r="A536" s="1984"/>
      <c r="B536" s="1984"/>
      <c r="C536" s="1984"/>
      <c r="D536" s="1982"/>
    </row>
    <row r="537">
      <c r="A537" s="1984"/>
      <c r="B537" s="1984"/>
      <c r="C537" s="1984"/>
      <c r="D537" s="1982"/>
    </row>
    <row r="538">
      <c r="A538" s="1984"/>
      <c r="B538" s="1984"/>
      <c r="C538" s="1984"/>
      <c r="D538" s="1982"/>
    </row>
    <row r="539">
      <c r="A539" s="1984"/>
      <c r="B539" s="1984"/>
      <c r="C539" s="1984"/>
      <c r="D539" s="1982"/>
    </row>
    <row r="540">
      <c r="A540" s="1984"/>
      <c r="B540" s="1984"/>
      <c r="C540" s="1984"/>
      <c r="D540" s="1982"/>
    </row>
    <row r="541">
      <c r="A541" s="1984"/>
      <c r="B541" s="1984"/>
      <c r="C541" s="1984"/>
      <c r="D541" s="1982"/>
    </row>
    <row r="542">
      <c r="A542" s="1984"/>
      <c r="B542" s="1984"/>
      <c r="C542" s="1984"/>
      <c r="D542" s="1982"/>
    </row>
    <row r="543">
      <c r="A543" s="1984"/>
      <c r="B543" s="1984"/>
      <c r="C543" s="1984"/>
      <c r="D543" s="1982"/>
    </row>
    <row r="544">
      <c r="A544" s="1984"/>
      <c r="B544" s="1984"/>
      <c r="C544" s="1984"/>
      <c r="D544" s="1982"/>
    </row>
    <row r="545">
      <c r="A545" s="1984"/>
      <c r="B545" s="1984"/>
      <c r="C545" s="1984"/>
      <c r="D545" s="1982"/>
    </row>
    <row r="546">
      <c r="A546" s="1984"/>
      <c r="B546" s="1984"/>
      <c r="C546" s="1984"/>
      <c r="D546" s="1982"/>
    </row>
    <row r="547">
      <c r="A547" s="1984"/>
      <c r="B547" s="1984"/>
      <c r="C547" s="1984"/>
      <c r="D547" s="1982"/>
    </row>
    <row r="548">
      <c r="A548" s="1984"/>
      <c r="B548" s="1984"/>
      <c r="C548" s="1984"/>
      <c r="D548" s="1982"/>
    </row>
    <row r="549">
      <c r="A549" s="1984"/>
      <c r="B549" s="1984"/>
      <c r="C549" s="1984"/>
      <c r="D549" s="1982"/>
    </row>
    <row r="550">
      <c r="A550" s="1984"/>
      <c r="B550" s="1984"/>
      <c r="C550" s="1984"/>
      <c r="D550" s="1982"/>
    </row>
    <row r="551">
      <c r="A551" s="1984"/>
      <c r="B551" s="1984"/>
      <c r="C551" s="1984"/>
      <c r="D551" s="1982"/>
    </row>
    <row r="552">
      <c r="A552" s="1984"/>
      <c r="B552" s="1984"/>
      <c r="C552" s="1984"/>
      <c r="D552" s="1982"/>
    </row>
    <row r="553">
      <c r="A553" s="1984"/>
      <c r="B553" s="1984"/>
      <c r="C553" s="1984"/>
      <c r="D553" s="1982"/>
    </row>
    <row r="554">
      <c r="A554" s="1984"/>
      <c r="B554" s="1984"/>
      <c r="C554" s="1984"/>
      <c r="D554" s="1982"/>
    </row>
    <row r="555">
      <c r="A555" s="1984"/>
      <c r="B555" s="1984"/>
      <c r="C555" s="1984"/>
      <c r="D555" s="1982"/>
    </row>
    <row r="556">
      <c r="A556" s="1984"/>
      <c r="B556" s="1984"/>
      <c r="C556" s="1984"/>
      <c r="D556" s="1982"/>
    </row>
    <row r="557">
      <c r="A557" s="1984"/>
      <c r="B557" s="1984"/>
      <c r="C557" s="1984"/>
      <c r="D557" s="1982"/>
    </row>
    <row r="558">
      <c r="A558" s="1984"/>
      <c r="B558" s="1984"/>
      <c r="C558" s="1984"/>
      <c r="D558" s="1982"/>
    </row>
    <row r="559">
      <c r="A559" s="1984"/>
      <c r="B559" s="1984"/>
      <c r="C559" s="1984"/>
      <c r="D559" s="1982"/>
    </row>
    <row r="560">
      <c r="A560" s="1984"/>
      <c r="B560" s="1984"/>
      <c r="C560" s="1984"/>
      <c r="D560" s="1982"/>
    </row>
    <row r="561">
      <c r="A561" s="1984"/>
      <c r="B561" s="1984"/>
      <c r="C561" s="1984"/>
      <c r="D561" s="1982"/>
    </row>
    <row r="562">
      <c r="A562" s="1984"/>
      <c r="B562" s="1984"/>
      <c r="C562" s="1984"/>
      <c r="D562" s="1982"/>
    </row>
    <row r="563">
      <c r="A563" s="1984"/>
      <c r="B563" s="1984"/>
      <c r="C563" s="1984"/>
      <c r="D563" s="1982"/>
    </row>
    <row r="564">
      <c r="A564" s="1984"/>
      <c r="B564" s="1984"/>
      <c r="C564" s="1984"/>
      <c r="D564" s="1982"/>
    </row>
    <row r="565">
      <c r="A565" s="1984"/>
      <c r="B565" s="1984"/>
      <c r="C565" s="1984"/>
      <c r="D565" s="1982"/>
    </row>
    <row r="566">
      <c r="A566" s="1984"/>
      <c r="B566" s="1984"/>
      <c r="C566" s="1984"/>
      <c r="D566" s="1982"/>
    </row>
    <row r="567">
      <c r="A567" s="1984"/>
      <c r="B567" s="1984"/>
      <c r="C567" s="1984"/>
      <c r="D567" s="1982"/>
    </row>
    <row r="568">
      <c r="A568" s="1984"/>
      <c r="B568" s="1984"/>
      <c r="C568" s="1984"/>
      <c r="D568" s="1982"/>
    </row>
    <row r="569">
      <c r="A569" s="1984"/>
      <c r="B569" s="1984"/>
      <c r="C569" s="1984"/>
      <c r="D569" s="1982"/>
    </row>
    <row r="570">
      <c r="A570" s="1984"/>
      <c r="B570" s="1984"/>
      <c r="C570" s="1984"/>
      <c r="D570" s="1982"/>
    </row>
    <row r="571">
      <c r="A571" s="1984"/>
      <c r="B571" s="1984"/>
      <c r="C571" s="1984"/>
      <c r="D571" s="1982"/>
    </row>
    <row r="572">
      <c r="A572" s="1984"/>
      <c r="B572" s="1984"/>
      <c r="C572" s="1984"/>
      <c r="D572" s="1982"/>
    </row>
    <row r="573">
      <c r="A573" s="1984"/>
      <c r="B573" s="1984"/>
      <c r="C573" s="1984"/>
      <c r="D573" s="1982"/>
    </row>
    <row r="574">
      <c r="A574" s="1984"/>
      <c r="B574" s="1984"/>
      <c r="C574" s="1984"/>
      <c r="D574" s="1982"/>
    </row>
    <row r="575">
      <c r="A575" s="1984"/>
      <c r="B575" s="1984"/>
      <c r="C575" s="1984"/>
      <c r="D575" s="1982"/>
    </row>
    <row r="576">
      <c r="A576" s="1984"/>
      <c r="B576" s="1984"/>
      <c r="C576" s="1984"/>
      <c r="D576" s="1982"/>
    </row>
    <row r="577">
      <c r="A577" s="1984"/>
      <c r="B577" s="1984"/>
      <c r="C577" s="1984"/>
      <c r="D577" s="1982"/>
    </row>
    <row r="578">
      <c r="A578" s="1984"/>
      <c r="B578" s="1984"/>
      <c r="C578" s="1984"/>
      <c r="D578" s="1982"/>
    </row>
    <row r="579">
      <c r="A579" s="1984"/>
      <c r="B579" s="1984"/>
      <c r="C579" s="1984"/>
      <c r="D579" s="1982"/>
    </row>
    <row r="580">
      <c r="A580" s="1984"/>
      <c r="B580" s="1984"/>
      <c r="C580" s="1984"/>
      <c r="D580" s="1982"/>
    </row>
    <row r="581">
      <c r="A581" s="1984"/>
      <c r="B581" s="1984"/>
      <c r="C581" s="1984"/>
      <c r="D581" s="1982"/>
    </row>
    <row r="582">
      <c r="A582" s="1984"/>
      <c r="B582" s="1984"/>
      <c r="C582" s="1984"/>
      <c r="D582" s="1982"/>
    </row>
    <row r="583">
      <c r="A583" s="1984"/>
      <c r="B583" s="1984"/>
      <c r="C583" s="1984"/>
      <c r="D583" s="1982"/>
    </row>
    <row r="584">
      <c r="A584" s="1984"/>
      <c r="B584" s="1984"/>
      <c r="C584" s="1984"/>
      <c r="D584" s="1982"/>
    </row>
    <row r="585">
      <c r="A585" s="1984"/>
      <c r="B585" s="1984"/>
      <c r="C585" s="1984"/>
      <c r="D585" s="1982"/>
    </row>
    <row r="586">
      <c r="A586" s="1984"/>
      <c r="B586" s="1984"/>
      <c r="C586" s="1984"/>
      <c r="D586" s="1982"/>
    </row>
    <row r="587">
      <c r="A587" s="1984"/>
      <c r="B587" s="1984"/>
      <c r="C587" s="1984"/>
      <c r="D587" s="1982"/>
    </row>
    <row r="588">
      <c r="A588" s="1984"/>
      <c r="B588" s="1984"/>
      <c r="C588" s="1984"/>
      <c r="D588" s="1982"/>
    </row>
    <row r="589">
      <c r="A589" s="1984"/>
      <c r="B589" s="1984"/>
      <c r="C589" s="1984"/>
      <c r="D589" s="1982"/>
    </row>
    <row r="590">
      <c r="A590" s="1984"/>
      <c r="B590" s="1984"/>
      <c r="C590" s="1984"/>
      <c r="D590" s="1982"/>
    </row>
    <row r="591">
      <c r="A591" s="1984"/>
      <c r="B591" s="1984"/>
      <c r="C591" s="1984"/>
      <c r="D591" s="1982"/>
    </row>
    <row r="592">
      <c r="A592" s="1984"/>
      <c r="B592" s="1984"/>
      <c r="C592" s="1984"/>
      <c r="D592" s="1982"/>
    </row>
    <row r="593">
      <c r="A593" s="1984"/>
      <c r="B593" s="1984"/>
      <c r="C593" s="1984"/>
      <c r="D593" s="1982"/>
    </row>
    <row r="594">
      <c r="A594" s="1984"/>
      <c r="B594" s="1984"/>
      <c r="C594" s="1984"/>
      <c r="D594" s="1982"/>
    </row>
    <row r="595">
      <c r="A595" s="1984"/>
      <c r="B595" s="1984"/>
      <c r="C595" s="1984"/>
      <c r="D595" s="1982"/>
    </row>
    <row r="596">
      <c r="A596" s="1984"/>
      <c r="B596" s="1984"/>
      <c r="C596" s="1984"/>
      <c r="D596" s="1982"/>
    </row>
    <row r="597">
      <c r="A597" s="1984"/>
      <c r="B597" s="1984"/>
      <c r="C597" s="1984"/>
      <c r="D597" s="1982"/>
    </row>
    <row r="598">
      <c r="A598" s="1984"/>
      <c r="B598" s="1984"/>
      <c r="C598" s="1984"/>
      <c r="D598" s="1982"/>
    </row>
    <row r="599">
      <c r="A599" s="1984"/>
      <c r="B599" s="1984"/>
      <c r="C599" s="1984"/>
      <c r="D599" s="1982"/>
    </row>
    <row r="600">
      <c r="A600" s="1984"/>
      <c r="B600" s="1984"/>
      <c r="C600" s="1984"/>
      <c r="D600" s="1982"/>
    </row>
    <row r="601">
      <c r="A601" s="1984"/>
      <c r="B601" s="1984"/>
      <c r="C601" s="1984"/>
      <c r="D601" s="1982"/>
    </row>
    <row r="602">
      <c r="A602" s="1984"/>
      <c r="B602" s="1984"/>
      <c r="C602" s="1984"/>
      <c r="D602" s="1982"/>
    </row>
    <row r="603">
      <c r="A603" s="1984"/>
      <c r="B603" s="1984"/>
      <c r="C603" s="1984"/>
      <c r="D603" s="1982"/>
    </row>
    <row r="604">
      <c r="A604" s="1984"/>
      <c r="B604" s="1984"/>
      <c r="C604" s="1984"/>
      <c r="D604" s="1982"/>
    </row>
    <row r="605">
      <c r="A605" s="1984"/>
      <c r="B605" s="1984"/>
      <c r="C605" s="1984"/>
      <c r="D605" s="1982"/>
    </row>
    <row r="606">
      <c r="A606" s="1984"/>
      <c r="B606" s="1984"/>
      <c r="C606" s="1984"/>
      <c r="D606" s="1982"/>
    </row>
    <row r="607">
      <c r="A607" s="1984"/>
      <c r="B607" s="1984"/>
      <c r="C607" s="1984"/>
      <c r="D607" s="1982"/>
    </row>
    <row r="608">
      <c r="A608" s="1984"/>
      <c r="B608" s="1984"/>
      <c r="C608" s="1984"/>
      <c r="D608" s="1982"/>
    </row>
    <row r="609">
      <c r="A609" s="1984"/>
      <c r="B609" s="1984"/>
      <c r="C609" s="1984"/>
      <c r="D609" s="1982"/>
    </row>
    <row r="610">
      <c r="A610" s="1984"/>
      <c r="B610" s="1984"/>
      <c r="C610" s="1984"/>
      <c r="D610" s="1982"/>
    </row>
    <row r="611">
      <c r="A611" s="1984"/>
      <c r="B611" s="1984"/>
      <c r="C611" s="1984"/>
      <c r="D611" s="1982"/>
    </row>
    <row r="612">
      <c r="A612" s="1984"/>
      <c r="B612" s="1984"/>
      <c r="C612" s="1984"/>
      <c r="D612" s="1982"/>
    </row>
    <row r="613">
      <c r="A613" s="1984"/>
      <c r="B613" s="1984"/>
      <c r="C613" s="1984"/>
      <c r="D613" s="1982"/>
    </row>
    <row r="614">
      <c r="A614" s="1984"/>
      <c r="B614" s="1984"/>
      <c r="C614" s="1984"/>
      <c r="D614" s="1982"/>
    </row>
    <row r="615">
      <c r="A615" s="1984"/>
      <c r="B615" s="1984"/>
      <c r="C615" s="1984"/>
      <c r="D615" s="1982"/>
    </row>
    <row r="616">
      <c r="A616" s="1984"/>
      <c r="B616" s="1984"/>
      <c r="C616" s="1984"/>
      <c r="D616" s="1982"/>
    </row>
    <row r="617">
      <c r="A617" s="1984"/>
      <c r="B617" s="1984"/>
      <c r="C617" s="1984"/>
      <c r="D617" s="1982"/>
    </row>
    <row r="618">
      <c r="A618" s="1984"/>
      <c r="B618" s="1984"/>
      <c r="C618" s="1984"/>
      <c r="D618" s="1982"/>
    </row>
    <row r="619">
      <c r="A619" s="1984"/>
      <c r="B619" s="1984"/>
      <c r="C619" s="1984"/>
      <c r="D619" s="1982"/>
    </row>
    <row r="620">
      <c r="A620" s="1984"/>
      <c r="B620" s="1984"/>
      <c r="C620" s="1984"/>
      <c r="D620" s="1982"/>
    </row>
    <row r="621">
      <c r="A621" s="1984"/>
      <c r="B621" s="1984"/>
      <c r="C621" s="1984"/>
      <c r="D621" s="1982"/>
    </row>
    <row r="622">
      <c r="A622" s="1984"/>
      <c r="B622" s="1984"/>
      <c r="C622" s="1984"/>
      <c r="D622" s="1982"/>
    </row>
    <row r="623">
      <c r="A623" s="1984"/>
      <c r="B623" s="1984"/>
      <c r="C623" s="1984"/>
      <c r="D623" s="1982"/>
    </row>
    <row r="624">
      <c r="A624" s="1984"/>
      <c r="B624" s="1984"/>
      <c r="C624" s="1984"/>
      <c r="D624" s="1982"/>
    </row>
    <row r="625">
      <c r="A625" s="1984"/>
      <c r="B625" s="1984"/>
      <c r="C625" s="1984"/>
      <c r="D625" s="1982"/>
    </row>
    <row r="626">
      <c r="A626" s="1984"/>
      <c r="B626" s="1984"/>
      <c r="C626" s="1984"/>
      <c r="D626" s="1982"/>
    </row>
    <row r="627">
      <c r="A627" s="1984"/>
      <c r="B627" s="1984"/>
      <c r="C627" s="1984"/>
      <c r="D627" s="1982"/>
    </row>
    <row r="628">
      <c r="A628" s="1984"/>
      <c r="B628" s="1984"/>
      <c r="C628" s="1984"/>
      <c r="D628" s="1982"/>
    </row>
    <row r="629">
      <c r="A629" s="1984"/>
      <c r="B629" s="1984"/>
      <c r="C629" s="1984"/>
      <c r="D629" s="1982"/>
    </row>
    <row r="630">
      <c r="A630" s="1984"/>
      <c r="B630" s="1984"/>
      <c r="C630" s="1984"/>
      <c r="D630" s="1982"/>
    </row>
    <row r="631">
      <c r="A631" s="1984"/>
      <c r="B631" s="1984"/>
      <c r="C631" s="1984"/>
      <c r="D631" s="1982"/>
    </row>
    <row r="632">
      <c r="A632" s="1984"/>
      <c r="B632" s="1984"/>
      <c r="C632" s="1984"/>
      <c r="D632" s="1982"/>
    </row>
    <row r="633">
      <c r="A633" s="1984"/>
      <c r="B633" s="1984"/>
      <c r="C633" s="1984"/>
      <c r="D633" s="1982"/>
    </row>
    <row r="634">
      <c r="A634" s="1984"/>
      <c r="B634" s="1984"/>
      <c r="C634" s="1984"/>
      <c r="D634" s="1982"/>
    </row>
    <row r="635">
      <c r="A635" s="1984"/>
      <c r="B635" s="1984"/>
      <c r="C635" s="1984"/>
      <c r="D635" s="1982"/>
    </row>
    <row r="636">
      <c r="A636" s="1984"/>
      <c r="B636" s="1984"/>
      <c r="C636" s="1984"/>
      <c r="D636" s="1982"/>
    </row>
    <row r="637">
      <c r="A637" s="1984"/>
      <c r="B637" s="1984"/>
      <c r="C637" s="1984"/>
      <c r="D637" s="1982"/>
    </row>
    <row r="638">
      <c r="A638" s="1984"/>
      <c r="B638" s="1984"/>
      <c r="C638" s="1984"/>
      <c r="D638" s="1982"/>
    </row>
    <row r="639">
      <c r="A639" s="1984"/>
      <c r="B639" s="1984"/>
      <c r="C639" s="1984"/>
      <c r="D639" s="1982"/>
    </row>
    <row r="640">
      <c r="A640" s="1984"/>
      <c r="B640" s="1984"/>
      <c r="C640" s="1984"/>
      <c r="D640" s="1982"/>
    </row>
    <row r="641">
      <c r="A641" s="1984"/>
      <c r="B641" s="1984"/>
      <c r="C641" s="1984"/>
      <c r="D641" s="1982"/>
    </row>
    <row r="642">
      <c r="A642" s="1984"/>
      <c r="B642" s="1984"/>
      <c r="C642" s="1984"/>
      <c r="D642" s="1982"/>
    </row>
    <row r="643">
      <c r="A643" s="1984"/>
      <c r="B643" s="1984"/>
      <c r="C643" s="1984"/>
      <c r="D643" s="1982"/>
    </row>
    <row r="644">
      <c r="A644" s="1984"/>
      <c r="B644" s="1984"/>
      <c r="C644" s="1984"/>
      <c r="D644" s="1982"/>
    </row>
    <row r="645">
      <c r="A645" s="1984"/>
      <c r="B645" s="1984"/>
      <c r="C645" s="1984"/>
      <c r="D645" s="1982"/>
    </row>
    <row r="646">
      <c r="A646" s="1984"/>
      <c r="B646" s="1984"/>
      <c r="C646" s="1984"/>
      <c r="D646" s="1982"/>
    </row>
    <row r="647">
      <c r="A647" s="1984"/>
      <c r="B647" s="1984"/>
      <c r="C647" s="1984"/>
      <c r="D647" s="1982"/>
    </row>
    <row r="648">
      <c r="A648" s="1984"/>
      <c r="B648" s="1984"/>
      <c r="C648" s="1984"/>
      <c r="D648" s="1982"/>
    </row>
    <row r="649">
      <c r="A649" s="1984"/>
      <c r="B649" s="1984"/>
      <c r="C649" s="1984"/>
      <c r="D649" s="1982"/>
    </row>
    <row r="650">
      <c r="A650" s="1984"/>
      <c r="B650" s="1984"/>
      <c r="C650" s="1984"/>
      <c r="D650" s="1982"/>
    </row>
    <row r="651">
      <c r="A651" s="1984"/>
      <c r="B651" s="1984"/>
      <c r="C651" s="1984"/>
      <c r="D651" s="1982"/>
    </row>
    <row r="652">
      <c r="A652" s="1984"/>
      <c r="B652" s="1984"/>
      <c r="C652" s="1984"/>
      <c r="D652" s="1982"/>
    </row>
    <row r="653">
      <c r="A653" s="1984"/>
      <c r="B653" s="1984"/>
      <c r="C653" s="1984"/>
      <c r="D653" s="1982"/>
    </row>
    <row r="654">
      <c r="A654" s="1984"/>
      <c r="B654" s="1984"/>
      <c r="C654" s="1984"/>
      <c r="D654" s="1982"/>
    </row>
    <row r="655">
      <c r="A655" s="1984"/>
      <c r="B655" s="1984"/>
      <c r="C655" s="1984"/>
      <c r="D655" s="1982"/>
    </row>
    <row r="656">
      <c r="A656" s="1984"/>
      <c r="B656" s="1984"/>
      <c r="C656" s="1984"/>
      <c r="D656" s="1982"/>
    </row>
    <row r="657">
      <c r="A657" s="1984"/>
      <c r="B657" s="1984"/>
      <c r="C657" s="1984"/>
      <c r="D657" s="1982"/>
    </row>
    <row r="658">
      <c r="A658" s="1984"/>
      <c r="B658" s="1984"/>
      <c r="C658" s="1984"/>
      <c r="D658" s="1982"/>
    </row>
    <row r="659">
      <c r="A659" s="1984"/>
      <c r="B659" s="1984"/>
      <c r="C659" s="1984"/>
      <c r="D659" s="1982"/>
    </row>
    <row r="660">
      <c r="A660" s="1984"/>
      <c r="B660" s="1984"/>
      <c r="C660" s="1984"/>
      <c r="D660" s="1982"/>
    </row>
    <row r="661">
      <c r="A661" s="1984"/>
      <c r="B661" s="1984"/>
      <c r="C661" s="1984"/>
      <c r="D661" s="1982"/>
    </row>
    <row r="662">
      <c r="A662" s="1984"/>
      <c r="B662" s="1984"/>
      <c r="C662" s="1984"/>
      <c r="D662" s="1982"/>
    </row>
    <row r="663">
      <c r="A663" s="1984"/>
      <c r="B663" s="1984"/>
      <c r="C663" s="1984"/>
      <c r="D663" s="1982"/>
    </row>
    <row r="664">
      <c r="A664" s="1984"/>
      <c r="B664" s="1984"/>
      <c r="C664" s="1984"/>
      <c r="D664" s="1982"/>
    </row>
    <row r="665">
      <c r="A665" s="1984"/>
      <c r="B665" s="1984"/>
      <c r="C665" s="1984"/>
      <c r="D665" s="1982"/>
    </row>
    <row r="666">
      <c r="A666" s="1984"/>
      <c r="B666" s="1984"/>
      <c r="C666" s="1984"/>
      <c r="D666" s="1982"/>
    </row>
    <row r="667">
      <c r="A667" s="1984"/>
      <c r="B667" s="1984"/>
      <c r="C667" s="1984"/>
      <c r="D667" s="1982"/>
    </row>
    <row r="668">
      <c r="A668" s="1984"/>
      <c r="B668" s="1984"/>
      <c r="C668" s="1984"/>
      <c r="D668" s="1982"/>
    </row>
    <row r="669">
      <c r="A669" s="1984"/>
      <c r="B669" s="1984"/>
      <c r="C669" s="1984"/>
      <c r="D669" s="1982"/>
    </row>
    <row r="670">
      <c r="A670" s="1984"/>
      <c r="B670" s="1984"/>
      <c r="C670" s="1984"/>
      <c r="D670" s="1982"/>
    </row>
    <row r="671">
      <c r="A671" s="1984"/>
      <c r="B671" s="1984"/>
      <c r="C671" s="1984"/>
      <c r="D671" s="1982"/>
    </row>
    <row r="672">
      <c r="A672" s="1984"/>
      <c r="B672" s="1984"/>
      <c r="C672" s="1984"/>
      <c r="D672" s="1982"/>
    </row>
    <row r="673">
      <c r="A673" s="1984"/>
      <c r="B673" s="1984"/>
      <c r="C673" s="1984"/>
      <c r="D673" s="1982"/>
    </row>
    <row r="674">
      <c r="A674" s="1984"/>
      <c r="B674" s="1984"/>
      <c r="C674" s="1984"/>
      <c r="D674" s="1982"/>
    </row>
    <row r="675">
      <c r="A675" s="1984"/>
      <c r="B675" s="1984"/>
      <c r="C675" s="1984"/>
      <c r="D675" s="1982"/>
    </row>
    <row r="676">
      <c r="A676" s="1984"/>
      <c r="B676" s="1984"/>
      <c r="C676" s="1984"/>
      <c r="D676" s="1982"/>
    </row>
    <row r="677">
      <c r="A677" s="1984"/>
      <c r="B677" s="1984"/>
      <c r="C677" s="1984"/>
      <c r="D677" s="1982"/>
    </row>
    <row r="678">
      <c r="A678" s="1984"/>
      <c r="B678" s="1984"/>
      <c r="C678" s="1984"/>
      <c r="D678" s="1982"/>
    </row>
    <row r="679">
      <c r="A679" s="1984"/>
      <c r="B679" s="1984"/>
      <c r="C679" s="1984"/>
      <c r="D679" s="1982"/>
    </row>
    <row r="680">
      <c r="A680" s="1984"/>
      <c r="B680" s="1984"/>
      <c r="C680" s="1984"/>
      <c r="D680" s="1982"/>
    </row>
    <row r="681">
      <c r="A681" s="1984"/>
      <c r="B681" s="1984"/>
      <c r="C681" s="1984"/>
      <c r="D681" s="1982"/>
    </row>
    <row r="682">
      <c r="A682" s="1984"/>
      <c r="B682" s="1984"/>
      <c r="C682" s="1984"/>
      <c r="D682" s="1982"/>
    </row>
    <row r="683">
      <c r="A683" s="1984"/>
      <c r="B683" s="1984"/>
      <c r="C683" s="1984"/>
      <c r="D683" s="1982"/>
    </row>
    <row r="684">
      <c r="A684" s="1984"/>
      <c r="B684" s="1984"/>
      <c r="C684" s="1984"/>
      <c r="D684" s="1982"/>
    </row>
    <row r="685">
      <c r="A685" s="1984"/>
      <c r="B685" s="1984"/>
      <c r="C685" s="1984"/>
      <c r="D685" s="1982"/>
    </row>
    <row r="686">
      <c r="A686" s="1984"/>
      <c r="B686" s="1984"/>
      <c r="C686" s="1984"/>
      <c r="D686" s="1982"/>
    </row>
    <row r="687">
      <c r="A687" s="1984"/>
      <c r="B687" s="1984"/>
      <c r="C687" s="1984"/>
      <c r="D687" s="1982"/>
    </row>
    <row r="688">
      <c r="A688" s="1984"/>
      <c r="B688" s="1984"/>
      <c r="C688" s="1984"/>
      <c r="D688" s="1982"/>
    </row>
    <row r="689">
      <c r="A689" s="1984"/>
      <c r="B689" s="1984"/>
      <c r="C689" s="1984"/>
      <c r="D689" s="1982"/>
    </row>
    <row r="690">
      <c r="A690" s="1984"/>
      <c r="B690" s="1984"/>
      <c r="C690" s="1984"/>
      <c r="D690" s="1982"/>
    </row>
    <row r="691">
      <c r="A691" s="1984"/>
      <c r="B691" s="1984"/>
      <c r="C691" s="1984"/>
      <c r="D691" s="1982"/>
    </row>
    <row r="692">
      <c r="A692" s="1984"/>
      <c r="B692" s="1984"/>
      <c r="C692" s="1984"/>
      <c r="D692" s="1982"/>
    </row>
    <row r="693">
      <c r="A693" s="1984"/>
      <c r="B693" s="1984"/>
      <c r="C693" s="1984"/>
      <c r="D693" s="1982"/>
    </row>
    <row r="694">
      <c r="A694" s="1984"/>
      <c r="B694" s="1984"/>
      <c r="C694" s="1984"/>
      <c r="D694" s="1982"/>
    </row>
    <row r="695">
      <c r="A695" s="1984"/>
      <c r="B695" s="1984"/>
      <c r="C695" s="1984"/>
      <c r="D695" s="1982"/>
    </row>
    <row r="696">
      <c r="A696" s="1984"/>
      <c r="B696" s="1984"/>
      <c r="C696" s="1984"/>
      <c r="D696" s="1982"/>
    </row>
    <row r="697">
      <c r="A697" s="1984"/>
      <c r="B697" s="1984"/>
      <c r="C697" s="1984"/>
      <c r="D697" s="1982"/>
    </row>
    <row r="698">
      <c r="A698" s="1984"/>
      <c r="B698" s="1984"/>
      <c r="C698" s="1984"/>
      <c r="D698" s="1982"/>
    </row>
    <row r="699">
      <c r="A699" s="1984"/>
      <c r="B699" s="1984"/>
      <c r="C699" s="1984"/>
      <c r="D699" s="1982"/>
    </row>
    <row r="700">
      <c r="A700" s="1984"/>
      <c r="B700" s="1984"/>
      <c r="C700" s="1984"/>
      <c r="D700" s="1982"/>
    </row>
    <row r="701">
      <c r="A701" s="1984"/>
      <c r="B701" s="1984"/>
      <c r="C701" s="1984"/>
      <c r="D701" s="1982"/>
    </row>
    <row r="702">
      <c r="A702" s="1984"/>
      <c r="B702" s="1984"/>
      <c r="C702" s="1984"/>
      <c r="D702" s="1982"/>
    </row>
    <row r="703">
      <c r="A703" s="1984"/>
      <c r="B703" s="1984"/>
      <c r="C703" s="1984"/>
      <c r="D703" s="1982"/>
    </row>
    <row r="704">
      <c r="A704" s="1984"/>
      <c r="B704" s="1984"/>
      <c r="C704" s="1984"/>
      <c r="D704" s="1982"/>
    </row>
    <row r="705">
      <c r="A705" s="1984"/>
      <c r="B705" s="1984"/>
      <c r="C705" s="1984"/>
      <c r="D705" s="1982"/>
    </row>
    <row r="706">
      <c r="A706" s="1984"/>
      <c r="B706" s="1984"/>
      <c r="C706" s="1984"/>
      <c r="D706" s="1982"/>
    </row>
    <row r="707">
      <c r="A707" s="1984"/>
      <c r="B707" s="1984"/>
      <c r="C707" s="1984"/>
      <c r="D707" s="1982"/>
    </row>
    <row r="708">
      <c r="A708" s="1984"/>
      <c r="B708" s="1984"/>
      <c r="C708" s="1984"/>
      <c r="D708" s="1982"/>
    </row>
    <row r="709">
      <c r="A709" s="1984"/>
      <c r="B709" s="1984"/>
      <c r="C709" s="1984"/>
      <c r="D709" s="1982"/>
    </row>
    <row r="710">
      <c r="A710" s="1984"/>
      <c r="B710" s="1984"/>
      <c r="C710" s="1984"/>
      <c r="D710" s="1982"/>
    </row>
    <row r="711">
      <c r="A711" s="1984"/>
      <c r="B711" s="1984"/>
      <c r="C711" s="1984"/>
      <c r="D711" s="1982"/>
    </row>
    <row r="712">
      <c r="A712" s="1984"/>
      <c r="B712" s="1984"/>
      <c r="C712" s="1984"/>
      <c r="D712" s="1982"/>
    </row>
    <row r="713">
      <c r="A713" s="1984"/>
      <c r="B713" s="1984"/>
      <c r="C713" s="1984"/>
      <c r="D713" s="1982"/>
    </row>
    <row r="714">
      <c r="A714" s="1984"/>
      <c r="B714" s="1984"/>
      <c r="C714" s="1984"/>
      <c r="D714" s="1982"/>
    </row>
    <row r="715">
      <c r="A715" s="1984"/>
      <c r="B715" s="1984"/>
      <c r="C715" s="1984"/>
      <c r="D715" s="1982"/>
    </row>
    <row r="716">
      <c r="A716" s="1984"/>
      <c r="B716" s="1984"/>
      <c r="C716" s="1984"/>
      <c r="D716" s="1982"/>
    </row>
    <row r="717">
      <c r="A717" s="1984"/>
      <c r="B717" s="1984"/>
      <c r="C717" s="1984"/>
      <c r="D717" s="1982"/>
    </row>
    <row r="718">
      <c r="A718" s="1984"/>
      <c r="B718" s="1984"/>
      <c r="C718" s="1984"/>
      <c r="D718" s="1982"/>
    </row>
    <row r="719">
      <c r="A719" s="1984"/>
      <c r="B719" s="1984"/>
      <c r="C719" s="1984"/>
      <c r="D719" s="1982"/>
    </row>
    <row r="720">
      <c r="A720" s="1984"/>
      <c r="B720" s="1984"/>
      <c r="C720" s="1984"/>
      <c r="D720" s="1982"/>
    </row>
    <row r="721">
      <c r="A721" s="1984"/>
      <c r="B721" s="1984"/>
      <c r="C721" s="1984"/>
      <c r="D721" s="1982"/>
    </row>
    <row r="722">
      <c r="A722" s="1984"/>
      <c r="B722" s="1984"/>
      <c r="C722" s="1984"/>
      <c r="D722" s="1982"/>
    </row>
    <row r="723">
      <c r="A723" s="1984"/>
      <c r="B723" s="1984"/>
      <c r="C723" s="1984"/>
      <c r="D723" s="1982"/>
    </row>
    <row r="724">
      <c r="A724" s="1984"/>
      <c r="B724" s="1984"/>
      <c r="C724" s="1984"/>
      <c r="D724" s="1982"/>
    </row>
    <row r="725">
      <c r="A725" s="1984"/>
      <c r="B725" s="1984"/>
      <c r="C725" s="1984"/>
      <c r="D725" s="1982"/>
    </row>
    <row r="726">
      <c r="A726" s="1984"/>
      <c r="B726" s="1984"/>
      <c r="C726" s="1984"/>
      <c r="D726" s="1982"/>
    </row>
    <row r="727">
      <c r="A727" s="1984"/>
      <c r="B727" s="1984"/>
      <c r="C727" s="1984"/>
      <c r="D727" s="1982"/>
    </row>
    <row r="728">
      <c r="A728" s="1984"/>
      <c r="B728" s="1984"/>
      <c r="C728" s="1984"/>
      <c r="D728" s="1982"/>
    </row>
    <row r="729">
      <c r="A729" s="1984"/>
      <c r="B729" s="1984"/>
      <c r="C729" s="1984"/>
      <c r="D729" s="1982"/>
    </row>
    <row r="730">
      <c r="A730" s="1984"/>
      <c r="B730" s="1984"/>
      <c r="C730" s="1984"/>
      <c r="D730" s="1982"/>
    </row>
    <row r="731">
      <c r="A731" s="1984"/>
      <c r="B731" s="1984"/>
      <c r="C731" s="1984"/>
      <c r="D731" s="1982"/>
    </row>
    <row r="732">
      <c r="A732" s="1984"/>
      <c r="B732" s="1984"/>
      <c r="C732" s="1984"/>
      <c r="D732" s="1982"/>
    </row>
    <row r="733">
      <c r="A733" s="1984"/>
      <c r="B733" s="1984"/>
      <c r="C733" s="1984"/>
      <c r="D733" s="1982"/>
    </row>
    <row r="734">
      <c r="A734" s="1984"/>
      <c r="B734" s="1984"/>
      <c r="C734" s="1984"/>
      <c r="D734" s="1982"/>
    </row>
    <row r="735">
      <c r="A735" s="1984"/>
      <c r="B735" s="1984"/>
      <c r="C735" s="1984"/>
      <c r="D735" s="1982"/>
    </row>
    <row r="736">
      <c r="A736" s="1984"/>
      <c r="B736" s="1984"/>
      <c r="C736" s="1984"/>
      <c r="D736" s="1982"/>
    </row>
    <row r="737">
      <c r="A737" s="1984"/>
      <c r="B737" s="1984"/>
      <c r="C737" s="1984"/>
      <c r="D737" s="1982"/>
    </row>
    <row r="738">
      <c r="A738" s="1984"/>
      <c r="B738" s="1984"/>
      <c r="C738" s="1984"/>
      <c r="D738" s="1982"/>
    </row>
    <row r="739">
      <c r="A739" s="1984"/>
      <c r="B739" s="1984"/>
      <c r="C739" s="1984"/>
      <c r="D739" s="1982"/>
    </row>
    <row r="740">
      <c r="A740" s="1984"/>
      <c r="B740" s="1984"/>
      <c r="C740" s="1984"/>
      <c r="D740" s="1982"/>
    </row>
    <row r="741">
      <c r="A741" s="1984"/>
      <c r="B741" s="1984"/>
      <c r="C741" s="1984"/>
      <c r="D741" s="1982"/>
    </row>
    <row r="742">
      <c r="A742" s="1984"/>
      <c r="B742" s="1984"/>
      <c r="C742" s="1984"/>
      <c r="D742" s="1982"/>
    </row>
    <row r="743">
      <c r="A743" s="1984"/>
      <c r="B743" s="1984"/>
      <c r="C743" s="1984"/>
      <c r="D743" s="1982"/>
    </row>
    <row r="744">
      <c r="A744" s="1984"/>
      <c r="B744" s="1984"/>
      <c r="C744" s="1984"/>
      <c r="D744" s="1982"/>
    </row>
    <row r="745">
      <c r="A745" s="1984"/>
      <c r="B745" s="1984"/>
      <c r="C745" s="1984"/>
      <c r="D745" s="1982"/>
    </row>
    <row r="746">
      <c r="A746" s="1984"/>
      <c r="B746" s="1984"/>
      <c r="C746" s="1984"/>
      <c r="D746" s="1982"/>
    </row>
    <row r="747">
      <c r="A747" s="1984"/>
      <c r="B747" s="1984"/>
      <c r="C747" s="1984"/>
      <c r="D747" s="1982"/>
    </row>
    <row r="748">
      <c r="A748" s="1984"/>
      <c r="B748" s="1984"/>
      <c r="C748" s="1984"/>
      <c r="D748" s="1982"/>
    </row>
    <row r="749">
      <c r="A749" s="1984"/>
      <c r="B749" s="1984"/>
      <c r="C749" s="1984"/>
      <c r="D749" s="1982"/>
    </row>
    <row r="750">
      <c r="A750" s="1984"/>
      <c r="B750" s="1984"/>
      <c r="C750" s="1984"/>
      <c r="D750" s="1982"/>
    </row>
    <row r="751">
      <c r="A751" s="1984"/>
      <c r="B751" s="1984"/>
      <c r="C751" s="1984"/>
      <c r="D751" s="1982"/>
    </row>
    <row r="752">
      <c r="A752" s="1984"/>
      <c r="B752" s="1984"/>
      <c r="C752" s="1984"/>
      <c r="D752" s="1982"/>
    </row>
    <row r="753">
      <c r="A753" s="1984"/>
      <c r="B753" s="1984"/>
      <c r="C753" s="1984"/>
      <c r="D753" s="1982"/>
    </row>
    <row r="754">
      <c r="A754" s="1984"/>
      <c r="B754" s="1984"/>
      <c r="C754" s="1984"/>
      <c r="D754" s="1982"/>
    </row>
    <row r="755">
      <c r="A755" s="1984"/>
      <c r="B755" s="1984"/>
      <c r="C755" s="1984"/>
      <c r="D755" s="1982"/>
    </row>
    <row r="756">
      <c r="A756" s="1984"/>
      <c r="B756" s="1984"/>
      <c r="C756" s="1984"/>
      <c r="D756" s="1982"/>
    </row>
    <row r="757">
      <c r="A757" s="1984"/>
      <c r="B757" s="1984"/>
      <c r="C757" s="1984"/>
      <c r="D757" s="1982"/>
    </row>
    <row r="758">
      <c r="A758" s="1984"/>
      <c r="B758" s="1984"/>
      <c r="C758" s="1984"/>
      <c r="D758" s="1982"/>
    </row>
    <row r="759">
      <c r="A759" s="1984"/>
      <c r="B759" s="1984"/>
      <c r="C759" s="1984"/>
      <c r="D759" s="1982"/>
    </row>
    <row r="760">
      <c r="A760" s="1984"/>
      <c r="B760" s="1984"/>
      <c r="C760" s="1984"/>
      <c r="D760" s="1982"/>
    </row>
    <row r="761">
      <c r="A761" s="1984"/>
      <c r="B761" s="1984"/>
      <c r="C761" s="1984"/>
      <c r="D761" s="1982"/>
    </row>
    <row r="762">
      <c r="A762" s="1984"/>
      <c r="B762" s="1984"/>
      <c r="C762" s="1984"/>
      <c r="D762" s="1982"/>
    </row>
    <row r="763">
      <c r="A763" s="1984"/>
      <c r="B763" s="1984"/>
      <c r="C763" s="1984"/>
      <c r="D763" s="1982"/>
    </row>
    <row r="764">
      <c r="A764" s="1984"/>
      <c r="B764" s="1984"/>
      <c r="C764" s="1984"/>
      <c r="D764" s="1982"/>
    </row>
    <row r="765">
      <c r="A765" s="1984"/>
      <c r="B765" s="1984"/>
      <c r="C765" s="1984"/>
      <c r="D765" s="1982"/>
    </row>
    <row r="766">
      <c r="A766" s="1984"/>
      <c r="B766" s="1984"/>
      <c r="C766" s="1984"/>
      <c r="D766" s="1982"/>
    </row>
    <row r="767">
      <c r="A767" s="1984"/>
      <c r="B767" s="1984"/>
      <c r="C767" s="1984"/>
      <c r="D767" s="1982"/>
    </row>
    <row r="768">
      <c r="A768" s="1984"/>
      <c r="B768" s="1984"/>
      <c r="C768" s="1984"/>
      <c r="D768" s="1982"/>
    </row>
    <row r="769">
      <c r="A769" s="1984"/>
      <c r="B769" s="1984"/>
      <c r="C769" s="1984"/>
      <c r="D769" s="1982"/>
    </row>
    <row r="770">
      <c r="A770" s="1984"/>
      <c r="B770" s="1984"/>
      <c r="C770" s="1984"/>
      <c r="D770" s="1982"/>
    </row>
    <row r="771">
      <c r="A771" s="1984"/>
      <c r="B771" s="1984"/>
      <c r="C771" s="1984"/>
      <c r="D771" s="1982"/>
    </row>
    <row r="772">
      <c r="A772" s="1984"/>
      <c r="B772" s="1984"/>
      <c r="C772" s="1984"/>
      <c r="D772" s="1982"/>
    </row>
    <row r="773">
      <c r="A773" s="1984"/>
      <c r="B773" s="1984"/>
      <c r="C773" s="1984"/>
      <c r="D773" s="1982"/>
    </row>
    <row r="774">
      <c r="A774" s="1984"/>
      <c r="B774" s="1984"/>
      <c r="C774" s="1984"/>
      <c r="D774" s="1982"/>
    </row>
    <row r="775">
      <c r="A775" s="1984"/>
      <c r="B775" s="1984"/>
      <c r="C775" s="1984"/>
      <c r="D775" s="1982"/>
    </row>
    <row r="776">
      <c r="A776" s="1984"/>
      <c r="B776" s="1984"/>
      <c r="C776" s="1984"/>
      <c r="D776" s="1982"/>
    </row>
    <row r="777">
      <c r="A777" s="1984"/>
      <c r="B777" s="1984"/>
      <c r="C777" s="1984"/>
      <c r="D777" s="1982"/>
    </row>
    <row r="778">
      <c r="A778" s="1984"/>
      <c r="B778" s="1984"/>
      <c r="C778" s="1984"/>
      <c r="D778" s="1982"/>
    </row>
    <row r="779">
      <c r="A779" s="1984"/>
      <c r="B779" s="1984"/>
      <c r="C779" s="1984"/>
      <c r="D779" s="1982"/>
    </row>
    <row r="780">
      <c r="A780" s="1984"/>
      <c r="B780" s="1984"/>
      <c r="C780" s="1984"/>
      <c r="D780" s="1982"/>
    </row>
    <row r="781">
      <c r="A781" s="1984"/>
      <c r="B781" s="1984"/>
      <c r="C781" s="1984"/>
      <c r="D781" s="1982"/>
    </row>
    <row r="782">
      <c r="A782" s="1984"/>
      <c r="B782" s="1984"/>
      <c r="C782" s="1984"/>
      <c r="D782" s="1982"/>
    </row>
    <row r="783">
      <c r="A783" s="1984"/>
      <c r="B783" s="1984"/>
      <c r="C783" s="1984"/>
      <c r="D783" s="1982"/>
    </row>
    <row r="784">
      <c r="A784" s="1984"/>
      <c r="B784" s="1984"/>
      <c r="C784" s="1984"/>
      <c r="D784" s="1982"/>
    </row>
    <row r="785">
      <c r="A785" s="1984"/>
      <c r="B785" s="1984"/>
      <c r="C785" s="1984"/>
      <c r="D785" s="1982"/>
    </row>
    <row r="786">
      <c r="A786" s="1984"/>
      <c r="B786" s="1984"/>
      <c r="C786" s="1984"/>
      <c r="D786" s="1982"/>
    </row>
    <row r="787">
      <c r="A787" s="1984"/>
      <c r="B787" s="1984"/>
      <c r="C787" s="1984"/>
      <c r="D787" s="1982"/>
    </row>
    <row r="788">
      <c r="A788" s="1984"/>
      <c r="B788" s="1984"/>
      <c r="C788" s="1984"/>
      <c r="D788" s="1982"/>
    </row>
    <row r="789">
      <c r="A789" s="1984"/>
      <c r="B789" s="1984"/>
      <c r="C789" s="1984"/>
      <c r="D789" s="1982"/>
    </row>
    <row r="790">
      <c r="A790" s="1984"/>
      <c r="B790" s="1984"/>
      <c r="C790" s="1984"/>
      <c r="D790" s="1982"/>
    </row>
    <row r="791">
      <c r="A791" s="1984"/>
      <c r="B791" s="1984"/>
      <c r="C791" s="1984"/>
      <c r="D791" s="1982"/>
    </row>
    <row r="792">
      <c r="A792" s="1984"/>
      <c r="B792" s="1984"/>
      <c r="C792" s="1984"/>
      <c r="D792" s="1982"/>
    </row>
    <row r="793">
      <c r="A793" s="1984"/>
      <c r="B793" s="1984"/>
      <c r="C793" s="1984"/>
      <c r="D793" s="1982"/>
    </row>
    <row r="794">
      <c r="A794" s="1984"/>
      <c r="B794" s="1984"/>
      <c r="C794" s="1984"/>
      <c r="D794" s="1982"/>
    </row>
    <row r="795">
      <c r="A795" s="1984"/>
      <c r="B795" s="1984"/>
      <c r="C795" s="1984"/>
      <c r="D795" s="1982"/>
    </row>
    <row r="796">
      <c r="A796" s="1984"/>
      <c r="B796" s="1984"/>
      <c r="C796" s="1984"/>
      <c r="D796" s="1982"/>
    </row>
    <row r="797">
      <c r="A797" s="1984"/>
      <c r="B797" s="1984"/>
      <c r="C797" s="1984"/>
      <c r="D797" s="1982"/>
    </row>
    <row r="798">
      <c r="A798" s="1984"/>
      <c r="B798" s="1984"/>
      <c r="C798" s="1984"/>
      <c r="D798" s="1982"/>
    </row>
    <row r="799">
      <c r="A799" s="1984"/>
      <c r="B799" s="1984"/>
      <c r="C799" s="1984"/>
      <c r="D799" s="1982"/>
    </row>
    <row r="800">
      <c r="A800" s="1984"/>
      <c r="B800" s="1984"/>
      <c r="C800" s="1984"/>
      <c r="D800" s="1982"/>
    </row>
    <row r="801">
      <c r="A801" s="1984"/>
      <c r="B801" s="1984"/>
      <c r="C801" s="1984"/>
      <c r="D801" s="1982"/>
    </row>
    <row r="802">
      <c r="A802" s="1984"/>
      <c r="B802" s="1984"/>
      <c r="C802" s="1984"/>
      <c r="D802" s="1982"/>
    </row>
    <row r="803">
      <c r="A803" s="1984"/>
      <c r="B803" s="1984"/>
      <c r="C803" s="1984"/>
      <c r="D803" s="1982"/>
    </row>
    <row r="804">
      <c r="A804" s="1984"/>
      <c r="B804" s="1984"/>
      <c r="C804" s="1984"/>
      <c r="D804" s="1982"/>
    </row>
    <row r="805">
      <c r="A805" s="1984"/>
      <c r="B805" s="1984"/>
      <c r="C805" s="1984"/>
      <c r="D805" s="1982"/>
    </row>
    <row r="806">
      <c r="A806" s="1984"/>
      <c r="B806" s="1984"/>
      <c r="C806" s="1984"/>
      <c r="D806" s="1982"/>
    </row>
    <row r="807">
      <c r="A807" s="1984"/>
      <c r="B807" s="1984"/>
      <c r="C807" s="1984"/>
      <c r="D807" s="1982"/>
    </row>
    <row r="808">
      <c r="A808" s="1984"/>
      <c r="B808" s="1984"/>
      <c r="C808" s="1984"/>
      <c r="D808" s="1982"/>
    </row>
    <row r="809">
      <c r="A809" s="1984"/>
      <c r="B809" s="1984"/>
      <c r="C809" s="1984"/>
      <c r="D809" s="1982"/>
    </row>
    <row r="810">
      <c r="A810" s="1984"/>
      <c r="B810" s="1984"/>
      <c r="C810" s="1984"/>
      <c r="D810" s="1982"/>
    </row>
    <row r="811">
      <c r="A811" s="1984"/>
      <c r="B811" s="1984"/>
      <c r="C811" s="1984"/>
      <c r="D811" s="1982"/>
    </row>
    <row r="812">
      <c r="A812" s="1984"/>
      <c r="B812" s="1984"/>
      <c r="C812" s="1984"/>
      <c r="D812" s="1982"/>
    </row>
    <row r="813">
      <c r="A813" s="1984"/>
      <c r="B813" s="1984"/>
      <c r="C813" s="1984"/>
      <c r="D813" s="1982"/>
    </row>
    <row r="814">
      <c r="A814" s="1984"/>
      <c r="B814" s="1984"/>
      <c r="C814" s="1984"/>
      <c r="D814" s="1982"/>
    </row>
    <row r="815">
      <c r="A815" s="1984"/>
      <c r="B815" s="1984"/>
      <c r="C815" s="1984"/>
      <c r="D815" s="1982"/>
    </row>
    <row r="816">
      <c r="A816" s="1984"/>
      <c r="B816" s="1984"/>
      <c r="C816" s="1984"/>
      <c r="D816" s="1982"/>
    </row>
    <row r="817">
      <c r="A817" s="1984"/>
      <c r="B817" s="1984"/>
      <c r="C817" s="1984"/>
      <c r="D817" s="1982"/>
    </row>
    <row r="818">
      <c r="A818" s="1984"/>
      <c r="B818" s="1984"/>
      <c r="C818" s="1984"/>
      <c r="D818" s="1982"/>
    </row>
    <row r="819">
      <c r="A819" s="1984"/>
      <c r="B819" s="1984"/>
      <c r="C819" s="1984"/>
      <c r="D819" s="1982"/>
    </row>
    <row r="820">
      <c r="A820" s="1984"/>
      <c r="B820" s="1984"/>
      <c r="C820" s="1984"/>
      <c r="D820" s="1982"/>
    </row>
    <row r="821">
      <c r="A821" s="1984"/>
      <c r="B821" s="1984"/>
      <c r="C821" s="1984"/>
      <c r="D821" s="1982"/>
    </row>
    <row r="822">
      <c r="A822" s="1984"/>
      <c r="B822" s="1984"/>
      <c r="C822" s="1984"/>
      <c r="D822" s="1982"/>
    </row>
    <row r="823">
      <c r="A823" s="1984"/>
      <c r="B823" s="1984"/>
      <c r="C823" s="1984"/>
      <c r="D823" s="1982"/>
    </row>
    <row r="824">
      <c r="A824" s="1984"/>
      <c r="B824" s="1984"/>
      <c r="C824" s="1984"/>
      <c r="D824" s="1982"/>
    </row>
    <row r="825">
      <c r="A825" s="1984"/>
      <c r="B825" s="1984"/>
      <c r="C825" s="1984"/>
      <c r="D825" s="1982"/>
    </row>
    <row r="826">
      <c r="A826" s="1984"/>
      <c r="B826" s="1984"/>
      <c r="C826" s="1984"/>
      <c r="D826" s="1982"/>
    </row>
    <row r="827">
      <c r="A827" s="1984"/>
      <c r="B827" s="1984"/>
      <c r="C827" s="1984"/>
      <c r="D827" s="1982"/>
    </row>
    <row r="828">
      <c r="A828" s="1984"/>
      <c r="B828" s="1984"/>
      <c r="C828" s="1984"/>
      <c r="D828" s="1982"/>
    </row>
    <row r="829">
      <c r="A829" s="1984"/>
      <c r="B829" s="1984"/>
      <c r="C829" s="1984"/>
      <c r="D829" s="1982"/>
    </row>
    <row r="830">
      <c r="A830" s="1984"/>
      <c r="B830" s="1984"/>
      <c r="C830" s="1984"/>
      <c r="D830" s="1982"/>
    </row>
    <row r="831">
      <c r="A831" s="1984"/>
      <c r="B831" s="1984"/>
      <c r="C831" s="1984"/>
      <c r="D831" s="1982"/>
    </row>
    <row r="832">
      <c r="A832" s="1984"/>
      <c r="B832" s="1984"/>
      <c r="C832" s="1984"/>
      <c r="D832" s="1982"/>
    </row>
    <row r="833">
      <c r="A833" s="1984"/>
      <c r="B833" s="1984"/>
      <c r="C833" s="1984"/>
      <c r="D833" s="1982"/>
    </row>
    <row r="834">
      <c r="A834" s="1984"/>
      <c r="B834" s="1984"/>
      <c r="C834" s="1984"/>
      <c r="D834" s="1982"/>
    </row>
    <row r="835">
      <c r="A835" s="1984"/>
      <c r="B835" s="1984"/>
      <c r="C835" s="1984"/>
      <c r="D835" s="1982"/>
    </row>
    <row r="836">
      <c r="A836" s="1984"/>
      <c r="B836" s="1984"/>
      <c r="C836" s="1984"/>
      <c r="D836" s="1982"/>
    </row>
    <row r="837">
      <c r="A837" s="1984"/>
      <c r="B837" s="1984"/>
      <c r="C837" s="1984"/>
      <c r="D837" s="1982"/>
    </row>
    <row r="838">
      <c r="A838" s="1984"/>
      <c r="B838" s="1984"/>
      <c r="C838" s="1984"/>
      <c r="D838" s="1982"/>
    </row>
    <row r="839">
      <c r="A839" s="1984"/>
      <c r="B839" s="1984"/>
      <c r="C839" s="1984"/>
      <c r="D839" s="1982"/>
    </row>
    <row r="840">
      <c r="A840" s="1984"/>
      <c r="B840" s="1984"/>
      <c r="C840" s="1984"/>
      <c r="D840" s="1982"/>
    </row>
    <row r="841">
      <c r="A841" s="1984"/>
      <c r="B841" s="1984"/>
      <c r="C841" s="1984"/>
      <c r="D841" s="1982"/>
    </row>
    <row r="842">
      <c r="A842" s="1984"/>
      <c r="B842" s="1984"/>
      <c r="C842" s="1984"/>
      <c r="D842" s="1982"/>
    </row>
    <row r="843">
      <c r="A843" s="1984"/>
      <c r="B843" s="1984"/>
      <c r="C843" s="1984"/>
      <c r="D843" s="1982"/>
    </row>
    <row r="844">
      <c r="A844" s="1984"/>
      <c r="B844" s="1984"/>
      <c r="C844" s="1984"/>
      <c r="D844" s="1982"/>
    </row>
    <row r="845">
      <c r="A845" s="1984"/>
      <c r="B845" s="1984"/>
      <c r="C845" s="1984"/>
      <c r="D845" s="1982"/>
    </row>
    <row r="846">
      <c r="A846" s="1984"/>
      <c r="B846" s="1984"/>
      <c r="C846" s="1984"/>
      <c r="D846" s="1982"/>
    </row>
    <row r="847">
      <c r="A847" s="1984"/>
      <c r="B847" s="1984"/>
      <c r="C847" s="1984"/>
      <c r="D847" s="1982"/>
    </row>
    <row r="848">
      <c r="A848" s="1984"/>
      <c r="B848" s="1984"/>
      <c r="C848" s="1984"/>
      <c r="D848" s="1982"/>
    </row>
    <row r="849">
      <c r="A849" s="1984"/>
      <c r="B849" s="1984"/>
      <c r="C849" s="1984"/>
      <c r="D849" s="1982"/>
    </row>
    <row r="850">
      <c r="A850" s="1984"/>
      <c r="B850" s="1984"/>
      <c r="C850" s="1984"/>
      <c r="D850" s="1982"/>
    </row>
    <row r="851">
      <c r="A851" s="1984"/>
      <c r="B851" s="1984"/>
      <c r="C851" s="1984"/>
      <c r="D851" s="1982"/>
    </row>
    <row r="852">
      <c r="A852" s="1984"/>
      <c r="B852" s="1984"/>
      <c r="C852" s="1984"/>
      <c r="D852" s="1982"/>
    </row>
    <row r="853">
      <c r="A853" s="1984"/>
      <c r="B853" s="1984"/>
      <c r="C853" s="1984"/>
      <c r="D853" s="1982"/>
    </row>
    <row r="854">
      <c r="A854" s="1984"/>
      <c r="B854" s="1984"/>
      <c r="C854" s="1984"/>
      <c r="D854" s="1982"/>
    </row>
    <row r="855">
      <c r="A855" s="1984"/>
      <c r="B855" s="1984"/>
      <c r="C855" s="1984"/>
      <c r="D855" s="1982"/>
    </row>
    <row r="856">
      <c r="A856" s="1984"/>
      <c r="B856" s="1984"/>
      <c r="C856" s="1984"/>
      <c r="D856" s="1982"/>
    </row>
    <row r="857">
      <c r="A857" s="1984"/>
      <c r="B857" s="1984"/>
      <c r="C857" s="1984"/>
      <c r="D857" s="1982"/>
    </row>
    <row r="858">
      <c r="A858" s="1984"/>
      <c r="B858" s="1984"/>
      <c r="C858" s="1984"/>
      <c r="D858" s="1982"/>
    </row>
    <row r="859">
      <c r="A859" s="1984"/>
      <c r="B859" s="1984"/>
      <c r="C859" s="1984"/>
      <c r="D859" s="1982"/>
    </row>
    <row r="860">
      <c r="A860" s="1984"/>
      <c r="B860" s="1984"/>
      <c r="C860" s="1984"/>
      <c r="D860" s="1982"/>
    </row>
    <row r="861">
      <c r="A861" s="1984"/>
      <c r="B861" s="1984"/>
      <c r="C861" s="1984"/>
      <c r="D861" s="1982"/>
    </row>
    <row r="862">
      <c r="A862" s="1984"/>
      <c r="B862" s="1984"/>
      <c r="C862" s="1984"/>
      <c r="D862" s="1982"/>
    </row>
    <row r="863">
      <c r="A863" s="1984"/>
      <c r="B863" s="1984"/>
      <c r="C863" s="1984"/>
      <c r="D863" s="1982"/>
    </row>
    <row r="864">
      <c r="A864" s="1984"/>
      <c r="B864" s="1984"/>
      <c r="C864" s="1984"/>
      <c r="D864" s="1982"/>
    </row>
    <row r="865">
      <c r="A865" s="1984"/>
      <c r="B865" s="1984"/>
      <c r="C865" s="1984"/>
      <c r="D865" s="1982"/>
    </row>
    <row r="866">
      <c r="A866" s="1984"/>
      <c r="B866" s="1984"/>
      <c r="C866" s="1984"/>
      <c r="D866" s="1982"/>
    </row>
    <row r="867">
      <c r="A867" s="1984"/>
      <c r="B867" s="1984"/>
      <c r="C867" s="1984"/>
      <c r="D867" s="1982"/>
    </row>
    <row r="868">
      <c r="A868" s="1984"/>
      <c r="B868" s="1984"/>
      <c r="C868" s="1984"/>
      <c r="D868" s="1982"/>
    </row>
    <row r="869">
      <c r="A869" s="1984"/>
      <c r="B869" s="1984"/>
      <c r="C869" s="1984"/>
      <c r="D869" s="1982"/>
    </row>
    <row r="870">
      <c r="A870" s="1984"/>
      <c r="B870" s="1984"/>
      <c r="C870" s="1984"/>
      <c r="D870" s="1982"/>
    </row>
    <row r="871">
      <c r="A871" s="1984"/>
      <c r="B871" s="1984"/>
      <c r="C871" s="1984"/>
      <c r="D871" s="1982"/>
    </row>
    <row r="872">
      <c r="A872" s="1984"/>
      <c r="B872" s="1984"/>
      <c r="C872" s="1984"/>
      <c r="D872" s="1982"/>
    </row>
    <row r="873">
      <c r="A873" s="1984"/>
      <c r="B873" s="1984"/>
      <c r="C873" s="1984"/>
      <c r="D873" s="1982"/>
    </row>
    <row r="874">
      <c r="A874" s="1984"/>
      <c r="B874" s="1984"/>
      <c r="C874" s="1984"/>
      <c r="D874" s="1982"/>
    </row>
    <row r="875">
      <c r="A875" s="1984"/>
      <c r="B875" s="1984"/>
      <c r="C875" s="1984"/>
      <c r="D875" s="1982"/>
    </row>
    <row r="876">
      <c r="A876" s="1984"/>
      <c r="B876" s="1984"/>
      <c r="C876" s="1984"/>
      <c r="D876" s="1982"/>
    </row>
    <row r="877">
      <c r="A877" s="1984"/>
      <c r="B877" s="1984"/>
      <c r="C877" s="1984"/>
      <c r="D877" s="1982"/>
    </row>
    <row r="878">
      <c r="A878" s="1984"/>
      <c r="B878" s="1984"/>
      <c r="C878" s="1984"/>
      <c r="D878" s="1982"/>
    </row>
    <row r="879">
      <c r="A879" s="1984"/>
      <c r="B879" s="1984"/>
      <c r="C879" s="1984"/>
      <c r="D879" s="1982"/>
    </row>
    <row r="880">
      <c r="A880" s="1984"/>
      <c r="B880" s="1984"/>
      <c r="C880" s="1984"/>
      <c r="D880" s="1982"/>
    </row>
    <row r="881">
      <c r="A881" s="1984"/>
      <c r="B881" s="1984"/>
      <c r="C881" s="1984"/>
      <c r="D881" s="1982"/>
    </row>
    <row r="882">
      <c r="A882" s="1984"/>
      <c r="B882" s="1984"/>
      <c r="C882" s="1984"/>
      <c r="D882" s="1982"/>
    </row>
    <row r="883">
      <c r="A883" s="1984"/>
      <c r="B883" s="1984"/>
      <c r="C883" s="1984"/>
      <c r="D883" s="1982"/>
    </row>
    <row r="884">
      <c r="A884" s="1984"/>
      <c r="B884" s="1984"/>
      <c r="C884" s="1984"/>
      <c r="D884" s="1982"/>
    </row>
    <row r="885">
      <c r="A885" s="1984"/>
      <c r="B885" s="1984"/>
      <c r="C885" s="1984"/>
      <c r="D885" s="1982"/>
    </row>
    <row r="886">
      <c r="A886" s="1984"/>
      <c r="B886" s="1984"/>
      <c r="C886" s="1984"/>
      <c r="D886" s="1982"/>
    </row>
    <row r="887">
      <c r="A887" s="1984"/>
      <c r="B887" s="1984"/>
      <c r="C887" s="1984"/>
      <c r="D887" s="1982"/>
    </row>
    <row r="888">
      <c r="A888" s="1984"/>
      <c r="B888" s="1984"/>
      <c r="C888" s="1984"/>
      <c r="D888" s="1982"/>
    </row>
    <row r="889">
      <c r="A889" s="1984"/>
      <c r="B889" s="1984"/>
      <c r="C889" s="1984"/>
      <c r="D889" s="1982"/>
    </row>
    <row r="890">
      <c r="A890" s="1984"/>
      <c r="B890" s="1984"/>
      <c r="C890" s="1984"/>
      <c r="D890" s="1982"/>
    </row>
    <row r="891">
      <c r="A891" s="1984"/>
      <c r="B891" s="1984"/>
      <c r="C891" s="1984"/>
      <c r="D891" s="1982"/>
    </row>
    <row r="892">
      <c r="A892" s="1984"/>
      <c r="B892" s="1984"/>
      <c r="C892" s="1984"/>
      <c r="D892" s="1982"/>
    </row>
    <row r="893">
      <c r="A893" s="1984"/>
      <c r="B893" s="1984"/>
      <c r="C893" s="1984"/>
      <c r="D893" s="1982"/>
    </row>
    <row r="894">
      <c r="A894" s="1984"/>
      <c r="B894" s="1984"/>
      <c r="C894" s="1984"/>
      <c r="D894" s="1982"/>
    </row>
    <row r="895">
      <c r="A895" s="1984"/>
      <c r="B895" s="1984"/>
      <c r="C895" s="1984"/>
      <c r="D895" s="1982"/>
    </row>
    <row r="896">
      <c r="A896" s="1984"/>
      <c r="B896" s="1984"/>
      <c r="C896" s="1984"/>
      <c r="D896" s="1982"/>
    </row>
    <row r="897">
      <c r="A897" s="1984"/>
      <c r="B897" s="1984"/>
      <c r="C897" s="1984"/>
      <c r="D897" s="1982"/>
    </row>
    <row r="898">
      <c r="A898" s="1984"/>
      <c r="B898" s="1984"/>
      <c r="C898" s="1984"/>
      <c r="D898" s="1982"/>
    </row>
    <row r="899">
      <c r="A899" s="1984"/>
      <c r="B899" s="1984"/>
      <c r="C899" s="1984"/>
      <c r="D899" s="1982"/>
    </row>
    <row r="900">
      <c r="A900" s="1984"/>
      <c r="B900" s="1984"/>
      <c r="C900" s="1984"/>
      <c r="D900" s="1982"/>
    </row>
    <row r="901">
      <c r="A901" s="1984"/>
      <c r="B901" s="1984"/>
      <c r="C901" s="1984"/>
      <c r="D901" s="1982"/>
    </row>
    <row r="902">
      <c r="A902" s="1984"/>
      <c r="B902" s="1984"/>
      <c r="C902" s="1984"/>
      <c r="D902" s="1982"/>
    </row>
    <row r="903">
      <c r="A903" s="1984"/>
      <c r="B903" s="1984"/>
      <c r="C903" s="1984"/>
      <c r="D903" s="1982"/>
    </row>
    <row r="904">
      <c r="A904" s="1984"/>
      <c r="B904" s="1984"/>
      <c r="C904" s="1984"/>
      <c r="D904" s="1982"/>
    </row>
    <row r="905">
      <c r="A905" s="1984"/>
      <c r="B905" s="1984"/>
      <c r="C905" s="1984"/>
      <c r="D905" s="1982"/>
    </row>
    <row r="906">
      <c r="A906" s="1984"/>
      <c r="B906" s="1984"/>
      <c r="C906" s="1984"/>
      <c r="D906" s="1982"/>
    </row>
    <row r="907">
      <c r="A907" s="1984"/>
      <c r="B907" s="1984"/>
      <c r="C907" s="1984"/>
      <c r="D907" s="1982"/>
    </row>
    <row r="908">
      <c r="A908" s="1984"/>
      <c r="B908" s="1984"/>
      <c r="C908" s="1984"/>
      <c r="D908" s="1982"/>
    </row>
    <row r="909">
      <c r="A909" s="1984"/>
      <c r="B909" s="1984"/>
      <c r="C909" s="1984"/>
      <c r="D909" s="1982"/>
    </row>
    <row r="910">
      <c r="A910" s="1984"/>
      <c r="B910" s="1984"/>
      <c r="C910" s="1984"/>
      <c r="D910" s="1982"/>
    </row>
    <row r="911">
      <c r="A911" s="1984"/>
      <c r="B911" s="1984"/>
      <c r="C911" s="1984"/>
      <c r="D911" s="1982"/>
    </row>
    <row r="912">
      <c r="A912" s="1984"/>
      <c r="B912" s="1984"/>
      <c r="C912" s="1984"/>
      <c r="D912" s="1982"/>
    </row>
    <row r="913">
      <c r="A913" s="1984"/>
      <c r="B913" s="1984"/>
      <c r="C913" s="1984"/>
      <c r="D913" s="1982"/>
    </row>
    <row r="914">
      <c r="A914" s="1984"/>
      <c r="B914" s="1984"/>
      <c r="C914" s="1984"/>
      <c r="D914" s="1982"/>
    </row>
    <row r="915">
      <c r="A915" s="1984"/>
      <c r="B915" s="1984"/>
      <c r="C915" s="1984"/>
      <c r="D915" s="1982"/>
    </row>
    <row r="916">
      <c r="A916" s="1984"/>
      <c r="B916" s="1984"/>
      <c r="C916" s="1984"/>
      <c r="D916" s="1982"/>
    </row>
    <row r="917">
      <c r="A917" s="1984"/>
      <c r="B917" s="1984"/>
      <c r="C917" s="1984"/>
      <c r="D917" s="1982"/>
    </row>
    <row r="918">
      <c r="A918" s="1984"/>
      <c r="B918" s="1984"/>
      <c r="C918" s="1984"/>
      <c r="D918" s="1982"/>
    </row>
    <row r="919">
      <c r="A919" s="1984"/>
      <c r="B919" s="1984"/>
      <c r="C919" s="1984"/>
      <c r="D919" s="1982"/>
    </row>
    <row r="920">
      <c r="A920" s="1984"/>
      <c r="B920" s="1984"/>
      <c r="C920" s="1984"/>
      <c r="D920" s="1982"/>
    </row>
    <row r="921">
      <c r="A921" s="1984"/>
      <c r="B921" s="1984"/>
      <c r="C921" s="1984"/>
      <c r="D921" s="1982"/>
    </row>
    <row r="922">
      <c r="A922" s="1984"/>
      <c r="B922" s="1984"/>
      <c r="C922" s="1984"/>
      <c r="D922" s="1982"/>
    </row>
    <row r="923">
      <c r="A923" s="1984"/>
      <c r="B923" s="1984"/>
      <c r="C923" s="1984"/>
      <c r="D923" s="1982"/>
    </row>
    <row r="924">
      <c r="A924" s="1984"/>
      <c r="B924" s="1984"/>
      <c r="C924" s="1984"/>
      <c r="D924" s="1982"/>
    </row>
    <row r="925">
      <c r="A925" s="1984"/>
      <c r="B925" s="1984"/>
      <c r="C925" s="1984"/>
      <c r="D925" s="1982"/>
    </row>
    <row r="926">
      <c r="A926" s="1984"/>
      <c r="B926" s="1984"/>
      <c r="C926" s="1984"/>
      <c r="D926" s="1982"/>
    </row>
    <row r="927">
      <c r="A927" s="1984"/>
      <c r="B927" s="1984"/>
      <c r="C927" s="1984"/>
      <c r="D927" s="1982"/>
    </row>
    <row r="928">
      <c r="A928" s="1984"/>
      <c r="B928" s="1984"/>
      <c r="C928" s="1984"/>
      <c r="D928" s="1982"/>
    </row>
    <row r="929">
      <c r="A929" s="1984"/>
      <c r="B929" s="1984"/>
      <c r="C929" s="1984"/>
      <c r="D929" s="1982"/>
    </row>
    <row r="930">
      <c r="A930" s="1984"/>
      <c r="B930" s="1984"/>
      <c r="C930" s="1984"/>
      <c r="D930" s="1982"/>
    </row>
    <row r="931">
      <c r="A931" s="1984"/>
      <c r="B931" s="1984"/>
      <c r="C931" s="1984"/>
      <c r="D931" s="1982"/>
    </row>
    <row r="932">
      <c r="A932" s="1984"/>
      <c r="B932" s="1984"/>
      <c r="C932" s="1984"/>
      <c r="D932" s="1982"/>
    </row>
    <row r="933">
      <c r="A933" s="1984"/>
      <c r="B933" s="1984"/>
      <c r="C933" s="1984"/>
      <c r="D933" s="1982"/>
    </row>
    <row r="934">
      <c r="A934" s="1984"/>
      <c r="B934" s="1984"/>
      <c r="C934" s="1984"/>
      <c r="D934" s="1982"/>
    </row>
    <row r="935">
      <c r="A935" s="1984"/>
      <c r="B935" s="1984"/>
      <c r="C935" s="1984"/>
      <c r="D935" s="1982"/>
    </row>
    <row r="936">
      <c r="A936" s="1984"/>
      <c r="B936" s="1984"/>
      <c r="C936" s="1984"/>
      <c r="D936" s="1982"/>
    </row>
    <row r="937">
      <c r="A937" s="1984"/>
      <c r="B937" s="1984"/>
      <c r="C937" s="1984"/>
      <c r="D937" s="1982"/>
    </row>
    <row r="938">
      <c r="A938" s="1984"/>
      <c r="B938" s="1984"/>
      <c r="C938" s="1984"/>
      <c r="D938" s="1982"/>
    </row>
    <row r="939">
      <c r="A939" s="1984"/>
      <c r="B939" s="1984"/>
      <c r="C939" s="1984"/>
      <c r="D939" s="1982"/>
    </row>
    <row r="940">
      <c r="A940" s="1984"/>
      <c r="B940" s="1984"/>
      <c r="C940" s="1984"/>
      <c r="D940" s="1982"/>
    </row>
    <row r="941">
      <c r="A941" s="1984"/>
      <c r="B941" s="1984"/>
      <c r="C941" s="1984"/>
      <c r="D941" s="1982"/>
    </row>
    <row r="942">
      <c r="A942" s="1984"/>
      <c r="B942" s="1984"/>
      <c r="C942" s="1984"/>
      <c r="D942" s="1982"/>
    </row>
    <row r="943">
      <c r="A943" s="1984"/>
      <c r="B943" s="1984"/>
      <c r="C943" s="1984"/>
      <c r="D943" s="1982"/>
    </row>
    <row r="944">
      <c r="A944" s="1984"/>
      <c r="B944" s="1984"/>
      <c r="C944" s="1984"/>
      <c r="D944" s="1982"/>
    </row>
    <row r="945">
      <c r="A945" s="1984"/>
      <c r="B945" s="1984"/>
      <c r="C945" s="1984"/>
      <c r="D945" s="1982"/>
    </row>
    <row r="946">
      <c r="A946" s="1984"/>
      <c r="B946" s="1984"/>
      <c r="C946" s="1984"/>
      <c r="D946" s="1982"/>
    </row>
    <row r="947">
      <c r="A947" s="1984"/>
      <c r="B947" s="1984"/>
      <c r="C947" s="1984"/>
      <c r="D947" s="1982"/>
    </row>
    <row r="948">
      <c r="A948" s="1984"/>
      <c r="B948" s="1984"/>
      <c r="C948" s="1984"/>
      <c r="D948" s="1982"/>
    </row>
    <row r="949">
      <c r="A949" s="1984"/>
      <c r="B949" s="1984"/>
      <c r="C949" s="1984"/>
      <c r="D949" s="1982"/>
    </row>
    <row r="950">
      <c r="A950" s="1984"/>
      <c r="B950" s="1984"/>
      <c r="C950" s="1984"/>
      <c r="D950" s="1982"/>
    </row>
    <row r="951">
      <c r="A951" s="1984"/>
      <c r="B951" s="1984"/>
      <c r="C951" s="1984"/>
      <c r="D951" s="1982"/>
    </row>
    <row r="952">
      <c r="A952" s="1984"/>
      <c r="B952" s="1984"/>
      <c r="C952" s="1984"/>
      <c r="D952" s="1982"/>
    </row>
    <row r="953">
      <c r="A953" s="1984"/>
      <c r="B953" s="1984"/>
      <c r="C953" s="1984"/>
      <c r="D953" s="1982"/>
    </row>
    <row r="954">
      <c r="A954" s="1984"/>
      <c r="B954" s="1984"/>
      <c r="C954" s="1984"/>
      <c r="D954" s="1982"/>
    </row>
    <row r="955">
      <c r="A955" s="1984"/>
      <c r="B955" s="1984"/>
      <c r="C955" s="1984"/>
      <c r="D955" s="1982"/>
    </row>
    <row r="956">
      <c r="A956" s="1984"/>
      <c r="B956" s="1984"/>
      <c r="C956" s="1984"/>
      <c r="D956" s="1982"/>
    </row>
    <row r="957">
      <c r="A957" s="1984"/>
      <c r="B957" s="1984"/>
      <c r="C957" s="1984"/>
      <c r="D957" s="1982"/>
    </row>
    <row r="958">
      <c r="A958" s="1984"/>
      <c r="B958" s="1984"/>
      <c r="C958" s="1984"/>
      <c r="D958" s="1982"/>
    </row>
    <row r="959">
      <c r="A959" s="1984"/>
      <c r="B959" s="1984"/>
      <c r="C959" s="1984"/>
      <c r="D959" s="1982"/>
    </row>
    <row r="960">
      <c r="A960" s="1984"/>
      <c r="B960" s="1984"/>
      <c r="C960" s="1984"/>
      <c r="D960" s="1982"/>
    </row>
    <row r="961">
      <c r="A961" s="1984"/>
      <c r="B961" s="1984"/>
      <c r="C961" s="1984"/>
      <c r="D961" s="1982"/>
    </row>
    <row r="962">
      <c r="A962" s="1984"/>
      <c r="B962" s="1984"/>
      <c r="C962" s="1984"/>
      <c r="D962" s="1982"/>
    </row>
    <row r="963">
      <c r="A963" s="1984"/>
      <c r="B963" s="1984"/>
      <c r="C963" s="1984"/>
      <c r="D963" s="1982"/>
    </row>
    <row r="964">
      <c r="A964" s="1984"/>
      <c r="B964" s="1984"/>
      <c r="C964" s="1984"/>
      <c r="D964" s="1982"/>
    </row>
    <row r="965">
      <c r="A965" s="1984"/>
      <c r="B965" s="1984"/>
      <c r="C965" s="1984"/>
      <c r="D965" s="1982"/>
    </row>
    <row r="966">
      <c r="A966" s="1984"/>
      <c r="B966" s="1984"/>
      <c r="C966" s="1984"/>
      <c r="D966" s="1982"/>
    </row>
    <row r="967">
      <c r="A967" s="1984"/>
      <c r="B967" s="1984"/>
      <c r="C967" s="1984"/>
      <c r="D967" s="1982"/>
    </row>
    <row r="968">
      <c r="A968" s="1984"/>
      <c r="B968" s="1984"/>
      <c r="C968" s="1984"/>
      <c r="D968" s="1982"/>
    </row>
    <row r="969">
      <c r="A969" s="1984"/>
      <c r="B969" s="1984"/>
      <c r="C969" s="1984"/>
      <c r="D969" s="1982"/>
    </row>
    <row r="970">
      <c r="A970" s="1984"/>
      <c r="B970" s="1984"/>
      <c r="C970" s="1984"/>
      <c r="D970" s="1982"/>
    </row>
    <row r="971">
      <c r="A971" s="1984"/>
      <c r="B971" s="1984"/>
      <c r="C971" s="1984"/>
      <c r="D971" s="1982"/>
    </row>
    <row r="972">
      <c r="A972" s="1984"/>
      <c r="B972" s="1984"/>
      <c r="C972" s="1984"/>
      <c r="D972" s="1982"/>
    </row>
    <row r="973">
      <c r="A973" s="1984"/>
      <c r="B973" s="1984"/>
      <c r="C973" s="1984"/>
      <c r="D973" s="1982"/>
    </row>
    <row r="974">
      <c r="A974" s="1984"/>
      <c r="B974" s="1984"/>
      <c r="C974" s="1984"/>
      <c r="D974" s="1982"/>
    </row>
    <row r="975">
      <c r="A975" s="1984"/>
      <c r="B975" s="1984"/>
      <c r="C975" s="1984"/>
      <c r="D975" s="1982"/>
    </row>
    <row r="976">
      <c r="A976" s="1984"/>
      <c r="B976" s="1984"/>
      <c r="C976" s="1984"/>
      <c r="D976" s="1982"/>
    </row>
    <row r="977">
      <c r="A977" s="1984"/>
      <c r="B977" s="1984"/>
      <c r="C977" s="1984"/>
      <c r="D977" s="1982"/>
    </row>
    <row r="978">
      <c r="A978" s="1984"/>
      <c r="B978" s="1984"/>
      <c r="C978" s="1984"/>
      <c r="D978" s="1982"/>
    </row>
    <row r="979">
      <c r="A979" s="1984"/>
      <c r="B979" s="1984"/>
      <c r="C979" s="1984"/>
      <c r="D979" s="1982"/>
    </row>
    <row r="980">
      <c r="A980" s="1984"/>
      <c r="B980" s="1984"/>
      <c r="C980" s="1984"/>
      <c r="D980" s="1982"/>
    </row>
    <row r="981">
      <c r="A981" s="1984"/>
      <c r="B981" s="1984"/>
      <c r="C981" s="1984"/>
      <c r="D981" s="1982"/>
    </row>
    <row r="982">
      <c r="A982" s="1984"/>
      <c r="B982" s="1984"/>
      <c r="C982" s="1984"/>
      <c r="D982" s="1982"/>
    </row>
    <row r="983">
      <c r="A983" s="1984"/>
      <c r="B983" s="1984"/>
      <c r="C983" s="1984"/>
      <c r="D983" s="1982"/>
    </row>
    <row r="984">
      <c r="A984" s="1984"/>
      <c r="B984" s="1984"/>
      <c r="C984" s="1984"/>
      <c r="D984" s="1982"/>
    </row>
    <row r="985">
      <c r="A985" s="1984"/>
      <c r="B985" s="1984"/>
      <c r="C985" s="1984"/>
      <c r="D985" s="1982"/>
    </row>
    <row r="986">
      <c r="A986" s="1984"/>
      <c r="B986" s="1984"/>
      <c r="C986" s="1984"/>
      <c r="D986" s="1982"/>
    </row>
    <row r="987">
      <c r="A987" s="1984"/>
      <c r="B987" s="1984"/>
      <c r="C987" s="1984"/>
      <c r="D987" s="1982"/>
    </row>
    <row r="988">
      <c r="A988" s="1984"/>
      <c r="B988" s="1984"/>
      <c r="C988" s="1984"/>
      <c r="D988" s="1982"/>
    </row>
    <row r="989">
      <c r="A989" s="1984"/>
      <c r="B989" s="1984"/>
      <c r="C989" s="1984"/>
      <c r="D989" s="1982"/>
    </row>
    <row r="990">
      <c r="A990" s="1984"/>
      <c r="B990" s="1984"/>
      <c r="C990" s="1984"/>
      <c r="D990" s="1982"/>
    </row>
    <row r="991">
      <c r="A991" s="1984"/>
      <c r="B991" s="1984"/>
      <c r="C991" s="1984"/>
      <c r="D991" s="1982"/>
    </row>
    <row r="992">
      <c r="A992" s="1984"/>
      <c r="B992" s="1984"/>
      <c r="C992" s="1984"/>
      <c r="D992" s="1982"/>
    </row>
    <row r="993">
      <c r="A993" s="1984"/>
      <c r="B993" s="1984"/>
      <c r="C993" s="1984"/>
      <c r="D993" s="1982"/>
    </row>
    <row r="994">
      <c r="A994" s="1984"/>
      <c r="B994" s="1984"/>
      <c r="C994" s="1984"/>
      <c r="D994" s="1982"/>
    </row>
    <row r="995">
      <c r="A995" s="1984"/>
      <c r="B995" s="1984"/>
      <c r="C995" s="1984"/>
      <c r="D995" s="1982"/>
    </row>
    <row r="996">
      <c r="A996" s="1984"/>
      <c r="B996" s="1984"/>
      <c r="C996" s="1984"/>
      <c r="D996" s="1982"/>
    </row>
    <row r="997">
      <c r="A997" s="1984"/>
      <c r="B997" s="1984"/>
      <c r="C997" s="1984"/>
      <c r="D997" s="1982"/>
    </row>
    <row r="998">
      <c r="A998" s="1984"/>
      <c r="B998" s="1984"/>
      <c r="C998" s="1984"/>
      <c r="D998" s="1982"/>
    </row>
    <row r="999">
      <c r="A999" s="1984"/>
      <c r="B999" s="1984"/>
      <c r="C999" s="1984"/>
      <c r="D999" s="1982"/>
    </row>
    <row r="1000">
      <c r="A1000" s="1984"/>
      <c r="B1000" s="1984"/>
      <c r="C1000" s="1984"/>
      <c r="D1000" s="1982"/>
    </row>
    <row r="1001">
      <c r="A1001" s="1984"/>
      <c r="B1001" s="1984"/>
      <c r="C1001" s="1984"/>
      <c r="D1001" s="1982"/>
    </row>
    <row r="1002">
      <c r="A1002" s="1984"/>
      <c r="B1002" s="1984"/>
      <c r="C1002" s="1984"/>
      <c r="D1002" s="1982"/>
    </row>
    <row r="1003">
      <c r="A1003" s="1984"/>
      <c r="B1003" s="1984"/>
      <c r="C1003" s="1984"/>
      <c r="D1003" s="1982"/>
    </row>
    <row r="1004">
      <c r="A1004" s="1984"/>
      <c r="B1004" s="1984"/>
      <c r="C1004" s="1984"/>
      <c r="D1004" s="1982"/>
    </row>
    <row r="1005">
      <c r="A1005" s="1984"/>
      <c r="B1005" s="1984"/>
      <c r="C1005" s="1984"/>
      <c r="D1005" s="1982"/>
    </row>
    <row r="1006">
      <c r="A1006" s="1984"/>
      <c r="B1006" s="1984"/>
      <c r="C1006" s="1984"/>
      <c r="D1006" s="1982"/>
    </row>
    <row r="1007">
      <c r="A1007" s="1984"/>
      <c r="B1007" s="1984"/>
      <c r="C1007" s="1984"/>
      <c r="D1007" s="1982"/>
    </row>
    <row r="1008">
      <c r="A1008" s="1984"/>
      <c r="B1008" s="1984"/>
      <c r="C1008" s="1984"/>
      <c r="D1008" s="1982"/>
    </row>
    <row r="1009">
      <c r="A1009" s="1984"/>
      <c r="B1009" s="1984"/>
      <c r="C1009" s="1984"/>
      <c r="D1009" s="1982"/>
    </row>
    <row r="1010">
      <c r="A1010" s="1984"/>
      <c r="B1010" s="1984"/>
      <c r="C1010" s="1984"/>
      <c r="D1010" s="1982"/>
    </row>
    <row r="1011">
      <c r="A1011" s="1984"/>
      <c r="B1011" s="1984"/>
      <c r="C1011" s="1984"/>
      <c r="D1011" s="1982"/>
    </row>
    <row r="1012">
      <c r="A1012" s="1984"/>
      <c r="B1012" s="1984"/>
      <c r="C1012" s="1984"/>
      <c r="D1012" s="1982"/>
    </row>
    <row r="1013">
      <c r="A1013" s="1984"/>
      <c r="B1013" s="1984"/>
      <c r="C1013" s="1984"/>
      <c r="D1013" s="1982"/>
    </row>
    <row r="1014">
      <c r="A1014" s="1984"/>
      <c r="B1014" s="1984"/>
      <c r="C1014" s="1984"/>
      <c r="D1014" s="1982"/>
    </row>
    <row r="1015">
      <c r="A1015" s="1984"/>
      <c r="B1015" s="1984"/>
      <c r="C1015" s="1984"/>
      <c r="D1015" s="1982"/>
    </row>
    <row r="1016">
      <c r="A1016" s="1984"/>
      <c r="B1016" s="1984"/>
      <c r="C1016" s="1984"/>
      <c r="D1016" s="1982"/>
    </row>
    <row r="1017">
      <c r="A1017" s="1984"/>
      <c r="B1017" s="1984"/>
      <c r="C1017" s="1984"/>
      <c r="D1017" s="1982"/>
    </row>
    <row r="1018">
      <c r="A1018" s="1984"/>
      <c r="B1018" s="1984"/>
      <c r="C1018" s="1984"/>
      <c r="D1018" s="1982"/>
    </row>
    <row r="1019">
      <c r="A1019" s="1984"/>
      <c r="B1019" s="1984"/>
      <c r="C1019" s="1984"/>
      <c r="D1019" s="1982"/>
    </row>
    <row r="1020">
      <c r="A1020" s="1984"/>
      <c r="B1020" s="1984"/>
      <c r="C1020" s="1984"/>
      <c r="D1020" s="1982"/>
    </row>
    <row r="1021">
      <c r="A1021" s="1984"/>
      <c r="B1021" s="1984"/>
      <c r="C1021" s="1984"/>
      <c r="D1021" s="1982"/>
    </row>
    <row r="1022">
      <c r="A1022" s="1984"/>
      <c r="B1022" s="1984"/>
      <c r="C1022" s="1984"/>
      <c r="D1022" s="1982"/>
    </row>
    <row r="1023">
      <c r="A1023" s="1984"/>
      <c r="B1023" s="1984"/>
      <c r="C1023" s="1984"/>
      <c r="D1023" s="1982"/>
    </row>
    <row r="1024">
      <c r="A1024" s="1984"/>
      <c r="B1024" s="1984"/>
      <c r="C1024" s="1984"/>
      <c r="D1024" s="1982"/>
    </row>
    <row r="1025">
      <c r="A1025" s="1984"/>
      <c r="B1025" s="1984"/>
      <c r="C1025" s="1984"/>
      <c r="D1025" s="1982"/>
    </row>
    <row r="1026">
      <c r="A1026" s="1984"/>
      <c r="B1026" s="1984"/>
      <c r="C1026" s="1984"/>
      <c r="D1026" s="1982"/>
    </row>
    <row r="1027">
      <c r="A1027" s="1984"/>
      <c r="B1027" s="1984"/>
      <c r="C1027" s="1984"/>
      <c r="D1027" s="1982"/>
    </row>
    <row r="1028">
      <c r="A1028" s="1984"/>
      <c r="B1028" s="1984"/>
      <c r="C1028" s="1984"/>
      <c r="D1028" s="1982"/>
    </row>
    <row r="1029">
      <c r="A1029" s="1984"/>
      <c r="B1029" s="1984"/>
      <c r="C1029" s="1984"/>
      <c r="D1029" s="1982"/>
    </row>
    <row r="1030">
      <c r="A1030" s="1984"/>
      <c r="B1030" s="1984"/>
      <c r="C1030" s="1984"/>
      <c r="D1030" s="1982"/>
    </row>
    <row r="1031">
      <c r="A1031" s="1984"/>
      <c r="B1031" s="1984"/>
      <c r="C1031" s="1984"/>
      <c r="D1031" s="1982"/>
    </row>
    <row r="1032">
      <c r="A1032" s="1984"/>
      <c r="B1032" s="1984"/>
      <c r="C1032" s="1984"/>
      <c r="D1032" s="1982"/>
    </row>
    <row r="1033">
      <c r="A1033" s="1984"/>
      <c r="B1033" s="1984"/>
      <c r="C1033" s="1984"/>
      <c r="D1033" s="1982"/>
    </row>
    <row r="1034">
      <c r="A1034" s="1984"/>
      <c r="B1034" s="1984"/>
      <c r="C1034" s="1984"/>
      <c r="D1034" s="1982"/>
    </row>
    <row r="1035">
      <c r="A1035" s="1984"/>
      <c r="B1035" s="1984"/>
      <c r="C1035" s="1984"/>
      <c r="D1035" s="1982"/>
    </row>
    <row r="1036">
      <c r="A1036" s="1984"/>
      <c r="B1036" s="1984"/>
      <c r="C1036" s="1984"/>
      <c r="D1036" s="1982"/>
    </row>
    <row r="1037">
      <c r="A1037" s="1984"/>
      <c r="B1037" s="1984"/>
      <c r="C1037" s="1984"/>
      <c r="D1037" s="1982"/>
    </row>
    <row r="1038">
      <c r="A1038" s="1984"/>
      <c r="B1038" s="1984"/>
      <c r="C1038" s="1984"/>
      <c r="D1038" s="1982"/>
    </row>
    <row r="1039">
      <c r="A1039" s="1984"/>
      <c r="B1039" s="1984"/>
      <c r="C1039" s="1984"/>
      <c r="D1039" s="1982"/>
    </row>
    <row r="1040">
      <c r="A1040" s="1984"/>
      <c r="B1040" s="1984"/>
      <c r="C1040" s="1984"/>
      <c r="D1040" s="1982"/>
    </row>
    <row r="1041">
      <c r="A1041" s="1984"/>
      <c r="B1041" s="1984"/>
      <c r="C1041" s="1984"/>
      <c r="D1041" s="1982"/>
    </row>
    <row r="1042">
      <c r="A1042" s="1984"/>
      <c r="B1042" s="1984"/>
      <c r="C1042" s="1984"/>
      <c r="D1042" s="1982"/>
    </row>
    <row r="1043">
      <c r="A1043" s="1984"/>
      <c r="B1043" s="1984"/>
      <c r="C1043" s="1984"/>
      <c r="D1043" s="1982"/>
    </row>
    <row r="1044">
      <c r="A1044" s="1984"/>
      <c r="B1044" s="1984"/>
      <c r="C1044" s="1984"/>
      <c r="D1044" s="1982"/>
    </row>
    <row r="1045">
      <c r="A1045" s="1984"/>
      <c r="B1045" s="1984"/>
      <c r="C1045" s="1984"/>
      <c r="D1045" s="1982"/>
    </row>
    <row r="1046">
      <c r="A1046" s="1984"/>
      <c r="B1046" s="1984"/>
      <c r="C1046" s="1984"/>
      <c r="D1046" s="1982"/>
    </row>
    <row r="1047">
      <c r="A1047" s="1984"/>
      <c r="B1047" s="1984"/>
      <c r="C1047" s="1984"/>
      <c r="D1047" s="1982"/>
    </row>
    <row r="1048">
      <c r="A1048" s="1984"/>
      <c r="B1048" s="1984"/>
      <c r="C1048" s="1984"/>
      <c r="D1048" s="1982"/>
    </row>
    <row r="1049">
      <c r="A1049" s="1984"/>
      <c r="B1049" s="1984"/>
      <c r="C1049" s="1984"/>
      <c r="D1049" s="1982"/>
    </row>
    <row r="1050">
      <c r="A1050" s="1984"/>
      <c r="B1050" s="1984"/>
      <c r="C1050" s="1984"/>
      <c r="D1050" s="1982"/>
    </row>
    <row r="1051">
      <c r="A1051" s="1984"/>
      <c r="B1051" s="1984"/>
      <c r="C1051" s="1984"/>
      <c r="D1051" s="1982"/>
    </row>
    <row r="1052">
      <c r="A1052" s="1984"/>
      <c r="B1052" s="1984"/>
      <c r="C1052" s="1984"/>
      <c r="D1052" s="1982"/>
    </row>
    <row r="1053">
      <c r="A1053" s="1984"/>
      <c r="B1053" s="1984"/>
      <c r="C1053" s="1984"/>
      <c r="D1053" s="1982"/>
    </row>
    <row r="1054">
      <c r="A1054" s="1984"/>
      <c r="B1054" s="1984"/>
      <c r="C1054" s="1984"/>
      <c r="D1054" s="1982"/>
    </row>
    <row r="1055">
      <c r="A1055" s="1984"/>
      <c r="B1055" s="1984"/>
      <c r="C1055" s="1984"/>
      <c r="D1055" s="1982"/>
    </row>
    <row r="1056">
      <c r="A1056" s="1984"/>
      <c r="B1056" s="1984"/>
      <c r="C1056" s="1984"/>
      <c r="D1056" s="1982"/>
    </row>
    <row r="1057">
      <c r="A1057" s="1984"/>
      <c r="B1057" s="1984"/>
      <c r="C1057" s="1984"/>
      <c r="D1057" s="1982"/>
    </row>
    <row r="1058">
      <c r="A1058" s="1984"/>
      <c r="B1058" s="1984"/>
      <c r="C1058" s="1984"/>
      <c r="D1058" s="1982"/>
    </row>
    <row r="1059">
      <c r="A1059" s="1984"/>
      <c r="B1059" s="1984"/>
      <c r="C1059" s="1984"/>
      <c r="D1059" s="1982"/>
    </row>
    <row r="1060">
      <c r="A1060" s="1984"/>
      <c r="B1060" s="1984"/>
      <c r="C1060" s="1984"/>
      <c r="D1060" s="1982"/>
    </row>
    <row r="1061">
      <c r="A1061" s="1984"/>
      <c r="B1061" s="1984"/>
      <c r="C1061" s="1984"/>
      <c r="D1061" s="1982"/>
    </row>
    <row r="1062">
      <c r="A1062" s="1984"/>
      <c r="B1062" s="1984"/>
      <c r="C1062" s="1984"/>
      <c r="D1062" s="1982"/>
    </row>
    <row r="1063">
      <c r="A1063" s="1984"/>
      <c r="B1063" s="1984"/>
      <c r="C1063" s="1984"/>
      <c r="D1063" s="1982"/>
    </row>
    <row r="1064">
      <c r="A1064" s="1984"/>
      <c r="B1064" s="1984"/>
      <c r="C1064" s="1984"/>
      <c r="D1064" s="1982"/>
    </row>
    <row r="1065">
      <c r="A1065" s="1984"/>
      <c r="B1065" s="1984"/>
      <c r="C1065" s="1984"/>
      <c r="D1065" s="1982"/>
    </row>
    <row r="1066">
      <c r="A1066" s="1984"/>
      <c r="B1066" s="1984"/>
      <c r="C1066" s="1984"/>
      <c r="D1066" s="1982"/>
    </row>
    <row r="1067">
      <c r="A1067" s="1984"/>
      <c r="B1067" s="1984"/>
      <c r="C1067" s="1984"/>
      <c r="D1067" s="1982"/>
    </row>
    <row r="1068">
      <c r="A1068" s="1984"/>
      <c r="B1068" s="1984"/>
      <c r="C1068" s="1984"/>
      <c r="D1068" s="1982"/>
    </row>
    <row r="1069">
      <c r="A1069" s="1984"/>
      <c r="B1069" s="1984"/>
      <c r="C1069" s="1984"/>
      <c r="D1069" s="1982"/>
    </row>
    <row r="1070">
      <c r="A1070" s="1984"/>
      <c r="B1070" s="1984"/>
      <c r="C1070" s="1984"/>
      <c r="D1070" s="1982"/>
    </row>
    <row r="1071">
      <c r="A1071" s="1984"/>
      <c r="B1071" s="1984"/>
      <c r="C1071" s="1984"/>
      <c r="D1071" s="1982"/>
    </row>
    <row r="1072">
      <c r="A1072" s="1984"/>
      <c r="B1072" s="1984"/>
      <c r="C1072" s="1984"/>
      <c r="D1072" s="1982"/>
    </row>
    <row r="1073">
      <c r="A1073" s="1984"/>
      <c r="B1073" s="1984"/>
      <c r="C1073" s="1984"/>
      <c r="D1073" s="1982"/>
    </row>
    <row r="1074">
      <c r="A1074" s="1984"/>
      <c r="B1074" s="1984"/>
      <c r="C1074" s="1984"/>
      <c r="D1074" s="1982"/>
    </row>
    <row r="1075">
      <c r="A1075" s="1984"/>
      <c r="B1075" s="1984"/>
      <c r="C1075" s="1984"/>
      <c r="D1075" s="1982"/>
    </row>
    <row r="1076">
      <c r="A1076" s="1984"/>
      <c r="B1076" s="1984"/>
      <c r="C1076" s="1984"/>
      <c r="D1076" s="1982"/>
    </row>
    <row r="1077">
      <c r="A1077" s="1984"/>
      <c r="B1077" s="1984"/>
      <c r="C1077" s="1984"/>
      <c r="D1077" s="1982"/>
    </row>
    <row r="1078">
      <c r="A1078" s="1984"/>
      <c r="B1078" s="1984"/>
      <c r="C1078" s="1984"/>
      <c r="D1078" s="1982"/>
    </row>
    <row r="1079">
      <c r="A1079" s="1984"/>
      <c r="B1079" s="1984"/>
      <c r="C1079" s="1984"/>
      <c r="D1079" s="1982"/>
    </row>
    <row r="1080">
      <c r="A1080" s="1984"/>
      <c r="B1080" s="1984"/>
      <c r="C1080" s="1984"/>
      <c r="D1080" s="1982"/>
    </row>
    <row r="1081">
      <c r="A1081" s="1984"/>
      <c r="B1081" s="1984"/>
      <c r="C1081" s="1984"/>
      <c r="D1081" s="1982"/>
    </row>
    <row r="1082">
      <c r="A1082" s="1984"/>
      <c r="B1082" s="1984"/>
      <c r="C1082" s="1984"/>
      <c r="D1082" s="1982"/>
    </row>
    <row r="1083">
      <c r="A1083" s="1984"/>
      <c r="B1083" s="1984"/>
      <c r="C1083" s="1984"/>
      <c r="D1083" s="1982"/>
    </row>
    <row r="1084">
      <c r="A1084" s="1984"/>
      <c r="B1084" s="1984"/>
      <c r="C1084" s="1984"/>
      <c r="D1084" s="1982"/>
    </row>
    <row r="1085">
      <c r="A1085" s="1984"/>
      <c r="B1085" s="1984"/>
      <c r="C1085" s="1984"/>
      <c r="D1085" s="1982"/>
    </row>
    <row r="1086">
      <c r="A1086" s="1984"/>
      <c r="B1086" s="1984"/>
      <c r="C1086" s="1984"/>
      <c r="D1086" s="1982"/>
    </row>
    <row r="1087">
      <c r="A1087" s="1984"/>
      <c r="B1087" s="1984"/>
      <c r="C1087" s="1984"/>
      <c r="D1087" s="1982"/>
    </row>
    <row r="1088">
      <c r="A1088" s="1984"/>
      <c r="B1088" s="1984"/>
      <c r="C1088" s="1984"/>
      <c r="D1088" s="1982"/>
    </row>
    <row r="1089">
      <c r="A1089" s="1984"/>
      <c r="B1089" s="1984"/>
      <c r="C1089" s="1984"/>
      <c r="D1089" s="1982"/>
    </row>
    <row r="1090">
      <c r="A1090" s="1984"/>
      <c r="B1090" s="1984"/>
      <c r="C1090" s="1984"/>
      <c r="D1090" s="1982"/>
    </row>
    <row r="1091">
      <c r="A1091" s="1984"/>
      <c r="B1091" s="1984"/>
      <c r="C1091" s="1984"/>
      <c r="D1091" s="1982"/>
    </row>
    <row r="1092">
      <c r="A1092" s="1984"/>
      <c r="B1092" s="1984"/>
      <c r="C1092" s="1984"/>
      <c r="D1092" s="1982"/>
    </row>
    <row r="1093">
      <c r="A1093" s="1984"/>
      <c r="B1093" s="1984"/>
      <c r="C1093" s="1984"/>
      <c r="D1093" s="1982"/>
    </row>
    <row r="1094">
      <c r="A1094" s="1984"/>
      <c r="B1094" s="1984"/>
      <c r="C1094" s="1984"/>
      <c r="D1094" s="1982"/>
    </row>
    <row r="1095">
      <c r="A1095" s="1984"/>
      <c r="B1095" s="1984"/>
      <c r="C1095" s="1984"/>
      <c r="D1095" s="1982"/>
    </row>
    <row r="1096">
      <c r="A1096" s="1984"/>
      <c r="B1096" s="1984"/>
      <c r="C1096" s="1984"/>
      <c r="D1096" s="1982"/>
    </row>
    <row r="1097">
      <c r="A1097" s="1984"/>
      <c r="B1097" s="1984"/>
      <c r="C1097" s="1984"/>
      <c r="D1097" s="1982"/>
    </row>
    <row r="1098">
      <c r="A1098" s="1984"/>
      <c r="B1098" s="1984"/>
      <c r="C1098" s="1984"/>
      <c r="D1098" s="1982"/>
    </row>
    <row r="1099">
      <c r="A1099" s="1984"/>
      <c r="B1099" s="1984"/>
      <c r="C1099" s="1984"/>
      <c r="D1099" s="1982"/>
    </row>
    <row r="1100">
      <c r="A1100" s="1984"/>
      <c r="B1100" s="1984"/>
      <c r="C1100" s="1984"/>
      <c r="D1100" s="1982"/>
    </row>
    <row r="1101">
      <c r="A1101" s="1984"/>
      <c r="B1101" s="1984"/>
      <c r="C1101" s="1984"/>
      <c r="D1101" s="1982"/>
    </row>
    <row r="1102">
      <c r="A1102" s="1984"/>
      <c r="B1102" s="1984"/>
      <c r="C1102" s="1984"/>
      <c r="D1102" s="1982"/>
    </row>
    <row r="1103">
      <c r="A1103" s="1984"/>
      <c r="B1103" s="1984"/>
      <c r="C1103" s="1984"/>
      <c r="D1103" s="1982"/>
    </row>
    <row r="1104">
      <c r="A1104" s="1984"/>
      <c r="B1104" s="1984"/>
      <c r="C1104" s="1984"/>
      <c r="D1104" s="1982"/>
    </row>
    <row r="1105">
      <c r="A1105" s="1984"/>
      <c r="B1105" s="1984"/>
      <c r="C1105" s="1984"/>
      <c r="D1105" s="1982"/>
    </row>
    <row r="1106">
      <c r="A1106" s="1984"/>
      <c r="B1106" s="1984"/>
      <c r="C1106" s="1984"/>
      <c r="D1106" s="1982"/>
    </row>
    <row r="1107">
      <c r="A1107" s="1984"/>
      <c r="B1107" s="1984"/>
      <c r="C1107" s="1984"/>
      <c r="D1107" s="1982"/>
    </row>
    <row r="1108">
      <c r="A1108" s="1984"/>
      <c r="B1108" s="1984"/>
      <c r="C1108" s="1984"/>
      <c r="D1108" s="1982"/>
    </row>
    <row r="1109">
      <c r="A1109" s="1984"/>
      <c r="B1109" s="1984"/>
      <c r="C1109" s="1984"/>
      <c r="D1109" s="1982"/>
    </row>
    <row r="1110">
      <c r="A1110" s="1984"/>
      <c r="B1110" s="1984"/>
      <c r="C1110" s="1984"/>
      <c r="D1110" s="1982"/>
    </row>
    <row r="1111">
      <c r="A1111" s="1984"/>
      <c r="B1111" s="1984"/>
      <c r="C1111" s="1984"/>
      <c r="D1111" s="1982"/>
    </row>
    <row r="1112">
      <c r="A1112" s="1984"/>
      <c r="B1112" s="1984"/>
      <c r="C1112" s="1984"/>
      <c r="D1112" s="1982"/>
    </row>
    <row r="1113">
      <c r="A1113" s="1984"/>
      <c r="B1113" s="1984"/>
      <c r="C1113" s="1984"/>
      <c r="D1113" s="1982"/>
    </row>
    <row r="1114">
      <c r="A1114" s="1984"/>
      <c r="B1114" s="1984"/>
      <c r="C1114" s="1984"/>
      <c r="D1114" s="1982"/>
    </row>
    <row r="1115">
      <c r="A1115" s="1984"/>
      <c r="B1115" s="1984"/>
      <c r="C1115" s="1984"/>
      <c r="D1115" s="1982"/>
    </row>
    <row r="1116">
      <c r="A1116" s="1984"/>
      <c r="B1116" s="1984"/>
      <c r="C1116" s="1984"/>
      <c r="D1116" s="1982"/>
    </row>
    <row r="1117">
      <c r="A1117" s="1984"/>
      <c r="B1117" s="1984"/>
      <c r="C1117" s="1984"/>
      <c r="D1117" s="1982"/>
    </row>
    <row r="1118">
      <c r="A1118" s="1984"/>
      <c r="B1118" s="1984"/>
      <c r="C1118" s="1984"/>
      <c r="D1118" s="1982"/>
    </row>
    <row r="1119">
      <c r="A1119" s="1984"/>
      <c r="B1119" s="1984"/>
      <c r="C1119" s="1984"/>
      <c r="D1119" s="1982"/>
    </row>
    <row r="1120">
      <c r="A1120" s="1984"/>
      <c r="B1120" s="1984"/>
      <c r="C1120" s="1984"/>
      <c r="D1120" s="1982"/>
    </row>
    <row r="1121">
      <c r="A1121" s="1984"/>
      <c r="B1121" s="1984"/>
      <c r="C1121" s="1984"/>
      <c r="D1121" s="1982"/>
    </row>
    <row r="1122">
      <c r="A1122" s="1984"/>
      <c r="B1122" s="1984"/>
      <c r="C1122" s="1984"/>
      <c r="D1122" s="1982"/>
    </row>
    <row r="1123">
      <c r="A1123" s="1984"/>
      <c r="B1123" s="1984"/>
      <c r="C1123" s="1984"/>
      <c r="D1123" s="1982"/>
    </row>
    <row r="1124">
      <c r="A1124" s="1984"/>
      <c r="B1124" s="1984"/>
      <c r="C1124" s="1984"/>
      <c r="D1124" s="1982"/>
    </row>
    <row r="1125">
      <c r="A1125" s="1984"/>
      <c r="B1125" s="1984"/>
      <c r="C1125" s="1984"/>
      <c r="D1125" s="1982"/>
    </row>
    <row r="1126">
      <c r="A1126" s="1984"/>
      <c r="B1126" s="1984"/>
      <c r="C1126" s="1984"/>
      <c r="D1126" s="1982"/>
    </row>
    <row r="1127">
      <c r="A1127" s="1984"/>
      <c r="B1127" s="1984"/>
      <c r="C1127" s="1984"/>
      <c r="D1127" s="1982"/>
    </row>
    <row r="1128">
      <c r="A1128" s="1984"/>
      <c r="B1128" s="1984"/>
      <c r="C1128" s="1984"/>
      <c r="D1128" s="1982"/>
    </row>
    <row r="1129">
      <c r="A1129" s="1984"/>
      <c r="B1129" s="1984"/>
      <c r="C1129" s="1984"/>
      <c r="D1129" s="1982"/>
    </row>
    <row r="1130">
      <c r="A1130" s="1984"/>
      <c r="B1130" s="1984"/>
      <c r="C1130" s="1984"/>
      <c r="D1130" s="1982"/>
    </row>
    <row r="1131">
      <c r="A1131" s="1984"/>
      <c r="B1131" s="1984"/>
      <c r="C1131" s="1984"/>
      <c r="D1131" s="1982"/>
    </row>
    <row r="1132">
      <c r="A1132" s="1984"/>
      <c r="B1132" s="1984"/>
      <c r="C1132" s="1984"/>
      <c r="D1132" s="1982"/>
    </row>
    <row r="1133">
      <c r="A1133" s="1984"/>
      <c r="B1133" s="1984"/>
      <c r="C1133" s="1984"/>
      <c r="D1133" s="1982"/>
    </row>
    <row r="1134">
      <c r="A1134" s="1984"/>
      <c r="B1134" s="1984"/>
      <c r="C1134" s="1984"/>
      <c r="D1134" s="1982"/>
    </row>
    <row r="1135">
      <c r="A1135" s="1984"/>
      <c r="B1135" s="1984"/>
      <c r="C1135" s="1984"/>
      <c r="D1135" s="1982"/>
    </row>
    <row r="1136">
      <c r="A1136" s="1984"/>
      <c r="B1136" s="1984"/>
      <c r="C1136" s="1984"/>
      <c r="D1136" s="1982"/>
    </row>
    <row r="1137">
      <c r="A1137" s="1984"/>
      <c r="B1137" s="1984"/>
      <c r="C1137" s="1984"/>
      <c r="D1137" s="1982"/>
    </row>
    <row r="1138">
      <c r="A1138" s="1984"/>
      <c r="B1138" s="1984"/>
      <c r="C1138" s="1984"/>
      <c r="D1138" s="1982"/>
    </row>
    <row r="1139">
      <c r="A1139" s="1984"/>
      <c r="B1139" s="1984"/>
      <c r="C1139" s="1984"/>
      <c r="D1139" s="1982"/>
    </row>
    <row r="1140">
      <c r="A1140" s="1984"/>
      <c r="B1140" s="1984"/>
      <c r="C1140" s="1984"/>
      <c r="D1140" s="1982"/>
    </row>
    <row r="1141">
      <c r="A1141" s="1984"/>
      <c r="B1141" s="1984"/>
      <c r="C1141" s="1984"/>
      <c r="D1141" s="1982"/>
    </row>
    <row r="1142">
      <c r="A1142" s="1984"/>
      <c r="B1142" s="1984"/>
      <c r="C1142" s="1984"/>
      <c r="D1142" s="1982"/>
    </row>
    <row r="1143">
      <c r="A1143" s="1984"/>
      <c r="B1143" s="1984"/>
      <c r="C1143" s="1984"/>
      <c r="D1143" s="1982"/>
    </row>
    <row r="1144">
      <c r="A1144" s="1984"/>
      <c r="B1144" s="1984"/>
      <c r="C1144" s="1984"/>
      <c r="D1144" s="1982"/>
    </row>
    <row r="1145">
      <c r="A1145" s="1984"/>
      <c r="B1145" s="1984"/>
      <c r="C1145" s="1984"/>
      <c r="D1145" s="1982"/>
    </row>
    <row r="1146">
      <c r="A1146" s="1984"/>
      <c r="B1146" s="1984"/>
      <c r="C1146" s="1984"/>
      <c r="D1146" s="1982"/>
    </row>
    <row r="1147">
      <c r="A1147" s="1984"/>
      <c r="B1147" s="1984"/>
      <c r="C1147" s="1984"/>
      <c r="D1147" s="1982"/>
    </row>
    <row r="1148">
      <c r="A1148" s="1984"/>
      <c r="B1148" s="1984"/>
      <c r="C1148" s="1984"/>
      <c r="D1148" s="1982"/>
    </row>
    <row r="1149">
      <c r="A1149" s="1984"/>
      <c r="B1149" s="1984"/>
      <c r="C1149" s="1984"/>
      <c r="D1149" s="1982"/>
    </row>
    <row r="1150">
      <c r="A1150" s="1984"/>
      <c r="B1150" s="1984"/>
      <c r="C1150" s="1984"/>
      <c r="D1150" s="1982"/>
    </row>
    <row r="1151">
      <c r="A1151" s="1984"/>
      <c r="B1151" s="1984"/>
      <c r="C1151" s="1984"/>
      <c r="D1151" s="1982"/>
    </row>
    <row r="1152">
      <c r="A1152" s="1984"/>
      <c r="B1152" s="1984"/>
      <c r="C1152" s="1984"/>
      <c r="D1152" s="1982"/>
    </row>
    <row r="1153">
      <c r="A1153" s="1984"/>
      <c r="B1153" s="1984"/>
      <c r="C1153" s="1984"/>
      <c r="D1153" s="1982"/>
    </row>
    <row r="1154">
      <c r="A1154" s="1984"/>
      <c r="B1154" s="1984"/>
      <c r="C1154" s="1984"/>
      <c r="D1154" s="1982"/>
    </row>
    <row r="1155">
      <c r="A1155" s="1984"/>
      <c r="B1155" s="1984"/>
      <c r="C1155" s="1984"/>
      <c r="D1155" s="1982"/>
    </row>
    <row r="1156">
      <c r="A1156" s="1984"/>
      <c r="B1156" s="1984"/>
      <c r="C1156" s="1984"/>
      <c r="D1156" s="1982"/>
    </row>
    <row r="1157">
      <c r="A1157" s="1984"/>
      <c r="B1157" s="1984"/>
      <c r="C1157" s="1984"/>
      <c r="D1157" s="1982"/>
    </row>
    <row r="1158">
      <c r="A1158" s="1984"/>
      <c r="B1158" s="1984"/>
      <c r="C1158" s="1984"/>
      <c r="D1158" s="1982"/>
    </row>
    <row r="1159">
      <c r="A1159" s="1984"/>
      <c r="B1159" s="1984"/>
      <c r="C1159" s="1984"/>
      <c r="D1159" s="1982"/>
    </row>
    <row r="1160">
      <c r="A1160" s="1984"/>
      <c r="B1160" s="1984"/>
      <c r="C1160" s="1984"/>
      <c r="D1160" s="1982"/>
    </row>
    <row r="1161">
      <c r="A1161" s="1984"/>
      <c r="B1161" s="1984"/>
      <c r="C1161" s="1984"/>
      <c r="D1161" s="1982"/>
    </row>
    <row r="1162">
      <c r="A1162" s="1984"/>
      <c r="B1162" s="1984"/>
      <c r="C1162" s="1984"/>
      <c r="D1162" s="1982"/>
    </row>
    <row r="1163">
      <c r="A1163" s="1984"/>
      <c r="B1163" s="1984"/>
      <c r="C1163" s="1984"/>
      <c r="D1163" s="1982"/>
    </row>
    <row r="1164">
      <c r="A1164" s="1984"/>
      <c r="B1164" s="1984"/>
      <c r="C1164" s="1984"/>
      <c r="D1164" s="1982"/>
    </row>
    <row r="1165">
      <c r="A1165" s="1984"/>
      <c r="B1165" s="1984"/>
      <c r="C1165" s="1984"/>
      <c r="D1165" s="1982"/>
    </row>
    <row r="1166">
      <c r="A1166" s="1984"/>
      <c r="B1166" s="1984"/>
      <c r="C1166" s="1984"/>
      <c r="D1166" s="1982"/>
    </row>
    <row r="1167">
      <c r="A1167" s="1984"/>
      <c r="B1167" s="1984"/>
      <c r="C1167" s="1984"/>
      <c r="D1167" s="1982"/>
    </row>
    <row r="1168">
      <c r="A1168" s="1984"/>
      <c r="B1168" s="1984"/>
      <c r="C1168" s="1984"/>
      <c r="D1168" s="1982"/>
    </row>
    <row r="1169">
      <c r="A1169" s="1984"/>
      <c r="B1169" s="1984"/>
      <c r="C1169" s="1984"/>
      <c r="D1169" s="1982"/>
    </row>
    <row r="1170">
      <c r="A1170" s="1984"/>
      <c r="B1170" s="1984"/>
      <c r="C1170" s="1984"/>
      <c r="D1170" s="1982"/>
    </row>
    <row r="1171">
      <c r="A1171" s="1984"/>
      <c r="B1171" s="1984"/>
      <c r="C1171" s="1984"/>
      <c r="D1171" s="1982"/>
    </row>
    <row r="1172">
      <c r="A1172" s="1984"/>
      <c r="B1172" s="1984"/>
      <c r="C1172" s="1984"/>
      <c r="D1172" s="1982"/>
    </row>
    <row r="1173">
      <c r="A1173" s="1984"/>
      <c r="B1173" s="1984"/>
      <c r="C1173" s="1984"/>
      <c r="D1173" s="1982"/>
    </row>
    <row r="1174">
      <c r="A1174" s="1984"/>
      <c r="B1174" s="1984"/>
      <c r="C1174" s="1984"/>
      <c r="D1174" s="1982"/>
    </row>
    <row r="1175">
      <c r="A1175" s="1984"/>
      <c r="B1175" s="1984"/>
      <c r="C1175" s="1984"/>
      <c r="D1175" s="1982"/>
    </row>
    <row r="1176">
      <c r="A1176" s="1984"/>
      <c r="B1176" s="1984"/>
      <c r="C1176" s="1984"/>
      <c r="D1176" s="1982"/>
    </row>
    <row r="1177">
      <c r="A1177" s="1984"/>
      <c r="B1177" s="1984"/>
      <c r="C1177" s="1984"/>
      <c r="D1177" s="1982"/>
    </row>
    <row r="1178">
      <c r="A1178" s="1984"/>
      <c r="B1178" s="1984"/>
      <c r="C1178" s="1984"/>
      <c r="D1178" s="1982"/>
    </row>
    <row r="1179">
      <c r="A1179" s="1984"/>
      <c r="B1179" s="1984"/>
      <c r="C1179" s="1984"/>
      <c r="D1179" s="1982"/>
    </row>
    <row r="1180">
      <c r="A1180" s="1984"/>
      <c r="B1180" s="1984"/>
      <c r="C1180" s="1984"/>
      <c r="D1180" s="1982"/>
    </row>
    <row r="1181">
      <c r="A1181" s="1984"/>
      <c r="B1181" s="1984"/>
      <c r="C1181" s="1984"/>
      <c r="D1181" s="1982"/>
    </row>
    <row r="1182">
      <c r="A1182" s="1984"/>
      <c r="B1182" s="1984"/>
      <c r="C1182" s="1984"/>
      <c r="D1182" s="1982"/>
    </row>
    <row r="1183">
      <c r="A1183" s="1984"/>
      <c r="B1183" s="1984"/>
      <c r="C1183" s="1984"/>
      <c r="D1183" s="1982"/>
    </row>
    <row r="1184">
      <c r="A1184" s="1984"/>
      <c r="B1184" s="1984"/>
      <c r="C1184" s="1984"/>
      <c r="D1184" s="1982"/>
    </row>
    <row r="1185">
      <c r="A1185" s="1984"/>
      <c r="B1185" s="1984"/>
      <c r="C1185" s="1984"/>
      <c r="D1185" s="1982"/>
    </row>
    <row r="1186">
      <c r="A1186" s="1984"/>
      <c r="B1186" s="1984"/>
      <c r="C1186" s="1984"/>
      <c r="D1186" s="1982"/>
    </row>
    <row r="1187">
      <c r="A1187" s="1984"/>
      <c r="B1187" s="1984"/>
      <c r="C1187" s="1984"/>
      <c r="D1187" s="1982"/>
    </row>
    <row r="1188">
      <c r="A1188" s="1984"/>
      <c r="B1188" s="1984"/>
      <c r="C1188" s="1984"/>
      <c r="D1188" s="1982"/>
    </row>
    <row r="1189">
      <c r="A1189" s="1984"/>
      <c r="B1189" s="1984"/>
      <c r="C1189" s="1984"/>
      <c r="D1189" s="1982"/>
    </row>
    <row r="1190">
      <c r="A1190" s="1984"/>
      <c r="B1190" s="1984"/>
      <c r="C1190" s="1984"/>
      <c r="D1190" s="1982"/>
    </row>
    <row r="1191">
      <c r="A1191" s="1984"/>
      <c r="B1191" s="1984"/>
      <c r="C1191" s="1984"/>
      <c r="D1191" s="1982"/>
    </row>
    <row r="1192">
      <c r="A1192" s="1984"/>
      <c r="B1192" s="1984"/>
      <c r="C1192" s="1984"/>
      <c r="D1192" s="1982"/>
    </row>
    <row r="1193">
      <c r="A1193" s="1984"/>
      <c r="B1193" s="1984"/>
      <c r="C1193" s="1984"/>
      <c r="D1193" s="1982"/>
    </row>
    <row r="1194">
      <c r="A1194" s="1984"/>
      <c r="B1194" s="1984"/>
      <c r="C1194" s="1984"/>
      <c r="D1194" s="1982"/>
    </row>
    <row r="1195">
      <c r="A1195" s="1984"/>
      <c r="B1195" s="1984"/>
      <c r="C1195" s="1984"/>
      <c r="D1195" s="1982"/>
    </row>
    <row r="1196">
      <c r="A1196" s="1984"/>
      <c r="B1196" s="1984"/>
      <c r="C1196" s="1984"/>
      <c r="D1196" s="1982"/>
    </row>
    <row r="1197">
      <c r="A1197" s="1984"/>
      <c r="B1197" s="1984"/>
      <c r="C1197" s="1984"/>
      <c r="D1197" s="1982"/>
    </row>
    <row r="1198">
      <c r="A1198" s="1984"/>
      <c r="B1198" s="1984"/>
      <c r="C1198" s="1984"/>
      <c r="D1198" s="1982"/>
    </row>
    <row r="1199">
      <c r="A1199" s="1984"/>
      <c r="B1199" s="1984"/>
      <c r="C1199" s="1984"/>
      <c r="D1199" s="1982"/>
    </row>
    <row r="1200">
      <c r="A1200" s="1984"/>
      <c r="B1200" s="1984"/>
      <c r="C1200" s="1984"/>
      <c r="D1200" s="1982"/>
    </row>
    <row r="1201">
      <c r="A1201" s="1984"/>
      <c r="B1201" s="1984"/>
      <c r="C1201" s="1984"/>
      <c r="D1201" s="1982"/>
    </row>
    <row r="1202">
      <c r="A1202" s="1984"/>
      <c r="B1202" s="1984"/>
      <c r="C1202" s="1984"/>
      <c r="D1202" s="1982"/>
    </row>
    <row r="1203">
      <c r="A1203" s="1984"/>
      <c r="B1203" s="1984"/>
      <c r="C1203" s="1984"/>
      <c r="D1203" s="1982"/>
    </row>
    <row r="1204">
      <c r="A1204" s="1984"/>
      <c r="B1204" s="1984"/>
      <c r="C1204" s="1984"/>
      <c r="D1204" s="1982"/>
    </row>
    <row r="1205">
      <c r="A1205" s="1984"/>
      <c r="B1205" s="1984"/>
      <c r="C1205" s="1984"/>
      <c r="D1205" s="1982"/>
    </row>
    <row r="1206">
      <c r="A1206" s="1984"/>
      <c r="B1206" s="1984"/>
      <c r="C1206" s="1984"/>
      <c r="D1206" s="1982"/>
    </row>
    <row r="1207">
      <c r="A1207" s="1984"/>
      <c r="B1207" s="1984"/>
      <c r="C1207" s="1984"/>
      <c r="D1207" s="1982"/>
    </row>
    <row r="1208">
      <c r="A1208" s="1984"/>
      <c r="B1208" s="1984"/>
      <c r="C1208" s="1984"/>
      <c r="D1208" s="1982"/>
    </row>
    <row r="1209">
      <c r="A1209" s="1984"/>
      <c r="B1209" s="1984"/>
      <c r="C1209" s="1984"/>
      <c r="D1209" s="1982"/>
    </row>
    <row r="1210">
      <c r="A1210" s="1984"/>
      <c r="B1210" s="1984"/>
      <c r="C1210" s="1984"/>
      <c r="D1210" s="1982"/>
    </row>
    <row r="1211">
      <c r="A1211" s="1984"/>
      <c r="B1211" s="1984"/>
      <c r="C1211" s="1984"/>
      <c r="D1211" s="1982"/>
    </row>
    <row r="1212">
      <c r="A1212" s="1984"/>
      <c r="B1212" s="1984"/>
      <c r="C1212" s="1984"/>
      <c r="D1212" s="1982"/>
    </row>
    <row r="1213">
      <c r="A1213" s="1984"/>
      <c r="B1213" s="1984"/>
      <c r="C1213" s="1984"/>
      <c r="D1213" s="1982"/>
    </row>
    <row r="1214">
      <c r="A1214" s="1984"/>
      <c r="B1214" s="1984"/>
      <c r="C1214" s="1984"/>
      <c r="D1214" s="1982"/>
    </row>
    <row r="1215">
      <c r="A1215" s="1984"/>
      <c r="B1215" s="1984"/>
      <c r="C1215" s="1984"/>
      <c r="D1215" s="1982"/>
    </row>
    <row r="1216">
      <c r="A1216" s="1984"/>
      <c r="B1216" s="1984"/>
      <c r="C1216" s="1984"/>
      <c r="D1216" s="1982"/>
    </row>
    <row r="1217">
      <c r="A1217" s="1984"/>
      <c r="B1217" s="1984"/>
      <c r="C1217" s="1984"/>
      <c r="D1217" s="1982"/>
    </row>
    <row r="1218">
      <c r="A1218" s="1984"/>
      <c r="B1218" s="1984"/>
      <c r="C1218" s="1984"/>
      <c r="D1218" s="1982"/>
    </row>
    <row r="1219">
      <c r="A1219" s="1984"/>
      <c r="B1219" s="1984"/>
      <c r="C1219" s="1984"/>
      <c r="D1219" s="1982"/>
    </row>
    <row r="1220">
      <c r="A1220" s="1984"/>
      <c r="B1220" s="1984"/>
      <c r="C1220" s="1984"/>
      <c r="D1220" s="1982"/>
    </row>
    <row r="1221">
      <c r="A1221" s="1984"/>
      <c r="B1221" s="1984"/>
      <c r="C1221" s="1984"/>
      <c r="D1221" s="1982"/>
    </row>
    <row r="1222">
      <c r="A1222" s="1984"/>
      <c r="B1222" s="1984"/>
      <c r="C1222" s="1984"/>
      <c r="D1222" s="1982"/>
    </row>
    <row r="1223">
      <c r="A1223" s="1984"/>
      <c r="B1223" s="1984"/>
      <c r="C1223" s="1984"/>
      <c r="D1223" s="1982"/>
    </row>
    <row r="1224">
      <c r="A1224" s="1984"/>
      <c r="B1224" s="1984"/>
      <c r="C1224" s="1984"/>
      <c r="D1224" s="1982"/>
    </row>
    <row r="1225">
      <c r="A1225" s="1984"/>
      <c r="B1225" s="1984"/>
      <c r="C1225" s="1984"/>
      <c r="D1225" s="1982"/>
    </row>
    <row r="1226">
      <c r="A1226" s="1984"/>
      <c r="B1226" s="1984"/>
      <c r="C1226" s="1984"/>
      <c r="D1226" s="1982"/>
    </row>
    <row r="1227">
      <c r="A1227" s="1984"/>
      <c r="B1227" s="1984"/>
      <c r="C1227" s="1984"/>
      <c r="D1227" s="1982"/>
    </row>
    <row r="1228">
      <c r="A1228" s="1984"/>
      <c r="B1228" s="1984"/>
      <c r="C1228" s="1984"/>
      <c r="D1228" s="1982"/>
    </row>
    <row r="1229">
      <c r="A1229" s="1984"/>
      <c r="B1229" s="1984"/>
      <c r="C1229" s="1984"/>
      <c r="D1229" s="1982"/>
    </row>
    <row r="1230">
      <c r="A1230" s="1984"/>
      <c r="B1230" s="1984"/>
      <c r="C1230" s="1984"/>
      <c r="D1230" s="1982"/>
    </row>
    <row r="1231">
      <c r="A1231" s="1984"/>
      <c r="B1231" s="1984"/>
      <c r="C1231" s="1984"/>
      <c r="D1231" s="1982"/>
    </row>
    <row r="1232">
      <c r="A1232" s="1984"/>
      <c r="B1232" s="1984"/>
      <c r="C1232" s="1984"/>
      <c r="D1232" s="1982"/>
    </row>
    <row r="1233">
      <c r="A1233" s="1984"/>
      <c r="B1233" s="1984"/>
      <c r="C1233" s="1984"/>
      <c r="D1233" s="1982"/>
    </row>
    <row r="1234">
      <c r="A1234" s="1984"/>
      <c r="B1234" s="1984"/>
      <c r="C1234" s="1984"/>
      <c r="D1234" s="1982"/>
    </row>
    <row r="1235">
      <c r="A1235" s="1984"/>
      <c r="B1235" s="1984"/>
      <c r="C1235" s="1984"/>
      <c r="D1235" s="1982"/>
    </row>
    <row r="1236">
      <c r="A1236" s="1984"/>
      <c r="B1236" s="1984"/>
      <c r="C1236" s="1984"/>
      <c r="D1236" s="1982"/>
    </row>
    <row r="1237">
      <c r="A1237" s="1984"/>
      <c r="B1237" s="1984"/>
      <c r="C1237" s="1984"/>
      <c r="D1237" s="1982"/>
    </row>
    <row r="1238">
      <c r="A1238" s="1984"/>
      <c r="B1238" s="1984"/>
      <c r="C1238" s="1984"/>
      <c r="D1238" s="1982"/>
    </row>
    <row r="1239">
      <c r="A1239" s="1984"/>
      <c r="B1239" s="1984"/>
      <c r="C1239" s="1984"/>
      <c r="D1239" s="1982"/>
    </row>
    <row r="1240">
      <c r="A1240" s="1984"/>
      <c r="B1240" s="1984"/>
      <c r="C1240" s="1984"/>
      <c r="D1240" s="1982"/>
    </row>
    <row r="1241">
      <c r="A1241" s="1984"/>
      <c r="B1241" s="1984"/>
      <c r="C1241" s="1984"/>
      <c r="D1241" s="1982"/>
    </row>
    <row r="1242">
      <c r="A1242" s="1984"/>
      <c r="B1242" s="1984"/>
      <c r="C1242" s="1984"/>
      <c r="D1242" s="1982"/>
    </row>
    <row r="1243">
      <c r="A1243" s="1984"/>
      <c r="B1243" s="1984"/>
      <c r="C1243" s="1984"/>
      <c r="D1243" s="1982"/>
    </row>
    <row r="1244">
      <c r="A1244" s="1984"/>
      <c r="B1244" s="1984"/>
      <c r="C1244" s="1984"/>
      <c r="D1244" s="1982"/>
    </row>
    <row r="1245">
      <c r="A1245" s="1984"/>
      <c r="B1245" s="1984"/>
      <c r="C1245" s="1984"/>
      <c r="D1245" s="1982"/>
    </row>
    <row r="1246">
      <c r="A1246" s="1984"/>
      <c r="B1246" s="1984"/>
      <c r="C1246" s="1984"/>
      <c r="D1246" s="1982"/>
    </row>
    <row r="1247">
      <c r="A1247" s="1984"/>
      <c r="B1247" s="1984"/>
      <c r="C1247" s="1984"/>
      <c r="D1247" s="1982"/>
    </row>
    <row r="1248">
      <c r="A1248" s="1984"/>
      <c r="B1248" s="1984"/>
      <c r="C1248" s="1984"/>
      <c r="D1248" s="1982"/>
    </row>
    <row r="1249">
      <c r="A1249" s="1984"/>
      <c r="B1249" s="1984"/>
      <c r="C1249" s="1984"/>
      <c r="D1249" s="1982"/>
    </row>
    <row r="1250">
      <c r="A1250" s="1984"/>
      <c r="B1250" s="1984"/>
      <c r="C1250" s="1984"/>
      <c r="D1250" s="1982"/>
    </row>
    <row r="1251">
      <c r="A1251" s="1984"/>
      <c r="B1251" s="1984"/>
      <c r="C1251" s="1984"/>
      <c r="D1251" s="1982"/>
    </row>
    <row r="1252">
      <c r="A1252" s="1984"/>
      <c r="B1252" s="1984"/>
      <c r="C1252" s="1984"/>
      <c r="D1252" s="1982"/>
    </row>
    <row r="1253">
      <c r="A1253" s="1984"/>
      <c r="B1253" s="1984"/>
      <c r="C1253" s="1984"/>
      <c r="D1253" s="1982"/>
    </row>
    <row r="1254">
      <c r="A1254" s="1984"/>
      <c r="B1254" s="1984"/>
      <c r="C1254" s="1984"/>
      <c r="D1254" s="1982"/>
    </row>
    <row r="1255">
      <c r="A1255" s="1984"/>
      <c r="B1255" s="1984"/>
      <c r="C1255" s="1984"/>
      <c r="D1255" s="1982"/>
    </row>
    <row r="1256">
      <c r="A1256" s="1984"/>
      <c r="B1256" s="1984"/>
      <c r="C1256" s="1984"/>
      <c r="D1256" s="1982"/>
    </row>
    <row r="1257">
      <c r="A1257" s="1984"/>
      <c r="B1257" s="1984"/>
      <c r="C1257" s="1984"/>
      <c r="D1257" s="1982"/>
    </row>
    <row r="1258">
      <c r="A1258" s="1984"/>
      <c r="B1258" s="1984"/>
      <c r="C1258" s="1984"/>
      <c r="D1258" s="1982"/>
    </row>
    <row r="1259">
      <c r="A1259" s="1984"/>
      <c r="B1259" s="1984"/>
      <c r="C1259" s="1984"/>
      <c r="D1259" s="1982"/>
    </row>
    <row r="1260">
      <c r="A1260" s="1984"/>
      <c r="B1260" s="1984"/>
      <c r="C1260" s="1984"/>
      <c r="D1260" s="1982"/>
    </row>
    <row r="1261">
      <c r="A1261" s="1984"/>
      <c r="B1261" s="1984"/>
      <c r="C1261" s="1984"/>
      <c r="D1261" s="1982"/>
    </row>
    <row r="1262">
      <c r="A1262" s="1984"/>
      <c r="B1262" s="1984"/>
      <c r="C1262" s="1984"/>
      <c r="D1262" s="1982"/>
    </row>
    <row r="1263">
      <c r="A1263" s="1984"/>
      <c r="B1263" s="1984"/>
      <c r="C1263" s="1984"/>
      <c r="D1263" s="1982"/>
    </row>
    <row r="1264">
      <c r="A1264" s="1984"/>
      <c r="B1264" s="1984"/>
      <c r="C1264" s="1984"/>
      <c r="D1264" s="1982"/>
    </row>
    <row r="1265">
      <c r="A1265" s="1984"/>
      <c r="B1265" s="1984"/>
      <c r="C1265" s="1984"/>
      <c r="D1265" s="1982"/>
    </row>
    <row r="1266">
      <c r="A1266" s="1984"/>
      <c r="B1266" s="1984"/>
      <c r="C1266" s="1984"/>
      <c r="D1266" s="1982"/>
    </row>
    <row r="1267">
      <c r="A1267" s="1984"/>
      <c r="B1267" s="1984"/>
      <c r="C1267" s="1984"/>
      <c r="D1267" s="1982"/>
    </row>
    <row r="1268">
      <c r="A1268" s="1984"/>
      <c r="B1268" s="1984"/>
      <c r="C1268" s="1984"/>
      <c r="D1268" s="1982"/>
    </row>
    <row r="1269">
      <c r="A1269" s="1984"/>
      <c r="B1269" s="1984"/>
      <c r="C1269" s="1984"/>
      <c r="D1269" s="1982"/>
    </row>
    <row r="1270">
      <c r="A1270" s="1984"/>
      <c r="B1270" s="1984"/>
      <c r="C1270" s="1984"/>
      <c r="D1270" s="1982"/>
    </row>
    <row r="1271">
      <c r="A1271" s="1984"/>
      <c r="B1271" s="1984"/>
      <c r="C1271" s="1984"/>
      <c r="D1271" s="1982"/>
    </row>
    <row r="1272">
      <c r="A1272" s="1984"/>
      <c r="B1272" s="1984"/>
      <c r="C1272" s="1984"/>
      <c r="D1272" s="1982"/>
    </row>
    <row r="1273">
      <c r="A1273" s="1984"/>
      <c r="B1273" s="1984"/>
      <c r="C1273" s="1984"/>
      <c r="D1273" s="1982"/>
    </row>
    <row r="1274">
      <c r="A1274" s="1984"/>
      <c r="B1274" s="1984"/>
      <c r="C1274" s="1984"/>
      <c r="D1274" s="1982"/>
    </row>
    <row r="1275">
      <c r="A1275" s="1984"/>
      <c r="B1275" s="1984"/>
      <c r="C1275" s="1984"/>
      <c r="D1275" s="1982"/>
    </row>
    <row r="1276">
      <c r="A1276" s="1984"/>
      <c r="B1276" s="1984"/>
      <c r="C1276" s="1984"/>
      <c r="D1276" s="1982"/>
    </row>
    <row r="1277">
      <c r="A1277" s="1984"/>
      <c r="B1277" s="1984"/>
      <c r="C1277" s="1984"/>
      <c r="D1277" s="1982"/>
    </row>
    <row r="1278">
      <c r="A1278" s="1984"/>
      <c r="B1278" s="1984"/>
      <c r="C1278" s="1984"/>
      <c r="D1278" s="1982"/>
    </row>
    <row r="1279">
      <c r="A1279" s="1984"/>
      <c r="B1279" s="1984"/>
      <c r="C1279" s="1984"/>
      <c r="D1279" s="1982"/>
    </row>
    <row r="1280">
      <c r="A1280" s="1984"/>
      <c r="B1280" s="1984"/>
      <c r="C1280" s="1984"/>
      <c r="D1280" s="1982"/>
    </row>
    <row r="1281">
      <c r="A1281" s="1984"/>
      <c r="B1281" s="1984"/>
      <c r="C1281" s="1984"/>
      <c r="D1281" s="1982"/>
    </row>
    <row r="1282">
      <c r="A1282" s="1984"/>
      <c r="B1282" s="1984"/>
      <c r="C1282" s="1984"/>
      <c r="D1282" s="1982"/>
    </row>
    <row r="1283">
      <c r="A1283" s="1984"/>
      <c r="B1283" s="1984"/>
      <c r="C1283" s="1984"/>
      <c r="D1283" s="1982"/>
    </row>
    <row r="1284">
      <c r="A1284" s="1984"/>
      <c r="B1284" s="1984"/>
      <c r="C1284" s="1984"/>
      <c r="D1284" s="1982"/>
    </row>
    <row r="1285">
      <c r="A1285" s="1984"/>
      <c r="B1285" s="1984"/>
      <c r="C1285" s="1984"/>
      <c r="D1285" s="1982"/>
    </row>
    <row r="1286">
      <c r="A1286" s="1984"/>
      <c r="B1286" s="1984"/>
      <c r="C1286" s="1984"/>
      <c r="D1286" s="1982"/>
    </row>
    <row r="1287">
      <c r="A1287" s="1984"/>
      <c r="B1287" s="1984"/>
      <c r="C1287" s="1984"/>
      <c r="D1287" s="1982"/>
    </row>
    <row r="1288">
      <c r="A1288" s="1984"/>
      <c r="B1288" s="1984"/>
      <c r="C1288" s="1984"/>
      <c r="D1288" s="1982"/>
    </row>
    <row r="1289">
      <c r="A1289" s="1984"/>
      <c r="B1289" s="1984"/>
      <c r="C1289" s="1984"/>
      <c r="D1289" s="1982"/>
    </row>
    <row r="1290">
      <c r="A1290" s="1984"/>
      <c r="B1290" s="1984"/>
      <c r="C1290" s="1984"/>
      <c r="D1290" s="1982"/>
    </row>
    <row r="1291">
      <c r="A1291" s="1984"/>
      <c r="B1291" s="1984"/>
      <c r="C1291" s="1984"/>
      <c r="D1291" s="1982"/>
    </row>
    <row r="1292">
      <c r="A1292" s="1984"/>
      <c r="B1292" s="1984"/>
      <c r="C1292" s="1984"/>
      <c r="D1292" s="1982"/>
    </row>
    <row r="1293">
      <c r="A1293" s="1984"/>
      <c r="B1293" s="1984"/>
      <c r="C1293" s="1984"/>
      <c r="D1293" s="1982"/>
    </row>
    <row r="1294">
      <c r="A1294" s="1984"/>
      <c r="B1294" s="1984"/>
      <c r="C1294" s="1984"/>
      <c r="D1294" s="1982"/>
    </row>
    <row r="1295">
      <c r="A1295" s="1984"/>
      <c r="B1295" s="1984"/>
      <c r="C1295" s="1984"/>
      <c r="D1295" s="1982"/>
    </row>
    <row r="1296">
      <c r="A1296" s="1984"/>
      <c r="B1296" s="1984"/>
      <c r="C1296" s="1984"/>
      <c r="D1296" s="1982"/>
    </row>
    <row r="1297">
      <c r="A1297" s="1984"/>
      <c r="B1297" s="1984"/>
      <c r="C1297" s="1984"/>
      <c r="D1297" s="1982"/>
    </row>
    <row r="1298">
      <c r="A1298" s="1984"/>
      <c r="B1298" s="1984"/>
      <c r="C1298" s="1984"/>
      <c r="D1298" s="1982"/>
    </row>
    <row r="1299">
      <c r="A1299" s="1984"/>
      <c r="B1299" s="1984"/>
      <c r="C1299" s="1984"/>
      <c r="D1299" s="1982"/>
    </row>
    <row r="1300">
      <c r="A1300" s="1984"/>
      <c r="B1300" s="1984"/>
      <c r="C1300" s="1984"/>
      <c r="D1300" s="1982"/>
    </row>
    <row r="1301">
      <c r="A1301" s="1984"/>
      <c r="B1301" s="1984"/>
      <c r="C1301" s="1984"/>
      <c r="D1301" s="1982"/>
    </row>
    <row r="1302">
      <c r="A1302" s="1984"/>
      <c r="B1302" s="1984"/>
      <c r="C1302" s="1984"/>
      <c r="D1302" s="1982"/>
    </row>
    <row r="1303">
      <c r="A1303" s="1984"/>
      <c r="B1303" s="1984"/>
      <c r="C1303" s="1984"/>
      <c r="D1303" s="1982"/>
    </row>
    <row r="1304">
      <c r="A1304" s="1984"/>
      <c r="B1304" s="1984"/>
      <c r="C1304" s="1984"/>
      <c r="D1304" s="1982"/>
    </row>
    <row r="1305">
      <c r="A1305" s="1984"/>
      <c r="B1305" s="1984"/>
      <c r="C1305" s="1984"/>
      <c r="D1305" s="1982"/>
    </row>
    <row r="1306">
      <c r="A1306" s="1984"/>
      <c r="B1306" s="1984"/>
      <c r="C1306" s="1984"/>
      <c r="D1306" s="1982"/>
    </row>
    <row r="1307">
      <c r="A1307" s="1984"/>
      <c r="B1307" s="1984"/>
      <c r="C1307" s="1984"/>
      <c r="D1307" s="1982"/>
    </row>
    <row r="1308">
      <c r="A1308" s="1984"/>
      <c r="B1308" s="1984"/>
      <c r="C1308" s="1984"/>
      <c r="D1308" s="1982"/>
    </row>
    <row r="1309">
      <c r="A1309" s="1984"/>
      <c r="B1309" s="1984"/>
      <c r="C1309" s="1984"/>
      <c r="D1309" s="1982"/>
    </row>
    <row r="1310">
      <c r="A1310" s="1984"/>
      <c r="B1310" s="1984"/>
      <c r="C1310" s="1984"/>
      <c r="D1310" s="1982"/>
    </row>
    <row r="1311">
      <c r="A1311" s="1984"/>
      <c r="B1311" s="1984"/>
      <c r="C1311" s="1984"/>
      <c r="D1311" s="1982"/>
    </row>
    <row r="1312">
      <c r="A1312" s="1984"/>
      <c r="B1312" s="1984"/>
      <c r="C1312" s="1984"/>
      <c r="D1312" s="1982"/>
    </row>
    <row r="1313">
      <c r="A1313" s="1984"/>
      <c r="B1313" s="1984"/>
      <c r="C1313" s="1984"/>
      <c r="D1313" s="1982"/>
    </row>
    <row r="1314">
      <c r="A1314" s="1984"/>
      <c r="B1314" s="1984"/>
      <c r="C1314" s="1984"/>
      <c r="D1314" s="1982"/>
    </row>
    <row r="1315">
      <c r="A1315" s="1984"/>
      <c r="B1315" s="1984"/>
      <c r="C1315" s="1984"/>
      <c r="D1315" s="1982"/>
    </row>
    <row r="1316">
      <c r="A1316" s="1984"/>
      <c r="B1316" s="1984"/>
      <c r="C1316" s="1984"/>
      <c r="D1316" s="1982"/>
    </row>
    <row r="1317">
      <c r="A1317" s="1984"/>
      <c r="B1317" s="1984"/>
      <c r="C1317" s="1984"/>
      <c r="D1317" s="1982"/>
    </row>
    <row r="1318">
      <c r="A1318" s="1984"/>
      <c r="B1318" s="1984"/>
      <c r="C1318" s="1984"/>
      <c r="D1318" s="1982"/>
    </row>
    <row r="1319">
      <c r="A1319" s="1984"/>
      <c r="B1319" s="1984"/>
      <c r="C1319" s="1984"/>
      <c r="D1319" s="1982"/>
    </row>
    <row r="1320">
      <c r="A1320" s="1984"/>
      <c r="B1320" s="1984"/>
      <c r="C1320" s="1984"/>
      <c r="D1320" s="1982"/>
    </row>
    <row r="1321">
      <c r="A1321" s="1984"/>
      <c r="B1321" s="1984"/>
      <c r="C1321" s="1984"/>
      <c r="D1321" s="1982"/>
    </row>
    <row r="1322">
      <c r="A1322" s="1984"/>
      <c r="B1322" s="1984"/>
      <c r="C1322" s="1984"/>
      <c r="D1322" s="1982"/>
    </row>
    <row r="1323">
      <c r="A1323" s="1984"/>
      <c r="B1323" s="1984"/>
      <c r="C1323" s="1984"/>
      <c r="D1323" s="1982"/>
    </row>
    <row r="1324">
      <c r="A1324" s="1984"/>
      <c r="B1324" s="1984"/>
      <c r="C1324" s="1984"/>
      <c r="D1324" s="1982"/>
    </row>
    <row r="1325">
      <c r="A1325" s="1984"/>
      <c r="B1325" s="1984"/>
      <c r="C1325" s="1984"/>
      <c r="D1325" s="1982"/>
    </row>
    <row r="1326">
      <c r="A1326" s="1984"/>
      <c r="B1326" s="1984"/>
      <c r="C1326" s="1984"/>
      <c r="D1326" s="1982"/>
    </row>
    <row r="1327">
      <c r="A1327" s="1984"/>
      <c r="B1327" s="1984"/>
      <c r="C1327" s="1984"/>
      <c r="D1327" s="1982"/>
    </row>
    <row r="1328">
      <c r="A1328" s="1984"/>
      <c r="B1328" s="1984"/>
      <c r="C1328" s="1984"/>
      <c r="D1328" s="1982"/>
    </row>
    <row r="1329">
      <c r="A1329" s="1984"/>
      <c r="B1329" s="1984"/>
      <c r="C1329" s="1984"/>
      <c r="D1329" s="1982"/>
    </row>
    <row r="1330">
      <c r="A1330" s="1984"/>
      <c r="B1330" s="1984"/>
      <c r="C1330" s="1984"/>
      <c r="D1330" s="1982"/>
    </row>
    <row r="1331">
      <c r="A1331" s="1984"/>
      <c r="B1331" s="1984"/>
      <c r="C1331" s="1984"/>
      <c r="D1331" s="1982"/>
    </row>
    <row r="1332">
      <c r="A1332" s="1984"/>
      <c r="B1332" s="1984"/>
      <c r="C1332" s="1984"/>
      <c r="D1332" s="1982"/>
    </row>
    <row r="1333">
      <c r="A1333" s="1984"/>
      <c r="B1333" s="1984"/>
      <c r="C1333" s="1984"/>
      <c r="D1333" s="1982"/>
    </row>
    <row r="1334">
      <c r="A1334" s="1984"/>
      <c r="B1334" s="1984"/>
      <c r="C1334" s="1984"/>
      <c r="D1334" s="1982"/>
    </row>
    <row r="1335">
      <c r="A1335" s="1984"/>
      <c r="B1335" s="1984"/>
      <c r="C1335" s="1984"/>
      <c r="D1335" s="1982"/>
    </row>
    <row r="1336">
      <c r="A1336" s="1984"/>
      <c r="B1336" s="1984"/>
      <c r="C1336" s="1984"/>
      <c r="D1336" s="1982"/>
    </row>
    <row r="1337">
      <c r="A1337" s="1984"/>
      <c r="B1337" s="1984"/>
      <c r="C1337" s="1984"/>
      <c r="D1337" s="1982"/>
    </row>
    <row r="1338">
      <c r="A1338" s="1984"/>
      <c r="B1338" s="1984"/>
      <c r="C1338" s="1984"/>
      <c r="D1338" s="1982"/>
    </row>
    <row r="1339">
      <c r="A1339" s="1984"/>
      <c r="B1339" s="1984"/>
      <c r="C1339" s="1984"/>
      <c r="D1339" s="1982"/>
    </row>
    <row r="1340">
      <c r="A1340" s="1984"/>
      <c r="B1340" s="1984"/>
      <c r="C1340" s="1984"/>
      <c r="D1340" s="1982"/>
    </row>
    <row r="1341">
      <c r="A1341" s="1984"/>
      <c r="B1341" s="1984"/>
      <c r="C1341" s="1984"/>
      <c r="D1341" s="1982"/>
    </row>
    <row r="1342">
      <c r="A1342" s="1984"/>
      <c r="B1342" s="1984"/>
      <c r="C1342" s="1984"/>
      <c r="D1342" s="1982"/>
    </row>
    <row r="1343">
      <c r="A1343" s="1984"/>
      <c r="B1343" s="1984"/>
      <c r="C1343" s="1984"/>
      <c r="D1343" s="1982"/>
    </row>
    <row r="1344">
      <c r="A1344" s="1984"/>
      <c r="B1344" s="1984"/>
      <c r="C1344" s="1984"/>
      <c r="D1344" s="1982"/>
    </row>
    <row r="1345">
      <c r="A1345" s="1984"/>
      <c r="B1345" s="1984"/>
      <c r="C1345" s="1984"/>
      <c r="D1345" s="1982"/>
    </row>
    <row r="1346">
      <c r="A1346" s="1984"/>
      <c r="B1346" s="1984"/>
      <c r="C1346" s="1984"/>
      <c r="D1346" s="1982"/>
    </row>
    <row r="1347">
      <c r="A1347" s="1984"/>
      <c r="B1347" s="1984"/>
      <c r="C1347" s="1984"/>
      <c r="D1347" s="1982"/>
    </row>
    <row r="1348">
      <c r="A1348" s="1984"/>
      <c r="B1348" s="1984"/>
      <c r="C1348" s="1984"/>
      <c r="D1348" s="1982"/>
    </row>
    <row r="1349">
      <c r="A1349" s="1984"/>
      <c r="B1349" s="1984"/>
      <c r="C1349" s="1984"/>
      <c r="D1349" s="1982"/>
    </row>
    <row r="1350">
      <c r="A1350" s="1984"/>
      <c r="B1350" s="1984"/>
      <c r="C1350" s="1984"/>
      <c r="D1350" s="1982"/>
    </row>
    <row r="1351">
      <c r="A1351" s="1984"/>
      <c r="B1351" s="1984"/>
      <c r="C1351" s="1984"/>
      <c r="D1351" s="1982"/>
    </row>
    <row r="1352">
      <c r="A1352" s="1984"/>
      <c r="B1352" s="1984"/>
      <c r="C1352" s="1984"/>
      <c r="D1352" s="1982"/>
    </row>
    <row r="1353">
      <c r="A1353" s="1984"/>
      <c r="B1353" s="1984"/>
      <c r="C1353" s="1984"/>
      <c r="D1353" s="1982"/>
    </row>
    <row r="1354">
      <c r="A1354" s="1984"/>
      <c r="B1354" s="1984"/>
      <c r="C1354" s="1984"/>
      <c r="D1354" s="1982"/>
    </row>
    <row r="1355">
      <c r="A1355" s="1984"/>
      <c r="B1355" s="1984"/>
      <c r="C1355" s="1984"/>
      <c r="D1355" s="1982"/>
    </row>
    <row r="1356">
      <c r="A1356" s="1984"/>
      <c r="B1356" s="1984"/>
      <c r="C1356" s="1984"/>
      <c r="D1356" s="1982"/>
    </row>
    <row r="1357">
      <c r="A1357" s="1984"/>
      <c r="B1357" s="1984"/>
      <c r="C1357" s="1984"/>
      <c r="D1357" s="1982"/>
    </row>
    <row r="1358">
      <c r="A1358" s="1984"/>
      <c r="B1358" s="1984"/>
      <c r="C1358" s="1984"/>
      <c r="D1358" s="1982"/>
    </row>
    <row r="1359">
      <c r="A1359" s="1984"/>
      <c r="B1359" s="1984"/>
      <c r="C1359" s="1984"/>
      <c r="D1359" s="1982"/>
    </row>
    <row r="1360">
      <c r="A1360" s="1984"/>
      <c r="B1360" s="1984"/>
      <c r="C1360" s="1984"/>
      <c r="D1360" s="1982"/>
    </row>
    <row r="1361">
      <c r="A1361" s="1984"/>
      <c r="B1361" s="1984"/>
      <c r="C1361" s="1984"/>
      <c r="D1361" s="1982"/>
    </row>
    <row r="1362">
      <c r="A1362" s="1984"/>
      <c r="B1362" s="1984"/>
      <c r="C1362" s="1984"/>
      <c r="D1362" s="1982"/>
    </row>
    <row r="1363">
      <c r="A1363" s="1984"/>
      <c r="B1363" s="1984"/>
      <c r="C1363" s="1984"/>
      <c r="D1363" s="1982"/>
    </row>
    <row r="1364">
      <c r="A1364" s="1984"/>
      <c r="B1364" s="1984"/>
      <c r="C1364" s="1984"/>
      <c r="D1364" s="1982"/>
    </row>
    <row r="1365">
      <c r="A1365" s="1984"/>
      <c r="B1365" s="1984"/>
      <c r="C1365" s="1984"/>
      <c r="D1365" s="1982"/>
    </row>
    <row r="1366">
      <c r="A1366" s="1984"/>
      <c r="B1366" s="1984"/>
      <c r="C1366" s="1984"/>
      <c r="D1366" s="1982"/>
    </row>
    <row r="1367">
      <c r="A1367" s="1984"/>
      <c r="B1367" s="1984"/>
      <c r="C1367" s="1984"/>
      <c r="D1367" s="1982"/>
    </row>
    <row r="1368">
      <c r="A1368" s="1984"/>
      <c r="B1368" s="1984"/>
      <c r="C1368" s="1984"/>
      <c r="D1368" s="1982"/>
    </row>
    <row r="1369">
      <c r="A1369" s="1984"/>
      <c r="B1369" s="1984"/>
      <c r="C1369" s="1984"/>
      <c r="D1369" s="1982"/>
    </row>
    <row r="1370">
      <c r="A1370" s="1984"/>
      <c r="B1370" s="1984"/>
      <c r="C1370" s="1984"/>
      <c r="D1370" s="1982"/>
    </row>
    <row r="1371">
      <c r="A1371" s="1984"/>
      <c r="B1371" s="1984"/>
      <c r="C1371" s="1984"/>
      <c r="D1371" s="1982"/>
    </row>
    <row r="1372">
      <c r="A1372" s="1984"/>
      <c r="B1372" s="1984"/>
      <c r="C1372" s="1984"/>
      <c r="D1372" s="1982"/>
    </row>
    <row r="1373">
      <c r="A1373" s="1984"/>
      <c r="B1373" s="1984"/>
      <c r="C1373" s="1984"/>
      <c r="D1373" s="1982"/>
    </row>
    <row r="1374">
      <c r="A1374" s="1984"/>
      <c r="B1374" s="1984"/>
      <c r="C1374" s="1984"/>
      <c r="D1374" s="1982"/>
    </row>
    <row r="1375">
      <c r="A1375" s="1984"/>
      <c r="B1375" s="1984"/>
      <c r="C1375" s="1984"/>
      <c r="D1375" s="1982"/>
    </row>
    <row r="1376">
      <c r="A1376" s="1984"/>
      <c r="B1376" s="1984"/>
      <c r="C1376" s="1984"/>
      <c r="D1376" s="1982"/>
    </row>
    <row r="1377">
      <c r="A1377" s="1984"/>
      <c r="B1377" s="1984"/>
      <c r="C1377" s="1984"/>
      <c r="D1377" s="1982"/>
    </row>
    <row r="1378">
      <c r="A1378" s="1984"/>
      <c r="B1378" s="1984"/>
      <c r="C1378" s="1984"/>
      <c r="D1378" s="1982"/>
    </row>
    <row r="1379">
      <c r="A1379" s="1984"/>
      <c r="B1379" s="1984"/>
      <c r="C1379" s="1984"/>
      <c r="D1379" s="1982"/>
    </row>
    <row r="1380">
      <c r="A1380" s="1984"/>
      <c r="B1380" s="1984"/>
      <c r="C1380" s="1984"/>
      <c r="D1380" s="1982"/>
    </row>
    <row r="1381">
      <c r="A1381" s="1984"/>
      <c r="B1381" s="1984"/>
      <c r="C1381" s="1984"/>
      <c r="D1381" s="1982"/>
    </row>
    <row r="1382">
      <c r="A1382" s="1984"/>
      <c r="B1382" s="1984"/>
      <c r="C1382" s="1984"/>
      <c r="D1382" s="1982"/>
    </row>
    <row r="1383">
      <c r="A1383" s="1984"/>
      <c r="B1383" s="1984"/>
      <c r="C1383" s="1984"/>
      <c r="D1383" s="1982"/>
    </row>
    <row r="1384">
      <c r="A1384" s="1984"/>
      <c r="B1384" s="1984"/>
      <c r="C1384" s="1984"/>
      <c r="D1384" s="1982"/>
    </row>
    <row r="1385">
      <c r="A1385" s="1984"/>
      <c r="B1385" s="1984"/>
      <c r="C1385" s="1984"/>
      <c r="D1385" s="1982"/>
    </row>
    <row r="1386">
      <c r="A1386" s="1984"/>
      <c r="B1386" s="1984"/>
      <c r="C1386" s="1984"/>
      <c r="D1386" s="1982"/>
    </row>
    <row r="1387">
      <c r="A1387" s="1984"/>
      <c r="B1387" s="1984"/>
      <c r="C1387" s="1984"/>
      <c r="D1387" s="1982"/>
    </row>
    <row r="1388">
      <c r="A1388" s="1984"/>
      <c r="B1388" s="1984"/>
      <c r="C1388" s="1984"/>
      <c r="D1388" s="1982"/>
    </row>
    <row r="1389">
      <c r="A1389" s="1984"/>
      <c r="B1389" s="1984"/>
      <c r="C1389" s="1984"/>
      <c r="D1389" s="1982"/>
    </row>
    <row r="1390">
      <c r="A1390" s="1984"/>
      <c r="B1390" s="1984"/>
      <c r="C1390" s="1984"/>
      <c r="D1390" s="1982"/>
    </row>
    <row r="1391">
      <c r="A1391" s="1984"/>
      <c r="B1391" s="1984"/>
      <c r="C1391" s="1984"/>
      <c r="D1391" s="1982"/>
    </row>
    <row r="1392">
      <c r="A1392" s="1984"/>
      <c r="B1392" s="1984"/>
      <c r="C1392" s="1984"/>
      <c r="D1392" s="1982"/>
    </row>
    <row r="1393">
      <c r="A1393" s="1984"/>
      <c r="B1393" s="1984"/>
      <c r="C1393" s="1984"/>
      <c r="D1393" s="1982"/>
    </row>
    <row r="1394">
      <c r="A1394" s="1984"/>
      <c r="B1394" s="1984"/>
      <c r="C1394" s="1984"/>
      <c r="D1394" s="1982"/>
    </row>
    <row r="1395">
      <c r="A1395" s="1984"/>
      <c r="B1395" s="1984"/>
      <c r="C1395" s="1984"/>
      <c r="D1395" s="1982"/>
    </row>
    <row r="1396">
      <c r="A1396" s="1984"/>
      <c r="B1396" s="1984"/>
      <c r="C1396" s="1984"/>
      <c r="D1396" s="1982"/>
    </row>
    <row r="1397">
      <c r="A1397" s="1984"/>
      <c r="B1397" s="1984"/>
      <c r="C1397" s="1984"/>
      <c r="D1397" s="1982"/>
    </row>
    <row r="1398">
      <c r="A1398" s="1984"/>
      <c r="B1398" s="1984"/>
      <c r="C1398" s="1984"/>
      <c r="D1398" s="1982"/>
    </row>
    <row r="1399">
      <c r="A1399" s="1984"/>
      <c r="B1399" s="1984"/>
      <c r="C1399" s="1984"/>
      <c r="D1399" s="1982"/>
    </row>
    <row r="1400">
      <c r="A1400" s="1984"/>
      <c r="B1400" s="1984"/>
      <c r="C1400" s="1984"/>
      <c r="D1400" s="1982"/>
    </row>
    <row r="1401">
      <c r="A1401" s="1984"/>
      <c r="B1401" s="1984"/>
      <c r="C1401" s="1984"/>
      <c r="D1401" s="1982"/>
    </row>
    <row r="1402">
      <c r="A1402" s="1984"/>
      <c r="B1402" s="1984"/>
      <c r="C1402" s="1984"/>
      <c r="D1402" s="1982"/>
    </row>
    <row r="1403">
      <c r="A1403" s="1984"/>
      <c r="B1403" s="1984"/>
      <c r="C1403" s="1984"/>
      <c r="D1403" s="1982"/>
    </row>
    <row r="1404">
      <c r="A1404" s="1984"/>
      <c r="B1404" s="1984"/>
      <c r="C1404" s="1984"/>
      <c r="D1404" s="1982"/>
    </row>
    <row r="1405">
      <c r="A1405" s="1984"/>
      <c r="B1405" s="1984"/>
      <c r="C1405" s="1984"/>
      <c r="D1405" s="1982"/>
    </row>
    <row r="1406">
      <c r="A1406" s="1984"/>
      <c r="B1406" s="1984"/>
      <c r="C1406" s="1984"/>
      <c r="D1406" s="1982"/>
    </row>
    <row r="1407">
      <c r="A1407" s="1984"/>
      <c r="B1407" s="1984"/>
      <c r="C1407" s="1984"/>
      <c r="D1407" s="1982"/>
    </row>
    <row r="1408">
      <c r="A1408" s="1984"/>
      <c r="B1408" s="1984"/>
      <c r="C1408" s="1984"/>
      <c r="D1408" s="1982"/>
    </row>
    <row r="1409">
      <c r="A1409" s="1984"/>
      <c r="B1409" s="1984"/>
      <c r="C1409" s="1984"/>
      <c r="D1409" s="1982"/>
    </row>
    <row r="1410">
      <c r="A1410" s="1984"/>
      <c r="B1410" s="1984"/>
      <c r="C1410" s="1984"/>
      <c r="D1410" s="1982"/>
    </row>
    <row r="1411">
      <c r="A1411" s="1984"/>
      <c r="B1411" s="1984"/>
      <c r="C1411" s="1984"/>
      <c r="D1411" s="1982"/>
    </row>
    <row r="1412">
      <c r="A1412" s="1984"/>
      <c r="B1412" s="1984"/>
      <c r="C1412" s="1984"/>
      <c r="D1412" s="1982"/>
    </row>
    <row r="1413">
      <c r="A1413" s="1984"/>
      <c r="B1413" s="1984"/>
      <c r="C1413" s="1984"/>
      <c r="D1413" s="1982"/>
    </row>
    <row r="1414">
      <c r="A1414" s="1984"/>
      <c r="B1414" s="1984"/>
      <c r="C1414" s="1984"/>
      <c r="D1414" s="1982"/>
    </row>
    <row r="1415">
      <c r="A1415" s="1984"/>
      <c r="B1415" s="1984"/>
      <c r="C1415" s="1984"/>
      <c r="D1415" s="1982"/>
    </row>
    <row r="1416">
      <c r="A1416" s="1984"/>
      <c r="B1416" s="1984"/>
      <c r="C1416" s="1984"/>
      <c r="D1416" s="1982"/>
    </row>
    <row r="1417">
      <c r="A1417" s="1984"/>
      <c r="B1417" s="1984"/>
      <c r="C1417" s="1984"/>
      <c r="D1417" s="1982"/>
    </row>
    <row r="1418">
      <c r="A1418" s="1984"/>
      <c r="B1418" s="1984"/>
      <c r="C1418" s="1984"/>
      <c r="D1418" s="1982"/>
    </row>
    <row r="1419">
      <c r="A1419" s="1984"/>
      <c r="B1419" s="1984"/>
      <c r="C1419" s="1984"/>
      <c r="D1419" s="1982"/>
    </row>
    <row r="1420">
      <c r="A1420" s="1984"/>
      <c r="B1420" s="1984"/>
      <c r="C1420" s="1984"/>
      <c r="D1420" s="1982"/>
    </row>
    <row r="1421">
      <c r="A1421" s="1984"/>
      <c r="B1421" s="1984"/>
      <c r="C1421" s="1984"/>
      <c r="D1421" s="1982"/>
    </row>
    <row r="1422">
      <c r="A1422" s="1984"/>
      <c r="B1422" s="1984"/>
      <c r="C1422" s="1984"/>
      <c r="D1422" s="1982"/>
    </row>
    <row r="1423">
      <c r="A1423" s="1984"/>
      <c r="B1423" s="1984"/>
      <c r="C1423" s="1984"/>
      <c r="D1423" s="1982"/>
    </row>
    <row r="1424">
      <c r="A1424" s="1984"/>
      <c r="B1424" s="1984"/>
      <c r="C1424" s="1984"/>
      <c r="D1424" s="1982"/>
    </row>
    <row r="1425">
      <c r="A1425" s="1984"/>
      <c r="B1425" s="1984"/>
      <c r="C1425" s="1984"/>
      <c r="D1425" s="1982"/>
    </row>
    <row r="1426">
      <c r="A1426" s="1984"/>
      <c r="B1426" s="1984"/>
      <c r="C1426" s="1984"/>
      <c r="D1426" s="1982"/>
    </row>
    <row r="1427">
      <c r="A1427" s="1984"/>
      <c r="B1427" s="1984"/>
      <c r="C1427" s="1984"/>
      <c r="D1427" s="1982"/>
    </row>
    <row r="1428">
      <c r="A1428" s="1984"/>
      <c r="B1428" s="1984"/>
      <c r="C1428" s="1984"/>
      <c r="D1428" s="1982"/>
    </row>
    <row r="1429">
      <c r="A1429" s="1984"/>
      <c r="B1429" s="1984"/>
      <c r="C1429" s="1984"/>
      <c r="D1429" s="1982"/>
    </row>
    <row r="1430">
      <c r="A1430" s="1984"/>
      <c r="B1430" s="1984"/>
      <c r="C1430" s="1984"/>
      <c r="D1430" s="1982"/>
    </row>
    <row r="1431">
      <c r="A1431" s="1984"/>
      <c r="B1431" s="1984"/>
      <c r="C1431" s="1984"/>
      <c r="D1431" s="1982"/>
    </row>
    <row r="1432">
      <c r="A1432" s="1984"/>
      <c r="B1432" s="1984"/>
      <c r="C1432" s="1984"/>
      <c r="D1432" s="1982"/>
    </row>
    <row r="1433">
      <c r="A1433" s="1984"/>
      <c r="B1433" s="1984"/>
      <c r="C1433" s="1984"/>
      <c r="D1433" s="1982"/>
    </row>
    <row r="1434">
      <c r="A1434" s="1984"/>
      <c r="B1434" s="1984"/>
      <c r="C1434" s="1984"/>
      <c r="D1434" s="1982"/>
    </row>
    <row r="1435">
      <c r="A1435" s="1984"/>
      <c r="B1435" s="1984"/>
      <c r="C1435" s="1984"/>
      <c r="D1435" s="1982"/>
    </row>
    <row r="1436">
      <c r="A1436" s="1984"/>
      <c r="B1436" s="1984"/>
      <c r="C1436" s="1984"/>
      <c r="D1436" s="1982"/>
    </row>
    <row r="1437">
      <c r="A1437" s="1984"/>
      <c r="B1437" s="1984"/>
      <c r="C1437" s="1984"/>
      <c r="D1437" s="1982"/>
    </row>
    <row r="1438">
      <c r="A1438" s="1984"/>
      <c r="B1438" s="1984"/>
      <c r="C1438" s="1984"/>
      <c r="D1438" s="1982"/>
    </row>
    <row r="1439">
      <c r="A1439" s="1984"/>
      <c r="B1439" s="1984"/>
      <c r="C1439" s="1984"/>
      <c r="D1439" s="1982"/>
    </row>
    <row r="1440">
      <c r="A1440" s="1984"/>
      <c r="B1440" s="1984"/>
      <c r="C1440" s="1984"/>
      <c r="D1440" s="1982"/>
    </row>
    <row r="1441">
      <c r="A1441" s="1984"/>
      <c r="B1441" s="1984"/>
      <c r="C1441" s="1984"/>
      <c r="D1441" s="1982"/>
    </row>
    <row r="1442">
      <c r="A1442" s="1984"/>
      <c r="B1442" s="1984"/>
      <c r="C1442" s="1984"/>
      <c r="D1442" s="1982"/>
    </row>
    <row r="1443">
      <c r="A1443" s="1984"/>
      <c r="B1443" s="1984"/>
      <c r="C1443" s="1984"/>
      <c r="D1443" s="1982"/>
    </row>
    <row r="1444">
      <c r="A1444" s="1984"/>
      <c r="B1444" s="1984"/>
      <c r="C1444" s="1984"/>
      <c r="D1444" s="1982"/>
    </row>
    <row r="1445">
      <c r="A1445" s="1984"/>
      <c r="B1445" s="1984"/>
      <c r="C1445" s="1984"/>
      <c r="D1445" s="1982"/>
    </row>
    <row r="1446">
      <c r="A1446" s="1984"/>
      <c r="B1446" s="1984"/>
      <c r="C1446" s="1984"/>
      <c r="D1446" s="1982"/>
    </row>
    <row r="1447">
      <c r="A1447" s="1984"/>
      <c r="B1447" s="1984"/>
      <c r="C1447" s="1984"/>
      <c r="D1447" s="1982"/>
    </row>
    <row r="1448">
      <c r="A1448" s="1984"/>
      <c r="B1448" s="1984"/>
      <c r="C1448" s="1984"/>
      <c r="D1448" s="1982"/>
    </row>
    <row r="1449">
      <c r="A1449" s="1984"/>
      <c r="B1449" s="1984"/>
      <c r="C1449" s="1984"/>
      <c r="D1449" s="1982"/>
    </row>
    <row r="1450">
      <c r="A1450" s="1984"/>
      <c r="B1450" s="1984"/>
      <c r="C1450" s="1984"/>
      <c r="D1450" s="1982"/>
    </row>
    <row r="1451">
      <c r="A1451" s="1984"/>
      <c r="B1451" s="1984"/>
      <c r="C1451" s="1984"/>
      <c r="D1451" s="1982"/>
    </row>
    <row r="1452">
      <c r="A1452" s="1984"/>
      <c r="B1452" s="1984"/>
      <c r="C1452" s="1984"/>
      <c r="D1452" s="1982"/>
    </row>
    <row r="1453">
      <c r="A1453" s="1984"/>
      <c r="B1453" s="1984"/>
      <c r="C1453" s="1984"/>
      <c r="D1453" s="1982"/>
    </row>
    <row r="1454">
      <c r="A1454" s="1984"/>
      <c r="B1454" s="1984"/>
      <c r="C1454" s="1984"/>
      <c r="D1454" s="1982"/>
    </row>
    <row r="1455">
      <c r="A1455" s="1984"/>
      <c r="B1455" s="1984"/>
      <c r="C1455" s="1984"/>
      <c r="D1455" s="1982"/>
    </row>
    <row r="1456">
      <c r="A1456" s="1984"/>
      <c r="B1456" s="1984"/>
      <c r="C1456" s="1984"/>
      <c r="D1456" s="1982"/>
    </row>
    <row r="1457">
      <c r="A1457" s="1984"/>
      <c r="B1457" s="1984"/>
      <c r="C1457" s="1984"/>
      <c r="D1457" s="1982"/>
    </row>
    <row r="1458">
      <c r="A1458" s="1984"/>
      <c r="B1458" s="1984"/>
      <c r="C1458" s="1984"/>
      <c r="D1458" s="1982"/>
    </row>
    <row r="1459">
      <c r="A1459" s="1984"/>
      <c r="B1459" s="1984"/>
      <c r="C1459" s="1984"/>
      <c r="D1459" s="1982"/>
    </row>
    <row r="1460">
      <c r="A1460" s="1984"/>
      <c r="B1460" s="1984"/>
      <c r="C1460" s="1984"/>
      <c r="D1460" s="1982"/>
    </row>
    <row r="1461">
      <c r="A1461" s="1984"/>
      <c r="B1461" s="1984"/>
      <c r="C1461" s="1984"/>
      <c r="D1461" s="1982"/>
    </row>
    <row r="1462">
      <c r="A1462" s="1984"/>
      <c r="B1462" s="1984"/>
      <c r="C1462" s="1984"/>
      <c r="D1462" s="1982"/>
    </row>
    <row r="1463">
      <c r="A1463" s="1984"/>
      <c r="B1463" s="1984"/>
      <c r="C1463" s="1984"/>
      <c r="D1463" s="1982"/>
    </row>
    <row r="1464">
      <c r="A1464" s="1984"/>
      <c r="B1464" s="1984"/>
      <c r="C1464" s="1984"/>
      <c r="D1464" s="1982"/>
    </row>
    <row r="1465">
      <c r="A1465" s="1984"/>
      <c r="B1465" s="1984"/>
      <c r="C1465" s="1984"/>
      <c r="D1465" s="1982"/>
    </row>
    <row r="1466">
      <c r="A1466" s="1984"/>
      <c r="B1466" s="1984"/>
      <c r="C1466" s="1984"/>
      <c r="D1466" s="1982"/>
    </row>
    <row r="1467">
      <c r="A1467" s="1984"/>
      <c r="B1467" s="1984"/>
      <c r="C1467" s="1984"/>
      <c r="D1467" s="1982"/>
    </row>
    <row r="1468">
      <c r="A1468" s="1984"/>
      <c r="B1468" s="1984"/>
      <c r="C1468" s="1984"/>
      <c r="D1468" s="1982"/>
    </row>
    <row r="1469">
      <c r="A1469" s="1984"/>
      <c r="B1469" s="1984"/>
      <c r="C1469" s="1984"/>
      <c r="D1469" s="1982"/>
    </row>
    <row r="1470">
      <c r="A1470" s="1984"/>
      <c r="B1470" s="1984"/>
      <c r="C1470" s="1984"/>
      <c r="D1470" s="1982"/>
    </row>
    <row r="1471">
      <c r="A1471" s="1984"/>
      <c r="B1471" s="1984"/>
      <c r="C1471" s="1984"/>
      <c r="D1471" s="1982"/>
    </row>
    <row r="1472">
      <c r="A1472" s="1984"/>
      <c r="B1472" s="1984"/>
      <c r="C1472" s="1984"/>
      <c r="D1472" s="1982"/>
    </row>
    <row r="1473">
      <c r="A1473" s="1984"/>
      <c r="B1473" s="1984"/>
      <c r="C1473" s="1984"/>
      <c r="D1473" s="1982"/>
    </row>
    <row r="1474">
      <c r="A1474" s="1984"/>
      <c r="B1474" s="1984"/>
      <c r="C1474" s="1984"/>
      <c r="D1474" s="1982"/>
    </row>
    <row r="1475">
      <c r="A1475" s="1984"/>
      <c r="B1475" s="1984"/>
      <c r="C1475" s="1984"/>
      <c r="D1475" s="1982"/>
    </row>
    <row r="1476">
      <c r="A1476" s="1984"/>
      <c r="B1476" s="1984"/>
      <c r="C1476" s="1984"/>
      <c r="D1476" s="1982"/>
    </row>
    <row r="1477">
      <c r="A1477" s="1984"/>
      <c r="B1477" s="1984"/>
      <c r="C1477" s="1984"/>
      <c r="D1477" s="1982"/>
    </row>
    <row r="1478">
      <c r="A1478" s="1984"/>
      <c r="B1478" s="1984"/>
      <c r="C1478" s="1984"/>
      <c r="D1478" s="1982"/>
    </row>
    <row r="1479">
      <c r="A1479" s="1984"/>
      <c r="B1479" s="1984"/>
      <c r="C1479" s="1984"/>
      <c r="D1479" s="1982"/>
    </row>
    <row r="1480">
      <c r="A1480" s="1984"/>
      <c r="B1480" s="1984"/>
      <c r="C1480" s="1984"/>
      <c r="D1480" s="1982"/>
    </row>
    <row r="1481">
      <c r="A1481" s="1984"/>
      <c r="B1481" s="1984"/>
      <c r="C1481" s="1984"/>
      <c r="D1481" s="1982"/>
    </row>
    <row r="1482">
      <c r="A1482" s="1984"/>
      <c r="B1482" s="1984"/>
      <c r="C1482" s="1984"/>
      <c r="D1482" s="1982"/>
    </row>
    <row r="1483">
      <c r="A1483" s="1984"/>
      <c r="B1483" s="1984"/>
      <c r="C1483" s="1984"/>
      <c r="D1483" s="1982"/>
    </row>
    <row r="1484">
      <c r="A1484" s="1984"/>
      <c r="B1484" s="1984"/>
      <c r="C1484" s="1984"/>
      <c r="D1484" s="1982"/>
    </row>
    <row r="1485">
      <c r="A1485" s="1984"/>
      <c r="B1485" s="1984"/>
      <c r="C1485" s="1984"/>
      <c r="D1485" s="1982"/>
    </row>
    <row r="1486">
      <c r="A1486" s="1984"/>
      <c r="B1486" s="1984"/>
      <c r="C1486" s="1984"/>
      <c r="D1486" s="1982"/>
    </row>
    <row r="1487">
      <c r="A1487" s="1984"/>
      <c r="B1487" s="1984"/>
      <c r="C1487" s="1984"/>
      <c r="D1487" s="1982"/>
    </row>
    <row r="1488">
      <c r="A1488" s="1984"/>
      <c r="B1488" s="1984"/>
      <c r="C1488" s="1984"/>
      <c r="D1488" s="1982"/>
    </row>
    <row r="1489">
      <c r="A1489" s="1984"/>
      <c r="B1489" s="1984"/>
      <c r="C1489" s="1984"/>
      <c r="D1489" s="1982"/>
    </row>
    <row r="1490">
      <c r="A1490" s="1984"/>
      <c r="B1490" s="1984"/>
      <c r="C1490" s="1984"/>
      <c r="D1490" s="1982"/>
    </row>
    <row r="1491">
      <c r="A1491" s="1984"/>
      <c r="B1491" s="1984"/>
      <c r="C1491" s="1984"/>
      <c r="D1491" s="1982"/>
    </row>
    <row r="1492">
      <c r="A1492" s="1984"/>
      <c r="B1492" s="1984"/>
      <c r="C1492" s="1984"/>
      <c r="D1492" s="1982"/>
    </row>
    <row r="1493">
      <c r="A1493" s="1984"/>
      <c r="B1493" s="1984"/>
      <c r="C1493" s="1984"/>
      <c r="D1493" s="1982"/>
    </row>
    <row r="1494">
      <c r="A1494" s="1984"/>
      <c r="B1494" s="1984"/>
      <c r="C1494" s="1984"/>
      <c r="D1494" s="1982"/>
    </row>
    <row r="1495">
      <c r="A1495" s="1984"/>
      <c r="B1495" s="1984"/>
      <c r="C1495" s="1984"/>
      <c r="D1495" s="1982"/>
    </row>
    <row r="1496">
      <c r="A1496" s="1984"/>
      <c r="B1496" s="1984"/>
      <c r="C1496" s="1984"/>
      <c r="D1496" s="1982"/>
    </row>
    <row r="1497">
      <c r="A1497" s="1984"/>
      <c r="B1497" s="1984"/>
      <c r="C1497" s="1984"/>
      <c r="D1497" s="1982"/>
    </row>
    <row r="1498">
      <c r="A1498" s="1984"/>
      <c r="B1498" s="1984"/>
      <c r="C1498" s="1984"/>
      <c r="D1498" s="1982"/>
    </row>
    <row r="1499">
      <c r="A1499" s="1984"/>
      <c r="B1499" s="1984"/>
      <c r="C1499" s="1984"/>
      <c r="D1499" s="1982"/>
    </row>
    <row r="1500">
      <c r="A1500" s="1984"/>
      <c r="B1500" s="1984"/>
      <c r="C1500" s="1984"/>
      <c r="D1500" s="1982"/>
    </row>
    <row r="1501">
      <c r="A1501" s="1984"/>
      <c r="B1501" s="1984"/>
      <c r="C1501" s="1984"/>
      <c r="D1501" s="1982"/>
    </row>
    <row r="1502">
      <c r="A1502" s="1984"/>
      <c r="B1502" s="1984"/>
      <c r="C1502" s="1984"/>
      <c r="D1502" s="1982"/>
    </row>
    <row r="1503">
      <c r="A1503" s="1984"/>
      <c r="B1503" s="1984"/>
      <c r="C1503" s="1984"/>
      <c r="D1503" s="1982"/>
    </row>
    <row r="1504">
      <c r="A1504" s="1984"/>
      <c r="B1504" s="1984"/>
      <c r="C1504" s="1984"/>
      <c r="D1504" s="1982"/>
    </row>
    <row r="1505">
      <c r="A1505" s="1984"/>
      <c r="B1505" s="1984"/>
      <c r="C1505" s="1984"/>
      <c r="D1505" s="1982"/>
    </row>
    <row r="1506">
      <c r="A1506" s="1984"/>
      <c r="B1506" s="1984"/>
      <c r="C1506" s="1984"/>
      <c r="D1506" s="1982"/>
    </row>
    <row r="1507">
      <c r="A1507" s="1984"/>
      <c r="B1507" s="1984"/>
      <c r="C1507" s="1984"/>
      <c r="D1507" s="1982"/>
    </row>
    <row r="1508">
      <c r="A1508" s="1984"/>
      <c r="B1508" s="1984"/>
      <c r="C1508" s="1984"/>
      <c r="D1508" s="1982"/>
    </row>
    <row r="1509">
      <c r="A1509" s="1984"/>
      <c r="B1509" s="1984"/>
      <c r="C1509" s="1984"/>
      <c r="D1509" s="1982"/>
    </row>
    <row r="1510">
      <c r="A1510" s="1984"/>
      <c r="B1510" s="1984"/>
      <c r="C1510" s="1984"/>
      <c r="D1510" s="1982"/>
    </row>
    <row r="1511">
      <c r="A1511" s="1984"/>
      <c r="B1511" s="1984"/>
      <c r="C1511" s="1984"/>
      <c r="D1511" s="1982"/>
    </row>
    <row r="1512">
      <c r="A1512" s="1984"/>
      <c r="B1512" s="1984"/>
      <c r="C1512" s="1984"/>
      <c r="D1512" s="1982"/>
    </row>
    <row r="1513">
      <c r="A1513" s="1984"/>
      <c r="B1513" s="1984"/>
      <c r="C1513" s="1984"/>
      <c r="D1513" s="1982"/>
    </row>
    <row r="1514">
      <c r="A1514" s="1984"/>
      <c r="B1514" s="1984"/>
      <c r="C1514" s="1984"/>
      <c r="D1514" s="1982"/>
    </row>
    <row r="1515">
      <c r="A1515" s="1984"/>
      <c r="B1515" s="1984"/>
      <c r="C1515" s="1984"/>
      <c r="D1515" s="1982"/>
    </row>
    <row r="1516">
      <c r="A1516" s="1984"/>
      <c r="B1516" s="1984"/>
      <c r="C1516" s="1984"/>
      <c r="D1516" s="1982"/>
    </row>
    <row r="1517">
      <c r="A1517" s="1984"/>
      <c r="B1517" s="1984"/>
      <c r="C1517" s="1984"/>
      <c r="D1517" s="1982"/>
    </row>
    <row r="1518">
      <c r="A1518" s="1984"/>
      <c r="B1518" s="1984"/>
      <c r="C1518" s="1984"/>
      <c r="D1518" s="1982"/>
    </row>
    <row r="1519">
      <c r="A1519" s="1984"/>
      <c r="B1519" s="1984"/>
      <c r="C1519" s="1984"/>
      <c r="D1519" s="1982"/>
    </row>
    <row r="1520">
      <c r="A1520" s="1984"/>
      <c r="B1520" s="1984"/>
      <c r="C1520" s="1984"/>
      <c r="D1520" s="1982"/>
    </row>
    <row r="1521">
      <c r="A1521" s="1984"/>
      <c r="B1521" s="1984"/>
      <c r="C1521" s="1984"/>
      <c r="D1521" s="1982"/>
    </row>
    <row r="1522">
      <c r="A1522" s="1984"/>
      <c r="B1522" s="1984"/>
      <c r="C1522" s="1984"/>
      <c r="D1522" s="1982"/>
    </row>
    <row r="1523">
      <c r="A1523" s="1984"/>
      <c r="B1523" s="1984"/>
      <c r="C1523" s="1984"/>
      <c r="D1523" s="1982"/>
    </row>
    <row r="1524">
      <c r="A1524" s="1984"/>
      <c r="B1524" s="1984"/>
      <c r="C1524" s="1984"/>
      <c r="D1524" s="1982"/>
    </row>
    <row r="1525">
      <c r="A1525" s="1984"/>
      <c r="B1525" s="1984"/>
      <c r="C1525" s="1984"/>
      <c r="D1525" s="1982"/>
    </row>
    <row r="1526">
      <c r="A1526" s="1984"/>
      <c r="B1526" s="1984"/>
      <c r="C1526" s="1984"/>
      <c r="D1526" s="1982"/>
    </row>
    <row r="1527">
      <c r="A1527" s="1984"/>
      <c r="B1527" s="1984"/>
      <c r="C1527" s="1984"/>
      <c r="D1527" s="1982"/>
    </row>
    <row r="1528">
      <c r="A1528" s="1984"/>
      <c r="B1528" s="1984"/>
      <c r="C1528" s="1984"/>
      <c r="D1528" s="1982"/>
    </row>
    <row r="1529">
      <c r="A1529" s="1984"/>
      <c r="B1529" s="1984"/>
      <c r="C1529" s="1984"/>
      <c r="D1529" s="1982"/>
    </row>
    <row r="1530">
      <c r="A1530" s="1984"/>
      <c r="B1530" s="1984"/>
      <c r="C1530" s="1984"/>
      <c r="D1530" s="1982"/>
    </row>
    <row r="1531">
      <c r="A1531" s="1984"/>
      <c r="B1531" s="1984"/>
      <c r="C1531" s="1984"/>
      <c r="D1531" s="1982"/>
    </row>
    <row r="1532">
      <c r="A1532" s="1984"/>
      <c r="B1532" s="1984"/>
      <c r="C1532" s="1984"/>
      <c r="D1532" s="1982"/>
    </row>
    <row r="1533">
      <c r="A1533" s="1984"/>
      <c r="B1533" s="1984"/>
      <c r="C1533" s="1984"/>
      <c r="D1533" s="1982"/>
    </row>
    <row r="1534">
      <c r="A1534" s="1984"/>
      <c r="B1534" s="1984"/>
      <c r="C1534" s="1984"/>
      <c r="D1534" s="1982"/>
    </row>
    <row r="1535">
      <c r="A1535" s="1984"/>
      <c r="B1535" s="1984"/>
      <c r="C1535" s="1984"/>
      <c r="D1535" s="1982"/>
    </row>
    <row r="1536">
      <c r="A1536" s="1984"/>
      <c r="B1536" s="1984"/>
      <c r="C1536" s="1984"/>
      <c r="D1536" s="1982"/>
    </row>
    <row r="1537">
      <c r="A1537" s="1984"/>
      <c r="B1537" s="1984"/>
      <c r="C1537" s="1984"/>
      <c r="D1537" s="1982"/>
    </row>
    <row r="1538">
      <c r="A1538" s="1984"/>
      <c r="B1538" s="1984"/>
      <c r="C1538" s="1984"/>
      <c r="D1538" s="1982"/>
    </row>
    <row r="1539">
      <c r="A1539" s="1984"/>
      <c r="B1539" s="1984"/>
      <c r="C1539" s="1984"/>
      <c r="D1539" s="1982"/>
    </row>
    <row r="1540">
      <c r="A1540" s="1984"/>
      <c r="B1540" s="1984"/>
      <c r="C1540" s="1984"/>
      <c r="D1540" s="1982"/>
    </row>
    <row r="1541">
      <c r="A1541" s="1984"/>
      <c r="B1541" s="1984"/>
      <c r="C1541" s="1984"/>
      <c r="D1541" s="1982"/>
    </row>
    <row r="1542">
      <c r="A1542" s="1984"/>
      <c r="B1542" s="1984"/>
      <c r="C1542" s="1984"/>
      <c r="D1542" s="1982"/>
    </row>
    <row r="1543">
      <c r="A1543" s="1984"/>
      <c r="B1543" s="1984"/>
      <c r="C1543" s="1984"/>
      <c r="D1543" s="1982"/>
    </row>
    <row r="1544">
      <c r="A1544" s="1984"/>
      <c r="B1544" s="1984"/>
      <c r="C1544" s="1984"/>
      <c r="D1544" s="1982"/>
    </row>
    <row r="1545">
      <c r="A1545" s="1984"/>
      <c r="B1545" s="1984"/>
      <c r="C1545" s="1984"/>
      <c r="D1545" s="1982"/>
    </row>
    <row r="1546">
      <c r="A1546" s="1984"/>
      <c r="B1546" s="1984"/>
      <c r="C1546" s="1984"/>
      <c r="D1546" s="1982"/>
    </row>
    <row r="1547">
      <c r="A1547" s="1984"/>
      <c r="B1547" s="1984"/>
      <c r="C1547" s="1984"/>
      <c r="D1547" s="1982"/>
    </row>
    <row r="1548">
      <c r="A1548" s="1984"/>
      <c r="B1548" s="1984"/>
      <c r="C1548" s="1984"/>
      <c r="D1548" s="1982"/>
    </row>
    <row r="1549">
      <c r="A1549" s="1984"/>
      <c r="B1549" s="1984"/>
      <c r="C1549" s="1984"/>
      <c r="D1549" s="1982"/>
    </row>
    <row r="1550">
      <c r="A1550" s="1984"/>
      <c r="B1550" s="1984"/>
      <c r="C1550" s="1984"/>
      <c r="D1550" s="1982"/>
    </row>
    <row r="1551">
      <c r="A1551" s="1984"/>
      <c r="B1551" s="1984"/>
      <c r="C1551" s="1984"/>
      <c r="D1551" s="1982"/>
    </row>
    <row r="1552">
      <c r="A1552" s="1984"/>
      <c r="B1552" s="1984"/>
      <c r="C1552" s="1984"/>
      <c r="D1552" s="1982"/>
    </row>
    <row r="1553">
      <c r="A1553" s="1984"/>
      <c r="B1553" s="1984"/>
      <c r="C1553" s="1984"/>
      <c r="D1553" s="1982"/>
    </row>
    <row r="1554">
      <c r="A1554" s="1984"/>
      <c r="B1554" s="1984"/>
      <c r="C1554" s="1984"/>
      <c r="D1554" s="1982"/>
    </row>
    <row r="1555">
      <c r="A1555" s="1984"/>
      <c r="B1555" s="1984"/>
      <c r="C1555" s="1984"/>
      <c r="D1555" s="1982"/>
    </row>
    <row r="1556">
      <c r="A1556" s="1984"/>
      <c r="B1556" s="1984"/>
      <c r="C1556" s="1984"/>
      <c r="D1556" s="1982"/>
    </row>
    <row r="1557">
      <c r="A1557" s="1984"/>
      <c r="B1557" s="1984"/>
      <c r="C1557" s="1984"/>
      <c r="D1557" s="1982"/>
    </row>
    <row r="1558">
      <c r="A1558" s="1984"/>
      <c r="B1558" s="1984"/>
      <c r="C1558" s="1984"/>
      <c r="D1558" s="1982"/>
    </row>
    <row r="1559">
      <c r="A1559" s="1984"/>
      <c r="B1559" s="1984"/>
      <c r="C1559" s="1984"/>
      <c r="D1559" s="1982"/>
    </row>
    <row r="1560">
      <c r="A1560" s="1984"/>
      <c r="B1560" s="1984"/>
      <c r="C1560" s="1984"/>
      <c r="D1560" s="1982"/>
    </row>
    <row r="1561">
      <c r="A1561" s="1984"/>
      <c r="B1561" s="1984"/>
      <c r="C1561" s="1984"/>
      <c r="D1561" s="1982"/>
    </row>
    <row r="1562">
      <c r="A1562" s="1984"/>
      <c r="B1562" s="1984"/>
      <c r="C1562" s="1984"/>
      <c r="D1562" s="1982"/>
    </row>
    <row r="1563">
      <c r="A1563" s="1984"/>
      <c r="B1563" s="1984"/>
      <c r="C1563" s="1984"/>
      <c r="D1563" s="1982"/>
    </row>
    <row r="1564">
      <c r="A1564" s="1984"/>
      <c r="B1564" s="1984"/>
      <c r="C1564" s="1984"/>
      <c r="D1564" s="1982"/>
    </row>
    <row r="1565">
      <c r="A1565" s="1984"/>
      <c r="B1565" s="1984"/>
      <c r="C1565" s="1984"/>
      <c r="D1565" s="1982"/>
    </row>
    <row r="1566">
      <c r="A1566" s="1984"/>
      <c r="B1566" s="1984"/>
      <c r="C1566" s="1984"/>
      <c r="D1566" s="1982"/>
    </row>
    <row r="1567">
      <c r="A1567" s="1984"/>
      <c r="B1567" s="1984"/>
      <c r="C1567" s="1984"/>
      <c r="D1567" s="1982"/>
    </row>
    <row r="1568">
      <c r="A1568" s="1984"/>
      <c r="B1568" s="1984"/>
      <c r="C1568" s="1984"/>
      <c r="D1568" s="1982"/>
    </row>
    <row r="1569">
      <c r="A1569" s="1984"/>
      <c r="B1569" s="1984"/>
      <c r="C1569" s="1984"/>
      <c r="D1569" s="1982"/>
    </row>
    <row r="1570">
      <c r="A1570" s="1984"/>
      <c r="B1570" s="1984"/>
      <c r="C1570" s="1984"/>
      <c r="D1570" s="1982"/>
    </row>
    <row r="1571">
      <c r="A1571" s="1984"/>
      <c r="B1571" s="1984"/>
      <c r="C1571" s="1984"/>
      <c r="D1571" s="1982"/>
    </row>
    <row r="1572">
      <c r="A1572" s="1984"/>
      <c r="B1572" s="1984"/>
      <c r="C1572" s="1984"/>
      <c r="D1572" s="1982"/>
    </row>
    <row r="1573">
      <c r="A1573" s="1984"/>
      <c r="B1573" s="1984"/>
      <c r="C1573" s="1984"/>
      <c r="D1573" s="1982"/>
    </row>
    <row r="1574">
      <c r="A1574" s="1984"/>
      <c r="B1574" s="1984"/>
      <c r="C1574" s="1984"/>
      <c r="D1574" s="1982"/>
    </row>
    <row r="1575">
      <c r="A1575" s="1984"/>
      <c r="B1575" s="1984"/>
      <c r="C1575" s="1984"/>
      <c r="D1575" s="1982"/>
    </row>
    <row r="1576">
      <c r="A1576" s="1984"/>
      <c r="B1576" s="1984"/>
      <c r="C1576" s="1984"/>
      <c r="D1576" s="1982"/>
    </row>
    <row r="1577">
      <c r="A1577" s="1984"/>
      <c r="B1577" s="1984"/>
      <c r="C1577" s="1984"/>
      <c r="D1577" s="1982"/>
    </row>
    <row r="1578">
      <c r="A1578" s="1984"/>
      <c r="B1578" s="1984"/>
      <c r="C1578" s="1984"/>
      <c r="D1578" s="1982"/>
    </row>
    <row r="1579">
      <c r="A1579" s="1984"/>
      <c r="B1579" s="1984"/>
      <c r="C1579" s="1984"/>
      <c r="D1579" s="1982"/>
    </row>
    <row r="1580">
      <c r="A1580" s="1984"/>
      <c r="B1580" s="1984"/>
      <c r="C1580" s="1984"/>
      <c r="D1580" s="1982"/>
    </row>
    <row r="1581">
      <c r="A1581" s="1984"/>
      <c r="B1581" s="1984"/>
      <c r="C1581" s="1984"/>
      <c r="D1581" s="1982"/>
    </row>
    <row r="1582">
      <c r="A1582" s="1984"/>
      <c r="B1582" s="1984"/>
      <c r="C1582" s="1984"/>
      <c r="D1582" s="1982"/>
    </row>
    <row r="1583">
      <c r="A1583" s="1984"/>
      <c r="B1583" s="1984"/>
      <c r="C1583" s="1984"/>
      <c r="D1583" s="1982"/>
    </row>
    <row r="1584">
      <c r="A1584" s="1984"/>
      <c r="B1584" s="1984"/>
      <c r="C1584" s="1984"/>
      <c r="D1584" s="1982"/>
    </row>
    <row r="1585">
      <c r="A1585" s="1984"/>
      <c r="B1585" s="1984"/>
      <c r="C1585" s="1984"/>
      <c r="D1585" s="1982"/>
    </row>
    <row r="1586">
      <c r="A1586" s="1984"/>
      <c r="B1586" s="1984"/>
      <c r="C1586" s="1984"/>
      <c r="D1586" s="1982"/>
    </row>
    <row r="1587">
      <c r="A1587" s="1984"/>
      <c r="B1587" s="1984"/>
      <c r="C1587" s="1984"/>
      <c r="D1587" s="1982"/>
    </row>
    <row r="1588">
      <c r="A1588" s="1984"/>
      <c r="B1588" s="1984"/>
      <c r="C1588" s="1984"/>
      <c r="D1588" s="1982"/>
    </row>
    <row r="1589">
      <c r="A1589" s="1984"/>
      <c r="B1589" s="1984"/>
      <c r="C1589" s="1984"/>
      <c r="D1589" s="1982"/>
    </row>
    <row r="1590">
      <c r="A1590" s="1984"/>
      <c r="B1590" s="1984"/>
      <c r="C1590" s="1984"/>
      <c r="D1590" s="1982"/>
    </row>
    <row r="1591">
      <c r="A1591" s="1984"/>
      <c r="B1591" s="1984"/>
      <c r="C1591" s="1984"/>
      <c r="D1591" s="1982"/>
    </row>
    <row r="1592">
      <c r="A1592" s="1984"/>
      <c r="B1592" s="1984"/>
      <c r="C1592" s="1984"/>
      <c r="D1592" s="1982"/>
    </row>
    <row r="1593">
      <c r="A1593" s="1984"/>
      <c r="B1593" s="1984"/>
      <c r="C1593" s="1984"/>
      <c r="D1593" s="1982"/>
    </row>
    <row r="1594">
      <c r="A1594" s="1984"/>
      <c r="B1594" s="1984"/>
      <c r="C1594" s="1984"/>
      <c r="D1594" s="1982"/>
    </row>
    <row r="1595">
      <c r="A1595" s="1984"/>
      <c r="B1595" s="1984"/>
      <c r="C1595" s="1984"/>
      <c r="D1595" s="1982"/>
    </row>
    <row r="1596">
      <c r="A1596" s="1984"/>
      <c r="B1596" s="1984"/>
      <c r="C1596" s="1984"/>
      <c r="D1596" s="1982"/>
    </row>
    <row r="1597">
      <c r="A1597" s="1984"/>
      <c r="B1597" s="1984"/>
      <c r="C1597" s="1984"/>
      <c r="D1597" s="1982"/>
    </row>
    <row r="1598">
      <c r="A1598" s="1984"/>
      <c r="B1598" s="1984"/>
      <c r="C1598" s="1984"/>
      <c r="D1598" s="1982"/>
    </row>
    <row r="1599">
      <c r="A1599" s="1984"/>
      <c r="B1599" s="1984"/>
      <c r="C1599" s="1984"/>
      <c r="D1599" s="1982"/>
    </row>
    <row r="1600">
      <c r="A1600" s="1984"/>
      <c r="B1600" s="1984"/>
      <c r="C1600" s="1984"/>
      <c r="D1600" s="1982"/>
    </row>
    <row r="1601">
      <c r="A1601" s="1984"/>
      <c r="B1601" s="1984"/>
      <c r="C1601" s="1984"/>
      <c r="D1601" s="1982"/>
    </row>
    <row r="1602">
      <c r="A1602" s="1984"/>
      <c r="B1602" s="1984"/>
      <c r="C1602" s="1984"/>
      <c r="D1602" s="1982"/>
    </row>
    <row r="1603">
      <c r="A1603" s="1984"/>
      <c r="B1603" s="1984"/>
      <c r="C1603" s="1984"/>
      <c r="D1603" s="1982"/>
    </row>
    <row r="1604">
      <c r="A1604" s="1984"/>
      <c r="B1604" s="1984"/>
      <c r="C1604" s="1984"/>
      <c r="D1604" s="1982"/>
    </row>
    <row r="1605">
      <c r="A1605" s="1984"/>
      <c r="B1605" s="1984"/>
      <c r="C1605" s="1984"/>
      <c r="D1605" s="1982"/>
    </row>
    <row r="1606">
      <c r="A1606" s="1984"/>
      <c r="B1606" s="1984"/>
      <c r="C1606" s="1984"/>
      <c r="D1606" s="1982"/>
    </row>
    <row r="1607">
      <c r="A1607" s="1984"/>
      <c r="B1607" s="1984"/>
      <c r="C1607" s="1984"/>
      <c r="D1607" s="1982"/>
    </row>
    <row r="1608">
      <c r="A1608" s="1984"/>
      <c r="B1608" s="1984"/>
      <c r="C1608" s="1984"/>
      <c r="D1608" s="1982"/>
    </row>
    <row r="1609">
      <c r="A1609" s="1984"/>
      <c r="B1609" s="1984"/>
      <c r="C1609" s="1984"/>
      <c r="D1609" s="1982"/>
    </row>
    <row r="1610">
      <c r="A1610" s="1984"/>
      <c r="B1610" s="1984"/>
      <c r="C1610" s="1984"/>
      <c r="D1610" s="1982"/>
    </row>
    <row r="1611">
      <c r="A1611" s="1984"/>
      <c r="B1611" s="1984"/>
      <c r="C1611" s="1984"/>
      <c r="D1611" s="1982"/>
    </row>
    <row r="1612">
      <c r="A1612" s="1984"/>
      <c r="B1612" s="1984"/>
      <c r="C1612" s="1984"/>
      <c r="D1612" s="1982"/>
    </row>
    <row r="1613">
      <c r="A1613" s="1984"/>
      <c r="B1613" s="1984"/>
      <c r="C1613" s="1984"/>
      <c r="D1613" s="1982"/>
    </row>
    <row r="1614">
      <c r="A1614" s="1984"/>
      <c r="B1614" s="1984"/>
      <c r="C1614" s="1984"/>
      <c r="D1614" s="1982"/>
    </row>
    <row r="1615">
      <c r="A1615" s="1984"/>
      <c r="B1615" s="1984"/>
      <c r="C1615" s="1984"/>
      <c r="D1615" s="1982"/>
    </row>
    <row r="1616">
      <c r="A1616" s="1984"/>
      <c r="B1616" s="1984"/>
      <c r="C1616" s="1984"/>
      <c r="D1616" s="1982"/>
    </row>
    <row r="1617">
      <c r="A1617" s="1984"/>
      <c r="B1617" s="1984"/>
      <c r="C1617" s="1984"/>
      <c r="D1617" s="1982"/>
    </row>
    <row r="1618">
      <c r="A1618" s="1984"/>
      <c r="B1618" s="1984"/>
      <c r="C1618" s="1984"/>
      <c r="D1618" s="1982"/>
    </row>
    <row r="1619">
      <c r="A1619" s="1984"/>
      <c r="B1619" s="1984"/>
      <c r="C1619" s="1984"/>
      <c r="D1619" s="1982"/>
    </row>
    <row r="1620">
      <c r="A1620" s="1984"/>
      <c r="B1620" s="1984"/>
      <c r="C1620" s="1984"/>
      <c r="D1620" s="1982"/>
    </row>
    <row r="1621">
      <c r="A1621" s="1984"/>
      <c r="B1621" s="1984"/>
      <c r="C1621" s="1984"/>
      <c r="D1621" s="1982"/>
    </row>
    <row r="1622">
      <c r="A1622" s="1984"/>
      <c r="B1622" s="1984"/>
      <c r="C1622" s="1984"/>
      <c r="D1622" s="1982"/>
    </row>
    <row r="1623">
      <c r="A1623" s="1984"/>
      <c r="B1623" s="1984"/>
      <c r="C1623" s="1984"/>
      <c r="D1623" s="1982"/>
    </row>
    <row r="1624">
      <c r="A1624" s="1984"/>
      <c r="B1624" s="1984"/>
      <c r="C1624" s="1984"/>
      <c r="D1624" s="1982"/>
    </row>
    <row r="1625">
      <c r="A1625" s="1984"/>
      <c r="B1625" s="1984"/>
      <c r="C1625" s="1984"/>
      <c r="D1625" s="1982"/>
    </row>
    <row r="1626">
      <c r="A1626" s="1984"/>
      <c r="B1626" s="1984"/>
      <c r="C1626" s="1984"/>
      <c r="D1626" s="1982"/>
    </row>
    <row r="1627">
      <c r="A1627" s="1984"/>
      <c r="B1627" s="1984"/>
      <c r="C1627" s="1984"/>
      <c r="D1627" s="1982"/>
    </row>
    <row r="1628">
      <c r="A1628" s="1984"/>
      <c r="B1628" s="1984"/>
      <c r="C1628" s="1984"/>
      <c r="D1628" s="1982"/>
    </row>
    <row r="1629">
      <c r="A1629" s="1984"/>
      <c r="B1629" s="1984"/>
      <c r="C1629" s="1984"/>
      <c r="D1629" s="1982"/>
    </row>
    <row r="1630">
      <c r="A1630" s="1984"/>
      <c r="B1630" s="1984"/>
      <c r="C1630" s="1984"/>
      <c r="D1630" s="1982"/>
    </row>
    <row r="1631">
      <c r="A1631" s="1984"/>
      <c r="B1631" s="1984"/>
      <c r="C1631" s="1984"/>
      <c r="D1631" s="1982"/>
    </row>
    <row r="1632">
      <c r="A1632" s="1984"/>
      <c r="B1632" s="1984"/>
      <c r="C1632" s="1984"/>
      <c r="D1632" s="1982"/>
    </row>
    <row r="1633">
      <c r="A1633" s="1984"/>
      <c r="B1633" s="1984"/>
      <c r="C1633" s="1984"/>
      <c r="D1633" s="1982"/>
    </row>
    <row r="1634">
      <c r="A1634" s="1984"/>
      <c r="B1634" s="1984"/>
      <c r="C1634" s="1984"/>
      <c r="D1634" s="1982"/>
    </row>
    <row r="1635">
      <c r="A1635" s="1984"/>
      <c r="B1635" s="1984"/>
      <c r="C1635" s="1984"/>
      <c r="D1635" s="1982"/>
    </row>
    <row r="1636">
      <c r="A1636" s="1984"/>
      <c r="B1636" s="1984"/>
      <c r="C1636" s="1984"/>
      <c r="D1636" s="1982"/>
    </row>
    <row r="1637">
      <c r="A1637" s="1984"/>
      <c r="B1637" s="1984"/>
      <c r="C1637" s="1984"/>
      <c r="D1637" s="1982"/>
    </row>
    <row r="1638">
      <c r="A1638" s="1984"/>
      <c r="B1638" s="1984"/>
      <c r="C1638" s="1984"/>
      <c r="D1638" s="1982"/>
    </row>
    <row r="1639">
      <c r="A1639" s="1984"/>
      <c r="B1639" s="1984"/>
      <c r="C1639" s="1984"/>
      <c r="D1639" s="1982"/>
    </row>
    <row r="1640">
      <c r="A1640" s="1984"/>
      <c r="B1640" s="1984"/>
      <c r="C1640" s="1984"/>
      <c r="D1640" s="1982"/>
    </row>
    <row r="1641">
      <c r="A1641" s="1984"/>
      <c r="B1641" s="1984"/>
      <c r="C1641" s="1984"/>
      <c r="D1641" s="1982"/>
    </row>
    <row r="1642">
      <c r="A1642" s="1984"/>
      <c r="B1642" s="1984"/>
      <c r="C1642" s="1984"/>
      <c r="D1642" s="1982"/>
    </row>
    <row r="1643">
      <c r="A1643" s="1984"/>
      <c r="B1643" s="1984"/>
      <c r="C1643" s="1984"/>
      <c r="D1643" s="1982"/>
    </row>
    <row r="1644">
      <c r="A1644" s="1984"/>
      <c r="B1644" s="1984"/>
      <c r="C1644" s="1984"/>
      <c r="D1644" s="1982"/>
    </row>
    <row r="1645">
      <c r="A1645" s="1984"/>
      <c r="B1645" s="1984"/>
      <c r="C1645" s="1984"/>
      <c r="D1645" s="1982"/>
    </row>
    <row r="1646">
      <c r="A1646" s="1984"/>
      <c r="B1646" s="1984"/>
      <c r="C1646" s="1984"/>
      <c r="D1646" s="1982"/>
    </row>
    <row r="1647">
      <c r="A1647" s="1984"/>
      <c r="B1647" s="1984"/>
      <c r="C1647" s="1984"/>
      <c r="D1647" s="1982"/>
    </row>
    <row r="1648">
      <c r="A1648" s="1984"/>
      <c r="B1648" s="1984"/>
      <c r="C1648" s="1984"/>
      <c r="D1648" s="1982"/>
    </row>
    <row r="1649">
      <c r="A1649" s="1984"/>
      <c r="B1649" s="1984"/>
      <c r="C1649" s="1984"/>
      <c r="D1649" s="1982"/>
    </row>
    <row r="1650">
      <c r="A1650" s="1984"/>
      <c r="B1650" s="1984"/>
      <c r="C1650" s="1984"/>
      <c r="D1650" s="1982"/>
    </row>
    <row r="1651">
      <c r="A1651" s="1984"/>
      <c r="B1651" s="1984"/>
      <c r="C1651" s="1984"/>
      <c r="D1651" s="1982"/>
    </row>
    <row r="1652">
      <c r="A1652" s="1984"/>
      <c r="B1652" s="1984"/>
      <c r="C1652" s="1984"/>
      <c r="D1652" s="1982"/>
    </row>
    <row r="1653">
      <c r="A1653" s="1984"/>
      <c r="B1653" s="1984"/>
      <c r="C1653" s="1984"/>
      <c r="D1653" s="1982"/>
    </row>
    <row r="1654">
      <c r="A1654" s="1984"/>
      <c r="B1654" s="1984"/>
      <c r="C1654" s="1984"/>
      <c r="D1654" s="1982"/>
    </row>
    <row r="1655">
      <c r="A1655" s="1984"/>
      <c r="B1655" s="1984"/>
      <c r="C1655" s="1984"/>
      <c r="D1655" s="1982"/>
    </row>
    <row r="1656">
      <c r="A1656" s="1984"/>
      <c r="B1656" s="1984"/>
      <c r="C1656" s="1984"/>
      <c r="D1656" s="1982"/>
    </row>
    <row r="1657">
      <c r="A1657" s="1984"/>
      <c r="B1657" s="1984"/>
      <c r="C1657" s="1984"/>
      <c r="D1657" s="1982"/>
    </row>
    <row r="1658">
      <c r="A1658" s="1984"/>
      <c r="B1658" s="1984"/>
      <c r="C1658" s="1984"/>
      <c r="D1658" s="1982"/>
    </row>
    <row r="1659">
      <c r="A1659" s="1984"/>
      <c r="B1659" s="1984"/>
      <c r="C1659" s="1984"/>
      <c r="D1659" s="1982"/>
    </row>
    <row r="1660">
      <c r="A1660" s="1984"/>
      <c r="B1660" s="1984"/>
      <c r="C1660" s="1984"/>
      <c r="D1660" s="1982"/>
    </row>
    <row r="1661">
      <c r="A1661" s="1984"/>
      <c r="B1661" s="1984"/>
      <c r="C1661" s="1984"/>
      <c r="D1661" s="1982"/>
    </row>
    <row r="1662">
      <c r="A1662" s="1984"/>
      <c r="B1662" s="1984"/>
      <c r="C1662" s="1984"/>
      <c r="D1662" s="1982"/>
    </row>
    <row r="1663">
      <c r="A1663" s="1984"/>
      <c r="B1663" s="1984"/>
      <c r="C1663" s="1984"/>
      <c r="D1663" s="1982"/>
    </row>
    <row r="1664">
      <c r="A1664" s="1984"/>
      <c r="B1664" s="1984"/>
      <c r="C1664" s="1984"/>
      <c r="D1664" s="1982"/>
    </row>
    <row r="1665">
      <c r="A1665" s="1984"/>
      <c r="B1665" s="1984"/>
      <c r="C1665" s="1984"/>
      <c r="D1665" s="1982"/>
    </row>
    <row r="1666">
      <c r="A1666" s="1984"/>
      <c r="B1666" s="1984"/>
      <c r="C1666" s="1984"/>
      <c r="D1666" s="1982"/>
    </row>
    <row r="1667">
      <c r="A1667" s="1984"/>
      <c r="B1667" s="1984"/>
      <c r="C1667" s="1984"/>
      <c r="D1667" s="1982"/>
    </row>
    <row r="1668">
      <c r="A1668" s="1984"/>
      <c r="B1668" s="1984"/>
      <c r="C1668" s="1984"/>
      <c r="D1668" s="1982"/>
    </row>
    <row r="1669">
      <c r="A1669" s="1984"/>
      <c r="B1669" s="1984"/>
      <c r="C1669" s="1984"/>
      <c r="D1669" s="1982"/>
    </row>
    <row r="1670">
      <c r="A1670" s="1984"/>
      <c r="B1670" s="1984"/>
      <c r="C1670" s="1984"/>
      <c r="D1670" s="1982"/>
    </row>
    <row r="1671">
      <c r="A1671" s="1984"/>
      <c r="B1671" s="1984"/>
      <c r="C1671" s="1984"/>
      <c r="D1671" s="1982"/>
    </row>
    <row r="1672">
      <c r="A1672" s="1984"/>
      <c r="B1672" s="1984"/>
      <c r="C1672" s="1984"/>
      <c r="D1672" s="1982"/>
    </row>
    <row r="1673">
      <c r="A1673" s="1984"/>
      <c r="B1673" s="1984"/>
      <c r="C1673" s="1984"/>
      <c r="D1673" s="1982"/>
    </row>
    <row r="1674">
      <c r="A1674" s="1984"/>
      <c r="B1674" s="1984"/>
      <c r="C1674" s="1984"/>
      <c r="D1674" s="1982"/>
    </row>
    <row r="1675">
      <c r="A1675" s="1984"/>
      <c r="B1675" s="1984"/>
      <c r="C1675" s="1984"/>
      <c r="D1675" s="1982"/>
    </row>
    <row r="1676">
      <c r="A1676" s="1984"/>
      <c r="B1676" s="1984"/>
      <c r="C1676" s="1984"/>
      <c r="D1676" s="1982"/>
    </row>
    <row r="1677">
      <c r="A1677" s="1984"/>
      <c r="B1677" s="1984"/>
      <c r="C1677" s="1984"/>
      <c r="D1677" s="1982"/>
    </row>
    <row r="1678">
      <c r="A1678" s="1984"/>
      <c r="B1678" s="1984"/>
      <c r="C1678" s="1984"/>
      <c r="D1678" s="1982"/>
    </row>
    <row r="1679">
      <c r="A1679" s="1984"/>
      <c r="B1679" s="1984"/>
      <c r="C1679" s="1984"/>
      <c r="D1679" s="1982"/>
    </row>
    <row r="1680">
      <c r="A1680" s="1984"/>
      <c r="B1680" s="1984"/>
      <c r="C1680" s="1984"/>
      <c r="D1680" s="1982"/>
    </row>
    <row r="1681">
      <c r="A1681" s="1984"/>
      <c r="B1681" s="1984"/>
      <c r="C1681" s="1984"/>
      <c r="D1681" s="1982"/>
    </row>
    <row r="1682">
      <c r="A1682" s="1984"/>
      <c r="B1682" s="1984"/>
      <c r="C1682" s="1984"/>
      <c r="D1682" s="1982"/>
    </row>
    <row r="1683">
      <c r="A1683" s="1984"/>
      <c r="B1683" s="1984"/>
      <c r="C1683" s="1984"/>
      <c r="D1683" s="1982"/>
    </row>
    <row r="1684">
      <c r="A1684" s="1984"/>
      <c r="B1684" s="1984"/>
      <c r="C1684" s="1984"/>
      <c r="D1684" s="1982"/>
    </row>
    <row r="1685">
      <c r="A1685" s="1984"/>
      <c r="B1685" s="1984"/>
      <c r="C1685" s="1984"/>
      <c r="D1685" s="1982"/>
    </row>
    <row r="1686">
      <c r="A1686" s="1984"/>
      <c r="B1686" s="1984"/>
      <c r="C1686" s="1984"/>
      <c r="D1686" s="1982"/>
    </row>
    <row r="1687">
      <c r="A1687" s="1984"/>
      <c r="B1687" s="1984"/>
      <c r="C1687" s="1984"/>
      <c r="D1687" s="1982"/>
    </row>
    <row r="1688">
      <c r="A1688" s="1984"/>
      <c r="B1688" s="1984"/>
      <c r="C1688" s="1984"/>
      <c r="D1688" s="1982"/>
    </row>
    <row r="1689">
      <c r="A1689" s="1984"/>
      <c r="B1689" s="1984"/>
      <c r="C1689" s="1984"/>
      <c r="D1689" s="1982"/>
    </row>
    <row r="1690">
      <c r="A1690" s="1984"/>
      <c r="B1690" s="1984"/>
      <c r="C1690" s="1984"/>
      <c r="D1690" s="1982"/>
    </row>
    <row r="1691">
      <c r="A1691" s="1984"/>
      <c r="B1691" s="1984"/>
      <c r="C1691" s="1984"/>
      <c r="D1691" s="1982"/>
    </row>
    <row r="1692">
      <c r="A1692" s="1984"/>
      <c r="B1692" s="1984"/>
      <c r="C1692" s="1984"/>
      <c r="D1692" s="1982"/>
    </row>
    <row r="1693">
      <c r="A1693" s="1984"/>
      <c r="B1693" s="1984"/>
      <c r="C1693" s="1984"/>
      <c r="D1693" s="1982"/>
    </row>
    <row r="1694">
      <c r="A1694" s="1984"/>
      <c r="B1694" s="1984"/>
      <c r="C1694" s="1984"/>
      <c r="D1694" s="1982"/>
    </row>
    <row r="1695">
      <c r="A1695" s="1984"/>
      <c r="B1695" s="1984"/>
      <c r="C1695" s="1984"/>
      <c r="D1695" s="1982"/>
    </row>
    <row r="1696">
      <c r="A1696" s="1984"/>
      <c r="B1696" s="1984"/>
      <c r="C1696" s="1984"/>
      <c r="D1696" s="1982"/>
    </row>
    <row r="1697">
      <c r="A1697" s="1984"/>
      <c r="B1697" s="1984"/>
      <c r="C1697" s="1984"/>
      <c r="D1697" s="1982"/>
    </row>
    <row r="1698">
      <c r="A1698" s="1984"/>
      <c r="B1698" s="1984"/>
      <c r="C1698" s="1984"/>
      <c r="D1698" s="1982"/>
    </row>
    <row r="1699">
      <c r="A1699" s="1984"/>
      <c r="B1699" s="1984"/>
      <c r="C1699" s="1984"/>
      <c r="D1699" s="1982"/>
    </row>
    <row r="1700">
      <c r="A1700" s="1984"/>
      <c r="B1700" s="1984"/>
      <c r="C1700" s="1984"/>
      <c r="D1700" s="1982"/>
    </row>
    <row r="1701">
      <c r="A1701" s="1984"/>
      <c r="B1701" s="1984"/>
      <c r="C1701" s="1984"/>
      <c r="D1701" s="1982"/>
    </row>
    <row r="1702">
      <c r="A1702" s="1984"/>
      <c r="B1702" s="1984"/>
      <c r="C1702" s="1984"/>
      <c r="D1702" s="1982"/>
    </row>
    <row r="1703">
      <c r="A1703" s="1984"/>
      <c r="B1703" s="1984"/>
      <c r="C1703" s="1984"/>
      <c r="D1703" s="1982"/>
    </row>
    <row r="1704">
      <c r="A1704" s="1984"/>
      <c r="B1704" s="1984"/>
      <c r="C1704" s="1984"/>
      <c r="D1704" s="1982"/>
    </row>
    <row r="1705">
      <c r="A1705" s="1984"/>
      <c r="B1705" s="1984"/>
      <c r="C1705" s="1984"/>
      <c r="D1705" s="1982"/>
    </row>
    <row r="1706">
      <c r="A1706" s="1984"/>
      <c r="B1706" s="1984"/>
      <c r="C1706" s="1984"/>
      <c r="D1706" s="1982"/>
    </row>
    <row r="1707">
      <c r="A1707" s="1984"/>
      <c r="B1707" s="1984"/>
      <c r="C1707" s="1984"/>
      <c r="D1707" s="1982"/>
    </row>
    <row r="1708">
      <c r="A1708" s="1984"/>
      <c r="B1708" s="1984"/>
      <c r="C1708" s="1984"/>
      <c r="D1708" s="1982"/>
    </row>
    <row r="1709">
      <c r="A1709" s="1984"/>
      <c r="B1709" s="1984"/>
      <c r="C1709" s="1984"/>
      <c r="D1709" s="1982"/>
    </row>
    <row r="1710">
      <c r="A1710" s="1984"/>
      <c r="B1710" s="1984"/>
      <c r="C1710" s="1984"/>
      <c r="D1710" s="1982"/>
    </row>
    <row r="1711">
      <c r="A1711" s="1984"/>
      <c r="B1711" s="1984"/>
      <c r="C1711" s="1984"/>
      <c r="D1711" s="1982"/>
    </row>
    <row r="1712">
      <c r="A1712" s="1984"/>
      <c r="B1712" s="1984"/>
      <c r="C1712" s="1984"/>
      <c r="D1712" s="1982"/>
    </row>
    <row r="1713">
      <c r="A1713" s="1984"/>
      <c r="B1713" s="1984"/>
      <c r="C1713" s="1984"/>
      <c r="D1713" s="1982"/>
    </row>
    <row r="1714">
      <c r="A1714" s="1984"/>
      <c r="B1714" s="1984"/>
      <c r="C1714" s="1984"/>
      <c r="D1714" s="1982"/>
    </row>
    <row r="1715">
      <c r="A1715" s="1984"/>
      <c r="B1715" s="1984"/>
      <c r="C1715" s="1984"/>
      <c r="D1715" s="1982"/>
    </row>
    <row r="1716">
      <c r="A1716" s="1984"/>
      <c r="B1716" s="1984"/>
      <c r="C1716" s="1984"/>
      <c r="D1716" s="1982"/>
    </row>
    <row r="1717">
      <c r="A1717" s="1984"/>
      <c r="B1717" s="1984"/>
      <c r="C1717" s="1984"/>
      <c r="D1717" s="1982"/>
    </row>
    <row r="1718">
      <c r="A1718" s="1984"/>
      <c r="B1718" s="1984"/>
      <c r="C1718" s="1984"/>
      <c r="D1718" s="1982"/>
    </row>
    <row r="1719">
      <c r="A1719" s="1984"/>
      <c r="B1719" s="1984"/>
      <c r="C1719" s="1984"/>
      <c r="D1719" s="1982"/>
    </row>
    <row r="1720">
      <c r="A1720" s="1984"/>
      <c r="B1720" s="1984"/>
      <c r="C1720" s="1984"/>
      <c r="D1720" s="1982"/>
    </row>
    <row r="1721">
      <c r="A1721" s="1984"/>
      <c r="B1721" s="1984"/>
      <c r="C1721" s="1984"/>
      <c r="D1721" s="1982"/>
    </row>
    <row r="1722">
      <c r="A1722" s="1984"/>
      <c r="B1722" s="1984"/>
      <c r="C1722" s="1984"/>
      <c r="D1722" s="1982"/>
    </row>
    <row r="1723">
      <c r="A1723" s="1984"/>
      <c r="B1723" s="1984"/>
      <c r="C1723" s="1984"/>
      <c r="D1723" s="1982"/>
    </row>
    <row r="1724">
      <c r="A1724" s="1984"/>
      <c r="B1724" s="1984"/>
      <c r="C1724" s="1984"/>
      <c r="D1724" s="1982"/>
    </row>
    <row r="1725">
      <c r="A1725" s="1984"/>
      <c r="B1725" s="1984"/>
      <c r="C1725" s="1984"/>
      <c r="D1725" s="1982"/>
    </row>
    <row r="1726">
      <c r="A1726" s="1984"/>
      <c r="B1726" s="1984"/>
      <c r="C1726" s="1984"/>
      <c r="D1726" s="1982"/>
    </row>
    <row r="1727">
      <c r="A1727" s="1984"/>
      <c r="B1727" s="1984"/>
      <c r="C1727" s="1984"/>
      <c r="D1727" s="1982"/>
    </row>
    <row r="1728">
      <c r="A1728" s="1984"/>
      <c r="B1728" s="1984"/>
      <c r="C1728" s="1984"/>
      <c r="D1728" s="1982"/>
    </row>
    <row r="1729">
      <c r="A1729" s="1984"/>
      <c r="B1729" s="1984"/>
      <c r="C1729" s="1984"/>
      <c r="D1729" s="1982"/>
    </row>
    <row r="1730">
      <c r="A1730" s="1984"/>
      <c r="B1730" s="1984"/>
      <c r="C1730" s="1984"/>
      <c r="D1730" s="1982"/>
    </row>
    <row r="1731">
      <c r="A1731" s="1984"/>
      <c r="B1731" s="1984"/>
      <c r="C1731" s="1984"/>
      <c r="D1731" s="1982"/>
    </row>
    <row r="1732">
      <c r="A1732" s="1984"/>
      <c r="B1732" s="1984"/>
      <c r="C1732" s="1984"/>
      <c r="D1732" s="1982"/>
    </row>
    <row r="1733">
      <c r="A1733" s="1984"/>
      <c r="B1733" s="1984"/>
      <c r="C1733" s="1984"/>
      <c r="D1733" s="1982"/>
    </row>
    <row r="1734">
      <c r="A1734" s="1984"/>
      <c r="B1734" s="1984"/>
      <c r="C1734" s="1984"/>
      <c r="D1734" s="1982"/>
    </row>
    <row r="1735">
      <c r="A1735" s="1984"/>
      <c r="B1735" s="1984"/>
      <c r="C1735" s="1984"/>
      <c r="D1735" s="1982"/>
    </row>
    <row r="1736">
      <c r="A1736" s="1984"/>
      <c r="B1736" s="1984"/>
      <c r="C1736" s="1984"/>
      <c r="D1736" s="1982"/>
    </row>
    <row r="1737">
      <c r="A1737" s="1984"/>
      <c r="B1737" s="1984"/>
      <c r="C1737" s="1984"/>
      <c r="D1737" s="1982"/>
    </row>
    <row r="1738">
      <c r="A1738" s="1984"/>
      <c r="B1738" s="1984"/>
      <c r="C1738" s="1984"/>
      <c r="D1738" s="1982"/>
    </row>
    <row r="1739">
      <c r="A1739" s="1984"/>
      <c r="B1739" s="1984"/>
      <c r="C1739" s="1984"/>
      <c r="D1739" s="1982"/>
    </row>
    <row r="1740">
      <c r="A1740" s="1984"/>
      <c r="B1740" s="1984"/>
      <c r="C1740" s="1984"/>
      <c r="D1740" s="1982"/>
    </row>
    <row r="1741">
      <c r="A1741" s="1984"/>
      <c r="B1741" s="1984"/>
      <c r="C1741" s="1984"/>
      <c r="D1741" s="1982"/>
    </row>
    <row r="1742">
      <c r="A1742" s="1984"/>
      <c r="B1742" s="1984"/>
      <c r="C1742" s="1984"/>
      <c r="D1742" s="1982"/>
    </row>
    <row r="1743">
      <c r="A1743" s="1984"/>
      <c r="B1743" s="1984"/>
      <c r="C1743" s="1984"/>
      <c r="D1743" s="1982"/>
    </row>
    <row r="1744">
      <c r="A1744" s="1984"/>
      <c r="B1744" s="1984"/>
      <c r="C1744" s="1984"/>
      <c r="D1744" s="1982"/>
    </row>
    <row r="1745">
      <c r="A1745" s="1984"/>
      <c r="B1745" s="1984"/>
      <c r="C1745" s="1984"/>
      <c r="D1745" s="1982"/>
    </row>
    <row r="1746">
      <c r="A1746" s="1984"/>
      <c r="B1746" s="1984"/>
      <c r="C1746" s="1984"/>
      <c r="D1746" s="1982"/>
    </row>
    <row r="1747">
      <c r="A1747" s="1984"/>
      <c r="B1747" s="1984"/>
      <c r="C1747" s="1984"/>
      <c r="D1747" s="1982"/>
    </row>
    <row r="1748">
      <c r="A1748" s="1984"/>
      <c r="B1748" s="1984"/>
      <c r="C1748" s="1984"/>
      <c r="D1748" s="1982"/>
    </row>
    <row r="1749">
      <c r="A1749" s="1984"/>
      <c r="B1749" s="1984"/>
      <c r="C1749" s="1984"/>
      <c r="D1749" s="1982"/>
    </row>
    <row r="1750">
      <c r="A1750" s="1984"/>
      <c r="B1750" s="1984"/>
      <c r="C1750" s="1984"/>
      <c r="D1750" s="1982"/>
    </row>
    <row r="1751">
      <c r="A1751" s="1984"/>
      <c r="B1751" s="1984"/>
      <c r="C1751" s="1984"/>
      <c r="D1751" s="1982"/>
    </row>
    <row r="1752">
      <c r="A1752" s="1984"/>
      <c r="B1752" s="1984"/>
      <c r="C1752" s="1984"/>
      <c r="D1752" s="1982"/>
    </row>
    <row r="1753">
      <c r="A1753" s="1984"/>
      <c r="B1753" s="1984"/>
      <c r="C1753" s="1984"/>
      <c r="D1753" s="1982"/>
    </row>
    <row r="1754">
      <c r="A1754" s="1984"/>
      <c r="B1754" s="1984"/>
      <c r="C1754" s="1984"/>
      <c r="D1754" s="1982"/>
    </row>
    <row r="1755">
      <c r="A1755" s="1984"/>
      <c r="B1755" s="1984"/>
      <c r="C1755" s="1984"/>
      <c r="D1755" s="1982"/>
    </row>
    <row r="1756">
      <c r="A1756" s="1984"/>
      <c r="B1756" s="1984"/>
      <c r="C1756" s="1984"/>
      <c r="D1756" s="1982"/>
    </row>
    <row r="1757">
      <c r="A1757" s="1984"/>
      <c r="B1757" s="1984"/>
      <c r="C1757" s="1984"/>
      <c r="D1757" s="1982"/>
    </row>
    <row r="1758">
      <c r="A1758" s="1984"/>
      <c r="B1758" s="1984"/>
      <c r="C1758" s="1984"/>
      <c r="D1758" s="1982"/>
    </row>
    <row r="1759">
      <c r="A1759" s="1984"/>
      <c r="B1759" s="1984"/>
      <c r="C1759" s="1984"/>
      <c r="D1759" s="1982"/>
    </row>
    <row r="1760">
      <c r="A1760" s="1984"/>
      <c r="B1760" s="1984"/>
      <c r="C1760" s="1984"/>
      <c r="D1760" s="1982"/>
    </row>
    <row r="1761">
      <c r="A1761" s="1984"/>
      <c r="B1761" s="1984"/>
      <c r="C1761" s="1984"/>
      <c r="D1761" s="1982"/>
    </row>
    <row r="1762">
      <c r="A1762" s="1984"/>
      <c r="B1762" s="1984"/>
      <c r="C1762" s="1984"/>
      <c r="D1762" s="1982"/>
    </row>
    <row r="1763">
      <c r="A1763" s="1984"/>
      <c r="B1763" s="1984"/>
      <c r="C1763" s="1984"/>
      <c r="D1763" s="1982"/>
    </row>
    <row r="1764">
      <c r="A1764" s="1984"/>
      <c r="B1764" s="1984"/>
      <c r="C1764" s="1984"/>
      <c r="D1764" s="1982"/>
    </row>
    <row r="1765">
      <c r="A1765" s="1984"/>
      <c r="B1765" s="1984"/>
      <c r="C1765" s="1984"/>
      <c r="D1765" s="1982"/>
    </row>
    <row r="1766">
      <c r="A1766" s="1984"/>
      <c r="B1766" s="1984"/>
      <c r="C1766" s="1984"/>
      <c r="D1766" s="1982"/>
    </row>
    <row r="1767">
      <c r="A1767" s="1984"/>
      <c r="B1767" s="1984"/>
      <c r="C1767" s="1984"/>
      <c r="D1767" s="1982"/>
    </row>
    <row r="1768">
      <c r="A1768" s="1984"/>
      <c r="B1768" s="1984"/>
      <c r="C1768" s="1984"/>
      <c r="D1768" s="1982"/>
    </row>
    <row r="1769">
      <c r="A1769" s="1984"/>
      <c r="B1769" s="1984"/>
      <c r="C1769" s="1984"/>
      <c r="D1769" s="1982"/>
    </row>
    <row r="1770">
      <c r="A1770" s="1984"/>
      <c r="B1770" s="1984"/>
      <c r="C1770" s="1984"/>
      <c r="D1770" s="1982"/>
    </row>
    <row r="1771">
      <c r="A1771" s="1984"/>
      <c r="B1771" s="1984"/>
      <c r="C1771" s="1984"/>
      <c r="D1771" s="1982"/>
    </row>
    <row r="1772">
      <c r="A1772" s="1984"/>
      <c r="B1772" s="1984"/>
      <c r="C1772" s="1984"/>
      <c r="D1772" s="1982"/>
    </row>
    <row r="1773">
      <c r="A1773" s="1984"/>
      <c r="B1773" s="1984"/>
      <c r="C1773" s="1984"/>
      <c r="D1773" s="1982"/>
    </row>
    <row r="1774">
      <c r="A1774" s="1984"/>
      <c r="B1774" s="1984"/>
      <c r="C1774" s="1984"/>
      <c r="D1774" s="1982"/>
    </row>
    <row r="1775">
      <c r="A1775" s="1984"/>
      <c r="B1775" s="1984"/>
      <c r="C1775" s="1984"/>
      <c r="D1775" s="1982"/>
    </row>
    <row r="1776">
      <c r="A1776" s="1984"/>
      <c r="B1776" s="1984"/>
      <c r="C1776" s="1984"/>
      <c r="D1776" s="1982"/>
    </row>
    <row r="1777">
      <c r="A1777" s="1984"/>
      <c r="B1777" s="1984"/>
      <c r="C1777" s="1984"/>
      <c r="D1777" s="1982"/>
    </row>
    <row r="1778">
      <c r="A1778" s="1984"/>
      <c r="B1778" s="1984"/>
      <c r="C1778" s="1984"/>
      <c r="D1778" s="1982"/>
    </row>
    <row r="1779">
      <c r="A1779" s="1984"/>
      <c r="B1779" s="1984"/>
      <c r="C1779" s="1984"/>
      <c r="D1779" s="1982"/>
    </row>
    <row r="1780">
      <c r="A1780" s="1984"/>
      <c r="B1780" s="1984"/>
      <c r="C1780" s="1984"/>
      <c r="D1780" s="1982"/>
    </row>
    <row r="1781">
      <c r="A1781" s="1984"/>
      <c r="B1781" s="1984"/>
      <c r="C1781" s="1984"/>
      <c r="D1781" s="1982"/>
    </row>
    <row r="1782">
      <c r="A1782" s="1984"/>
      <c r="B1782" s="1984"/>
      <c r="C1782" s="1984"/>
      <c r="D1782" s="1982"/>
    </row>
    <row r="1783">
      <c r="A1783" s="1984"/>
      <c r="B1783" s="1984"/>
      <c r="C1783" s="1984"/>
      <c r="D1783" s="1982"/>
    </row>
    <row r="1784">
      <c r="A1784" s="1984"/>
      <c r="B1784" s="1984"/>
      <c r="C1784" s="1984"/>
      <c r="D1784" s="1982"/>
    </row>
    <row r="1785">
      <c r="A1785" s="1984"/>
      <c r="B1785" s="1984"/>
      <c r="C1785" s="1984"/>
      <c r="D1785" s="1982"/>
    </row>
    <row r="1786">
      <c r="A1786" s="1984"/>
      <c r="B1786" s="1984"/>
      <c r="C1786" s="1984"/>
      <c r="D1786" s="1982"/>
    </row>
    <row r="1787">
      <c r="A1787" s="1984"/>
      <c r="B1787" s="1984"/>
      <c r="C1787" s="1984"/>
      <c r="D1787" s="1982"/>
    </row>
    <row r="1788">
      <c r="A1788" s="1984"/>
      <c r="B1788" s="1984"/>
      <c r="C1788" s="1984"/>
      <c r="D1788" s="1982"/>
    </row>
    <row r="1789">
      <c r="A1789" s="1984"/>
      <c r="B1789" s="1984"/>
      <c r="C1789" s="1984"/>
      <c r="D1789" s="1982"/>
    </row>
    <row r="1790">
      <c r="A1790" s="1984"/>
      <c r="B1790" s="1984"/>
      <c r="C1790" s="1984"/>
      <c r="D1790" s="1982"/>
    </row>
    <row r="1791">
      <c r="A1791" s="1984"/>
      <c r="B1791" s="1984"/>
      <c r="C1791" s="1984"/>
      <c r="D1791" s="1982"/>
    </row>
    <row r="1792">
      <c r="A1792" s="1984"/>
      <c r="B1792" s="1984"/>
      <c r="C1792" s="1984"/>
      <c r="D1792" s="1982"/>
    </row>
    <row r="1793">
      <c r="A1793" s="1984"/>
      <c r="B1793" s="1984"/>
      <c r="C1793" s="1984"/>
      <c r="D1793" s="1982"/>
    </row>
    <row r="1794">
      <c r="A1794" s="1984"/>
      <c r="B1794" s="1984"/>
      <c r="C1794" s="1984"/>
      <c r="D1794" s="1982"/>
    </row>
    <row r="1795">
      <c r="A1795" s="1984"/>
      <c r="B1795" s="1984"/>
      <c r="C1795" s="1984"/>
      <c r="D1795" s="1982"/>
    </row>
    <row r="1796">
      <c r="A1796" s="1984"/>
      <c r="B1796" s="1984"/>
      <c r="C1796" s="1984"/>
      <c r="D1796" s="1982"/>
    </row>
    <row r="1797">
      <c r="A1797" s="1984"/>
      <c r="B1797" s="1984"/>
      <c r="C1797" s="1984"/>
      <c r="D1797" s="1982"/>
    </row>
    <row r="1798">
      <c r="A1798" s="1984"/>
      <c r="B1798" s="1984"/>
      <c r="C1798" s="1984"/>
      <c r="D1798" s="1982"/>
    </row>
    <row r="1799">
      <c r="A1799" s="1984"/>
      <c r="B1799" s="1984"/>
      <c r="C1799" s="1984"/>
      <c r="D1799" s="1982"/>
    </row>
    <row r="1800">
      <c r="A1800" s="1984"/>
      <c r="B1800" s="1984"/>
      <c r="C1800" s="1984"/>
      <c r="D1800" s="1982"/>
    </row>
    <row r="1801">
      <c r="A1801" s="1984"/>
      <c r="B1801" s="1984"/>
      <c r="C1801" s="1984"/>
      <c r="D1801" s="1982"/>
    </row>
    <row r="1802">
      <c r="A1802" s="1984"/>
      <c r="B1802" s="1984"/>
      <c r="C1802" s="1984"/>
      <c r="D1802" s="1982"/>
    </row>
    <row r="1803">
      <c r="A1803" s="1984"/>
      <c r="B1803" s="1984"/>
      <c r="C1803" s="1984"/>
      <c r="D1803" s="1982"/>
    </row>
    <row r="1804">
      <c r="A1804" s="1984"/>
      <c r="B1804" s="1984"/>
      <c r="C1804" s="1984"/>
      <c r="D1804" s="1982"/>
    </row>
    <row r="1805">
      <c r="A1805" s="1984"/>
      <c r="B1805" s="1984"/>
      <c r="C1805" s="1984"/>
      <c r="D1805" s="1982"/>
    </row>
    <row r="1806">
      <c r="A1806" s="1984"/>
      <c r="B1806" s="1984"/>
      <c r="C1806" s="1984"/>
      <c r="D1806" s="1982"/>
    </row>
    <row r="1807">
      <c r="A1807" s="1984"/>
      <c r="B1807" s="1984"/>
      <c r="C1807" s="1984"/>
      <c r="D1807" s="1982"/>
    </row>
    <row r="1808">
      <c r="A1808" s="1984"/>
      <c r="B1808" s="1984"/>
      <c r="C1808" s="1984"/>
      <c r="D1808" s="1982"/>
    </row>
    <row r="1809">
      <c r="A1809" s="1984"/>
      <c r="B1809" s="1984"/>
      <c r="C1809" s="1984"/>
      <c r="D1809" s="1982"/>
    </row>
    <row r="1810">
      <c r="A1810" s="1984"/>
      <c r="B1810" s="1984"/>
      <c r="C1810" s="1984"/>
      <c r="D1810" s="1982"/>
    </row>
    <row r="1811">
      <c r="A1811" s="1984"/>
      <c r="B1811" s="1984"/>
      <c r="C1811" s="1984"/>
      <c r="D1811" s="1982"/>
    </row>
    <row r="1812">
      <c r="A1812" s="1984"/>
      <c r="B1812" s="1984"/>
      <c r="C1812" s="1984"/>
      <c r="D1812" s="1982"/>
    </row>
    <row r="1813">
      <c r="A1813" s="1984"/>
      <c r="B1813" s="1984"/>
      <c r="C1813" s="1984"/>
      <c r="D1813" s="1982"/>
    </row>
    <row r="1814">
      <c r="A1814" s="1984"/>
      <c r="B1814" s="1984"/>
      <c r="C1814" s="1984"/>
      <c r="D1814" s="1982"/>
    </row>
    <row r="1815">
      <c r="A1815" s="1984"/>
      <c r="B1815" s="1984"/>
      <c r="C1815" s="1984"/>
      <c r="D1815" s="1982"/>
    </row>
    <row r="1816">
      <c r="A1816" s="1984"/>
      <c r="B1816" s="1984"/>
      <c r="C1816" s="1984"/>
      <c r="D1816" s="1982"/>
    </row>
    <row r="1817">
      <c r="A1817" s="1984"/>
      <c r="B1817" s="1984"/>
      <c r="C1817" s="1984"/>
      <c r="D1817" s="1982"/>
    </row>
    <row r="1818">
      <c r="A1818" s="1984"/>
      <c r="B1818" s="1984"/>
      <c r="C1818" s="1984"/>
      <c r="D1818" s="1982"/>
    </row>
    <row r="1819">
      <c r="A1819" s="1984"/>
      <c r="B1819" s="1984"/>
      <c r="C1819" s="1984"/>
      <c r="D1819" s="1982"/>
    </row>
    <row r="1820">
      <c r="A1820" s="1984"/>
      <c r="B1820" s="1984"/>
      <c r="C1820" s="1984"/>
      <c r="D1820" s="1982"/>
    </row>
    <row r="1821">
      <c r="A1821" s="1984"/>
      <c r="B1821" s="1984"/>
      <c r="C1821" s="1984"/>
      <c r="D1821" s="1982"/>
    </row>
    <row r="1822">
      <c r="A1822" s="1984"/>
      <c r="B1822" s="1984"/>
      <c r="C1822" s="1984"/>
      <c r="D1822" s="1982"/>
    </row>
    <row r="1823">
      <c r="A1823" s="1984"/>
      <c r="B1823" s="1984"/>
      <c r="C1823" s="1984"/>
      <c r="D1823" s="1982"/>
    </row>
    <row r="1824">
      <c r="A1824" s="1984"/>
      <c r="B1824" s="1984"/>
      <c r="C1824" s="1984"/>
      <c r="D1824" s="1982"/>
    </row>
    <row r="1825">
      <c r="A1825" s="1984"/>
      <c r="B1825" s="1984"/>
      <c r="C1825" s="1984"/>
      <c r="D1825" s="1982"/>
    </row>
    <row r="1826">
      <c r="A1826" s="1984"/>
      <c r="B1826" s="1984"/>
      <c r="C1826" s="1984"/>
      <c r="D1826" s="1982"/>
    </row>
    <row r="1827">
      <c r="A1827" s="1984"/>
      <c r="B1827" s="1984"/>
      <c r="C1827" s="1984"/>
      <c r="D1827" s="1982"/>
    </row>
    <row r="1828">
      <c r="A1828" s="1984"/>
      <c r="B1828" s="1984"/>
      <c r="C1828" s="1984"/>
      <c r="D1828" s="1982"/>
    </row>
    <row r="1829">
      <c r="A1829" s="1984"/>
      <c r="B1829" s="1984"/>
      <c r="C1829" s="1984"/>
      <c r="D1829" s="1982"/>
    </row>
    <row r="1830">
      <c r="A1830" s="1984"/>
      <c r="B1830" s="1984"/>
      <c r="C1830" s="1984"/>
      <c r="D1830" s="1982"/>
    </row>
    <row r="1831">
      <c r="A1831" s="1984"/>
      <c r="B1831" s="1984"/>
      <c r="C1831" s="1984"/>
      <c r="D1831" s="1982"/>
    </row>
    <row r="1832">
      <c r="A1832" s="1984"/>
      <c r="B1832" s="1984"/>
      <c r="C1832" s="1984"/>
      <c r="D1832" s="1982"/>
    </row>
    <row r="1833">
      <c r="A1833" s="1984"/>
      <c r="B1833" s="1984"/>
      <c r="C1833" s="1984"/>
      <c r="D1833" s="1982"/>
    </row>
    <row r="1834">
      <c r="A1834" s="1984"/>
      <c r="B1834" s="1984"/>
      <c r="C1834" s="1984"/>
      <c r="D1834" s="1982"/>
    </row>
    <row r="1835">
      <c r="A1835" s="1984"/>
      <c r="B1835" s="1984"/>
      <c r="C1835" s="1984"/>
      <c r="D1835" s="1982"/>
    </row>
    <row r="1836">
      <c r="A1836" s="1984"/>
      <c r="B1836" s="1984"/>
      <c r="C1836" s="1984"/>
      <c r="D1836" s="1982"/>
    </row>
    <row r="1837">
      <c r="A1837" s="1984"/>
      <c r="B1837" s="1984"/>
      <c r="C1837" s="1984"/>
      <c r="D1837" s="1982"/>
    </row>
    <row r="1838">
      <c r="A1838" s="1984"/>
      <c r="B1838" s="1984"/>
      <c r="C1838" s="1984"/>
      <c r="D1838" s="1982"/>
    </row>
    <row r="1839">
      <c r="A1839" s="1984"/>
      <c r="B1839" s="1984"/>
      <c r="C1839" s="1984"/>
      <c r="D1839" s="1982"/>
    </row>
    <row r="1840">
      <c r="A1840" s="1984"/>
      <c r="B1840" s="1984"/>
      <c r="C1840" s="1984"/>
      <c r="D1840" s="1982"/>
    </row>
  </sheetData>
  <autoFilter ref="A1:C425"/>
  <conditionalFormatting sqref="C1:C1048576">
    <cfRule dxfId="3" priority="1" stopIfTrue="true" type="duplicateValues"/>
  </conditionalFormatting>
  <drawing r:id="rId1"/>
  <picture r:id="rId2"/>
</worksheet>
</file>

<file path=xl/worksheets/sheet4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RowHeight="0"/>
  <cols>
    <col collapsed="false" customWidth="true" hidden="false" max="6" min="6" style="0" width="11.474189403097702"/>
    <col collapsed="false" customWidth="true" hidden="false" max="8" min="8" style="0" width="11.474189403097702"/>
    <col collapsed="false" customWidth="true" hidden="false" max="10" min="10" style="0" width="13.051654191830096"/>
    <col collapsed="false" customWidth="true" hidden="false" max="12" min="12" style="0" width="13.953062642534322"/>
    <col collapsed="false" customWidth="true" hidden="false" max="2" min="2" style="0" width="20.01877954793461"/>
    <col collapsed="false" customWidth="true" hidden="false" max="3" min="3" style="0" width="46.3849767310332"/>
    <col collapsed="false" customWidth="true" hidden="false" max="5" min="5" style="0" width="11.474189403097702"/>
    <col collapsed="false" customWidth="true" hidden="false" max="7" min="7" style="0" width="11.474189403097702"/>
    <col collapsed="false" customWidth="true" hidden="false" max="9" min="9" style="0" width="26.892018984554326"/>
    <col collapsed="false" customWidth="true" hidden="false" max="11" min="11" style="0" width="13.051654191830096"/>
    <col collapsed="false" customWidth="true" hidden="false" max="13" min="13" style="0" width="17.896724614365308"/>
    <col collapsed="false" customWidth="true" hidden="false" max="1" min="1" style="0" width="57.08920208314588"/>
  </cols>
  <sheetData>
    <row r="1">
      <c r="A1" s="2004" t="s">
        <v>6711</v>
      </c>
      <c r="B1" s="2004" t="s">
        <v>6712</v>
      </c>
      <c r="C1" s="2004" t="s">
        <v>6713</v>
      </c>
      <c r="D1" s="2005"/>
      <c r="E1" s="2006" t="s">
        <v>6714</v>
      </c>
      <c r="F1" s="2006" t="s">
        <v>6715</v>
      </c>
      <c r="G1" s="2006" t="s">
        <v>6716</v>
      </c>
      <c r="H1" s="2006" t="s">
        <v>6717</v>
      </c>
      <c r="I1" s="2006" t="s">
        <v>6718</v>
      </c>
      <c r="J1" s="2007" t="s">
        <v>6719</v>
      </c>
      <c r="K1" s="2007" t="s">
        <v>6720</v>
      </c>
      <c r="L1" s="2006" t="s">
        <v>6721</v>
      </c>
      <c r="M1" s="2007" t="s">
        <v>6722</v>
      </c>
      <c r="N1" s="2005"/>
      <c r="O1" s="2008"/>
      <c r="P1" s="2008"/>
      <c r="Q1" s="2008"/>
      <c r="R1" s="2008"/>
      <c r="S1" s="2008"/>
      <c r="T1" s="2008"/>
    </row>
    <row r="2">
      <c r="A2" s="2009" t="s">
        <v>6723</v>
      </c>
      <c r="B2" s="2009" t="s">
        <v>6724</v>
      </c>
      <c r="C2" s="2010"/>
      <c r="D2" s="2005"/>
      <c r="E2" s="2011"/>
      <c r="F2" s="2011"/>
      <c r="G2" s="2011"/>
      <c r="H2" s="2011"/>
      <c r="I2" s="2012" t="s">
        <v>6725</v>
      </c>
      <c r="J2" s="2011"/>
      <c r="K2" s="2011"/>
      <c r="L2" s="2011"/>
      <c r="M2" s="2011"/>
      <c r="N2" s="2005"/>
      <c r="O2" s="2008"/>
      <c r="P2" s="2008"/>
      <c r="Q2" s="2008"/>
      <c r="R2" s="2008"/>
      <c r="S2" s="2008"/>
      <c r="T2" s="2008"/>
    </row>
    <row r="3">
      <c r="A3" s="2010" t="s">
        <v>6726</v>
      </c>
      <c r="B3" s="2010" t="s">
        <v>6727</v>
      </c>
      <c r="C3" s="2013" t="s">
        <v>6728</v>
      </c>
      <c r="D3" s="2008"/>
      <c r="E3" s="2005"/>
      <c r="F3" s="2005"/>
      <c r="G3" s="2005"/>
      <c r="H3" s="2005"/>
      <c r="I3" s="2005"/>
      <c r="J3" s="2005"/>
      <c r="K3" s="2005"/>
      <c r="L3" s="2005"/>
      <c r="M3" s="2005"/>
      <c r="N3" s="2008"/>
      <c r="O3" s="2008"/>
      <c r="P3" s="2008"/>
      <c r="Q3" s="2008"/>
      <c r="R3" s="2008"/>
      <c r="S3" s="2008"/>
      <c r="T3" s="2008"/>
    </row>
    <row r="4">
      <c r="A4" s="2010" t="s">
        <v>6729</v>
      </c>
      <c r="B4" s="2010" t="s">
        <v>6730</v>
      </c>
      <c r="C4" s="2013" t="s">
        <v>6728</v>
      </c>
      <c r="D4" s="2008"/>
      <c r="E4" s="2008"/>
      <c r="F4" s="2008"/>
      <c r="G4" s="2008"/>
      <c r="H4" s="2008"/>
      <c r="I4" s="2008"/>
      <c r="J4" s="2008"/>
      <c r="K4" s="2008"/>
      <c r="L4" s="2008"/>
      <c r="M4" s="2008"/>
      <c r="N4" s="2008"/>
      <c r="O4" s="2008"/>
      <c r="P4" s="2008"/>
      <c r="Q4" s="2008"/>
      <c r="R4" s="2008"/>
      <c r="S4" s="2008"/>
      <c r="T4" s="2008"/>
    </row>
    <row r="5">
      <c r="A5" s="2010" t="s">
        <v>6731</v>
      </c>
      <c r="B5" s="2010" t="s">
        <v>6727</v>
      </c>
      <c r="C5" s="2013" t="s">
        <v>6732</v>
      </c>
      <c r="D5" s="2008"/>
      <c r="E5" s="2008"/>
      <c r="F5" s="2008"/>
      <c r="G5" s="2008"/>
      <c r="H5" s="2008"/>
      <c r="I5" s="2008"/>
      <c r="J5" s="2008"/>
      <c r="K5" s="2008"/>
      <c r="L5" s="2008"/>
      <c r="M5" s="2008"/>
      <c r="N5" s="2008"/>
      <c r="O5" s="2008"/>
      <c r="P5" s="2008"/>
      <c r="Q5" s="2008"/>
      <c r="R5" s="2008"/>
      <c r="S5" s="2008"/>
      <c r="T5" s="2008"/>
    </row>
    <row r="6">
      <c r="A6" s="2010" t="s">
        <v>6733</v>
      </c>
      <c r="B6" s="2010" t="s">
        <v>6734</v>
      </c>
      <c r="C6" s="2013" t="s">
        <v>6728</v>
      </c>
      <c r="D6" s="2008"/>
      <c r="E6" s="2008"/>
      <c r="F6" s="2008"/>
      <c r="G6" s="2008"/>
      <c r="H6" s="2008"/>
      <c r="I6" s="2008"/>
      <c r="J6" s="2008"/>
      <c r="K6" s="2008"/>
      <c r="L6" s="2008"/>
      <c r="M6" s="2008"/>
      <c r="N6" s="2008"/>
      <c r="O6" s="2008"/>
      <c r="P6" s="2008"/>
      <c r="Q6" s="2008"/>
      <c r="R6" s="2008"/>
      <c r="S6" s="2008"/>
      <c r="T6" s="2008"/>
    </row>
    <row r="7">
      <c r="A7" s="2010" t="s">
        <v>6735</v>
      </c>
      <c r="B7" s="2010" t="s">
        <v>6734</v>
      </c>
      <c r="C7" s="2013" t="s">
        <v>6736</v>
      </c>
      <c r="D7" s="2008"/>
      <c r="E7" s="2008"/>
      <c r="F7" s="2008"/>
      <c r="G7" s="2008"/>
      <c r="H7" s="2008"/>
      <c r="I7" s="2008"/>
      <c r="J7" s="2008"/>
      <c r="K7" s="2008"/>
      <c r="L7" s="2008"/>
      <c r="M7" s="2008"/>
      <c r="N7" s="2008"/>
      <c r="O7" s="2008"/>
      <c r="P7" s="2008"/>
      <c r="Q7" s="2008"/>
      <c r="R7" s="2008"/>
      <c r="S7" s="2008"/>
      <c r="T7" s="2008"/>
    </row>
    <row r="8">
      <c r="A8" s="2010" t="s">
        <v>6737</v>
      </c>
      <c r="B8" s="2010" t="s">
        <v>6738</v>
      </c>
      <c r="C8" s="2013" t="s">
        <v>6739</v>
      </c>
      <c r="D8" s="2008"/>
      <c r="E8" s="2008"/>
      <c r="F8" s="2008"/>
      <c r="G8" s="2008"/>
      <c r="H8" s="2008"/>
      <c r="I8" s="2008"/>
      <c r="J8" s="2008"/>
      <c r="K8" s="2008"/>
      <c r="L8" s="2008"/>
      <c r="M8" s="2008"/>
      <c r="N8" s="2008"/>
      <c r="O8" s="2008"/>
      <c r="P8" s="2008"/>
      <c r="Q8" s="2008"/>
      <c r="R8" s="2008"/>
      <c r="S8" s="2008"/>
      <c r="T8" s="2008"/>
    </row>
    <row r="9">
      <c r="A9" s="2008"/>
      <c r="B9" s="2008"/>
      <c r="C9" s="2008"/>
      <c r="D9" s="2008"/>
      <c r="E9" s="2008"/>
      <c r="F9" s="2008"/>
      <c r="G9" s="2008"/>
      <c r="H9" s="2008"/>
      <c r="I9" s="2008"/>
      <c r="J9" s="2008"/>
      <c r="K9" s="2008"/>
      <c r="L9" s="2008"/>
      <c r="M9" s="2008"/>
      <c r="N9" s="2008"/>
      <c r="O9" s="2008"/>
      <c r="P9" s="2008"/>
      <c r="Q9" s="2008"/>
      <c r="R9" s="2008"/>
      <c r="S9" s="2008"/>
      <c r="T9" s="2008"/>
    </row>
    <row r="10">
      <c r="A10" s="2008"/>
      <c r="B10" s="2008"/>
      <c r="C10" s="2008"/>
      <c r="D10" s="2008"/>
      <c r="E10" s="2008"/>
      <c r="F10" s="2008"/>
      <c r="G10" s="2008"/>
      <c r="H10" s="2008"/>
      <c r="I10" s="2008"/>
      <c r="J10" s="2008"/>
      <c r="K10" s="2008"/>
      <c r="L10" s="2008"/>
      <c r="M10" s="2008"/>
      <c r="N10" s="2008"/>
      <c r="O10" s="2008"/>
      <c r="P10" s="2008"/>
      <c r="Q10" s="2008"/>
      <c r="R10" s="2008"/>
      <c r="S10" s="2008"/>
      <c r="T10" s="2008"/>
    </row>
    <row r="11">
      <c r="J11" s="2008"/>
      <c r="K11" s="2008"/>
      <c r="L11" s="2008"/>
      <c r="M11" s="2008"/>
      <c r="N11" s="2008"/>
      <c r="O11" s="2008"/>
      <c r="P11" s="2008"/>
      <c r="Q11" s="2008"/>
      <c r="R11" s="2008"/>
      <c r="S11" s="2008"/>
      <c r="T11" s="2008"/>
    </row>
    <row r="12">
      <c r="A12" s="2008"/>
      <c r="B12" s="2008"/>
      <c r="C12" s="2008"/>
      <c r="D12" s="2008"/>
      <c r="E12" s="2008"/>
      <c r="F12" s="2008"/>
      <c r="G12" s="2008"/>
      <c r="H12" s="2008"/>
      <c r="I12" s="2008"/>
      <c r="J12" s="2008"/>
      <c r="K12" s="2008"/>
      <c r="L12" s="2008"/>
      <c r="M12" s="2008"/>
      <c r="N12" s="2008"/>
      <c r="O12" s="2008"/>
      <c r="P12" s="2008"/>
      <c r="Q12" s="2008"/>
      <c r="R12" s="2008"/>
      <c r="S12" s="2008"/>
      <c r="T12" s="2008"/>
    </row>
    <row r="13">
      <c r="A13" s="2008"/>
      <c r="B13" s="2008"/>
      <c r="C13" s="2008"/>
      <c r="D13" s="2008"/>
      <c r="E13" s="2008"/>
      <c r="F13" s="2008"/>
      <c r="G13" s="2008"/>
      <c r="H13" s="2008"/>
      <c r="I13" s="2008"/>
      <c r="J13" s="2008"/>
      <c r="K13" s="2008"/>
      <c r="L13" s="2008"/>
      <c r="M13" s="2008"/>
      <c r="N13" s="2008"/>
      <c r="O13" s="2008"/>
      <c r="P13" s="2008"/>
      <c r="Q13" s="2008"/>
      <c r="R13" s="2008"/>
      <c r="S13" s="2008"/>
      <c r="T13" s="2008"/>
    </row>
    <row r="14">
      <c r="A14" s="2008"/>
      <c r="B14" s="2008"/>
      <c r="C14" s="2008"/>
      <c r="D14" s="2008"/>
      <c r="E14" s="2008"/>
      <c r="F14" s="2008"/>
      <c r="G14" s="2008"/>
      <c r="H14" s="2008"/>
      <c r="I14" s="2008"/>
      <c r="J14" s="2008"/>
      <c r="K14" s="2008"/>
      <c r="L14" s="2008"/>
      <c r="M14" s="2008"/>
      <c r="N14" s="2008"/>
      <c r="O14" s="2008"/>
      <c r="P14" s="2008"/>
      <c r="Q14" s="2008"/>
      <c r="R14" s="2008"/>
      <c r="S14" s="2008"/>
      <c r="T14" s="2008"/>
    </row>
    <row r="15">
      <c r="A15" s="2008"/>
      <c r="B15" s="2008"/>
      <c r="C15" s="2008"/>
      <c r="D15" s="2008"/>
      <c r="E15" s="2008"/>
      <c r="F15" s="2008"/>
      <c r="G15" s="2008"/>
      <c r="H15" s="2008"/>
      <c r="I15" s="2008"/>
      <c r="J15" s="2008"/>
      <c r="K15" s="2008"/>
      <c r="L15" s="2008"/>
      <c r="M15" s="2008"/>
      <c r="N15" s="2008"/>
      <c r="O15" s="2008"/>
      <c r="P15" s="2008"/>
      <c r="Q15" s="2008"/>
      <c r="R15" s="2008"/>
      <c r="S15" s="2008"/>
      <c r="T15" s="2008"/>
    </row>
    <row r="16">
      <c r="A16" s="2008"/>
      <c r="B16" s="2008"/>
      <c r="C16" s="2008"/>
      <c r="D16" s="2008"/>
      <c r="E16" s="2008"/>
      <c r="F16" s="2008"/>
      <c r="G16" s="2008"/>
      <c r="H16" s="2008"/>
      <c r="I16" s="2008"/>
      <c r="J16" s="2008"/>
      <c r="K16" s="2008"/>
      <c r="L16" s="2008"/>
      <c r="M16" s="2008"/>
      <c r="N16" s="2008"/>
      <c r="O16" s="2008"/>
      <c r="P16" s="2008"/>
      <c r="Q16" s="2008"/>
      <c r="R16" s="2008"/>
      <c r="S16" s="2008"/>
      <c r="T16" s="2008"/>
    </row>
    <row r="17">
      <c r="A17" s="2008"/>
      <c r="B17" s="2008"/>
      <c r="C17" s="2008"/>
      <c r="D17" s="2008"/>
      <c r="E17" s="2008"/>
      <c r="F17" s="2008"/>
      <c r="G17" s="2008"/>
      <c r="H17" s="2008"/>
      <c r="I17" s="2008"/>
      <c r="J17" s="2008"/>
      <c r="K17" s="2008"/>
      <c r="L17" s="2008"/>
      <c r="M17" s="2008"/>
      <c r="N17" s="2008"/>
      <c r="O17" s="2008"/>
      <c r="P17" s="2008"/>
      <c r="Q17" s="2008"/>
      <c r="R17" s="2008"/>
      <c r="S17" s="2008"/>
      <c r="T17" s="2008"/>
    </row>
    <row r="18">
      <c r="A18" s="2008"/>
      <c r="B18" s="2008"/>
      <c r="C18" s="2008"/>
      <c r="D18" s="2008"/>
      <c r="E18" s="2008"/>
      <c r="F18" s="2008"/>
      <c r="G18" s="2008"/>
      <c r="H18" s="2008"/>
      <c r="I18" s="2008"/>
      <c r="J18" s="2008"/>
      <c r="K18" s="2008"/>
      <c r="L18" s="2008"/>
      <c r="M18" s="2008"/>
      <c r="N18" s="2008"/>
      <c r="O18" s="2008"/>
      <c r="P18" s="2008"/>
      <c r="Q18" s="2008"/>
      <c r="R18" s="2008"/>
      <c r="S18" s="2008"/>
      <c r="T18" s="2008"/>
    </row>
    <row r="19">
      <c r="A19" s="2008"/>
      <c r="B19" s="2008"/>
      <c r="C19" s="2008"/>
      <c r="D19" s="2008"/>
      <c r="E19" s="2008"/>
      <c r="F19" s="2008"/>
      <c r="G19" s="2008"/>
      <c r="H19" s="2008"/>
      <c r="I19" s="2008"/>
      <c r="J19" s="2008"/>
      <c r="K19" s="2008"/>
      <c r="L19" s="2008"/>
      <c r="M19" s="2008"/>
      <c r="N19" s="2008"/>
      <c r="O19" s="2008"/>
      <c r="P19" s="2008"/>
      <c r="Q19" s="2008"/>
      <c r="R19" s="2008"/>
      <c r="S19" s="2008"/>
      <c r="T19" s="2008"/>
    </row>
    <row r="20">
      <c r="A20" s="2008"/>
      <c r="B20" s="2008"/>
      <c r="C20" s="2008"/>
      <c r="D20" s="2008"/>
      <c r="E20" s="2008"/>
      <c r="F20" s="2008"/>
      <c r="G20" s="2008"/>
      <c r="H20" s="2008"/>
      <c r="I20" s="2008"/>
      <c r="J20" s="2008"/>
      <c r="K20" s="2008"/>
      <c r="L20" s="2008"/>
      <c r="M20" s="2008"/>
      <c r="N20" s="2008"/>
      <c r="O20" s="2008"/>
      <c r="P20" s="2008"/>
      <c r="Q20" s="2008"/>
      <c r="R20" s="2008"/>
      <c r="S20" s="2008"/>
      <c r="T20" s="2008"/>
    </row>
    <row r="21">
      <c r="A21" s="2008"/>
      <c r="B21" s="2008"/>
      <c r="C21" s="2008"/>
      <c r="D21" s="2008"/>
      <c r="E21" s="2008"/>
      <c r="F21" s="2008"/>
      <c r="G21" s="2008"/>
      <c r="H21" s="2008"/>
      <c r="I21" s="2008"/>
      <c r="J21" s="2008"/>
      <c r="K21" s="2008"/>
      <c r="L21" s="2008"/>
      <c r="M21" s="2008"/>
      <c r="N21" s="2008"/>
      <c r="O21" s="2008"/>
      <c r="P21" s="2008"/>
      <c r="Q21" s="2008"/>
      <c r="R21" s="2008"/>
      <c r="S21" s="2008"/>
      <c r="T21" s="2008"/>
    </row>
    <row r="22">
      <c r="A22" s="2008"/>
      <c r="B22" s="2008"/>
      <c r="C22" s="2008"/>
      <c r="D22" s="2008"/>
      <c r="E22" s="2008"/>
      <c r="F22" s="2008"/>
      <c r="G22" s="2008"/>
      <c r="H22" s="2008"/>
      <c r="I22" s="2008"/>
      <c r="J22" s="2008"/>
      <c r="K22" s="2008"/>
      <c r="L22" s="2008"/>
      <c r="M22" s="2008"/>
      <c r="N22" s="2008"/>
      <c r="O22" s="2008"/>
      <c r="P22" s="2008"/>
      <c r="Q22" s="2008"/>
      <c r="R22" s="2008"/>
      <c r="S22" s="2008"/>
      <c r="T22" s="2008"/>
    </row>
    <row r="23">
      <c r="A23" s="2008"/>
      <c r="B23" s="2008"/>
      <c r="C23" s="2008"/>
      <c r="D23" s="2008"/>
      <c r="E23" s="2008"/>
      <c r="F23" s="2008"/>
      <c r="G23" s="2008"/>
      <c r="H23" s="2008"/>
      <c r="I23" s="2008"/>
      <c r="J23" s="2008"/>
      <c r="K23" s="2008"/>
      <c r="L23" s="2008"/>
      <c r="M23" s="2008"/>
      <c r="N23" s="2008"/>
      <c r="O23" s="2008"/>
      <c r="P23" s="2008"/>
      <c r="Q23" s="2008"/>
      <c r="R23" s="2008"/>
      <c r="S23" s="2008"/>
      <c r="T23" s="2008"/>
    </row>
    <row r="24">
      <c r="A24" s="2008"/>
      <c r="B24" s="2008"/>
      <c r="C24" s="2008"/>
      <c r="D24" s="2008"/>
      <c r="E24" s="2008"/>
      <c r="F24" s="2008"/>
      <c r="G24" s="2008"/>
      <c r="H24" s="2008"/>
      <c r="I24" s="2008"/>
      <c r="J24" s="2008"/>
      <c r="K24" s="2008"/>
      <c r="L24" s="2008"/>
      <c r="M24" s="2008"/>
      <c r="N24" s="2008"/>
      <c r="O24" s="2008"/>
      <c r="P24" s="2008"/>
      <c r="Q24" s="2008"/>
      <c r="R24" s="2008"/>
      <c r="S24" s="2008"/>
      <c r="T24" s="2008"/>
    </row>
    <row r="25">
      <c r="A25" s="2008"/>
      <c r="B25" s="2008"/>
      <c r="C25" s="2008"/>
      <c r="D25" s="2008"/>
      <c r="E25" s="2008"/>
      <c r="F25" s="2008"/>
      <c r="G25" s="2008"/>
      <c r="H25" s="2008"/>
      <c r="I25" s="2008"/>
      <c r="J25" s="2008"/>
      <c r="K25" s="2008"/>
      <c r="L25" s="2008"/>
      <c r="M25" s="2008"/>
      <c r="N25" s="2008"/>
      <c r="O25" s="2008"/>
      <c r="P25" s="2008"/>
      <c r="Q25" s="2008"/>
      <c r="R25" s="2008"/>
      <c r="S25" s="2008"/>
      <c r="T25" s="2008"/>
    </row>
    <row r="26">
      <c r="A26" s="2008"/>
      <c r="B26" s="2008"/>
      <c r="C26" s="2008"/>
      <c r="D26" s="2008"/>
      <c r="E26" s="2008"/>
      <c r="F26" s="2008"/>
      <c r="G26" s="2008"/>
      <c r="H26" s="2008"/>
      <c r="I26" s="2008"/>
      <c r="J26" s="2008"/>
      <c r="K26" s="2008"/>
      <c r="L26" s="2008"/>
      <c r="M26" s="2008"/>
      <c r="N26" s="2008"/>
      <c r="O26" s="2008"/>
      <c r="P26" s="2008"/>
      <c r="Q26" s="2008"/>
      <c r="R26" s="2008"/>
      <c r="S26" s="2008"/>
      <c r="T26" s="2008"/>
    </row>
    <row r="27">
      <c r="A27" s="2008"/>
      <c r="B27" s="2008"/>
      <c r="C27" s="2008"/>
      <c r="D27" s="2008"/>
      <c r="E27" s="2008"/>
      <c r="F27" s="2008"/>
      <c r="G27" s="2008"/>
      <c r="H27" s="2008"/>
      <c r="I27" s="2008"/>
      <c r="J27" s="2008"/>
      <c r="K27" s="2008"/>
      <c r="L27" s="2008"/>
      <c r="M27" s="2008"/>
      <c r="N27" s="2008"/>
      <c r="O27" s="2008"/>
      <c r="P27" s="2008"/>
      <c r="Q27" s="2008"/>
      <c r="R27" s="2008"/>
      <c r="S27" s="2008"/>
      <c r="T27" s="2008"/>
    </row>
    <row r="28">
      <c r="A28" s="2008"/>
      <c r="B28" s="2008"/>
      <c r="C28" s="2008"/>
      <c r="D28" s="2008"/>
      <c r="E28" s="2008"/>
      <c r="F28" s="2008"/>
      <c r="G28" s="2008"/>
      <c r="H28" s="2008"/>
      <c r="I28" s="2008"/>
      <c r="J28" s="2008"/>
      <c r="K28" s="2008"/>
      <c r="L28" s="2008"/>
      <c r="M28" s="2008"/>
      <c r="N28" s="2008"/>
      <c r="O28" s="2008"/>
      <c r="P28" s="2008"/>
      <c r="Q28" s="2008"/>
      <c r="R28" s="2008"/>
      <c r="S28" s="2008"/>
      <c r="T28" s="2008"/>
    </row>
    <row r="29">
      <c r="A29" s="2008"/>
      <c r="B29" s="2008"/>
      <c r="C29" s="2008"/>
      <c r="D29" s="2008"/>
      <c r="E29" s="2008"/>
      <c r="F29" s="2008"/>
      <c r="G29" s="2008"/>
      <c r="H29" s="2008"/>
      <c r="I29" s="2008"/>
      <c r="J29" s="2008"/>
      <c r="K29" s="2008"/>
      <c r="L29" s="2008"/>
      <c r="M29" s="2008"/>
      <c r="N29" s="2008"/>
      <c r="O29" s="2008"/>
      <c r="P29" s="2008"/>
      <c r="Q29" s="2008"/>
      <c r="R29" s="2008"/>
      <c r="S29" s="2008"/>
      <c r="T29" s="2008"/>
    </row>
    <row r="30">
      <c r="A30" s="2008"/>
      <c r="B30" s="2008"/>
      <c r="C30" s="2008"/>
      <c r="D30" s="2008"/>
      <c r="E30" s="2008"/>
      <c r="F30" s="2008"/>
      <c r="G30" s="2008"/>
      <c r="H30" s="2008"/>
      <c r="I30" s="2008"/>
      <c r="J30" s="2008"/>
      <c r="K30" s="2008"/>
      <c r="L30" s="2008"/>
      <c r="M30" s="2008"/>
      <c r="N30" s="2008"/>
      <c r="O30" s="2008"/>
      <c r="P30" s="2008"/>
      <c r="Q30" s="2008"/>
      <c r="R30" s="2008"/>
      <c r="S30" s="2008"/>
      <c r="T30" s="2008"/>
    </row>
    <row r="31">
      <c r="A31" s="2008"/>
      <c r="B31" s="2008"/>
      <c r="C31" s="2008"/>
      <c r="D31" s="2008"/>
      <c r="E31" s="2008"/>
      <c r="F31" s="2008"/>
      <c r="G31" s="2008"/>
      <c r="H31" s="2008"/>
      <c r="I31" s="2008"/>
      <c r="J31" s="2008"/>
      <c r="K31" s="2008"/>
      <c r="L31" s="2008"/>
      <c r="M31" s="2008"/>
      <c r="N31" s="2008"/>
      <c r="O31" s="2008"/>
      <c r="P31" s="2008"/>
      <c r="Q31" s="2008"/>
      <c r="R31" s="2008"/>
      <c r="S31" s="2008"/>
      <c r="T31" s="2008"/>
    </row>
    <row r="32">
      <c r="A32" s="2008"/>
      <c r="B32" s="2008"/>
      <c r="C32" s="2008"/>
      <c r="D32" s="2008"/>
      <c r="E32" s="2008"/>
      <c r="F32" s="2008"/>
      <c r="G32" s="2008"/>
      <c r="H32" s="2008"/>
      <c r="I32" s="2008"/>
      <c r="J32" s="2008"/>
      <c r="K32" s="2008"/>
      <c r="L32" s="2008"/>
      <c r="M32" s="2008"/>
      <c r="N32" s="2008"/>
      <c r="O32" s="2008"/>
      <c r="P32" s="2008"/>
      <c r="Q32" s="2008"/>
      <c r="R32" s="2008"/>
      <c r="S32" s="2008"/>
      <c r="T32" s="2008"/>
    </row>
    <row r="33">
      <c r="A33" s="2008"/>
      <c r="B33" s="2008"/>
      <c r="C33" s="2008"/>
      <c r="D33" s="2008"/>
      <c r="E33" s="2008"/>
      <c r="F33" s="2008"/>
      <c r="G33" s="2008"/>
      <c r="H33" s="2008"/>
      <c r="I33" s="2008"/>
      <c r="J33" s="2008"/>
      <c r="K33" s="2008"/>
      <c r="L33" s="2008"/>
      <c r="M33" s="2008"/>
      <c r="N33" s="2008"/>
      <c r="O33" s="2008"/>
      <c r="P33" s="2008"/>
      <c r="Q33" s="2008"/>
      <c r="R33" s="2008"/>
      <c r="S33" s="2008"/>
      <c r="T33" s="2008"/>
    </row>
    <row r="34">
      <c r="A34" s="2008"/>
      <c r="B34" s="2008"/>
      <c r="C34" s="2008"/>
      <c r="D34" s="2008"/>
      <c r="E34" s="2008"/>
      <c r="F34" s="2008"/>
      <c r="G34" s="2008"/>
      <c r="H34" s="2008"/>
      <c r="I34" s="2008"/>
      <c r="J34" s="2008"/>
      <c r="K34" s="2008"/>
      <c r="L34" s="2008"/>
      <c r="M34" s="2008"/>
      <c r="N34" s="2008"/>
      <c r="O34" s="2008"/>
      <c r="P34" s="2008"/>
      <c r="Q34" s="2008"/>
      <c r="R34" s="2008"/>
      <c r="S34" s="2008"/>
      <c r="T34" s="2008"/>
    </row>
    <row r="35">
      <c r="A35" s="2008"/>
      <c r="B35" s="2008"/>
      <c r="C35" s="2008"/>
      <c r="D35" s="2008"/>
      <c r="E35" s="2008"/>
      <c r="F35" s="2008"/>
      <c r="G35" s="2008"/>
      <c r="H35" s="2008"/>
      <c r="I35" s="2008"/>
      <c r="J35" s="2008"/>
      <c r="K35" s="2008"/>
      <c r="L35" s="2008"/>
      <c r="M35" s="2008"/>
      <c r="N35" s="2008"/>
      <c r="O35" s="2008"/>
      <c r="P35" s="2008"/>
      <c r="Q35" s="2008"/>
      <c r="R35" s="2008"/>
      <c r="S35" s="2008"/>
      <c r="T35" s="2008"/>
    </row>
    <row r="36">
      <c r="A36" s="2008"/>
      <c r="B36" s="2008"/>
      <c r="C36" s="2008"/>
      <c r="D36" s="2008"/>
      <c r="E36" s="2008"/>
      <c r="F36" s="2008"/>
      <c r="G36" s="2008"/>
      <c r="H36" s="2008"/>
      <c r="I36" s="2008"/>
      <c r="J36" s="2008"/>
      <c r="K36" s="2008"/>
      <c r="L36" s="2008"/>
      <c r="M36" s="2008"/>
      <c r="N36" s="2008"/>
      <c r="O36" s="2008"/>
      <c r="P36" s="2008"/>
      <c r="Q36" s="2008"/>
      <c r="R36" s="2008"/>
      <c r="S36" s="2008"/>
      <c r="T36" s="2008"/>
    </row>
    <row r="37">
      <c r="A37" s="2008"/>
      <c r="B37" s="2008"/>
      <c r="C37" s="2008"/>
      <c r="D37" s="2008"/>
      <c r="E37" s="2008"/>
      <c r="F37" s="2008"/>
      <c r="G37" s="2008"/>
      <c r="H37" s="2008"/>
      <c r="I37" s="2008"/>
      <c r="J37" s="2008"/>
      <c r="K37" s="2008"/>
      <c r="L37" s="2008"/>
      <c r="M37" s="2008"/>
      <c r="N37" s="2008"/>
      <c r="O37" s="2008"/>
      <c r="P37" s="2008"/>
      <c r="Q37" s="2008"/>
      <c r="R37" s="2008"/>
      <c r="S37" s="2008"/>
      <c r="T37" s="2008"/>
    </row>
    <row r="38">
      <c r="A38" s="2008"/>
      <c r="B38" s="2008"/>
      <c r="C38" s="2008"/>
      <c r="D38" s="2008"/>
      <c r="E38" s="2008"/>
      <c r="F38" s="2008"/>
      <c r="G38" s="2008"/>
      <c r="H38" s="2008"/>
      <c r="I38" s="2008"/>
      <c r="J38" s="2008"/>
      <c r="K38" s="2008"/>
      <c r="L38" s="2008"/>
      <c r="M38" s="2008"/>
      <c r="N38" s="2008"/>
      <c r="O38" s="2008"/>
      <c r="P38" s="2008"/>
      <c r="Q38" s="2008"/>
      <c r="R38" s="2008"/>
      <c r="S38" s="2008"/>
      <c r="T38" s="2008"/>
    </row>
    <row r="39">
      <c r="A39" s="2008"/>
      <c r="B39" s="2008"/>
      <c r="C39" s="2008"/>
      <c r="D39" s="2008"/>
      <c r="E39" s="2008"/>
      <c r="F39" s="2008"/>
      <c r="G39" s="2008"/>
      <c r="H39" s="2008"/>
      <c r="I39" s="2008"/>
      <c r="J39" s="2008"/>
      <c r="K39" s="2008"/>
      <c r="L39" s="2008"/>
      <c r="M39" s="2008"/>
      <c r="N39" s="2008"/>
      <c r="O39" s="2008"/>
      <c r="P39" s="2008"/>
      <c r="Q39" s="2008"/>
      <c r="R39" s="2008"/>
      <c r="S39" s="2008"/>
      <c r="T39" s="2008"/>
    </row>
    <row r="40">
      <c r="A40" s="2008"/>
      <c r="B40" s="2008"/>
      <c r="C40" s="2008"/>
      <c r="D40" s="2008"/>
      <c r="E40" s="2008"/>
      <c r="F40" s="2008"/>
      <c r="G40" s="2008"/>
      <c r="H40" s="2008"/>
      <c r="I40" s="2008"/>
      <c r="J40" s="2008"/>
      <c r="K40" s="2008"/>
      <c r="L40" s="2008"/>
      <c r="M40" s="2008"/>
      <c r="N40" s="2008"/>
      <c r="O40" s="2008"/>
      <c r="P40" s="2008"/>
      <c r="Q40" s="2008"/>
      <c r="R40" s="2008"/>
      <c r="S40" s="2008"/>
      <c r="T40" s="2008"/>
    </row>
    <row r="41">
      <c r="A41" s="2008"/>
      <c r="B41" s="2008"/>
      <c r="C41" s="2008"/>
      <c r="D41" s="2008"/>
      <c r="E41" s="2008"/>
      <c r="F41" s="2008"/>
      <c r="G41" s="2008"/>
      <c r="H41" s="2008"/>
      <c r="I41" s="2008"/>
      <c r="J41" s="2008"/>
      <c r="K41" s="2008"/>
      <c r="L41" s="2008"/>
      <c r="M41" s="2008"/>
      <c r="N41" s="2008"/>
      <c r="O41" s="2008"/>
      <c r="P41" s="2008"/>
      <c r="Q41" s="2008"/>
      <c r="R41" s="2008"/>
      <c r="S41" s="2008"/>
      <c r="T41" s="2008"/>
    </row>
    <row r="42">
      <c r="A42" s="2008"/>
      <c r="B42" s="2008"/>
      <c r="C42" s="2008"/>
      <c r="D42" s="2008"/>
      <c r="E42" s="2008"/>
      <c r="F42" s="2008"/>
      <c r="G42" s="2008"/>
      <c r="H42" s="2008"/>
      <c r="I42" s="2008"/>
      <c r="J42" s="2008"/>
      <c r="K42" s="2008"/>
      <c r="L42" s="2008"/>
      <c r="M42" s="2008"/>
      <c r="N42" s="2008"/>
      <c r="O42" s="2008"/>
      <c r="P42" s="2008"/>
      <c r="Q42" s="2008"/>
      <c r="R42" s="2008"/>
      <c r="S42" s="2008"/>
      <c r="T42" s="2008"/>
    </row>
    <row r="43">
      <c r="A43" s="2008"/>
      <c r="B43" s="2008"/>
      <c r="C43" s="2008"/>
      <c r="D43" s="2008"/>
      <c r="E43" s="2008"/>
      <c r="F43" s="2008"/>
      <c r="G43" s="2008"/>
      <c r="H43" s="2008"/>
      <c r="I43" s="2008"/>
      <c r="J43" s="2008"/>
      <c r="K43" s="2008"/>
      <c r="L43" s="2008"/>
      <c r="M43" s="2008"/>
      <c r="N43" s="2008"/>
      <c r="O43" s="2008"/>
      <c r="P43" s="2008"/>
      <c r="Q43" s="2008"/>
      <c r="R43" s="2008"/>
      <c r="S43" s="2008"/>
      <c r="T43" s="2008"/>
    </row>
    <row r="44">
      <c r="A44" s="2008"/>
      <c r="B44" s="2008"/>
      <c r="C44" s="2008"/>
      <c r="D44" s="2008"/>
      <c r="E44" s="2008"/>
      <c r="F44" s="2008"/>
      <c r="G44" s="2008"/>
      <c r="H44" s="2008"/>
      <c r="I44" s="2008"/>
      <c r="J44" s="2008"/>
      <c r="K44" s="2008"/>
      <c r="L44" s="2008"/>
      <c r="M44" s="2008"/>
      <c r="N44" s="2008"/>
      <c r="O44" s="2008"/>
      <c r="P44" s="2008"/>
      <c r="Q44" s="2008"/>
      <c r="R44" s="2008"/>
      <c r="S44" s="2008"/>
      <c r="T44" s="2008"/>
    </row>
    <row r="45">
      <c r="A45" s="2008"/>
      <c r="B45" s="2008"/>
      <c r="C45" s="2008"/>
      <c r="D45" s="2008"/>
      <c r="E45" s="2008"/>
      <c r="F45" s="2008"/>
      <c r="G45" s="2008"/>
      <c r="H45" s="2008"/>
      <c r="I45" s="2008"/>
      <c r="J45" s="2008"/>
      <c r="K45" s="2008"/>
      <c r="L45" s="2008"/>
      <c r="M45" s="2008"/>
      <c r="N45" s="2008"/>
      <c r="O45" s="2008"/>
      <c r="P45" s="2008"/>
      <c r="Q45" s="2008"/>
      <c r="R45" s="2008"/>
      <c r="S45" s="2008"/>
      <c r="T45" s="2008"/>
    </row>
    <row r="46">
      <c r="A46" s="2008"/>
      <c r="B46" s="2008"/>
      <c r="C46" s="2008"/>
      <c r="D46" s="2008"/>
      <c r="E46" s="2008"/>
      <c r="F46" s="2008"/>
      <c r="G46" s="2008"/>
      <c r="H46" s="2008"/>
      <c r="I46" s="2008"/>
      <c r="J46" s="2008"/>
      <c r="K46" s="2008"/>
      <c r="L46" s="2008"/>
      <c r="M46" s="2008"/>
      <c r="N46" s="2008"/>
      <c r="O46" s="2008"/>
      <c r="P46" s="2008"/>
      <c r="Q46" s="2008"/>
      <c r="R46" s="2008"/>
      <c r="S46" s="2008"/>
      <c r="T46" s="2008"/>
    </row>
    <row r="47">
      <c r="A47" s="2008"/>
      <c r="B47" s="2008"/>
      <c r="C47" s="2008"/>
      <c r="D47" s="2008"/>
      <c r="E47" s="2008"/>
      <c r="F47" s="2008"/>
      <c r="G47" s="2008"/>
      <c r="H47" s="2008"/>
      <c r="I47" s="2008"/>
      <c r="J47" s="2008"/>
      <c r="K47" s="2008"/>
      <c r="L47" s="2008"/>
      <c r="M47" s="2008"/>
      <c r="N47" s="2008"/>
      <c r="O47" s="2008"/>
      <c r="P47" s="2008"/>
      <c r="Q47" s="2008"/>
      <c r="R47" s="2008"/>
      <c r="S47" s="2008"/>
      <c r="T47" s="2008"/>
    </row>
    <row r="48">
      <c r="A48" s="2008"/>
      <c r="B48" s="2008"/>
      <c r="C48" s="2008"/>
      <c r="D48" s="2008"/>
      <c r="E48" s="2008"/>
      <c r="F48" s="2008"/>
      <c r="G48" s="2008"/>
      <c r="H48" s="2008"/>
      <c r="I48" s="2008"/>
      <c r="J48" s="2008"/>
      <c r="K48" s="2008"/>
      <c r="L48" s="2008"/>
      <c r="M48" s="2008"/>
      <c r="N48" s="2008"/>
      <c r="O48" s="2008"/>
      <c r="P48" s="2008"/>
      <c r="Q48" s="2008"/>
      <c r="R48" s="2008"/>
      <c r="S48" s="2008"/>
      <c r="T48" s="2008"/>
    </row>
    <row r="49">
      <c r="A49" s="2008"/>
      <c r="B49" s="2008"/>
      <c r="C49" s="2008"/>
      <c r="D49" s="2008"/>
      <c r="E49" s="2008"/>
      <c r="F49" s="2008"/>
      <c r="G49" s="2008"/>
      <c r="H49" s="2008"/>
      <c r="I49" s="2008"/>
      <c r="J49" s="2008"/>
      <c r="K49" s="2008"/>
      <c r="L49" s="2008"/>
      <c r="M49" s="2008"/>
      <c r="N49" s="2008"/>
      <c r="O49" s="2008"/>
      <c r="P49" s="2008"/>
      <c r="Q49" s="2008"/>
      <c r="R49" s="2008"/>
      <c r="S49" s="2008"/>
      <c r="T49" s="2008"/>
    </row>
    <row r="50">
      <c r="A50" s="2008"/>
      <c r="B50" s="2008"/>
      <c r="C50" s="2008"/>
      <c r="D50" s="2008"/>
      <c r="E50" s="2008"/>
      <c r="F50" s="2008"/>
      <c r="G50" s="2008"/>
      <c r="H50" s="2008"/>
      <c r="I50" s="2008"/>
      <c r="J50" s="2008"/>
      <c r="K50" s="2008"/>
      <c r="L50" s="2008"/>
      <c r="M50" s="2008"/>
      <c r="N50" s="2008"/>
      <c r="O50" s="2008"/>
      <c r="P50" s="2008"/>
      <c r="Q50" s="2008"/>
      <c r="R50" s="2008"/>
      <c r="S50" s="2008"/>
      <c r="T50" s="2008"/>
    </row>
    <row r="51">
      <c r="A51" s="2008"/>
      <c r="B51" s="2008"/>
      <c r="C51" s="2008"/>
      <c r="D51" s="2008"/>
      <c r="E51" s="2008"/>
      <c r="F51" s="2008"/>
      <c r="G51" s="2008"/>
      <c r="H51" s="2008"/>
      <c r="I51" s="2008"/>
      <c r="J51" s="2008"/>
      <c r="K51" s="2008"/>
      <c r="L51" s="2008"/>
      <c r="M51" s="2008"/>
      <c r="N51" s="2008"/>
      <c r="O51" s="2008"/>
      <c r="P51" s="2008"/>
      <c r="Q51" s="2008"/>
      <c r="R51" s="2008"/>
      <c r="S51" s="2008"/>
      <c r="T51" s="2008"/>
    </row>
    <row r="52">
      <c r="A52" s="2008"/>
      <c r="B52" s="2008"/>
      <c r="C52" s="2008"/>
      <c r="D52" s="2008"/>
      <c r="E52" s="2008"/>
      <c r="F52" s="2008"/>
      <c r="G52" s="2008"/>
      <c r="H52" s="2008"/>
      <c r="I52" s="2008"/>
      <c r="J52" s="2008"/>
      <c r="K52" s="2008"/>
      <c r="L52" s="2008"/>
      <c r="M52" s="2008"/>
      <c r="N52" s="2008"/>
      <c r="O52" s="2008"/>
      <c r="P52" s="2008"/>
      <c r="Q52" s="2008"/>
      <c r="R52" s="2008"/>
      <c r="S52" s="2008"/>
      <c r="T52" s="2008"/>
    </row>
    <row r="53">
      <c r="A53" s="2008"/>
      <c r="B53" s="2008"/>
      <c r="C53" s="2008"/>
      <c r="D53" s="2008"/>
      <c r="E53" s="2008"/>
      <c r="F53" s="2008"/>
      <c r="G53" s="2008"/>
      <c r="H53" s="2008"/>
      <c r="I53" s="2008"/>
      <c r="J53" s="2008"/>
      <c r="K53" s="2008"/>
      <c r="L53" s="2008"/>
      <c r="M53" s="2008"/>
      <c r="N53" s="2008"/>
      <c r="O53" s="2008"/>
      <c r="P53" s="2008"/>
      <c r="Q53" s="2008"/>
      <c r="R53" s="2008"/>
      <c r="S53" s="2008"/>
      <c r="T53" s="2008"/>
    </row>
    <row r="54">
      <c r="A54" s="2008"/>
      <c r="B54" s="2008"/>
      <c r="C54" s="2008"/>
      <c r="D54" s="2008"/>
      <c r="E54" s="2008"/>
      <c r="F54" s="2008"/>
      <c r="G54" s="2008"/>
      <c r="H54" s="2008"/>
      <c r="I54" s="2008"/>
      <c r="J54" s="2008"/>
      <c r="K54" s="2008"/>
      <c r="L54" s="2008"/>
      <c r="M54" s="2008"/>
      <c r="N54" s="2008"/>
      <c r="O54" s="2008"/>
      <c r="P54" s="2008"/>
      <c r="Q54" s="2008"/>
      <c r="R54" s="2008"/>
      <c r="S54" s="2008"/>
      <c r="T54" s="2008"/>
    </row>
    <row r="55">
      <c r="A55" s="2008"/>
      <c r="B55" s="2008"/>
      <c r="C55" s="2008"/>
      <c r="D55" s="2008"/>
      <c r="E55" s="2008"/>
      <c r="F55" s="2008"/>
      <c r="G55" s="2008"/>
      <c r="H55" s="2008"/>
      <c r="I55" s="2008"/>
      <c r="J55" s="2008"/>
      <c r="K55" s="2008"/>
      <c r="L55" s="2008"/>
      <c r="M55" s="2008"/>
      <c r="N55" s="2008"/>
      <c r="O55" s="2008"/>
      <c r="P55" s="2008"/>
      <c r="Q55" s="2008"/>
      <c r="R55" s="2008"/>
      <c r="S55" s="2008"/>
      <c r="T55" s="2008"/>
    </row>
    <row r="56">
      <c r="A56" s="2008"/>
      <c r="B56" s="2008"/>
      <c r="C56" s="2008"/>
      <c r="D56" s="2008"/>
      <c r="E56" s="2008"/>
      <c r="F56" s="2008"/>
      <c r="G56" s="2008"/>
      <c r="H56" s="2008"/>
      <c r="I56" s="2008"/>
      <c r="J56" s="2008"/>
      <c r="K56" s="2008"/>
      <c r="L56" s="2008"/>
      <c r="M56" s="2008"/>
      <c r="N56" s="2008"/>
      <c r="O56" s="2008"/>
      <c r="P56" s="2008"/>
      <c r="Q56" s="2008"/>
      <c r="R56" s="2008"/>
      <c r="S56" s="2008"/>
      <c r="T56" s="2008"/>
    </row>
    <row r="57">
      <c r="A57" s="2008"/>
      <c r="B57" s="2008"/>
      <c r="C57" s="2008"/>
      <c r="D57" s="2008"/>
      <c r="E57" s="2008"/>
      <c r="F57" s="2008"/>
      <c r="G57" s="2008"/>
      <c r="H57" s="2008"/>
      <c r="I57" s="2008"/>
      <c r="J57" s="2008"/>
      <c r="K57" s="2008"/>
      <c r="L57" s="2008"/>
      <c r="M57" s="2008"/>
      <c r="N57" s="2008"/>
      <c r="O57" s="2008"/>
      <c r="P57" s="2008"/>
      <c r="Q57" s="2008"/>
      <c r="R57" s="2008"/>
      <c r="S57" s="2008"/>
      <c r="T57" s="2008"/>
    </row>
    <row r="58">
      <c r="A58" s="2008"/>
      <c r="B58" s="2008"/>
      <c r="C58" s="2008"/>
      <c r="D58" s="2008"/>
      <c r="E58" s="2008"/>
      <c r="F58" s="2008"/>
      <c r="G58" s="2008"/>
      <c r="H58" s="2008"/>
      <c r="I58" s="2008"/>
      <c r="J58" s="2008"/>
      <c r="K58" s="2008"/>
      <c r="L58" s="2008"/>
      <c r="M58" s="2008"/>
      <c r="N58" s="2008"/>
      <c r="O58" s="2008"/>
      <c r="P58" s="2008"/>
      <c r="Q58" s="2008"/>
      <c r="R58" s="2008"/>
      <c r="S58" s="2008"/>
      <c r="T58" s="2008"/>
    </row>
    <row r="59">
      <c r="A59" s="2008"/>
      <c r="B59" s="2008"/>
      <c r="C59" s="2008"/>
      <c r="D59" s="2008"/>
      <c r="E59" s="2008"/>
      <c r="F59" s="2008"/>
      <c r="G59" s="2008"/>
      <c r="H59" s="2008"/>
      <c r="I59" s="2008"/>
      <c r="J59" s="2008"/>
      <c r="K59" s="2008"/>
      <c r="L59" s="2008"/>
      <c r="M59" s="2008"/>
      <c r="N59" s="2008"/>
      <c r="O59" s="2008"/>
      <c r="P59" s="2008"/>
      <c r="Q59" s="2008"/>
      <c r="R59" s="2008"/>
      <c r="S59" s="2008"/>
      <c r="T59" s="2008"/>
    </row>
    <row r="60">
      <c r="A60" s="2008"/>
      <c r="B60" s="2008"/>
      <c r="C60" s="2008"/>
      <c r="D60" s="2008"/>
      <c r="E60" s="2008"/>
      <c r="F60" s="2008"/>
      <c r="G60" s="2008"/>
      <c r="H60" s="2008"/>
      <c r="I60" s="2008"/>
      <c r="J60" s="2008"/>
      <c r="K60" s="2008"/>
      <c r="L60" s="2008"/>
      <c r="M60" s="2008"/>
      <c r="N60" s="2008"/>
      <c r="O60" s="2008"/>
      <c r="P60" s="2008"/>
      <c r="Q60" s="2008"/>
      <c r="R60" s="2008"/>
      <c r="S60" s="2008"/>
      <c r="T60" s="2008"/>
    </row>
    <row r="61">
      <c r="A61" s="2008"/>
      <c r="B61" s="2008"/>
      <c r="C61" s="2008"/>
      <c r="D61" s="2008"/>
      <c r="E61" s="2008"/>
      <c r="F61" s="2008"/>
      <c r="G61" s="2008"/>
      <c r="H61" s="2008"/>
      <c r="I61" s="2008"/>
      <c r="J61" s="2008"/>
      <c r="K61" s="2008"/>
      <c r="L61" s="2008"/>
      <c r="M61" s="2008"/>
      <c r="N61" s="2008"/>
      <c r="O61" s="2008"/>
      <c r="P61" s="2008"/>
      <c r="Q61" s="2008"/>
      <c r="R61" s="2008"/>
      <c r="S61" s="2008"/>
      <c r="T61" s="2008"/>
    </row>
    <row r="62">
      <c r="A62" s="2008"/>
      <c r="B62" s="2008"/>
      <c r="C62" s="2008"/>
      <c r="D62" s="2008"/>
      <c r="E62" s="2008"/>
      <c r="F62" s="2008"/>
      <c r="G62" s="2008"/>
      <c r="H62" s="2008"/>
      <c r="I62" s="2008"/>
      <c r="J62" s="2008"/>
      <c r="K62" s="2008"/>
      <c r="L62" s="2008"/>
      <c r="M62" s="2008"/>
      <c r="N62" s="2008"/>
      <c r="O62" s="2008"/>
      <c r="P62" s="2008"/>
      <c r="Q62" s="2008"/>
      <c r="R62" s="2008"/>
      <c r="S62" s="2008"/>
      <c r="T62" s="2008"/>
    </row>
    <row r="63">
      <c r="A63" s="2008"/>
      <c r="B63" s="2008"/>
      <c r="C63" s="2008"/>
      <c r="D63" s="2008"/>
      <c r="E63" s="2008"/>
      <c r="F63" s="2008"/>
      <c r="G63" s="2008"/>
      <c r="H63" s="2008"/>
      <c r="I63" s="2008"/>
      <c r="J63" s="2008"/>
      <c r="K63" s="2008"/>
      <c r="L63" s="2008"/>
      <c r="M63" s="2008"/>
      <c r="N63" s="2008"/>
      <c r="O63" s="2008"/>
      <c r="P63" s="2008"/>
      <c r="Q63" s="2008"/>
      <c r="R63" s="2008"/>
      <c r="S63" s="2008"/>
      <c r="T63" s="2008"/>
    </row>
    <row r="64">
      <c r="A64" s="2008"/>
      <c r="B64" s="2008"/>
      <c r="C64" s="2008"/>
      <c r="D64" s="2008"/>
      <c r="E64" s="2008"/>
      <c r="F64" s="2008"/>
      <c r="G64" s="2008"/>
      <c r="H64" s="2008"/>
      <c r="I64" s="2008"/>
      <c r="J64" s="2008"/>
      <c r="K64" s="2008"/>
      <c r="L64" s="2008"/>
      <c r="M64" s="2008"/>
      <c r="N64" s="2008"/>
      <c r="O64" s="2008"/>
      <c r="P64" s="2008"/>
      <c r="Q64" s="2008"/>
      <c r="R64" s="2008"/>
      <c r="S64" s="2008"/>
      <c r="T64" s="2008"/>
    </row>
    <row r="65">
      <c r="A65" s="2008"/>
      <c r="B65" s="2008"/>
      <c r="C65" s="2008"/>
      <c r="D65" s="2008"/>
      <c r="E65" s="2008"/>
      <c r="F65" s="2008"/>
      <c r="G65" s="2008"/>
      <c r="H65" s="2008"/>
      <c r="I65" s="2008"/>
      <c r="J65" s="2008"/>
      <c r="K65" s="2008"/>
      <c r="L65" s="2008"/>
      <c r="M65" s="2008"/>
      <c r="N65" s="2008"/>
      <c r="O65" s="2008"/>
      <c r="P65" s="2008"/>
      <c r="Q65" s="2008"/>
      <c r="R65" s="2008"/>
      <c r="S65" s="2008"/>
      <c r="T65" s="2008"/>
    </row>
    <row r="66">
      <c r="A66" s="2008"/>
      <c r="B66" s="2008"/>
      <c r="C66" s="2008"/>
      <c r="D66" s="2008"/>
      <c r="E66" s="2008"/>
      <c r="F66" s="2008"/>
      <c r="G66" s="2008"/>
      <c r="H66" s="2008"/>
      <c r="I66" s="2008"/>
      <c r="J66" s="2008"/>
      <c r="K66" s="2008"/>
      <c r="L66" s="2008"/>
      <c r="M66" s="2008"/>
      <c r="N66" s="2008"/>
      <c r="O66" s="2008"/>
      <c r="P66" s="2008"/>
      <c r="Q66" s="2008"/>
      <c r="R66" s="2008"/>
      <c r="S66" s="2008"/>
      <c r="T66" s="2008"/>
    </row>
    <row r="67">
      <c r="A67" s="2008"/>
      <c r="B67" s="2008"/>
      <c r="C67" s="2008"/>
      <c r="D67" s="2008"/>
      <c r="E67" s="2008"/>
      <c r="F67" s="2008"/>
      <c r="G67" s="2008"/>
      <c r="H67" s="2008"/>
      <c r="I67" s="2008"/>
      <c r="J67" s="2008"/>
      <c r="K67" s="2008"/>
      <c r="L67" s="2008"/>
      <c r="M67" s="2008"/>
      <c r="N67" s="2008"/>
      <c r="O67" s="2008"/>
      <c r="P67" s="2008"/>
      <c r="Q67" s="2008"/>
      <c r="R67" s="2008"/>
      <c r="S67" s="2008"/>
      <c r="T67" s="2008"/>
    </row>
    <row r="68">
      <c r="A68" s="2008"/>
      <c r="B68" s="2008"/>
      <c r="C68" s="2008"/>
      <c r="D68" s="2008"/>
      <c r="E68" s="2008"/>
      <c r="F68" s="2008"/>
      <c r="G68" s="2008"/>
      <c r="H68" s="2008"/>
      <c r="I68" s="2008"/>
      <c r="J68" s="2008"/>
      <c r="K68" s="2008"/>
      <c r="L68" s="2008"/>
      <c r="M68" s="2008"/>
      <c r="N68" s="2008"/>
      <c r="O68" s="2008"/>
      <c r="P68" s="2008"/>
      <c r="Q68" s="2008"/>
      <c r="R68" s="2008"/>
      <c r="S68" s="2008"/>
      <c r="T68" s="2008"/>
    </row>
    <row r="69">
      <c r="A69" s="2008"/>
      <c r="B69" s="2008"/>
      <c r="C69" s="2008"/>
      <c r="D69" s="2008"/>
      <c r="E69" s="2008"/>
      <c r="F69" s="2008"/>
      <c r="G69" s="2008"/>
      <c r="H69" s="2008"/>
      <c r="I69" s="2008"/>
      <c r="J69" s="2008"/>
      <c r="K69" s="2008"/>
      <c r="L69" s="2008"/>
      <c r="M69" s="2008"/>
      <c r="N69" s="2008"/>
      <c r="O69" s="2008"/>
      <c r="P69" s="2008"/>
      <c r="Q69" s="2008"/>
      <c r="R69" s="2008"/>
      <c r="S69" s="2008"/>
      <c r="T69" s="2008"/>
    </row>
    <row r="70">
      <c r="A70" s="2008"/>
      <c r="B70" s="2008"/>
      <c r="C70" s="2008"/>
      <c r="D70" s="2008"/>
      <c r="E70" s="2008"/>
      <c r="F70" s="2008"/>
      <c r="G70" s="2008"/>
      <c r="H70" s="2008"/>
      <c r="I70" s="2008"/>
      <c r="J70" s="2008"/>
      <c r="K70" s="2008"/>
      <c r="L70" s="2008"/>
      <c r="M70" s="2008"/>
      <c r="N70" s="2008"/>
      <c r="O70" s="2008"/>
      <c r="P70" s="2008"/>
      <c r="Q70" s="2008"/>
      <c r="R70" s="2008"/>
      <c r="S70" s="2008"/>
      <c r="T70" s="2008"/>
    </row>
    <row r="71">
      <c r="A71" s="2008"/>
      <c r="B71" s="2008"/>
      <c r="C71" s="2008"/>
      <c r="D71" s="2008"/>
      <c r="E71" s="2008"/>
      <c r="F71" s="2008"/>
      <c r="G71" s="2008"/>
      <c r="H71" s="2008"/>
      <c r="I71" s="2008"/>
      <c r="J71" s="2008"/>
      <c r="K71" s="2008"/>
      <c r="L71" s="2008"/>
      <c r="M71" s="2008"/>
      <c r="N71" s="2008"/>
      <c r="O71" s="2008"/>
      <c r="P71" s="2008"/>
      <c r="Q71" s="2008"/>
      <c r="R71" s="2008"/>
      <c r="S71" s="2008"/>
      <c r="T71" s="2008"/>
    </row>
    <row r="72">
      <c r="A72" s="2008"/>
      <c r="B72" s="2008"/>
      <c r="C72" s="2008"/>
      <c r="D72" s="2008"/>
      <c r="E72" s="2008"/>
      <c r="F72" s="2008"/>
      <c r="G72" s="2008"/>
      <c r="H72" s="2008"/>
      <c r="I72" s="2008"/>
      <c r="J72" s="2008"/>
      <c r="K72" s="2008"/>
      <c r="L72" s="2008"/>
      <c r="M72" s="2008"/>
      <c r="N72" s="2008"/>
      <c r="O72" s="2008"/>
      <c r="P72" s="2008"/>
      <c r="Q72" s="2008"/>
      <c r="R72" s="2008"/>
      <c r="S72" s="2008"/>
      <c r="T72" s="2008"/>
    </row>
    <row r="73">
      <c r="A73" s="2008"/>
      <c r="B73" s="2008"/>
      <c r="C73" s="2008"/>
      <c r="D73" s="2008"/>
      <c r="E73" s="2008"/>
      <c r="F73" s="2008"/>
      <c r="G73" s="2008"/>
      <c r="H73" s="2008"/>
      <c r="I73" s="2008"/>
      <c r="J73" s="2008"/>
      <c r="K73" s="2008"/>
      <c r="L73" s="2008"/>
      <c r="M73" s="2008"/>
      <c r="N73" s="2008"/>
      <c r="O73" s="2008"/>
      <c r="P73" s="2008"/>
      <c r="Q73" s="2008"/>
      <c r="R73" s="2008"/>
      <c r="S73" s="2008"/>
      <c r="T73" s="2008"/>
    </row>
    <row r="74">
      <c r="A74" s="2008"/>
      <c r="B74" s="2008"/>
      <c r="C74" s="2008"/>
      <c r="D74" s="2008"/>
      <c r="E74" s="2008"/>
      <c r="F74" s="2008"/>
      <c r="G74" s="2008"/>
      <c r="H74" s="2008"/>
      <c r="I74" s="2008"/>
      <c r="J74" s="2008"/>
      <c r="K74" s="2008"/>
      <c r="L74" s="2008"/>
      <c r="M74" s="2008"/>
      <c r="N74" s="2008"/>
      <c r="O74" s="2008"/>
      <c r="P74" s="2008"/>
      <c r="Q74" s="2008"/>
      <c r="R74" s="2008"/>
      <c r="S74" s="2008"/>
      <c r="T74" s="2008"/>
    </row>
    <row r="75">
      <c r="A75" s="2008"/>
      <c r="B75" s="2008"/>
      <c r="C75" s="2008"/>
      <c r="D75" s="2008"/>
      <c r="E75" s="2008"/>
      <c r="F75" s="2008"/>
      <c r="G75" s="2008"/>
      <c r="H75" s="2008"/>
      <c r="I75" s="2008"/>
      <c r="J75" s="2008"/>
      <c r="K75" s="2008"/>
      <c r="L75" s="2008"/>
      <c r="M75" s="2008"/>
      <c r="N75" s="2008"/>
      <c r="O75" s="2008"/>
      <c r="P75" s="2008"/>
      <c r="Q75" s="2008"/>
      <c r="R75" s="2008"/>
      <c r="S75" s="2008"/>
      <c r="T75" s="2008"/>
    </row>
    <row r="76">
      <c r="A76" s="2008"/>
      <c r="B76" s="2008"/>
      <c r="C76" s="2008"/>
      <c r="D76" s="2008"/>
      <c r="E76" s="2008"/>
      <c r="F76" s="2008"/>
      <c r="G76" s="2008"/>
      <c r="H76" s="2008"/>
      <c r="I76" s="2008"/>
      <c r="J76" s="2008"/>
      <c r="K76" s="2008"/>
      <c r="L76" s="2008"/>
      <c r="M76" s="2008"/>
      <c r="N76" s="2008"/>
      <c r="O76" s="2008"/>
      <c r="P76" s="2008"/>
      <c r="Q76" s="2008"/>
      <c r="R76" s="2008"/>
      <c r="S76" s="2008"/>
      <c r="T76" s="2008"/>
    </row>
    <row r="77">
      <c r="A77" s="2008"/>
      <c r="B77" s="2008"/>
      <c r="C77" s="2008"/>
      <c r="D77" s="2008"/>
      <c r="E77" s="2008"/>
      <c r="F77" s="2008"/>
      <c r="G77" s="2008"/>
      <c r="H77" s="2008"/>
      <c r="I77" s="2008"/>
      <c r="J77" s="2008"/>
      <c r="K77" s="2008"/>
      <c r="L77" s="2008"/>
      <c r="M77" s="2008"/>
      <c r="N77" s="2008"/>
      <c r="O77" s="2008"/>
      <c r="P77" s="2008"/>
      <c r="Q77" s="2008"/>
      <c r="R77" s="2008"/>
      <c r="S77" s="2008"/>
      <c r="T77" s="2008"/>
    </row>
    <row r="78">
      <c r="A78" s="2008"/>
      <c r="B78" s="2008"/>
      <c r="C78" s="2008"/>
      <c r="D78" s="2008"/>
      <c r="E78" s="2008"/>
      <c r="F78" s="2008"/>
      <c r="G78" s="2008"/>
      <c r="H78" s="2008"/>
      <c r="I78" s="2008"/>
      <c r="J78" s="2008"/>
      <c r="K78" s="2008"/>
      <c r="L78" s="2008"/>
      <c r="M78" s="2008"/>
      <c r="N78" s="2008"/>
      <c r="O78" s="2008"/>
      <c r="P78" s="2008"/>
      <c r="Q78" s="2008"/>
      <c r="R78" s="2008"/>
      <c r="S78" s="2008"/>
      <c r="T78" s="2008"/>
    </row>
    <row r="79">
      <c r="A79" s="2008"/>
      <c r="B79" s="2008"/>
      <c r="C79" s="2008"/>
      <c r="D79" s="2008"/>
      <c r="E79" s="2008"/>
      <c r="F79" s="2008"/>
      <c r="G79" s="2008"/>
      <c r="H79" s="2008"/>
      <c r="I79" s="2008"/>
      <c r="J79" s="2008"/>
      <c r="K79" s="2008"/>
      <c r="L79" s="2008"/>
      <c r="M79" s="2008"/>
      <c r="N79" s="2008"/>
      <c r="O79" s="2008"/>
      <c r="P79" s="2008"/>
      <c r="Q79" s="2008"/>
      <c r="R79" s="2008"/>
      <c r="S79" s="2008"/>
      <c r="T79" s="2008"/>
    </row>
    <row r="80">
      <c r="A80" s="2008"/>
      <c r="B80" s="2008"/>
      <c r="C80" s="2008"/>
      <c r="D80" s="2008"/>
      <c r="E80" s="2008"/>
      <c r="F80" s="2008"/>
      <c r="G80" s="2008"/>
      <c r="H80" s="2008"/>
      <c r="I80" s="2008"/>
      <c r="J80" s="2008"/>
      <c r="K80" s="2008"/>
      <c r="L80" s="2008"/>
      <c r="M80" s="2008"/>
      <c r="N80" s="2008"/>
      <c r="O80" s="2008"/>
      <c r="P80" s="2008"/>
      <c r="Q80" s="2008"/>
      <c r="R80" s="2008"/>
      <c r="S80" s="2008"/>
      <c r="T80" s="2008"/>
    </row>
    <row r="81">
      <c r="A81" s="2008"/>
      <c r="B81" s="2008"/>
      <c r="C81" s="2008"/>
      <c r="D81" s="2008"/>
      <c r="E81" s="2008"/>
      <c r="F81" s="2008"/>
      <c r="G81" s="2008"/>
      <c r="H81" s="2008"/>
      <c r="I81" s="2008"/>
      <c r="J81" s="2008"/>
      <c r="K81" s="2008"/>
      <c r="L81" s="2008"/>
      <c r="M81" s="2008"/>
      <c r="N81" s="2008"/>
      <c r="O81" s="2008"/>
      <c r="P81" s="2008"/>
      <c r="Q81" s="2008"/>
      <c r="R81" s="2008"/>
      <c r="S81" s="2008"/>
      <c r="T81" s="2008"/>
    </row>
    <row r="82">
      <c r="A82" s="2008"/>
      <c r="B82" s="2008"/>
      <c r="C82" s="2008"/>
      <c r="D82" s="2008"/>
      <c r="E82" s="2008"/>
      <c r="F82" s="2008"/>
      <c r="G82" s="2008"/>
      <c r="H82" s="2008"/>
      <c r="I82" s="2008"/>
      <c r="J82" s="2008"/>
      <c r="K82" s="2008"/>
      <c r="L82" s="2008"/>
      <c r="M82" s="2008"/>
      <c r="N82" s="2008"/>
      <c r="O82" s="2008"/>
      <c r="P82" s="2008"/>
      <c r="Q82" s="2008"/>
      <c r="R82" s="2008"/>
      <c r="S82" s="2008"/>
      <c r="T82" s="2008"/>
    </row>
    <row r="83">
      <c r="A83" s="2008"/>
      <c r="B83" s="2008"/>
      <c r="C83" s="2008"/>
      <c r="D83" s="2008"/>
      <c r="E83" s="2008"/>
      <c r="F83" s="2008"/>
      <c r="G83" s="2008"/>
      <c r="H83" s="2008"/>
      <c r="I83" s="2008"/>
      <c r="J83" s="2008"/>
      <c r="K83" s="2008"/>
      <c r="L83" s="2008"/>
      <c r="M83" s="2008"/>
      <c r="N83" s="2008"/>
      <c r="O83" s="2008"/>
      <c r="P83" s="2008"/>
      <c r="Q83" s="2008"/>
      <c r="R83" s="2008"/>
      <c r="S83" s="2008"/>
      <c r="T83" s="2008"/>
    </row>
    <row r="84">
      <c r="A84" s="2008"/>
      <c r="B84" s="2008"/>
      <c r="C84" s="2008"/>
      <c r="D84" s="2008"/>
      <c r="E84" s="2008"/>
      <c r="F84" s="2008"/>
      <c r="G84" s="2008"/>
      <c r="H84" s="2008"/>
      <c r="I84" s="2008"/>
      <c r="J84" s="2008"/>
      <c r="K84" s="2008"/>
      <c r="L84" s="2008"/>
      <c r="M84" s="2008"/>
      <c r="N84" s="2008"/>
      <c r="O84" s="2008"/>
      <c r="P84" s="2008"/>
      <c r="Q84" s="2008"/>
      <c r="R84" s="2008"/>
      <c r="S84" s="2008"/>
      <c r="T84" s="2008"/>
    </row>
    <row r="85">
      <c r="A85" s="2008"/>
      <c r="B85" s="2008"/>
      <c r="C85" s="2008"/>
      <c r="D85" s="2008"/>
      <c r="E85" s="2008"/>
      <c r="F85" s="2008"/>
      <c r="G85" s="2008"/>
      <c r="H85" s="2008"/>
      <c r="I85" s="2008"/>
      <c r="J85" s="2008"/>
      <c r="K85" s="2008"/>
      <c r="L85" s="2008"/>
      <c r="M85" s="2008"/>
      <c r="N85" s="2008"/>
      <c r="O85" s="2008"/>
      <c r="P85" s="2008"/>
      <c r="Q85" s="2008"/>
      <c r="R85" s="2008"/>
      <c r="S85" s="2008"/>
      <c r="T85" s="2008"/>
    </row>
    <row r="86">
      <c r="A86" s="2008"/>
      <c r="B86" s="2008"/>
      <c r="C86" s="2008"/>
      <c r="D86" s="2008"/>
      <c r="E86" s="2008"/>
      <c r="F86" s="2008"/>
      <c r="G86" s="2008"/>
      <c r="H86" s="2008"/>
      <c r="I86" s="2008"/>
      <c r="J86" s="2008"/>
      <c r="K86" s="2008"/>
      <c r="L86" s="2008"/>
      <c r="M86" s="2008"/>
      <c r="N86" s="2008"/>
      <c r="O86" s="2008"/>
      <c r="P86" s="2008"/>
      <c r="Q86" s="2008"/>
      <c r="R86" s="2008"/>
      <c r="S86" s="2008"/>
      <c r="T86" s="2008"/>
    </row>
    <row r="87">
      <c r="A87" s="2008"/>
      <c r="B87" s="2008"/>
      <c r="C87" s="2008"/>
      <c r="D87" s="2008"/>
      <c r="E87" s="2008"/>
      <c r="F87" s="2008"/>
      <c r="G87" s="2008"/>
      <c r="H87" s="2008"/>
      <c r="I87" s="2008"/>
      <c r="J87" s="2008"/>
      <c r="K87" s="2008"/>
      <c r="L87" s="2008"/>
      <c r="M87" s="2008"/>
      <c r="N87" s="2008"/>
      <c r="O87" s="2008"/>
      <c r="P87" s="2008"/>
      <c r="Q87" s="2008"/>
      <c r="R87" s="2008"/>
      <c r="S87" s="2008"/>
      <c r="T87" s="2008"/>
    </row>
    <row r="88">
      <c r="A88" s="2008"/>
      <c r="B88" s="2008"/>
      <c r="C88" s="2008"/>
      <c r="D88" s="2008"/>
      <c r="E88" s="2008"/>
      <c r="F88" s="2008"/>
      <c r="G88" s="2008"/>
      <c r="H88" s="2008"/>
      <c r="I88" s="2008"/>
      <c r="J88" s="2008"/>
      <c r="K88" s="2008"/>
      <c r="L88" s="2008"/>
      <c r="M88" s="2008"/>
      <c r="N88" s="2008"/>
      <c r="O88" s="2008"/>
      <c r="P88" s="2008"/>
      <c r="Q88" s="2008"/>
      <c r="R88" s="2008"/>
      <c r="S88" s="2008"/>
      <c r="T88" s="2008"/>
    </row>
    <row r="89">
      <c r="A89" s="2008"/>
      <c r="B89" s="2008"/>
      <c r="C89" s="2008"/>
      <c r="D89" s="2008"/>
      <c r="E89" s="2008"/>
      <c r="F89" s="2008"/>
      <c r="G89" s="2008"/>
      <c r="H89" s="2008"/>
      <c r="I89" s="2008"/>
      <c r="J89" s="2008"/>
      <c r="K89" s="2008"/>
      <c r="L89" s="2008"/>
      <c r="M89" s="2008"/>
      <c r="N89" s="2008"/>
      <c r="O89" s="2008"/>
      <c r="P89" s="2008"/>
      <c r="Q89" s="2008"/>
      <c r="R89" s="2008"/>
      <c r="S89" s="2008"/>
      <c r="T89" s="2008"/>
    </row>
    <row r="90">
      <c r="A90" s="2008"/>
      <c r="B90" s="2008"/>
      <c r="C90" s="2008"/>
      <c r="D90" s="2008"/>
      <c r="E90" s="2008"/>
      <c r="F90" s="2008"/>
      <c r="G90" s="2008"/>
      <c r="H90" s="2008"/>
      <c r="I90" s="2008"/>
      <c r="J90" s="2008"/>
      <c r="K90" s="2008"/>
      <c r="L90" s="2008"/>
      <c r="M90" s="2008"/>
      <c r="N90" s="2008"/>
      <c r="O90" s="2008"/>
      <c r="P90" s="2008"/>
      <c r="Q90" s="2008"/>
      <c r="R90" s="2008"/>
      <c r="S90" s="2008"/>
      <c r="T90" s="2008"/>
    </row>
    <row r="91">
      <c r="A91" s="2008"/>
      <c r="B91" s="2008"/>
      <c r="C91" s="2008"/>
      <c r="D91" s="2008"/>
      <c r="E91" s="2008"/>
      <c r="F91" s="2008"/>
      <c r="G91" s="2008"/>
      <c r="H91" s="2008"/>
      <c r="I91" s="2008"/>
      <c r="J91" s="2008"/>
      <c r="K91" s="2008"/>
      <c r="L91" s="2008"/>
      <c r="M91" s="2008"/>
      <c r="N91" s="2008"/>
      <c r="O91" s="2008"/>
      <c r="P91" s="2008"/>
      <c r="Q91" s="2008"/>
      <c r="R91" s="2008"/>
      <c r="S91" s="2008"/>
      <c r="T91" s="2008"/>
    </row>
    <row r="92">
      <c r="A92" s="2008"/>
      <c r="B92" s="2008"/>
      <c r="C92" s="2008"/>
      <c r="D92" s="2008"/>
      <c r="E92" s="2008"/>
      <c r="F92" s="2008"/>
      <c r="G92" s="2008"/>
      <c r="H92" s="2008"/>
      <c r="I92" s="2008"/>
      <c r="J92" s="2008"/>
      <c r="K92" s="2008"/>
      <c r="L92" s="2008"/>
      <c r="M92" s="2008"/>
      <c r="N92" s="2008"/>
      <c r="O92" s="2008"/>
      <c r="P92" s="2008"/>
      <c r="Q92" s="2008"/>
      <c r="R92" s="2008"/>
      <c r="S92" s="2008"/>
      <c r="T92" s="2008"/>
    </row>
    <row r="93">
      <c r="A93" s="2008"/>
      <c r="B93" s="2008"/>
      <c r="C93" s="2008"/>
      <c r="D93" s="2008"/>
      <c r="E93" s="2008"/>
      <c r="F93" s="2008"/>
      <c r="G93" s="2008"/>
      <c r="H93" s="2008"/>
      <c r="I93" s="2008"/>
      <c r="J93" s="2008"/>
      <c r="K93" s="2008"/>
      <c r="L93" s="2008"/>
      <c r="M93" s="2008"/>
      <c r="N93" s="2008"/>
      <c r="O93" s="2008"/>
      <c r="P93" s="2008"/>
      <c r="Q93" s="2008"/>
      <c r="R93" s="2008"/>
      <c r="S93" s="2008"/>
      <c r="T93" s="2008"/>
    </row>
    <row r="94">
      <c r="A94" s="2008"/>
      <c r="B94" s="2008"/>
      <c r="C94" s="2008"/>
      <c r="D94" s="2008"/>
      <c r="E94" s="2008"/>
      <c r="F94" s="2008"/>
      <c r="G94" s="2008"/>
      <c r="H94" s="2008"/>
      <c r="I94" s="2008"/>
      <c r="J94" s="2008"/>
      <c r="K94" s="2008"/>
      <c r="L94" s="2008"/>
      <c r="M94" s="2008"/>
      <c r="N94" s="2008"/>
      <c r="O94" s="2008"/>
      <c r="P94" s="2008"/>
      <c r="Q94" s="2008"/>
      <c r="R94" s="2008"/>
      <c r="S94" s="2008"/>
      <c r="T94" s="2008"/>
    </row>
    <row r="95">
      <c r="A95" s="2008"/>
      <c r="B95" s="2008"/>
      <c r="C95" s="2008"/>
      <c r="D95" s="2008"/>
      <c r="E95" s="2008"/>
      <c r="F95" s="2008"/>
      <c r="G95" s="2008"/>
      <c r="H95" s="2008"/>
      <c r="I95" s="2008"/>
      <c r="J95" s="2008"/>
      <c r="K95" s="2008"/>
      <c r="L95" s="2008"/>
      <c r="M95" s="2008"/>
      <c r="N95" s="2008"/>
      <c r="O95" s="2008"/>
      <c r="P95" s="2008"/>
      <c r="Q95" s="2008"/>
      <c r="R95" s="2008"/>
      <c r="S95" s="2008"/>
      <c r="T95" s="2008"/>
    </row>
    <row r="96">
      <c r="A96" s="2008"/>
      <c r="B96" s="2008"/>
      <c r="C96" s="2008"/>
      <c r="D96" s="2008"/>
      <c r="E96" s="2008"/>
      <c r="F96" s="2008"/>
      <c r="G96" s="2008"/>
      <c r="H96" s="2008"/>
      <c r="I96" s="2008"/>
      <c r="J96" s="2008"/>
      <c r="K96" s="2008"/>
      <c r="L96" s="2008"/>
      <c r="M96" s="2008"/>
      <c r="N96" s="2008"/>
      <c r="O96" s="2008"/>
      <c r="P96" s="2008"/>
      <c r="Q96" s="2008"/>
      <c r="R96" s="2008"/>
      <c r="S96" s="2008"/>
      <c r="T96" s="2008"/>
    </row>
    <row r="97">
      <c r="A97" s="2008"/>
      <c r="B97" s="2008"/>
      <c r="C97" s="2008"/>
      <c r="D97" s="2008"/>
      <c r="E97" s="2008"/>
      <c r="F97" s="2008"/>
      <c r="G97" s="2008"/>
      <c r="H97" s="2008"/>
      <c r="I97" s="2008"/>
      <c r="J97" s="2008"/>
      <c r="K97" s="2008"/>
      <c r="L97" s="2008"/>
      <c r="M97" s="2008"/>
      <c r="N97" s="2008"/>
      <c r="O97" s="2008"/>
      <c r="P97" s="2008"/>
      <c r="Q97" s="2008"/>
      <c r="R97" s="2008"/>
      <c r="S97" s="2008"/>
      <c r="T97" s="2008"/>
    </row>
    <row r="98">
      <c r="A98" s="2008"/>
      <c r="B98" s="2008"/>
      <c r="C98" s="2008"/>
      <c r="D98" s="2008"/>
      <c r="E98" s="2008"/>
      <c r="F98" s="2008"/>
      <c r="G98" s="2008"/>
      <c r="H98" s="2008"/>
      <c r="I98" s="2008"/>
      <c r="J98" s="2008"/>
      <c r="K98" s="2008"/>
      <c r="L98" s="2008"/>
      <c r="M98" s="2008"/>
      <c r="N98" s="2008"/>
      <c r="O98" s="2008"/>
      <c r="P98" s="2008"/>
      <c r="Q98" s="2008"/>
      <c r="R98" s="2008"/>
      <c r="S98" s="2008"/>
      <c r="T98" s="2008"/>
    </row>
    <row r="99">
      <c r="A99" s="2008"/>
      <c r="B99" s="2008"/>
      <c r="C99" s="2008"/>
      <c r="D99" s="2008"/>
      <c r="E99" s="2008"/>
      <c r="F99" s="2008"/>
      <c r="G99" s="2008"/>
      <c r="H99" s="2008"/>
      <c r="I99" s="2008"/>
      <c r="J99" s="2008"/>
      <c r="K99" s="2008"/>
      <c r="L99" s="2008"/>
      <c r="M99" s="2008"/>
      <c r="N99" s="2008"/>
      <c r="O99" s="2008"/>
      <c r="P99" s="2008"/>
      <c r="Q99" s="2008"/>
      <c r="R99" s="2008"/>
      <c r="S99" s="2008"/>
      <c r="T99" s="2008"/>
    </row>
    <row r="100">
      <c r="A100" s="2008"/>
      <c r="B100" s="2008"/>
      <c r="C100" s="2008"/>
      <c r="D100" s="2008"/>
      <c r="E100" s="2008"/>
      <c r="F100" s="2008"/>
      <c r="G100" s="2008"/>
      <c r="H100" s="2008"/>
      <c r="I100" s="2008"/>
      <c r="J100" s="2008"/>
      <c r="K100" s="2008"/>
      <c r="L100" s="2008"/>
      <c r="M100" s="2008"/>
      <c r="N100" s="2008"/>
      <c r="O100" s="2008"/>
      <c r="P100" s="2008"/>
      <c r="Q100" s="2008"/>
      <c r="R100" s="2008"/>
      <c r="S100" s="2008"/>
      <c r="T100" s="2008"/>
    </row>
    <row r="101">
      <c r="A101" s="2008"/>
      <c r="B101" s="2008"/>
      <c r="C101" s="2008"/>
      <c r="D101" s="2008"/>
      <c r="E101" s="2008"/>
      <c r="F101" s="2008"/>
      <c r="G101" s="2008"/>
      <c r="H101" s="2008"/>
      <c r="I101" s="2008"/>
      <c r="J101" s="2008"/>
      <c r="K101" s="2008"/>
      <c r="L101" s="2008"/>
      <c r="M101" s="2008"/>
      <c r="N101" s="2008"/>
      <c r="O101" s="2008"/>
      <c r="P101" s="2008"/>
      <c r="Q101" s="2008"/>
      <c r="R101" s="2008"/>
      <c r="S101" s="2008"/>
      <c r="T101" s="2008"/>
    </row>
    <row r="102">
      <c r="A102" s="2008"/>
      <c r="B102" s="2008"/>
      <c r="C102" s="2008"/>
      <c r="D102" s="2008"/>
      <c r="E102" s="2008"/>
      <c r="F102" s="2008"/>
      <c r="G102" s="2008"/>
      <c r="H102" s="2008"/>
      <c r="I102" s="2008"/>
      <c r="J102" s="2008"/>
      <c r="K102" s="2008"/>
      <c r="L102" s="2008"/>
      <c r="M102" s="2008"/>
      <c r="N102" s="2008"/>
      <c r="O102" s="2008"/>
      <c r="P102" s="2008"/>
      <c r="Q102" s="2008"/>
      <c r="R102" s="2008"/>
      <c r="S102" s="2008"/>
      <c r="T102" s="2008"/>
    </row>
    <row r="103">
      <c r="A103" s="2008"/>
      <c r="B103" s="2008"/>
      <c r="C103" s="2008"/>
      <c r="D103" s="2008"/>
      <c r="E103" s="2008"/>
      <c r="F103" s="2008"/>
      <c r="G103" s="2008"/>
      <c r="H103" s="2008"/>
      <c r="I103" s="2008"/>
      <c r="J103" s="2008"/>
      <c r="K103" s="2008"/>
      <c r="L103" s="2008"/>
      <c r="M103" s="2008"/>
      <c r="N103" s="2008"/>
      <c r="O103" s="2008"/>
      <c r="P103" s="2008"/>
      <c r="Q103" s="2008"/>
      <c r="R103" s="2008"/>
      <c r="S103" s="2008"/>
      <c r="T103" s="2008"/>
    </row>
    <row r="104">
      <c r="A104" s="2008"/>
      <c r="B104" s="2008"/>
      <c r="C104" s="2008"/>
      <c r="D104" s="2008"/>
      <c r="E104" s="2008"/>
      <c r="F104" s="2008"/>
      <c r="G104" s="2008"/>
      <c r="H104" s="2008"/>
      <c r="I104" s="2008"/>
      <c r="J104" s="2008"/>
      <c r="K104" s="2008"/>
      <c r="L104" s="2008"/>
      <c r="M104" s="2008"/>
      <c r="N104" s="2008"/>
      <c r="O104" s="2008"/>
      <c r="P104" s="2008"/>
      <c r="Q104" s="2008"/>
      <c r="R104" s="2008"/>
      <c r="S104" s="2008"/>
      <c r="T104" s="2008"/>
    </row>
    <row r="105">
      <c r="A105" s="2008"/>
      <c r="B105" s="2008"/>
      <c r="C105" s="2008"/>
      <c r="D105" s="2008"/>
      <c r="E105" s="2008"/>
      <c r="F105" s="2008"/>
      <c r="G105" s="2008"/>
      <c r="H105" s="2008"/>
      <c r="I105" s="2008"/>
      <c r="J105" s="2008"/>
      <c r="K105" s="2008"/>
      <c r="L105" s="2008"/>
      <c r="M105" s="2008"/>
      <c r="N105" s="2008"/>
      <c r="O105" s="2008"/>
      <c r="P105" s="2008"/>
      <c r="Q105" s="2008"/>
      <c r="R105" s="2008"/>
      <c r="S105" s="2008"/>
      <c r="T105" s="2008"/>
    </row>
    <row r="106">
      <c r="A106" s="2008"/>
      <c r="B106" s="2008"/>
      <c r="C106" s="2008"/>
      <c r="D106" s="2008"/>
      <c r="E106" s="2008"/>
      <c r="F106" s="2008"/>
      <c r="G106" s="2008"/>
      <c r="H106" s="2008"/>
      <c r="I106" s="2008"/>
      <c r="J106" s="2008"/>
      <c r="K106" s="2008"/>
      <c r="L106" s="2008"/>
      <c r="M106" s="2008"/>
      <c r="N106" s="2008"/>
      <c r="O106" s="2008"/>
      <c r="P106" s="2008"/>
      <c r="Q106" s="2008"/>
      <c r="R106" s="2008"/>
      <c r="S106" s="2008"/>
      <c r="T106" s="2008"/>
    </row>
    <row r="107">
      <c r="A107" s="2008"/>
      <c r="B107" s="2008"/>
      <c r="C107" s="2008"/>
      <c r="D107" s="2008"/>
      <c r="E107" s="2008"/>
      <c r="F107" s="2008"/>
      <c r="G107" s="2008"/>
      <c r="H107" s="2008"/>
      <c r="I107" s="2008"/>
      <c r="J107" s="2008"/>
      <c r="K107" s="2008"/>
      <c r="L107" s="2008"/>
      <c r="M107" s="2008"/>
      <c r="N107" s="2008"/>
      <c r="O107" s="2008"/>
      <c r="P107" s="2008"/>
      <c r="Q107" s="2008"/>
      <c r="R107" s="2008"/>
      <c r="S107" s="2008"/>
      <c r="T107" s="2008"/>
    </row>
    <row r="108">
      <c r="A108" s="2008"/>
      <c r="B108" s="2008"/>
      <c r="C108" s="2008"/>
      <c r="D108" s="2008"/>
      <c r="E108" s="2008"/>
      <c r="F108" s="2008"/>
      <c r="G108" s="2008"/>
      <c r="H108" s="2008"/>
      <c r="I108" s="2008"/>
      <c r="J108" s="2008"/>
      <c r="K108" s="2008"/>
      <c r="L108" s="2008"/>
      <c r="M108" s="2008"/>
      <c r="N108" s="2008"/>
      <c r="O108" s="2008"/>
      <c r="P108" s="2008"/>
      <c r="Q108" s="2008"/>
      <c r="R108" s="2008"/>
      <c r="S108" s="2008"/>
      <c r="T108" s="2008"/>
    </row>
    <row r="109">
      <c r="A109" s="2008"/>
      <c r="B109" s="2008"/>
      <c r="C109" s="2008"/>
      <c r="D109" s="2008"/>
      <c r="E109" s="2008"/>
      <c r="F109" s="2008"/>
      <c r="G109" s="2008"/>
      <c r="H109" s="2008"/>
      <c r="I109" s="2008"/>
      <c r="J109" s="2008"/>
      <c r="K109" s="2008"/>
      <c r="L109" s="2008"/>
      <c r="M109" s="2008"/>
      <c r="N109" s="2008"/>
      <c r="O109" s="2008"/>
      <c r="P109" s="2008"/>
      <c r="Q109" s="2008"/>
      <c r="R109" s="2008"/>
      <c r="S109" s="2008"/>
      <c r="T109" s="2008"/>
    </row>
    <row r="110">
      <c r="A110" s="2008"/>
      <c r="B110" s="2008"/>
      <c r="C110" s="2008"/>
      <c r="D110" s="2008"/>
      <c r="E110" s="2008"/>
      <c r="F110" s="2008"/>
      <c r="G110" s="2008"/>
      <c r="H110" s="2008"/>
      <c r="I110" s="2008"/>
      <c r="J110" s="2008"/>
      <c r="K110" s="2008"/>
      <c r="L110" s="2008"/>
      <c r="M110" s="2008"/>
      <c r="N110" s="2008"/>
      <c r="O110" s="2008"/>
      <c r="P110" s="2008"/>
      <c r="Q110" s="2008"/>
      <c r="R110" s="2008"/>
      <c r="S110" s="2008"/>
      <c r="T110" s="2008"/>
    </row>
    <row r="111">
      <c r="A111" s="2008"/>
      <c r="B111" s="2008"/>
      <c r="C111" s="2008"/>
      <c r="D111" s="2008"/>
      <c r="E111" s="2008"/>
      <c r="F111" s="2008"/>
      <c r="G111" s="2008"/>
      <c r="H111" s="2008"/>
      <c r="I111" s="2008"/>
      <c r="J111" s="2008"/>
      <c r="K111" s="2008"/>
      <c r="L111" s="2008"/>
      <c r="M111" s="2008"/>
      <c r="N111" s="2008"/>
      <c r="O111" s="2008"/>
      <c r="P111" s="2008"/>
      <c r="Q111" s="2008"/>
      <c r="R111" s="2008"/>
      <c r="S111" s="2008"/>
      <c r="T111" s="2008"/>
    </row>
    <row r="112">
      <c r="A112" s="2008"/>
      <c r="B112" s="2008"/>
      <c r="C112" s="2008"/>
      <c r="D112" s="2008"/>
      <c r="E112" s="2008"/>
      <c r="F112" s="2008"/>
      <c r="G112" s="2008"/>
      <c r="H112" s="2008"/>
      <c r="I112" s="2008"/>
      <c r="J112" s="2008"/>
      <c r="K112" s="2008"/>
      <c r="L112" s="2008"/>
      <c r="M112" s="2008"/>
      <c r="N112" s="2008"/>
      <c r="O112" s="2008"/>
      <c r="P112" s="2008"/>
      <c r="Q112" s="2008"/>
      <c r="R112" s="2008"/>
      <c r="S112" s="2008"/>
      <c r="T112" s="2008"/>
    </row>
    <row r="113">
      <c r="A113" s="2008"/>
      <c r="B113" s="2008"/>
      <c r="C113" s="2008"/>
      <c r="D113" s="2008"/>
      <c r="E113" s="2008"/>
      <c r="F113" s="2008"/>
      <c r="G113" s="2008"/>
      <c r="H113" s="2008"/>
      <c r="I113" s="2008"/>
      <c r="J113" s="2008"/>
      <c r="K113" s="2008"/>
      <c r="L113" s="2008"/>
      <c r="M113" s="2008"/>
      <c r="N113" s="2008"/>
      <c r="O113" s="2008"/>
      <c r="P113" s="2008"/>
      <c r="Q113" s="2008"/>
      <c r="R113" s="2008"/>
      <c r="S113" s="2008"/>
      <c r="T113" s="2008"/>
    </row>
    <row r="114">
      <c r="A114" s="2008"/>
      <c r="B114" s="2008"/>
      <c r="C114" s="2008"/>
      <c r="D114" s="2008"/>
      <c r="E114" s="2008"/>
      <c r="F114" s="2008"/>
      <c r="G114" s="2008"/>
      <c r="H114" s="2008"/>
      <c r="I114" s="2008"/>
      <c r="J114" s="2008"/>
      <c r="K114" s="2008"/>
      <c r="L114" s="2008"/>
      <c r="M114" s="2008"/>
      <c r="N114" s="2008"/>
      <c r="O114" s="2008"/>
      <c r="P114" s="2008"/>
      <c r="Q114" s="2008"/>
      <c r="R114" s="2008"/>
      <c r="S114" s="2008"/>
      <c r="T114" s="2008"/>
    </row>
    <row r="115">
      <c r="A115" s="2008"/>
      <c r="B115" s="2008"/>
      <c r="C115" s="2008"/>
      <c r="D115" s="2008"/>
      <c r="E115" s="2008"/>
      <c r="F115" s="2008"/>
      <c r="G115" s="2008"/>
      <c r="H115" s="2008"/>
      <c r="I115" s="2008"/>
      <c r="J115" s="2008"/>
      <c r="K115" s="2008"/>
      <c r="L115" s="2008"/>
      <c r="M115" s="2008"/>
      <c r="N115" s="2008"/>
      <c r="O115" s="2008"/>
      <c r="P115" s="2008"/>
      <c r="Q115" s="2008"/>
      <c r="R115" s="2008"/>
      <c r="S115" s="2008"/>
      <c r="T115" s="2008"/>
    </row>
    <row r="116">
      <c r="A116" s="2008"/>
      <c r="B116" s="2008"/>
      <c r="C116" s="2008"/>
      <c r="D116" s="2008"/>
      <c r="E116" s="2008"/>
      <c r="F116" s="2008"/>
      <c r="G116" s="2008"/>
      <c r="H116" s="2008"/>
      <c r="I116" s="2008"/>
      <c r="J116" s="2008"/>
      <c r="K116" s="2008"/>
      <c r="L116" s="2008"/>
      <c r="M116" s="2008"/>
      <c r="N116" s="2008"/>
      <c r="O116" s="2008"/>
      <c r="P116" s="2008"/>
      <c r="Q116" s="2008"/>
      <c r="R116" s="2008"/>
      <c r="S116" s="2008"/>
      <c r="T116" s="2008"/>
    </row>
    <row r="117">
      <c r="A117" s="2008"/>
      <c r="B117" s="2008"/>
      <c r="C117" s="2008"/>
      <c r="D117" s="2008"/>
      <c r="E117" s="2008"/>
      <c r="F117" s="2008"/>
      <c r="G117" s="2008"/>
      <c r="H117" s="2008"/>
      <c r="I117" s="2008"/>
      <c r="J117" s="2008"/>
      <c r="K117" s="2008"/>
      <c r="L117" s="2008"/>
      <c r="M117" s="2008"/>
      <c r="N117" s="2008"/>
      <c r="O117" s="2008"/>
      <c r="P117" s="2008"/>
      <c r="Q117" s="2008"/>
      <c r="R117" s="2008"/>
      <c r="S117" s="2008"/>
      <c r="T117" s="2008"/>
    </row>
    <row r="118">
      <c r="A118" s="2008"/>
      <c r="B118" s="2008"/>
      <c r="C118" s="2008"/>
      <c r="D118" s="2008"/>
      <c r="E118" s="2008"/>
      <c r="F118" s="2008"/>
      <c r="G118" s="2008"/>
      <c r="H118" s="2008"/>
      <c r="I118" s="2008"/>
      <c r="J118" s="2008"/>
      <c r="K118" s="2008"/>
      <c r="L118" s="2008"/>
      <c r="M118" s="2008"/>
      <c r="N118" s="2008"/>
      <c r="O118" s="2008"/>
      <c r="P118" s="2008"/>
      <c r="Q118" s="2008"/>
      <c r="R118" s="2008"/>
      <c r="S118" s="2008"/>
      <c r="T118" s="2008"/>
    </row>
    <row r="119">
      <c r="A119" s="2008"/>
      <c r="B119" s="2008"/>
      <c r="C119" s="2008"/>
      <c r="D119" s="2008"/>
      <c r="E119" s="2008"/>
      <c r="F119" s="2008"/>
      <c r="G119" s="2008"/>
      <c r="H119" s="2008"/>
      <c r="I119" s="2008"/>
      <c r="J119" s="2008"/>
      <c r="K119" s="2008"/>
      <c r="L119" s="2008"/>
      <c r="M119" s="2008"/>
      <c r="N119" s="2008"/>
      <c r="O119" s="2008"/>
      <c r="P119" s="2008"/>
      <c r="Q119" s="2008"/>
      <c r="R119" s="2008"/>
      <c r="S119" s="2008"/>
      <c r="T119" s="2008"/>
    </row>
    <row r="120">
      <c r="A120" s="2008"/>
      <c r="B120" s="2008"/>
      <c r="C120" s="2008"/>
      <c r="D120" s="2008"/>
      <c r="E120" s="2008"/>
      <c r="F120" s="2008"/>
      <c r="G120" s="2008"/>
      <c r="H120" s="2008"/>
      <c r="I120" s="2008"/>
      <c r="J120" s="2008"/>
      <c r="K120" s="2008"/>
      <c r="L120" s="2008"/>
      <c r="M120" s="2008"/>
      <c r="N120" s="2008"/>
      <c r="O120" s="2008"/>
      <c r="P120" s="2008"/>
      <c r="Q120" s="2008"/>
      <c r="R120" s="2008"/>
      <c r="S120" s="2008"/>
      <c r="T120" s="2008"/>
    </row>
    <row r="121">
      <c r="A121" s="2008"/>
      <c r="B121" s="2008"/>
      <c r="C121" s="2008"/>
      <c r="D121" s="2008"/>
      <c r="E121" s="2008"/>
      <c r="F121" s="2008"/>
      <c r="G121" s="2008"/>
      <c r="H121" s="2008"/>
      <c r="I121" s="2008"/>
      <c r="J121" s="2008"/>
      <c r="K121" s="2008"/>
      <c r="L121" s="2008"/>
      <c r="M121" s="2008"/>
      <c r="N121" s="2008"/>
      <c r="O121" s="2008"/>
      <c r="P121" s="2008"/>
      <c r="Q121" s="2008"/>
      <c r="R121" s="2008"/>
      <c r="S121" s="2008"/>
      <c r="T121" s="2008"/>
    </row>
    <row r="122">
      <c r="A122" s="2008"/>
      <c r="B122" s="2008"/>
      <c r="C122" s="2008"/>
      <c r="D122" s="2008"/>
      <c r="E122" s="2008"/>
      <c r="F122" s="2008"/>
      <c r="G122" s="2008"/>
      <c r="H122" s="2008"/>
      <c r="I122" s="2008"/>
      <c r="J122" s="2008"/>
      <c r="K122" s="2008"/>
      <c r="L122" s="2008"/>
      <c r="M122" s="2008"/>
      <c r="N122" s="2008"/>
      <c r="O122" s="2008"/>
      <c r="P122" s="2008"/>
      <c r="Q122" s="2008"/>
      <c r="R122" s="2008"/>
      <c r="S122" s="2008"/>
      <c r="T122" s="2008"/>
    </row>
    <row r="123">
      <c r="A123" s="2008"/>
      <c r="B123" s="2008"/>
      <c r="C123" s="2008"/>
      <c r="D123" s="2008"/>
      <c r="E123" s="2008"/>
      <c r="F123" s="2008"/>
      <c r="G123" s="2008"/>
      <c r="H123" s="2008"/>
      <c r="I123" s="2008"/>
      <c r="J123" s="2008"/>
      <c r="K123" s="2008"/>
      <c r="L123" s="2008"/>
      <c r="M123" s="2008"/>
      <c r="N123" s="2008"/>
      <c r="O123" s="2008"/>
      <c r="P123" s="2008"/>
      <c r="Q123" s="2008"/>
      <c r="R123" s="2008"/>
      <c r="S123" s="2008"/>
      <c r="T123" s="2008"/>
    </row>
    <row r="124">
      <c r="A124" s="2008"/>
      <c r="B124" s="2008"/>
      <c r="C124" s="2008"/>
      <c r="D124" s="2008"/>
      <c r="E124" s="2008"/>
      <c r="F124" s="2008"/>
      <c r="G124" s="2008"/>
      <c r="H124" s="2008"/>
      <c r="I124" s="2008"/>
      <c r="J124" s="2008"/>
      <c r="K124" s="2008"/>
      <c r="L124" s="2008"/>
      <c r="M124" s="2008"/>
      <c r="N124" s="2008"/>
      <c r="O124" s="2008"/>
      <c r="P124" s="2008"/>
      <c r="Q124" s="2008"/>
      <c r="R124" s="2008"/>
      <c r="S124" s="2008"/>
      <c r="T124" s="2008"/>
    </row>
    <row r="125">
      <c r="A125" s="2008"/>
      <c r="B125" s="2008"/>
      <c r="C125" s="2008"/>
      <c r="D125" s="2008"/>
      <c r="E125" s="2008"/>
      <c r="F125" s="2008"/>
      <c r="G125" s="2008"/>
      <c r="H125" s="2008"/>
      <c r="I125" s="2008"/>
      <c r="J125" s="2008"/>
      <c r="K125" s="2008"/>
      <c r="L125" s="2008"/>
      <c r="M125" s="2008"/>
      <c r="N125" s="2008"/>
      <c r="O125" s="2008"/>
      <c r="P125" s="2008"/>
      <c r="Q125" s="2008"/>
      <c r="R125" s="2008"/>
      <c r="S125" s="2008"/>
      <c r="T125" s="2008"/>
    </row>
    <row r="126">
      <c r="A126" s="2008"/>
      <c r="B126" s="2008"/>
      <c r="C126" s="2008"/>
      <c r="D126" s="2008"/>
      <c r="E126" s="2008"/>
      <c r="F126" s="2008"/>
      <c r="G126" s="2008"/>
      <c r="H126" s="2008"/>
      <c r="I126" s="2008"/>
      <c r="J126" s="2008"/>
      <c r="K126" s="2008"/>
      <c r="L126" s="2008"/>
      <c r="M126" s="2008"/>
      <c r="N126" s="2008"/>
      <c r="O126" s="2008"/>
      <c r="P126" s="2008"/>
      <c r="Q126" s="2008"/>
      <c r="R126" s="2008"/>
      <c r="S126" s="2008"/>
      <c r="T126" s="2008"/>
    </row>
    <row r="127">
      <c r="A127" s="2008"/>
      <c r="B127" s="2008"/>
      <c r="C127" s="2008"/>
      <c r="D127" s="2008"/>
      <c r="E127" s="2008"/>
      <c r="F127" s="2008"/>
      <c r="G127" s="2008"/>
      <c r="H127" s="2008"/>
      <c r="I127" s="2008"/>
      <c r="J127" s="2008"/>
      <c r="K127" s="2008"/>
      <c r="L127" s="2008"/>
      <c r="M127" s="2008"/>
      <c r="N127" s="2008"/>
      <c r="O127" s="2008"/>
      <c r="P127" s="2008"/>
      <c r="Q127" s="2008"/>
      <c r="R127" s="2008"/>
      <c r="S127" s="2008"/>
      <c r="T127" s="2008"/>
    </row>
    <row r="128">
      <c r="A128" s="2008"/>
      <c r="B128" s="2008"/>
      <c r="C128" s="2008"/>
      <c r="D128" s="2008"/>
      <c r="E128" s="2008"/>
      <c r="F128" s="2008"/>
      <c r="G128" s="2008"/>
      <c r="H128" s="2008"/>
      <c r="I128" s="2008"/>
      <c r="J128" s="2008"/>
      <c r="K128" s="2008"/>
      <c r="L128" s="2008"/>
      <c r="M128" s="2008"/>
      <c r="N128" s="2008"/>
      <c r="O128" s="2008"/>
      <c r="P128" s="2008"/>
      <c r="Q128" s="2008"/>
      <c r="R128" s="2008"/>
      <c r="S128" s="2008"/>
      <c r="T128" s="2008"/>
    </row>
    <row r="129">
      <c r="A129" s="2008"/>
      <c r="B129" s="2008"/>
      <c r="C129" s="2008"/>
      <c r="D129" s="2008"/>
      <c r="E129" s="2008"/>
      <c r="F129" s="2008"/>
      <c r="G129" s="2008"/>
      <c r="H129" s="2008"/>
      <c r="I129" s="2008"/>
      <c r="J129" s="2008"/>
      <c r="K129" s="2008"/>
      <c r="L129" s="2008"/>
      <c r="M129" s="2008"/>
      <c r="N129" s="2008"/>
      <c r="O129" s="2008"/>
      <c r="P129" s="2008"/>
      <c r="Q129" s="2008"/>
      <c r="R129" s="2008"/>
      <c r="S129" s="2008"/>
      <c r="T129" s="2008"/>
    </row>
    <row r="130">
      <c r="A130" s="2008"/>
      <c r="B130" s="2008"/>
      <c r="C130" s="2008"/>
      <c r="D130" s="2008"/>
      <c r="E130" s="2008"/>
      <c r="F130" s="2008"/>
      <c r="G130" s="2008"/>
      <c r="H130" s="2008"/>
      <c r="I130" s="2008"/>
      <c r="J130" s="2008"/>
      <c r="K130" s="2008"/>
      <c r="L130" s="2008"/>
      <c r="M130" s="2008"/>
      <c r="N130" s="2008"/>
      <c r="O130" s="2008"/>
      <c r="P130" s="2008"/>
      <c r="Q130" s="2008"/>
      <c r="R130" s="2008"/>
      <c r="S130" s="2008"/>
      <c r="T130" s="2008"/>
    </row>
    <row r="131">
      <c r="A131" s="2008"/>
      <c r="B131" s="2008"/>
      <c r="C131" s="2008"/>
      <c r="D131" s="2008"/>
      <c r="E131" s="2008"/>
      <c r="F131" s="2008"/>
      <c r="G131" s="2008"/>
      <c r="H131" s="2008"/>
      <c r="I131" s="2008"/>
      <c r="J131" s="2008"/>
      <c r="K131" s="2008"/>
      <c r="L131" s="2008"/>
      <c r="M131" s="2008"/>
      <c r="N131" s="2008"/>
      <c r="O131" s="2008"/>
      <c r="P131" s="2008"/>
      <c r="Q131" s="2008"/>
      <c r="R131" s="2008"/>
      <c r="S131" s="2008"/>
      <c r="T131" s="2008"/>
    </row>
    <row r="132">
      <c r="A132" s="2008"/>
      <c r="B132" s="2008"/>
      <c r="C132" s="2008"/>
      <c r="D132" s="2008"/>
      <c r="E132" s="2008"/>
      <c r="F132" s="2008"/>
      <c r="G132" s="2008"/>
      <c r="H132" s="2008"/>
      <c r="I132" s="2008"/>
      <c r="J132" s="2008"/>
      <c r="K132" s="2008"/>
      <c r="L132" s="2008"/>
      <c r="M132" s="2008"/>
      <c r="N132" s="2008"/>
      <c r="O132" s="2008"/>
      <c r="P132" s="2008"/>
      <c r="Q132" s="2008"/>
      <c r="R132" s="2008"/>
      <c r="S132" s="2008"/>
      <c r="T132" s="2008"/>
    </row>
    <row r="133">
      <c r="A133" s="2008"/>
      <c r="B133" s="2008"/>
      <c r="C133" s="2008"/>
      <c r="D133" s="2008"/>
      <c r="E133" s="2008"/>
      <c r="F133" s="2008"/>
      <c r="G133" s="2008"/>
      <c r="H133" s="2008"/>
      <c r="I133" s="2008"/>
      <c r="J133" s="2008"/>
      <c r="K133" s="2008"/>
      <c r="L133" s="2008"/>
      <c r="M133" s="2008"/>
      <c r="N133" s="2008"/>
      <c r="O133" s="2008"/>
      <c r="P133" s="2008"/>
      <c r="Q133" s="2008"/>
      <c r="R133" s="2008"/>
      <c r="S133" s="2008"/>
      <c r="T133" s="2008"/>
    </row>
    <row r="134">
      <c r="A134" s="2008"/>
      <c r="B134" s="2008"/>
      <c r="C134" s="2008"/>
      <c r="D134" s="2008"/>
      <c r="E134" s="2008"/>
      <c r="F134" s="2008"/>
      <c r="G134" s="2008"/>
      <c r="H134" s="2008"/>
      <c r="I134" s="2008"/>
      <c r="J134" s="2008"/>
      <c r="K134" s="2008"/>
      <c r="L134" s="2008"/>
      <c r="M134" s="2008"/>
      <c r="N134" s="2008"/>
      <c r="O134" s="2008"/>
      <c r="P134" s="2008"/>
      <c r="Q134" s="2008"/>
      <c r="R134" s="2008"/>
      <c r="S134" s="2008"/>
      <c r="T134" s="2008"/>
    </row>
    <row r="135">
      <c r="A135" s="2008"/>
      <c r="B135" s="2008"/>
      <c r="C135" s="2008"/>
      <c r="D135" s="2008"/>
      <c r="E135" s="2008"/>
      <c r="F135" s="2008"/>
      <c r="G135" s="2008"/>
      <c r="H135" s="2008"/>
      <c r="I135" s="2008"/>
      <c r="J135" s="2008"/>
      <c r="K135" s="2008"/>
      <c r="L135" s="2008"/>
      <c r="M135" s="2008"/>
      <c r="N135" s="2008"/>
      <c r="O135" s="2008"/>
      <c r="P135" s="2008"/>
      <c r="Q135" s="2008"/>
      <c r="R135" s="2008"/>
      <c r="S135" s="2008"/>
      <c r="T135" s="2008"/>
    </row>
    <row r="136">
      <c r="A136" s="2008"/>
      <c r="B136" s="2008"/>
      <c r="C136" s="2008"/>
      <c r="D136" s="2008"/>
      <c r="E136" s="2008"/>
      <c r="F136" s="2008"/>
      <c r="G136" s="2008"/>
      <c r="H136" s="2008"/>
      <c r="I136" s="2008"/>
      <c r="J136" s="2008"/>
      <c r="K136" s="2008"/>
      <c r="L136" s="2008"/>
      <c r="M136" s="2008"/>
      <c r="N136" s="2008"/>
      <c r="O136" s="2008"/>
      <c r="P136" s="2008"/>
      <c r="Q136" s="2008"/>
      <c r="R136" s="2008"/>
      <c r="S136" s="2008"/>
      <c r="T136" s="2008"/>
    </row>
    <row r="137">
      <c r="A137" s="2008"/>
      <c r="B137" s="2008"/>
      <c r="C137" s="2008"/>
      <c r="D137" s="2008"/>
      <c r="E137" s="2008"/>
      <c r="F137" s="2008"/>
      <c r="G137" s="2008"/>
      <c r="H137" s="2008"/>
      <c r="I137" s="2008"/>
      <c r="J137" s="2008"/>
      <c r="K137" s="2008"/>
      <c r="L137" s="2008"/>
      <c r="M137" s="2008"/>
      <c r="N137" s="2008"/>
      <c r="O137" s="2008"/>
      <c r="P137" s="2008"/>
      <c r="Q137" s="2008"/>
      <c r="R137" s="2008"/>
      <c r="S137" s="2008"/>
      <c r="T137" s="2008"/>
    </row>
    <row r="138">
      <c r="A138" s="2008"/>
      <c r="B138" s="2008"/>
      <c r="C138" s="2008"/>
      <c r="D138" s="2008"/>
      <c r="E138" s="2008"/>
      <c r="F138" s="2008"/>
      <c r="G138" s="2008"/>
      <c r="H138" s="2008"/>
      <c r="I138" s="2008"/>
      <c r="J138" s="2008"/>
      <c r="K138" s="2008"/>
      <c r="L138" s="2008"/>
      <c r="M138" s="2008"/>
      <c r="N138" s="2008"/>
      <c r="O138" s="2008"/>
      <c r="P138" s="2008"/>
      <c r="Q138" s="2008"/>
      <c r="R138" s="2008"/>
      <c r="S138" s="2008"/>
      <c r="T138" s="2008"/>
    </row>
    <row r="139">
      <c r="A139" s="2008"/>
      <c r="B139" s="2008"/>
      <c r="C139" s="2008"/>
      <c r="D139" s="2008"/>
      <c r="E139" s="2008"/>
      <c r="F139" s="2008"/>
      <c r="G139" s="2008"/>
      <c r="H139" s="2008"/>
      <c r="I139" s="2008"/>
      <c r="J139" s="2008"/>
      <c r="K139" s="2008"/>
      <c r="L139" s="2008"/>
      <c r="M139" s="2008"/>
      <c r="N139" s="2008"/>
      <c r="O139" s="2008"/>
      <c r="P139" s="2008"/>
      <c r="Q139" s="2008"/>
      <c r="R139" s="2008"/>
      <c r="S139" s="2008"/>
      <c r="T139" s="2008"/>
    </row>
    <row r="140">
      <c r="A140" s="2008"/>
      <c r="B140" s="2008"/>
      <c r="C140" s="2008"/>
      <c r="D140" s="2008"/>
      <c r="E140" s="2008"/>
      <c r="F140" s="2008"/>
      <c r="G140" s="2008"/>
      <c r="H140" s="2008"/>
      <c r="I140" s="2008"/>
      <c r="J140" s="2008"/>
      <c r="K140" s="2008"/>
      <c r="L140" s="2008"/>
      <c r="M140" s="2008"/>
      <c r="N140" s="2008"/>
      <c r="O140" s="2008"/>
      <c r="P140" s="2008"/>
      <c r="Q140" s="2008"/>
      <c r="R140" s="2008"/>
      <c r="S140" s="2008"/>
      <c r="T140" s="2008"/>
    </row>
    <row r="141">
      <c r="A141" s="2008"/>
      <c r="B141" s="2008"/>
      <c r="C141" s="2008"/>
      <c r="D141" s="2008"/>
      <c r="E141" s="2008"/>
      <c r="F141" s="2008"/>
      <c r="G141" s="2008"/>
      <c r="H141" s="2008"/>
      <c r="I141" s="2008"/>
      <c r="J141" s="2008"/>
      <c r="K141" s="2008"/>
      <c r="L141" s="2008"/>
      <c r="M141" s="2008"/>
      <c r="N141" s="2008"/>
      <c r="O141" s="2008"/>
      <c r="P141" s="2008"/>
      <c r="Q141" s="2008"/>
      <c r="R141" s="2008"/>
      <c r="S141" s="2008"/>
      <c r="T141" s="2008"/>
    </row>
    <row r="142">
      <c r="A142" s="2008"/>
      <c r="B142" s="2008"/>
      <c r="C142" s="2008"/>
      <c r="D142" s="2008"/>
      <c r="E142" s="2008"/>
      <c r="F142" s="2008"/>
      <c r="G142" s="2008"/>
      <c r="H142" s="2008"/>
      <c r="I142" s="2008"/>
      <c r="J142" s="2008"/>
      <c r="K142" s="2008"/>
      <c r="L142" s="2008"/>
      <c r="M142" s="2008"/>
      <c r="N142" s="2008"/>
      <c r="O142" s="2008"/>
      <c r="P142" s="2008"/>
      <c r="Q142" s="2008"/>
      <c r="R142" s="2008"/>
      <c r="S142" s="2008"/>
      <c r="T142" s="2008"/>
    </row>
    <row r="143">
      <c r="A143" s="2008"/>
      <c r="B143" s="2008"/>
      <c r="C143" s="2008"/>
      <c r="D143" s="2008"/>
      <c r="E143" s="2008"/>
      <c r="F143" s="2008"/>
      <c r="G143" s="2008"/>
      <c r="H143" s="2008"/>
      <c r="I143" s="2008"/>
      <c r="J143" s="2008"/>
      <c r="K143" s="2008"/>
      <c r="L143" s="2008"/>
      <c r="M143" s="2008"/>
      <c r="N143" s="2008"/>
      <c r="O143" s="2008"/>
      <c r="P143" s="2008"/>
      <c r="Q143" s="2008"/>
      <c r="R143" s="2008"/>
      <c r="S143" s="2008"/>
      <c r="T143" s="2008"/>
    </row>
    <row r="144">
      <c r="A144" s="2008"/>
      <c r="B144" s="2008"/>
      <c r="C144" s="2008"/>
      <c r="D144" s="2008"/>
      <c r="E144" s="2008"/>
      <c r="F144" s="2008"/>
      <c r="G144" s="2008"/>
      <c r="H144" s="2008"/>
      <c r="I144" s="2008"/>
      <c r="J144" s="2008"/>
      <c r="K144" s="2008"/>
      <c r="L144" s="2008"/>
      <c r="M144" s="2008"/>
      <c r="N144" s="2008"/>
      <c r="O144" s="2008"/>
      <c r="P144" s="2008"/>
      <c r="Q144" s="2008"/>
      <c r="R144" s="2008"/>
      <c r="S144" s="2008"/>
      <c r="T144" s="2008"/>
    </row>
    <row r="145">
      <c r="A145" s="2008"/>
      <c r="B145" s="2008"/>
      <c r="C145" s="2008"/>
      <c r="D145" s="2008"/>
      <c r="E145" s="2008"/>
      <c r="F145" s="2008"/>
      <c r="G145" s="2008"/>
      <c r="H145" s="2008"/>
      <c r="I145" s="2008"/>
      <c r="J145" s="2008"/>
      <c r="K145" s="2008"/>
      <c r="L145" s="2008"/>
      <c r="M145" s="2008"/>
      <c r="N145" s="2008"/>
      <c r="O145" s="2008"/>
      <c r="P145" s="2008"/>
      <c r="Q145" s="2008"/>
      <c r="R145" s="2008"/>
      <c r="S145" s="2008"/>
      <c r="T145" s="2008"/>
    </row>
    <row r="146">
      <c r="A146" s="2008"/>
      <c r="B146" s="2008"/>
      <c r="C146" s="2008"/>
      <c r="D146" s="2008"/>
      <c r="E146" s="2008"/>
      <c r="F146" s="2008"/>
      <c r="G146" s="2008"/>
      <c r="H146" s="2008"/>
      <c r="I146" s="2008"/>
      <c r="J146" s="2008"/>
      <c r="K146" s="2008"/>
      <c r="L146" s="2008"/>
      <c r="M146" s="2008"/>
      <c r="N146" s="2008"/>
      <c r="O146" s="2008"/>
      <c r="P146" s="2008"/>
      <c r="Q146" s="2008"/>
      <c r="R146" s="2008"/>
      <c r="S146" s="2008"/>
      <c r="T146" s="2008"/>
    </row>
    <row r="147">
      <c r="A147" s="2008"/>
      <c r="B147" s="2008"/>
      <c r="C147" s="2008"/>
      <c r="D147" s="2008"/>
      <c r="E147" s="2008"/>
      <c r="F147" s="2008"/>
      <c r="G147" s="2008"/>
      <c r="H147" s="2008"/>
      <c r="I147" s="2008"/>
      <c r="J147" s="2008"/>
      <c r="K147" s="2008"/>
      <c r="L147" s="2008"/>
      <c r="M147" s="2008"/>
      <c r="N147" s="2008"/>
      <c r="O147" s="2008"/>
      <c r="P147" s="2008"/>
      <c r="Q147" s="2008"/>
      <c r="R147" s="2008"/>
      <c r="S147" s="2008"/>
      <c r="T147" s="2008"/>
    </row>
    <row r="148">
      <c r="A148" s="2008"/>
      <c r="B148" s="2008"/>
      <c r="C148" s="2008"/>
      <c r="D148" s="2008"/>
      <c r="E148" s="2008"/>
      <c r="F148" s="2008"/>
      <c r="G148" s="2008"/>
      <c r="H148" s="2008"/>
      <c r="I148" s="2008"/>
      <c r="J148" s="2008"/>
      <c r="K148" s="2008"/>
      <c r="L148" s="2008"/>
      <c r="M148" s="2008"/>
      <c r="N148" s="2008"/>
      <c r="O148" s="2008"/>
      <c r="P148" s="2008"/>
      <c r="Q148" s="2008"/>
      <c r="R148" s="2008"/>
      <c r="S148" s="2008"/>
      <c r="T148" s="2008"/>
    </row>
    <row r="149">
      <c r="A149" s="2008"/>
      <c r="B149" s="2008"/>
      <c r="C149" s="2008"/>
      <c r="D149" s="2008"/>
      <c r="E149" s="2008"/>
      <c r="F149" s="2008"/>
      <c r="G149" s="2008"/>
      <c r="H149" s="2008"/>
      <c r="I149" s="2008"/>
      <c r="J149" s="2008"/>
      <c r="K149" s="2008"/>
      <c r="L149" s="2008"/>
      <c r="M149" s="2008"/>
      <c r="N149" s="2008"/>
      <c r="O149" s="2008"/>
      <c r="P149" s="2008"/>
      <c r="Q149" s="2008"/>
      <c r="R149" s="2008"/>
      <c r="S149" s="2008"/>
      <c r="T149" s="2008"/>
    </row>
    <row r="150">
      <c r="A150" s="2008"/>
      <c r="B150" s="2008"/>
      <c r="C150" s="2008"/>
      <c r="D150" s="2008"/>
      <c r="E150" s="2008"/>
      <c r="F150" s="2008"/>
      <c r="G150" s="2008"/>
      <c r="H150" s="2008"/>
      <c r="I150" s="2008"/>
      <c r="J150" s="2008"/>
      <c r="K150" s="2008"/>
      <c r="L150" s="2008"/>
      <c r="M150" s="2008"/>
      <c r="N150" s="2008"/>
      <c r="O150" s="2008"/>
      <c r="P150" s="2008"/>
      <c r="Q150" s="2008"/>
      <c r="R150" s="2008"/>
      <c r="S150" s="2008"/>
      <c r="T150" s="2008"/>
    </row>
    <row r="151">
      <c r="A151" s="2008"/>
      <c r="B151" s="2008"/>
      <c r="C151" s="2008"/>
      <c r="D151" s="2008"/>
      <c r="E151" s="2008"/>
      <c r="F151" s="2008"/>
      <c r="G151" s="2008"/>
      <c r="H151" s="2008"/>
      <c r="I151" s="2008"/>
      <c r="J151" s="2008"/>
      <c r="K151" s="2008"/>
      <c r="L151" s="2008"/>
      <c r="M151" s="2008"/>
      <c r="N151" s="2008"/>
      <c r="O151" s="2008"/>
      <c r="P151" s="2008"/>
      <c r="Q151" s="2008"/>
      <c r="R151" s="2008"/>
      <c r="S151" s="2008"/>
      <c r="T151" s="2008"/>
    </row>
    <row r="152">
      <c r="A152" s="2008"/>
      <c r="B152" s="2008"/>
      <c r="C152" s="2008"/>
      <c r="D152" s="2008"/>
      <c r="E152" s="2008"/>
      <c r="F152" s="2008"/>
      <c r="G152" s="2008"/>
      <c r="H152" s="2008"/>
      <c r="I152" s="2008"/>
      <c r="J152" s="2008"/>
      <c r="K152" s="2008"/>
      <c r="L152" s="2008"/>
      <c r="M152" s="2008"/>
      <c r="N152" s="2008"/>
      <c r="O152" s="2008"/>
      <c r="P152" s="2008"/>
      <c r="Q152" s="2008"/>
      <c r="R152" s="2008"/>
      <c r="S152" s="2008"/>
      <c r="T152" s="2008"/>
    </row>
    <row r="153">
      <c r="A153" s="2008"/>
      <c r="B153" s="2008"/>
      <c r="C153" s="2008"/>
      <c r="D153" s="2008"/>
      <c r="E153" s="2008"/>
      <c r="F153" s="2008"/>
      <c r="G153" s="2008"/>
      <c r="H153" s="2008"/>
      <c r="I153" s="2008"/>
      <c r="J153" s="2008"/>
      <c r="K153" s="2008"/>
      <c r="L153" s="2008"/>
      <c r="M153" s="2008"/>
      <c r="N153" s="2008"/>
      <c r="O153" s="2008"/>
      <c r="P153" s="2008"/>
      <c r="Q153" s="2008"/>
      <c r="R153" s="2008"/>
      <c r="S153" s="2008"/>
      <c r="T153" s="2008"/>
    </row>
    <row r="154">
      <c r="A154" s="2008"/>
      <c r="B154" s="2008"/>
      <c r="C154" s="2008"/>
      <c r="D154" s="2008"/>
      <c r="E154" s="2008"/>
      <c r="F154" s="2008"/>
      <c r="G154" s="2008"/>
      <c r="H154" s="2008"/>
      <c r="I154" s="2008"/>
      <c r="J154" s="2008"/>
      <c r="K154" s="2008"/>
      <c r="L154" s="2008"/>
      <c r="M154" s="2008"/>
      <c r="N154" s="2008"/>
      <c r="O154" s="2008"/>
      <c r="P154" s="2008"/>
      <c r="Q154" s="2008"/>
      <c r="R154" s="2008"/>
      <c r="S154" s="2008"/>
      <c r="T154" s="2008"/>
    </row>
    <row r="155">
      <c r="A155" s="2008"/>
      <c r="B155" s="2008"/>
      <c r="C155" s="2008"/>
      <c r="D155" s="2008"/>
      <c r="E155" s="2008"/>
      <c r="F155" s="2008"/>
      <c r="G155" s="2008"/>
      <c r="H155" s="2008"/>
      <c r="I155" s="2008"/>
      <c r="J155" s="2008"/>
      <c r="K155" s="2008"/>
      <c r="L155" s="2008"/>
      <c r="M155" s="2008"/>
      <c r="N155" s="2008"/>
      <c r="O155" s="2008"/>
      <c r="P155" s="2008"/>
      <c r="Q155" s="2008"/>
      <c r="R155" s="2008"/>
      <c r="S155" s="2008"/>
      <c r="T155" s="2008"/>
    </row>
    <row r="156">
      <c r="A156" s="2008"/>
      <c r="B156" s="2008"/>
      <c r="C156" s="2008"/>
      <c r="D156" s="2008"/>
      <c r="E156" s="2008"/>
      <c r="F156" s="2008"/>
      <c r="G156" s="2008"/>
      <c r="H156" s="2008"/>
      <c r="I156" s="2008"/>
      <c r="J156" s="2008"/>
      <c r="K156" s="2008"/>
      <c r="L156" s="2008"/>
      <c r="M156" s="2008"/>
      <c r="N156" s="2008"/>
      <c r="O156" s="2008"/>
      <c r="P156" s="2008"/>
      <c r="Q156" s="2008"/>
      <c r="R156" s="2008"/>
      <c r="S156" s="2008"/>
      <c r="T156" s="2008"/>
    </row>
    <row r="157">
      <c r="A157" s="2008"/>
      <c r="B157" s="2008"/>
      <c r="C157" s="2008"/>
      <c r="D157" s="2008"/>
      <c r="E157" s="2008"/>
      <c r="F157" s="2008"/>
      <c r="G157" s="2008"/>
      <c r="H157" s="2008"/>
      <c r="I157" s="2008"/>
      <c r="J157" s="2008"/>
      <c r="K157" s="2008"/>
      <c r="L157" s="2008"/>
      <c r="M157" s="2008"/>
      <c r="N157" s="2008"/>
      <c r="O157" s="2008"/>
      <c r="P157" s="2008"/>
      <c r="Q157" s="2008"/>
      <c r="R157" s="2008"/>
      <c r="S157" s="2008"/>
      <c r="T157" s="2008"/>
    </row>
    <row r="158">
      <c r="A158" s="2008"/>
      <c r="B158" s="2008"/>
      <c r="C158" s="2008"/>
      <c r="D158" s="2008"/>
      <c r="E158" s="2008"/>
      <c r="F158" s="2008"/>
      <c r="G158" s="2008"/>
      <c r="H158" s="2008"/>
      <c r="I158" s="2008"/>
      <c r="J158" s="2008"/>
      <c r="K158" s="2008"/>
      <c r="L158" s="2008"/>
      <c r="M158" s="2008"/>
      <c r="N158" s="2008"/>
      <c r="O158" s="2008"/>
      <c r="P158" s="2008"/>
      <c r="Q158" s="2008"/>
      <c r="R158" s="2008"/>
      <c r="S158" s="2008"/>
      <c r="T158" s="2008"/>
    </row>
    <row r="159">
      <c r="A159" s="2008"/>
      <c r="B159" s="2008"/>
      <c r="C159" s="2008"/>
      <c r="D159" s="2008"/>
      <c r="E159" s="2008"/>
      <c r="F159" s="2008"/>
      <c r="G159" s="2008"/>
      <c r="H159" s="2008"/>
      <c r="I159" s="2008"/>
      <c r="J159" s="2008"/>
      <c r="K159" s="2008"/>
      <c r="L159" s="2008"/>
      <c r="M159" s="2008"/>
      <c r="N159" s="2008"/>
      <c r="O159" s="2008"/>
      <c r="P159" s="2008"/>
      <c r="Q159" s="2008"/>
      <c r="R159" s="2008"/>
      <c r="S159" s="2008"/>
      <c r="T159" s="2008"/>
    </row>
    <row r="160">
      <c r="A160" s="2008"/>
      <c r="B160" s="2008"/>
      <c r="C160" s="2008"/>
      <c r="D160" s="2008"/>
      <c r="E160" s="2008"/>
      <c r="F160" s="2008"/>
      <c r="G160" s="2008"/>
      <c r="H160" s="2008"/>
      <c r="I160" s="2008"/>
      <c r="J160" s="2008"/>
      <c r="K160" s="2008"/>
      <c r="L160" s="2008"/>
      <c r="M160" s="2008"/>
      <c r="N160" s="2008"/>
      <c r="O160" s="2008"/>
      <c r="P160" s="2008"/>
      <c r="Q160" s="2008"/>
      <c r="R160" s="2008"/>
      <c r="S160" s="2008"/>
      <c r="T160" s="2008"/>
    </row>
    <row r="161">
      <c r="A161" s="2008"/>
      <c r="B161" s="2008"/>
      <c r="C161" s="2008"/>
      <c r="D161" s="2008"/>
      <c r="E161" s="2008"/>
      <c r="F161" s="2008"/>
      <c r="G161" s="2008"/>
      <c r="H161" s="2008"/>
      <c r="I161" s="2008"/>
      <c r="J161" s="2008"/>
      <c r="K161" s="2008"/>
      <c r="L161" s="2008"/>
      <c r="M161" s="2008"/>
      <c r="N161" s="2008"/>
      <c r="O161" s="2008"/>
      <c r="P161" s="2008"/>
      <c r="Q161" s="2008"/>
      <c r="R161" s="2008"/>
      <c r="S161" s="2008"/>
      <c r="T161" s="2008"/>
    </row>
    <row r="162">
      <c r="A162" s="2008"/>
      <c r="B162" s="2008"/>
      <c r="C162" s="2008"/>
      <c r="D162" s="2008"/>
      <c r="E162" s="2008"/>
      <c r="F162" s="2008"/>
      <c r="G162" s="2008"/>
      <c r="H162" s="2008"/>
      <c r="I162" s="2008"/>
      <c r="J162" s="2008"/>
      <c r="K162" s="2008"/>
      <c r="L162" s="2008"/>
      <c r="M162" s="2008"/>
      <c r="N162" s="2008"/>
      <c r="O162" s="2008"/>
      <c r="P162" s="2008"/>
      <c r="Q162" s="2008"/>
      <c r="R162" s="2008"/>
      <c r="S162" s="2008"/>
      <c r="T162" s="2008"/>
    </row>
    <row r="163">
      <c r="A163" s="2008"/>
      <c r="B163" s="2008"/>
      <c r="C163" s="2008"/>
      <c r="D163" s="2008"/>
      <c r="E163" s="2008"/>
      <c r="F163" s="2008"/>
      <c r="G163" s="2008"/>
      <c r="H163" s="2008"/>
      <c r="I163" s="2008"/>
      <c r="J163" s="2008"/>
      <c r="K163" s="2008"/>
      <c r="L163" s="2008"/>
      <c r="M163" s="2008"/>
      <c r="N163" s="2008"/>
      <c r="O163" s="2008"/>
      <c r="P163" s="2008"/>
      <c r="Q163" s="2008"/>
      <c r="R163" s="2008"/>
      <c r="S163" s="2008"/>
      <c r="T163" s="2008"/>
    </row>
    <row r="164">
      <c r="A164" s="2008"/>
      <c r="B164" s="2008"/>
      <c r="C164" s="2008"/>
      <c r="D164" s="2008"/>
      <c r="E164" s="2008"/>
      <c r="F164" s="2008"/>
      <c r="G164" s="2008"/>
      <c r="H164" s="2008"/>
      <c r="I164" s="2008"/>
      <c r="J164" s="2008"/>
      <c r="K164" s="2008"/>
      <c r="L164" s="2008"/>
      <c r="M164" s="2008"/>
      <c r="N164" s="2008"/>
      <c r="O164" s="2008"/>
      <c r="P164" s="2008"/>
      <c r="Q164" s="2008"/>
      <c r="R164" s="2008"/>
      <c r="S164" s="2008"/>
      <c r="T164" s="2008"/>
    </row>
    <row r="165">
      <c r="A165" s="2008"/>
      <c r="B165" s="2008"/>
      <c r="C165" s="2008"/>
      <c r="D165" s="2008"/>
      <c r="E165" s="2008"/>
      <c r="F165" s="2008"/>
      <c r="G165" s="2008"/>
      <c r="H165" s="2008"/>
      <c r="I165" s="2008"/>
      <c r="J165" s="2008"/>
      <c r="K165" s="2008"/>
      <c r="L165" s="2008"/>
      <c r="M165" s="2008"/>
      <c r="N165" s="2008"/>
      <c r="O165" s="2008"/>
      <c r="P165" s="2008"/>
      <c r="Q165" s="2008"/>
      <c r="R165" s="2008"/>
      <c r="S165" s="2008"/>
      <c r="T165" s="2008"/>
    </row>
    <row r="166">
      <c r="A166" s="2008"/>
      <c r="B166" s="2008"/>
      <c r="C166" s="2008"/>
      <c r="D166" s="2008"/>
      <c r="E166" s="2008"/>
      <c r="F166" s="2008"/>
      <c r="G166" s="2008"/>
      <c r="H166" s="2008"/>
      <c r="I166" s="2008"/>
      <c r="J166" s="2008"/>
      <c r="K166" s="2008"/>
      <c r="L166" s="2008"/>
      <c r="M166" s="2008"/>
      <c r="N166" s="2008"/>
      <c r="O166" s="2008"/>
      <c r="P166" s="2008"/>
      <c r="Q166" s="2008"/>
      <c r="R166" s="2008"/>
      <c r="S166" s="2008"/>
      <c r="T166" s="2008"/>
    </row>
    <row r="167">
      <c r="A167" s="2008"/>
      <c r="B167" s="2008"/>
      <c r="C167" s="2008"/>
      <c r="D167" s="2008"/>
      <c r="E167" s="2008"/>
      <c r="F167" s="2008"/>
      <c r="G167" s="2008"/>
      <c r="H167" s="2008"/>
      <c r="I167" s="2008"/>
      <c r="J167" s="2008"/>
      <c r="K167" s="2008"/>
      <c r="L167" s="2008"/>
      <c r="M167" s="2008"/>
      <c r="N167" s="2008"/>
      <c r="O167" s="2008"/>
      <c r="P167" s="2008"/>
      <c r="Q167" s="2008"/>
      <c r="R167" s="2008"/>
      <c r="S167" s="2008"/>
      <c r="T167" s="2008"/>
    </row>
    <row r="168">
      <c r="A168" s="2008"/>
      <c r="B168" s="2008"/>
      <c r="C168" s="2008"/>
      <c r="D168" s="2008"/>
      <c r="E168" s="2008"/>
      <c r="F168" s="2008"/>
      <c r="G168" s="2008"/>
      <c r="H168" s="2008"/>
      <c r="I168" s="2008"/>
      <c r="J168" s="2008"/>
      <c r="K168" s="2008"/>
      <c r="L168" s="2008"/>
      <c r="M168" s="2008"/>
      <c r="N168" s="2008"/>
      <c r="O168" s="2008"/>
      <c r="P168" s="2008"/>
      <c r="Q168" s="2008"/>
      <c r="R168" s="2008"/>
      <c r="S168" s="2008"/>
      <c r="T168" s="2008"/>
    </row>
    <row r="169">
      <c r="A169" s="2008"/>
      <c r="B169" s="2008"/>
      <c r="C169" s="2008"/>
      <c r="D169" s="2008"/>
      <c r="E169" s="2008"/>
      <c r="F169" s="2008"/>
      <c r="G169" s="2008"/>
      <c r="H169" s="2008"/>
      <c r="I169" s="2008"/>
      <c r="J169" s="2008"/>
      <c r="K169" s="2008"/>
      <c r="L169" s="2008"/>
      <c r="M169" s="2008"/>
      <c r="N169" s="2008"/>
      <c r="O169" s="2008"/>
      <c r="P169" s="2008"/>
      <c r="Q169" s="2008"/>
      <c r="R169" s="2008"/>
      <c r="S169" s="2008"/>
      <c r="T169" s="2008"/>
    </row>
    <row r="170">
      <c r="A170" s="2008"/>
      <c r="B170" s="2008"/>
      <c r="C170" s="2008"/>
      <c r="D170" s="2008"/>
      <c r="E170" s="2008"/>
      <c r="F170" s="2008"/>
      <c r="G170" s="2008"/>
      <c r="H170" s="2008"/>
      <c r="I170" s="2008"/>
      <c r="J170" s="2008"/>
      <c r="K170" s="2008"/>
      <c r="L170" s="2008"/>
      <c r="M170" s="2008"/>
      <c r="N170" s="2008"/>
      <c r="O170" s="2008"/>
      <c r="P170" s="2008"/>
      <c r="Q170" s="2008"/>
      <c r="R170" s="2008"/>
      <c r="S170" s="2008"/>
      <c r="T170" s="2008"/>
    </row>
    <row r="171">
      <c r="A171" s="2008"/>
      <c r="B171" s="2008"/>
      <c r="C171" s="2008"/>
      <c r="D171" s="2008"/>
      <c r="E171" s="2008"/>
      <c r="F171" s="2008"/>
      <c r="G171" s="2008"/>
      <c r="H171" s="2008"/>
      <c r="I171" s="2008"/>
      <c r="J171" s="2008"/>
      <c r="K171" s="2008"/>
      <c r="L171" s="2008"/>
      <c r="M171" s="2008"/>
      <c r="N171" s="2008"/>
      <c r="O171" s="2008"/>
      <c r="P171" s="2008"/>
      <c r="Q171" s="2008"/>
      <c r="R171" s="2008"/>
      <c r="S171" s="2008"/>
      <c r="T171" s="2008"/>
    </row>
    <row r="172">
      <c r="A172" s="2008"/>
      <c r="B172" s="2008"/>
      <c r="C172" s="2008"/>
      <c r="D172" s="2008"/>
      <c r="E172" s="2008"/>
      <c r="F172" s="2008"/>
      <c r="G172" s="2008"/>
      <c r="H172" s="2008"/>
      <c r="I172" s="2008"/>
      <c r="J172" s="2008"/>
      <c r="K172" s="2008"/>
      <c r="L172" s="2008"/>
      <c r="M172" s="2008"/>
      <c r="N172" s="2008"/>
      <c r="O172" s="2008"/>
      <c r="P172" s="2008"/>
      <c r="Q172" s="2008"/>
      <c r="R172" s="2008"/>
      <c r="S172" s="2008"/>
      <c r="T172" s="2008"/>
    </row>
    <row r="173">
      <c r="A173" s="2008"/>
      <c r="B173" s="2008"/>
      <c r="C173" s="2008"/>
      <c r="D173" s="2008"/>
      <c r="E173" s="2008"/>
      <c r="F173" s="2008"/>
      <c r="G173" s="2008"/>
      <c r="H173" s="2008"/>
      <c r="I173" s="2008"/>
      <c r="J173" s="2008"/>
      <c r="K173" s="2008"/>
      <c r="L173" s="2008"/>
      <c r="M173" s="2008"/>
      <c r="N173" s="2008"/>
      <c r="O173" s="2008"/>
      <c r="P173" s="2008"/>
      <c r="Q173" s="2008"/>
      <c r="R173" s="2008"/>
      <c r="S173" s="2008"/>
      <c r="T173" s="2008"/>
    </row>
    <row r="174">
      <c r="A174" s="2008"/>
      <c r="B174" s="2008"/>
      <c r="C174" s="2008"/>
      <c r="D174" s="2008"/>
      <c r="E174" s="2008"/>
      <c r="F174" s="2008"/>
      <c r="G174" s="2008"/>
      <c r="H174" s="2008"/>
      <c r="I174" s="2008"/>
      <c r="J174" s="2008"/>
      <c r="K174" s="2008"/>
      <c r="L174" s="2008"/>
      <c r="M174" s="2008"/>
      <c r="N174" s="2008"/>
      <c r="O174" s="2008"/>
      <c r="P174" s="2008"/>
      <c r="Q174" s="2008"/>
      <c r="R174" s="2008"/>
      <c r="S174" s="2008"/>
      <c r="T174" s="2008"/>
    </row>
    <row r="175">
      <c r="A175" s="2008"/>
      <c r="B175" s="2008"/>
      <c r="C175" s="2008"/>
      <c r="D175" s="2008"/>
      <c r="E175" s="2008"/>
      <c r="F175" s="2008"/>
      <c r="G175" s="2008"/>
      <c r="H175" s="2008"/>
      <c r="I175" s="2008"/>
      <c r="J175" s="2008"/>
      <c r="K175" s="2008"/>
      <c r="L175" s="2008"/>
      <c r="M175" s="2008"/>
      <c r="N175" s="2008"/>
      <c r="O175" s="2008"/>
      <c r="P175" s="2008"/>
      <c r="Q175" s="2008"/>
      <c r="R175" s="2008"/>
      <c r="S175" s="2008"/>
      <c r="T175" s="2008"/>
    </row>
    <row r="176">
      <c r="A176" s="2008"/>
      <c r="B176" s="2008"/>
      <c r="C176" s="2008"/>
      <c r="D176" s="2008"/>
      <c r="E176" s="2008"/>
      <c r="F176" s="2008"/>
      <c r="G176" s="2008"/>
      <c r="H176" s="2008"/>
      <c r="I176" s="2008"/>
      <c r="J176" s="2008"/>
      <c r="K176" s="2008"/>
      <c r="L176" s="2008"/>
      <c r="M176" s="2008"/>
      <c r="N176" s="2008"/>
      <c r="O176" s="2008"/>
      <c r="P176" s="2008"/>
      <c r="Q176" s="2008"/>
      <c r="R176" s="2008"/>
      <c r="S176" s="2008"/>
      <c r="T176" s="2008"/>
    </row>
    <row r="177">
      <c r="A177" s="2008"/>
      <c r="B177" s="2008"/>
      <c r="C177" s="2008"/>
      <c r="D177" s="2008"/>
      <c r="E177" s="2008"/>
      <c r="F177" s="2008"/>
      <c r="G177" s="2008"/>
      <c r="H177" s="2008"/>
      <c r="I177" s="2008"/>
      <c r="J177" s="2008"/>
      <c r="K177" s="2008"/>
      <c r="L177" s="2008"/>
      <c r="M177" s="2008"/>
      <c r="N177" s="2008"/>
      <c r="O177" s="2008"/>
      <c r="P177" s="2008"/>
      <c r="Q177" s="2008"/>
      <c r="R177" s="2008"/>
      <c r="S177" s="2008"/>
      <c r="T177" s="2008"/>
    </row>
    <row r="178">
      <c r="A178" s="2008"/>
      <c r="B178" s="2008"/>
      <c r="C178" s="2008"/>
      <c r="D178" s="2008"/>
      <c r="E178" s="2008"/>
      <c r="F178" s="2008"/>
      <c r="G178" s="2008"/>
      <c r="H178" s="2008"/>
      <c r="I178" s="2008"/>
      <c r="J178" s="2008"/>
      <c r="K178" s="2008"/>
      <c r="L178" s="2008"/>
      <c r="M178" s="2008"/>
      <c r="N178" s="2008"/>
      <c r="O178" s="2008"/>
      <c r="P178" s="2008"/>
      <c r="Q178" s="2008"/>
      <c r="R178" s="2008"/>
      <c r="S178" s="2008"/>
      <c r="T178" s="2008"/>
    </row>
    <row r="179">
      <c r="A179" s="2008"/>
      <c r="B179" s="2008"/>
      <c r="C179" s="2008"/>
      <c r="D179" s="2008"/>
      <c r="E179" s="2008"/>
      <c r="F179" s="2008"/>
      <c r="G179" s="2008"/>
      <c r="H179" s="2008"/>
      <c r="I179" s="2008"/>
      <c r="J179" s="2008"/>
      <c r="K179" s="2008"/>
      <c r="L179" s="2008"/>
      <c r="M179" s="2008"/>
      <c r="N179" s="2008"/>
      <c r="O179" s="2008"/>
      <c r="P179" s="2008"/>
      <c r="Q179" s="2008"/>
      <c r="R179" s="2008"/>
      <c r="S179" s="2008"/>
      <c r="T179" s="2008"/>
    </row>
    <row r="180">
      <c r="A180" s="2008"/>
      <c r="B180" s="2008"/>
      <c r="C180" s="2008"/>
      <c r="D180" s="2008"/>
      <c r="E180" s="2008"/>
      <c r="F180" s="2008"/>
      <c r="G180" s="2008"/>
      <c r="H180" s="2008"/>
      <c r="I180" s="2008"/>
      <c r="J180" s="2008"/>
      <c r="K180" s="2008"/>
      <c r="L180" s="2008"/>
      <c r="M180" s="2008"/>
      <c r="N180" s="2008"/>
      <c r="O180" s="2008"/>
      <c r="P180" s="2008"/>
      <c r="Q180" s="2008"/>
      <c r="R180" s="2008"/>
      <c r="S180" s="2008"/>
      <c r="T180" s="2008"/>
    </row>
    <row r="181">
      <c r="A181" s="2008"/>
      <c r="B181" s="2008"/>
      <c r="C181" s="2008"/>
      <c r="D181" s="2008"/>
      <c r="E181" s="2008"/>
      <c r="F181" s="2008"/>
      <c r="G181" s="2008"/>
      <c r="H181" s="2008"/>
      <c r="I181" s="2008"/>
      <c r="J181" s="2008"/>
      <c r="K181" s="2008"/>
      <c r="L181" s="2008"/>
      <c r="M181" s="2008"/>
      <c r="N181" s="2008"/>
      <c r="O181" s="2008"/>
      <c r="P181" s="2008"/>
      <c r="Q181" s="2008"/>
      <c r="R181" s="2008"/>
      <c r="S181" s="2008"/>
      <c r="T181" s="2008"/>
    </row>
    <row r="182">
      <c r="A182" s="2008"/>
      <c r="B182" s="2008"/>
      <c r="C182" s="2008"/>
      <c r="D182" s="2008"/>
      <c r="E182" s="2008"/>
      <c r="F182" s="2008"/>
      <c r="G182" s="2008"/>
      <c r="H182" s="2008"/>
      <c r="I182" s="2008"/>
      <c r="J182" s="2008"/>
      <c r="K182" s="2008"/>
      <c r="L182" s="2008"/>
      <c r="M182" s="2008"/>
      <c r="N182" s="2008"/>
      <c r="O182" s="2008"/>
      <c r="P182" s="2008"/>
      <c r="Q182" s="2008"/>
      <c r="R182" s="2008"/>
      <c r="S182" s="2008"/>
      <c r="T182" s="2008"/>
    </row>
    <row r="183">
      <c r="A183" s="2008"/>
      <c r="B183" s="2008"/>
      <c r="C183" s="2008"/>
      <c r="D183" s="2008"/>
      <c r="E183" s="2008"/>
      <c r="F183" s="2008"/>
      <c r="G183" s="2008"/>
      <c r="H183" s="2008"/>
      <c r="I183" s="2008"/>
      <c r="J183" s="2008"/>
      <c r="K183" s="2008"/>
      <c r="L183" s="2008"/>
      <c r="M183" s="2008"/>
      <c r="N183" s="2008"/>
      <c r="O183" s="2008"/>
      <c r="P183" s="2008"/>
      <c r="Q183" s="2008"/>
      <c r="R183" s="2008"/>
      <c r="S183" s="2008"/>
      <c r="T183" s="2008"/>
    </row>
    <row r="184">
      <c r="A184" s="2008"/>
      <c r="B184" s="2008"/>
      <c r="C184" s="2008"/>
      <c r="D184" s="2008"/>
      <c r="E184" s="2008"/>
      <c r="F184" s="2008"/>
      <c r="G184" s="2008"/>
      <c r="H184" s="2008"/>
      <c r="I184" s="2008"/>
      <c r="J184" s="2008"/>
      <c r="K184" s="2008"/>
      <c r="L184" s="2008"/>
      <c r="M184" s="2008"/>
      <c r="N184" s="2008"/>
      <c r="O184" s="2008"/>
      <c r="P184" s="2008"/>
      <c r="Q184" s="2008"/>
      <c r="R184" s="2008"/>
      <c r="S184" s="2008"/>
      <c r="T184" s="2008"/>
    </row>
    <row r="185">
      <c r="A185" s="2008"/>
      <c r="B185" s="2008"/>
      <c r="C185" s="2008"/>
      <c r="D185" s="2008"/>
      <c r="E185" s="2008"/>
      <c r="F185" s="2008"/>
      <c r="G185" s="2008"/>
      <c r="H185" s="2008"/>
      <c r="I185" s="2008"/>
      <c r="J185" s="2008"/>
      <c r="K185" s="2008"/>
      <c r="L185" s="2008"/>
      <c r="M185" s="2008"/>
      <c r="N185" s="2008"/>
      <c r="O185" s="2008"/>
      <c r="P185" s="2008"/>
      <c r="Q185" s="2008"/>
      <c r="R185" s="2008"/>
      <c r="S185" s="2008"/>
      <c r="T185" s="2008"/>
    </row>
    <row r="186">
      <c r="A186" s="2008"/>
      <c r="B186" s="2008"/>
      <c r="C186" s="2008"/>
      <c r="D186" s="2008"/>
      <c r="E186" s="2008"/>
      <c r="F186" s="2008"/>
      <c r="G186" s="2008"/>
      <c r="H186" s="2008"/>
      <c r="I186" s="2008"/>
      <c r="J186" s="2008"/>
      <c r="K186" s="2008"/>
      <c r="L186" s="2008"/>
      <c r="M186" s="2008"/>
      <c r="N186" s="2008"/>
      <c r="O186" s="2008"/>
      <c r="P186" s="2008"/>
      <c r="Q186" s="2008"/>
      <c r="R186" s="2008"/>
      <c r="S186" s="2008"/>
      <c r="T186" s="2008"/>
    </row>
    <row r="187">
      <c r="A187" s="2008"/>
      <c r="B187" s="2008"/>
      <c r="C187" s="2008"/>
      <c r="D187" s="2008"/>
      <c r="E187" s="2008"/>
      <c r="F187" s="2008"/>
      <c r="G187" s="2008"/>
      <c r="H187" s="2008"/>
      <c r="I187" s="2008"/>
      <c r="J187" s="2008"/>
      <c r="K187" s="2008"/>
      <c r="L187" s="2008"/>
      <c r="M187" s="2008"/>
      <c r="N187" s="2008"/>
      <c r="O187" s="2008"/>
      <c r="P187" s="2008"/>
      <c r="Q187" s="2008"/>
      <c r="R187" s="2008"/>
      <c r="S187" s="2008"/>
      <c r="T187" s="2008"/>
    </row>
    <row r="188">
      <c r="A188" s="2008"/>
      <c r="B188" s="2008"/>
      <c r="C188" s="2008"/>
      <c r="D188" s="2008"/>
      <c r="E188" s="2008"/>
      <c r="F188" s="2008"/>
      <c r="G188" s="2008"/>
      <c r="H188" s="2008"/>
      <c r="I188" s="2008"/>
      <c r="J188" s="2008"/>
      <c r="K188" s="2008"/>
      <c r="L188" s="2008"/>
      <c r="M188" s="2008"/>
      <c r="N188" s="2008"/>
      <c r="O188" s="2008"/>
      <c r="P188" s="2008"/>
      <c r="Q188" s="2008"/>
      <c r="R188" s="2008"/>
      <c r="S188" s="2008"/>
      <c r="T188" s="2008"/>
    </row>
    <row r="189">
      <c r="A189" s="2008"/>
      <c r="B189" s="2008"/>
      <c r="C189" s="2008"/>
      <c r="D189" s="2008"/>
      <c r="E189" s="2008"/>
      <c r="F189" s="2008"/>
      <c r="G189" s="2008"/>
      <c r="H189" s="2008"/>
      <c r="I189" s="2008"/>
      <c r="J189" s="2008"/>
      <c r="K189" s="2008"/>
      <c r="L189" s="2008"/>
      <c r="M189" s="2008"/>
      <c r="N189" s="2008"/>
      <c r="O189" s="2008"/>
      <c r="P189" s="2008"/>
      <c r="Q189" s="2008"/>
      <c r="R189" s="2008"/>
      <c r="S189" s="2008"/>
      <c r="T189" s="2008"/>
    </row>
    <row r="190">
      <c r="A190" s="2008"/>
      <c r="B190" s="2008"/>
      <c r="C190" s="2008"/>
      <c r="D190" s="2008"/>
      <c r="E190" s="2008"/>
      <c r="F190" s="2008"/>
      <c r="G190" s="2008"/>
      <c r="H190" s="2008"/>
      <c r="I190" s="2008"/>
      <c r="J190" s="2008"/>
      <c r="K190" s="2008"/>
      <c r="L190" s="2008"/>
      <c r="M190" s="2008"/>
      <c r="N190" s="2008"/>
      <c r="O190" s="2008"/>
      <c r="P190" s="2008"/>
      <c r="Q190" s="2008"/>
      <c r="R190" s="2008"/>
      <c r="S190" s="2008"/>
      <c r="T190" s="2008"/>
    </row>
    <row r="191">
      <c r="A191" s="2008"/>
      <c r="B191" s="2008"/>
      <c r="C191" s="2008"/>
      <c r="D191" s="2008"/>
      <c r="E191" s="2008"/>
      <c r="F191" s="2008"/>
      <c r="G191" s="2008"/>
      <c r="H191" s="2008"/>
      <c r="I191" s="2008"/>
      <c r="J191" s="2008"/>
      <c r="K191" s="2008"/>
      <c r="L191" s="2008"/>
      <c r="M191" s="2008"/>
      <c r="N191" s="2008"/>
      <c r="O191" s="2008"/>
      <c r="P191" s="2008"/>
      <c r="Q191" s="2008"/>
      <c r="R191" s="2008"/>
      <c r="S191" s="2008"/>
      <c r="T191" s="2008"/>
    </row>
    <row r="192">
      <c r="A192" s="2008"/>
      <c r="B192" s="2008"/>
      <c r="C192" s="2008"/>
      <c r="D192" s="2008"/>
      <c r="E192" s="2008"/>
      <c r="F192" s="2008"/>
      <c r="G192" s="2008"/>
      <c r="H192" s="2008"/>
      <c r="I192" s="2008"/>
      <c r="J192" s="2008"/>
      <c r="K192" s="2008"/>
      <c r="L192" s="2008"/>
      <c r="M192" s="2008"/>
      <c r="N192" s="2008"/>
      <c r="O192" s="2008"/>
      <c r="P192" s="2008"/>
      <c r="Q192" s="2008"/>
      <c r="R192" s="2008"/>
      <c r="S192" s="2008"/>
      <c r="T192" s="2008"/>
    </row>
    <row r="193">
      <c r="A193" s="2008"/>
      <c r="B193" s="2008"/>
      <c r="C193" s="2008"/>
      <c r="D193" s="2008"/>
      <c r="E193" s="2008"/>
      <c r="F193" s="2008"/>
      <c r="G193" s="2008"/>
      <c r="H193" s="2008"/>
      <c r="I193" s="2008"/>
      <c r="J193" s="2008"/>
      <c r="K193" s="2008"/>
      <c r="L193" s="2008"/>
      <c r="M193" s="2008"/>
      <c r="N193" s="2008"/>
      <c r="O193" s="2008"/>
      <c r="P193" s="2008"/>
      <c r="Q193" s="2008"/>
      <c r="R193" s="2008"/>
      <c r="S193" s="2008"/>
      <c r="T193" s="2008"/>
    </row>
    <row r="194">
      <c r="A194" s="2008"/>
      <c r="B194" s="2008"/>
      <c r="C194" s="2008"/>
      <c r="D194" s="2008"/>
      <c r="E194" s="2008"/>
      <c r="F194" s="2008"/>
      <c r="G194" s="2008"/>
      <c r="H194" s="2008"/>
      <c r="I194" s="2008"/>
      <c r="J194" s="2008"/>
      <c r="K194" s="2008"/>
      <c r="L194" s="2008"/>
      <c r="M194" s="2008"/>
      <c r="N194" s="2008"/>
      <c r="O194" s="2008"/>
      <c r="P194" s="2008"/>
      <c r="Q194" s="2008"/>
      <c r="R194" s="2008"/>
      <c r="S194" s="2008"/>
      <c r="T194" s="2008"/>
    </row>
    <row r="195">
      <c r="A195" s="2008"/>
      <c r="B195" s="2008"/>
      <c r="C195" s="2008"/>
      <c r="D195" s="2008"/>
      <c r="E195" s="2008"/>
      <c r="F195" s="2008"/>
      <c r="G195" s="2008"/>
      <c r="H195" s="2008"/>
      <c r="I195" s="2008"/>
      <c r="J195" s="2008"/>
      <c r="K195" s="2008"/>
      <c r="L195" s="2008"/>
      <c r="M195" s="2008"/>
      <c r="N195" s="2008"/>
      <c r="O195" s="2008"/>
      <c r="P195" s="2008"/>
      <c r="Q195" s="2008"/>
      <c r="R195" s="2008"/>
      <c r="S195" s="2008"/>
      <c r="T195" s="2008"/>
    </row>
    <row r="196">
      <c r="A196" s="2008"/>
      <c r="B196" s="2008"/>
      <c r="C196" s="2008"/>
      <c r="D196" s="2008"/>
      <c r="E196" s="2008"/>
      <c r="F196" s="2008"/>
      <c r="G196" s="2008"/>
      <c r="H196" s="2008"/>
      <c r="I196" s="2008"/>
      <c r="J196" s="2008"/>
      <c r="K196" s="2008"/>
      <c r="L196" s="2008"/>
      <c r="M196" s="2008"/>
      <c r="N196" s="2008"/>
      <c r="O196" s="2008"/>
      <c r="P196" s="2008"/>
      <c r="Q196" s="2008"/>
      <c r="R196" s="2008"/>
      <c r="S196" s="2008"/>
      <c r="T196" s="2008"/>
    </row>
    <row r="197">
      <c r="A197" s="2008"/>
      <c r="B197" s="2008"/>
      <c r="C197" s="2008"/>
      <c r="D197" s="2008"/>
      <c r="E197" s="2008"/>
      <c r="F197" s="2008"/>
      <c r="G197" s="2008"/>
      <c r="H197" s="2008"/>
      <c r="I197" s="2008"/>
      <c r="J197" s="2008"/>
      <c r="K197" s="2008"/>
      <c r="L197" s="2008"/>
      <c r="M197" s="2008"/>
      <c r="N197" s="2008"/>
      <c r="O197" s="2008"/>
      <c r="P197" s="2008"/>
      <c r="Q197" s="2008"/>
      <c r="R197" s="2008"/>
      <c r="S197" s="2008"/>
      <c r="T197" s="2008"/>
    </row>
    <row r="198">
      <c r="A198" s="2008"/>
      <c r="B198" s="2008"/>
      <c r="C198" s="2008"/>
      <c r="D198" s="2008"/>
      <c r="E198" s="2008"/>
      <c r="F198" s="2008"/>
      <c r="G198" s="2008"/>
      <c r="H198" s="2008"/>
      <c r="I198" s="2008"/>
      <c r="J198" s="2008"/>
      <c r="K198" s="2008"/>
      <c r="L198" s="2008"/>
      <c r="M198" s="2008"/>
      <c r="N198" s="2008"/>
      <c r="O198" s="2008"/>
      <c r="P198" s="2008"/>
      <c r="Q198" s="2008"/>
      <c r="R198" s="2008"/>
      <c r="S198" s="2008"/>
      <c r="T198" s="2008"/>
    </row>
    <row r="199">
      <c r="A199" s="2008"/>
      <c r="B199" s="2008"/>
      <c r="C199" s="2008"/>
      <c r="D199" s="2008"/>
      <c r="E199" s="2008"/>
      <c r="F199" s="2008"/>
      <c r="G199" s="2008"/>
      <c r="H199" s="2008"/>
      <c r="I199" s="2008"/>
      <c r="J199" s="2008"/>
      <c r="K199" s="2008"/>
      <c r="L199" s="2008"/>
      <c r="M199" s="2008"/>
      <c r="N199" s="2008"/>
      <c r="O199" s="2008"/>
      <c r="P199" s="2008"/>
      <c r="Q199" s="2008"/>
      <c r="R199" s="2008"/>
      <c r="S199" s="2008"/>
      <c r="T199" s="2008"/>
    </row>
  </sheetData>
  <mergeCells>
    <mergeCell ref="B2:C2"/>
  </mergeCells>
  <picture r:id="rId1"/>
</worksheet>
</file>

<file path=xl/worksheets/sheet4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0"/>
  <cols>
    <col collapsed="false" customWidth="true" hidden="false" max="7" min="7" style="0" width="11.211267605633802"/>
    <col collapsed="false" customWidth="true" hidden="false" max="5" min="5" style="0" width="11.211267605633802"/>
    <col collapsed="false" customWidth="true" hidden="false" max="6" min="6" style="0" width="11.211267605633802"/>
  </cols>
  <sheetData>
    <row r="1">
      <c r="A1" t="s">
        <v>6740</v>
      </c>
      <c r="B1" t="s">
        <v>6741</v>
      </c>
      <c r="E1" s="2014" t="s">
        <v>6742</v>
      </c>
      <c r="F1" s="2014"/>
      <c r="G1" s="2014">
        <v>2099</v>
      </c>
    </row>
    <row r="2">
      <c r="A2">
        <v>10001</v>
      </c>
      <c r="B2">
        <v>384046431.8</v>
      </c>
      <c r="E2" s="2014" t="s">
        <v>6743</v>
      </c>
      <c r="F2" s="2014"/>
      <c r="G2" s="2014">
        <v>1359.15</v>
      </c>
    </row>
    <row r="3">
      <c r="A3">
        <v>10014</v>
      </c>
      <c r="B3">
        <v>21513236.65</v>
      </c>
      <c r="E3" s="2014" t="s">
        <v>6744</v>
      </c>
      <c r="F3" s="2014"/>
      <c r="G3" s="2014">
        <v>3164.25</v>
      </c>
    </row>
    <row r="4">
      <c r="A4">
        <v>10027</v>
      </c>
      <c r="B4">
        <v>-7673.32</v>
      </c>
      <c r="E4" s="2014" t="s">
        <v>6745</v>
      </c>
      <c r="F4" s="2014"/>
      <c r="G4" s="2014">
        <v>3314.15</v>
      </c>
    </row>
    <row r="5">
      <c r="A5">
        <v>10104</v>
      </c>
      <c r="B5">
        <v>-1044961.06</v>
      </c>
      <c r="E5" s="2014" t="s">
        <v>6746</v>
      </c>
      <c r="F5" s="2014"/>
      <c r="G5" s="2014">
        <v>1359.15</v>
      </c>
    </row>
    <row r="6">
      <c r="A6">
        <v>10105</v>
      </c>
      <c r="B6">
        <v>228564.2</v>
      </c>
      <c r="E6" s="2014" t="s">
        <v>6747</v>
      </c>
      <c r="F6" s="2014"/>
      <c r="G6" s="2014">
        <v>2464.15</v>
      </c>
    </row>
    <row r="7">
      <c r="A7">
        <v>10106</v>
      </c>
      <c r="B7">
        <v>-759388.59</v>
      </c>
      <c r="E7" s="2014" t="s">
        <v>6748</v>
      </c>
      <c r="F7" s="2014"/>
      <c r="G7" s="2014">
        <v>4999</v>
      </c>
    </row>
    <row r="8">
      <c r="A8">
        <v>10107</v>
      </c>
      <c r="B8">
        <v>-101878.67</v>
      </c>
      <c r="E8" s="2014" t="s">
        <v>6749</v>
      </c>
      <c r="F8" s="2014"/>
      <c r="G8" s="2014">
        <v>5413.65</v>
      </c>
    </row>
    <row r="9">
      <c r="A9">
        <v>10108</v>
      </c>
      <c r="B9">
        <v>-25531348.06</v>
      </c>
      <c r="E9" s="2014" t="s">
        <v>6750</v>
      </c>
      <c r="F9" s="2014"/>
      <c r="G9" s="2014">
        <v>4079.15</v>
      </c>
    </row>
    <row r="10">
      <c r="A10">
        <v>10109</v>
      </c>
      <c r="B10">
        <v>-1122895.63</v>
      </c>
      <c r="E10" s="2014" t="s">
        <v>6751</v>
      </c>
      <c r="F10" s="2014"/>
      <c r="G10" s="2014">
        <v>3042.15</v>
      </c>
    </row>
    <row r="11">
      <c r="A11">
        <v>10110</v>
      </c>
      <c r="B11">
        <v>-629860.68</v>
      </c>
      <c r="E11" s="2014" t="s">
        <v>6752</v>
      </c>
      <c r="F11" s="2014"/>
      <c r="G11" s="2014">
        <v>4849.25</v>
      </c>
    </row>
    <row r="12">
      <c r="A12">
        <v>10111</v>
      </c>
      <c r="B12">
        <v>-118224.65</v>
      </c>
      <c r="E12" s="2014" t="s">
        <v>6753</v>
      </c>
      <c r="F12" s="2014"/>
      <c r="G12" s="2014">
        <v>1359.15</v>
      </c>
    </row>
    <row r="13">
      <c r="A13">
        <v>10112</v>
      </c>
      <c r="B13">
        <v>-68659.41</v>
      </c>
      <c r="E13" s="2014" t="s">
        <v>6754</v>
      </c>
      <c r="F13" s="2014"/>
      <c r="G13" s="2014">
        <v>2371.5</v>
      </c>
    </row>
    <row r="14">
      <c r="A14">
        <v>10113</v>
      </c>
      <c r="B14">
        <v>-88312.8</v>
      </c>
      <c r="E14" s="2014" t="s">
        <v>6755</v>
      </c>
      <c r="F14" s="2014"/>
      <c r="G14" s="2014">
        <v>2974.15</v>
      </c>
    </row>
    <row r="15">
      <c r="A15">
        <v>10114</v>
      </c>
      <c r="B15">
        <v>-3430620.73</v>
      </c>
      <c r="E15" s="2014" t="s">
        <v>6756</v>
      </c>
      <c r="F15" s="2014"/>
      <c r="G15" s="2014">
        <v>1322.15</v>
      </c>
    </row>
    <row r="16">
      <c r="A16">
        <v>10115</v>
      </c>
      <c r="B16">
        <v>-347502.39</v>
      </c>
      <c r="E16" s="2014" t="s">
        <v>6757</v>
      </c>
      <c r="F16" s="2014"/>
      <c r="G16" s="2014">
        <v>3999.25</v>
      </c>
    </row>
    <row r="17">
      <c r="A17">
        <v>10116</v>
      </c>
      <c r="B17">
        <v>-2347790.63</v>
      </c>
      <c r="E17" s="2014" t="s">
        <v>6758</v>
      </c>
      <c r="F17" s="2014"/>
      <c r="G17" s="2014">
        <v>1945</v>
      </c>
    </row>
    <row r="18">
      <c r="A18">
        <v>10117</v>
      </c>
      <c r="B18">
        <v>-27018.46</v>
      </c>
      <c r="E18" s="2014" t="s">
        <v>6759</v>
      </c>
      <c r="F18" s="2014"/>
      <c r="G18" s="2014">
        <v>1265.65</v>
      </c>
    </row>
    <row r="19">
      <c r="A19">
        <v>10118</v>
      </c>
      <c r="B19">
        <v>-1123763.12</v>
      </c>
      <c r="E19" s="2014" t="s">
        <v>6760</v>
      </c>
      <c r="F19" s="2014"/>
      <c r="G19" s="2014">
        <v>4334.15</v>
      </c>
    </row>
    <row r="20">
      <c r="A20">
        <v>10120</v>
      </c>
      <c r="B20">
        <v>-8669909.16</v>
      </c>
      <c r="E20" s="2014" t="s">
        <v>6761</v>
      </c>
      <c r="F20" s="2014"/>
      <c r="G20" s="2014">
        <v>2549.15</v>
      </c>
    </row>
    <row r="21">
      <c r="A21">
        <v>10121</v>
      </c>
      <c r="B21">
        <v>-3612850.37</v>
      </c>
      <c r="E21" s="2014" t="s">
        <v>6762</v>
      </c>
      <c r="F21" s="2014"/>
      <c r="G21" s="2014">
        <v>1359.15</v>
      </c>
    </row>
    <row r="22">
      <c r="A22">
        <v>10122</v>
      </c>
      <c r="B22">
        <v>-14940341.46</v>
      </c>
      <c r="E22" s="2014" t="s">
        <v>6763</v>
      </c>
      <c r="F22" s="2014"/>
      <c r="G22" s="2014">
        <v>2506.65</v>
      </c>
    </row>
    <row r="23">
      <c r="A23">
        <v>10123</v>
      </c>
      <c r="B23">
        <v>-2039101.92</v>
      </c>
      <c r="E23" s="2014" t="s">
        <v>6764</v>
      </c>
      <c r="F23" s="2014"/>
      <c r="G23" s="2014">
        <v>3229.15</v>
      </c>
    </row>
    <row r="24">
      <c r="A24">
        <v>10124</v>
      </c>
      <c r="B24">
        <v>-2871239.75</v>
      </c>
      <c r="E24" s="2014" t="s">
        <v>6765</v>
      </c>
      <c r="F24" s="2014"/>
      <c r="G24" s="2014">
        <v>1359.15</v>
      </c>
    </row>
    <row r="25">
      <c r="A25">
        <v>10125</v>
      </c>
      <c r="B25">
        <v>-4311928.65</v>
      </c>
      <c r="E25" s="2014" t="s">
        <v>6766</v>
      </c>
      <c r="F25" s="2014"/>
      <c r="G25" s="2014">
        <v>2049</v>
      </c>
    </row>
    <row r="26">
      <c r="A26">
        <v>10126</v>
      </c>
      <c r="B26">
        <v>-1182805.98</v>
      </c>
      <c r="E26" s="2014" t="s">
        <v>6767</v>
      </c>
      <c r="F26" s="2014"/>
      <c r="G26" s="2014">
        <v>2661.35</v>
      </c>
    </row>
    <row r="27">
      <c r="A27">
        <v>10127</v>
      </c>
      <c r="B27">
        <v>-3441736.39</v>
      </c>
      <c r="E27" s="2014" t="s">
        <v>6768</v>
      </c>
      <c r="F27" s="2014"/>
      <c r="G27" s="2014">
        <v>1359.15</v>
      </c>
    </row>
    <row r="28">
      <c r="A28">
        <v>10129</v>
      </c>
      <c r="B28">
        <v>-1423389.58</v>
      </c>
      <c r="E28" s="2014" t="s">
        <v>6769</v>
      </c>
      <c r="F28" s="2014"/>
      <c r="G28" s="2014">
        <v>4419.15</v>
      </c>
    </row>
    <row r="29">
      <c r="A29">
        <v>10134</v>
      </c>
      <c r="B29">
        <v>233866.9</v>
      </c>
      <c r="E29" s="2014" t="s">
        <v>6770</v>
      </c>
      <c r="F29" s="2014"/>
      <c r="G29" s="2014">
        <v>969</v>
      </c>
    </row>
    <row r="30">
      <c r="A30">
        <v>10135</v>
      </c>
      <c r="B30">
        <v>-6946014.07</v>
      </c>
      <c r="E30" s="2014" t="s">
        <v>6771</v>
      </c>
      <c r="F30" s="2014"/>
      <c r="G30" s="2014">
        <v>2420.8</v>
      </c>
    </row>
    <row r="31">
      <c r="A31">
        <v>10144</v>
      </c>
      <c r="B31">
        <v>212730295</v>
      </c>
      <c r="E31" s="2014" t="s">
        <v>6772</v>
      </c>
      <c r="F31" s="2014"/>
      <c r="G31" s="2014">
        <v>2198.95</v>
      </c>
    </row>
    <row r="32">
      <c r="A32">
        <v>10326</v>
      </c>
      <c r="B32">
        <v>-2122922.02</v>
      </c>
      <c r="E32" s="2014" t="s">
        <v>6773</v>
      </c>
      <c r="F32" s="2014"/>
      <c r="G32" s="2014">
        <v>1879</v>
      </c>
    </row>
    <row r="33">
      <c r="A33">
        <v>10327</v>
      </c>
      <c r="B33">
        <v>-653912.53</v>
      </c>
      <c r="E33" s="2014" t="s">
        <v>6774</v>
      </c>
      <c r="F33" s="2014"/>
      <c r="G33" s="2014">
        <v>2873.85</v>
      </c>
    </row>
    <row r="34">
      <c r="A34">
        <v>10366</v>
      </c>
      <c r="B34">
        <v>-1616254751</v>
      </c>
      <c r="E34" s="2014" t="s">
        <v>6775</v>
      </c>
      <c r="F34" s="2014"/>
      <c r="G34" s="2014">
        <v>1359.15</v>
      </c>
    </row>
    <row r="35">
      <c r="A35">
        <v>10373</v>
      </c>
      <c r="B35">
        <v>-9187.23</v>
      </c>
      <c r="E35" s="2014" t="s">
        <v>6776</v>
      </c>
      <c r="F35" s="2014"/>
      <c r="G35" s="2014">
        <v>2916.35</v>
      </c>
    </row>
    <row r="36">
      <c r="A36">
        <v>10374</v>
      </c>
      <c r="B36">
        <v>-7000</v>
      </c>
      <c r="E36" s="2014" t="s">
        <v>6777</v>
      </c>
      <c r="F36" s="2014"/>
      <c r="G36" s="2014">
        <v>1999</v>
      </c>
    </row>
    <row r="37">
      <c r="A37">
        <v>10379</v>
      </c>
      <c r="B37">
        <v>25223.77</v>
      </c>
      <c r="E37" s="2014" t="s">
        <v>6778</v>
      </c>
      <c r="F37" s="2014"/>
      <c r="G37" s="2014">
        <v>2506.65</v>
      </c>
    </row>
    <row r="38">
      <c r="A38">
        <v>10407</v>
      </c>
      <c r="B38">
        <v>-803663.99</v>
      </c>
      <c r="E38" s="2014" t="s">
        <v>6779</v>
      </c>
      <c r="F38" s="2014"/>
      <c r="G38" s="2014">
        <v>4334.15</v>
      </c>
    </row>
    <row r="39">
      <c r="A39">
        <v>10470</v>
      </c>
      <c r="B39">
        <v>-155941914</v>
      </c>
      <c r="E39" s="2014" t="s">
        <v>6780</v>
      </c>
      <c r="F39" s="2014"/>
      <c r="G39" s="2014">
        <v>4232.15</v>
      </c>
    </row>
    <row r="40">
      <c r="A40">
        <v>10471</v>
      </c>
      <c r="B40">
        <v>9735.4</v>
      </c>
      <c r="E40" s="2014" t="s">
        <v>6781</v>
      </c>
      <c r="F40" s="2014"/>
      <c r="G40" s="2014">
        <v>3229.15</v>
      </c>
    </row>
    <row r="41">
      <c r="A41">
        <v>10508</v>
      </c>
      <c r="B41">
        <v>-537545673.8</v>
      </c>
      <c r="E41" s="2014" t="s">
        <v>6782</v>
      </c>
      <c r="F41" s="2014"/>
      <c r="G41" s="2014">
        <v>3224.57</v>
      </c>
    </row>
    <row r="42">
      <c r="A42">
        <v>10515</v>
      </c>
      <c r="B42">
        <v>0</v>
      </c>
      <c r="E42" s="2014" t="s">
        <v>6783</v>
      </c>
      <c r="F42" s="2014"/>
      <c r="G42" s="2014">
        <v>1999</v>
      </c>
    </row>
    <row r="43">
      <c r="A43">
        <v>10525</v>
      </c>
      <c r="B43">
        <v>14123.63</v>
      </c>
      <c r="E43" s="2014" t="s">
        <v>6784</v>
      </c>
      <c r="F43" s="2014"/>
      <c r="G43" s="2014">
        <v>1999</v>
      </c>
    </row>
    <row r="44">
      <c r="A44">
        <v>10537</v>
      </c>
      <c r="B44">
        <v>-10054803.27</v>
      </c>
      <c r="E44" s="2014" t="s">
        <v>6785</v>
      </c>
      <c r="F44" s="2014"/>
      <c r="G44" s="2014">
        <v>1399</v>
      </c>
    </row>
    <row r="45">
      <c r="A45">
        <v>10551</v>
      </c>
      <c r="B45">
        <v>256893.35</v>
      </c>
      <c r="E45" s="2014" t="s">
        <v>6786</v>
      </c>
      <c r="F45" s="2014"/>
      <c r="G45" s="2014">
        <v>2856.85</v>
      </c>
    </row>
    <row r="46">
      <c r="A46">
        <v>10597</v>
      </c>
      <c r="B46">
        <v>117897.75</v>
      </c>
      <c r="E46" s="2014" t="s">
        <v>6787</v>
      </c>
      <c r="F46" s="2014"/>
      <c r="G46" s="2014">
        <v>3264.15</v>
      </c>
    </row>
    <row r="47">
      <c r="A47">
        <v>50044</v>
      </c>
      <c r="B47">
        <v>-228618.7</v>
      </c>
      <c r="E47" s="2014" t="s">
        <v>6788</v>
      </c>
      <c r="F47" s="2014"/>
      <c r="G47" s="2014">
        <v>1359.15</v>
      </c>
    </row>
    <row r="48">
      <c r="A48">
        <v>50989</v>
      </c>
      <c r="B48">
        <v>-15099.48</v>
      </c>
      <c r="E48" s="2014" t="s">
        <v>6789</v>
      </c>
      <c r="F48" s="2014"/>
      <c r="G48" s="2014">
        <v>1399</v>
      </c>
    </row>
    <row r="49">
      <c r="A49">
        <v>51107</v>
      </c>
      <c r="B49">
        <v>-2000</v>
      </c>
      <c r="E49" s="2014" t="s">
        <v>6790</v>
      </c>
      <c r="F49" s="2014"/>
      <c r="G49" s="2014">
        <v>2360.05</v>
      </c>
    </row>
    <row r="50">
      <c r="A50">
        <v>51297</v>
      </c>
      <c r="B50">
        <v>-871822.56</v>
      </c>
      <c r="E50" s="2014" t="s">
        <v>6791</v>
      </c>
      <c r="F50" s="2014"/>
      <c r="G50" s="2014">
        <v>1359.15</v>
      </c>
    </row>
    <row r="51">
      <c r="A51">
        <v>100061</v>
      </c>
      <c r="B51">
        <v>13637.81</v>
      </c>
      <c r="E51" s="2014" t="s">
        <v>6792</v>
      </c>
      <c r="F51" s="2014"/>
      <c r="G51" s="2014">
        <v>1359.15</v>
      </c>
    </row>
    <row r="52">
      <c r="A52">
        <v>101455</v>
      </c>
      <c r="B52">
        <v>-13000</v>
      </c>
      <c r="E52" s="2014" t="s">
        <v>6793</v>
      </c>
      <c r="F52" s="2014"/>
      <c r="G52" s="2014">
        <v>2856.85</v>
      </c>
    </row>
    <row r="53">
      <c r="A53">
        <v>102010</v>
      </c>
      <c r="B53">
        <v>-20000</v>
      </c>
      <c r="E53" s="2014" t="s">
        <v>6794</v>
      </c>
      <c r="F53" s="2014"/>
      <c r="G53" s="2014">
        <v>2634.15</v>
      </c>
    </row>
    <row r="54">
      <c r="A54">
        <v>102011</v>
      </c>
      <c r="B54">
        <v>-131120.23</v>
      </c>
      <c r="E54" s="2014" t="s">
        <v>6795</v>
      </c>
      <c r="F54" s="2014"/>
      <c r="G54" s="2014">
        <v>2545.75</v>
      </c>
    </row>
    <row r="55">
      <c r="A55">
        <v>103296</v>
      </c>
      <c r="B55">
        <v>-284528.17</v>
      </c>
      <c r="E55" s="2014" t="s">
        <v>6796</v>
      </c>
      <c r="F55" s="2014"/>
      <c r="G55" s="2014">
        <v>2256.75</v>
      </c>
    </row>
    <row r="56">
      <c r="A56">
        <v>103418</v>
      </c>
      <c r="B56">
        <v>-1000</v>
      </c>
      <c r="E56" s="2014" t="s">
        <v>6797</v>
      </c>
      <c r="F56" s="2014"/>
      <c r="G56" s="2014">
        <v>2173.45</v>
      </c>
    </row>
    <row r="57">
      <c r="A57">
        <v>103623</v>
      </c>
      <c r="B57">
        <v>-67635.94</v>
      </c>
      <c r="E57" s="2014" t="s">
        <v>6798</v>
      </c>
      <c r="F57" s="2014"/>
      <c r="G57" s="2014">
        <v>2958.85</v>
      </c>
    </row>
    <row r="58">
      <c r="A58">
        <v>104000</v>
      </c>
      <c r="B58">
        <v>-7000</v>
      </c>
      <c r="E58" s="2014" t="s">
        <v>6799</v>
      </c>
      <c r="F58" s="2014"/>
      <c r="G58" s="2014">
        <v>3110.15</v>
      </c>
    </row>
    <row r="59">
      <c r="A59">
        <v>104339</v>
      </c>
      <c r="B59">
        <v>-7200</v>
      </c>
      <c r="E59" s="2014" t="s">
        <v>6800</v>
      </c>
      <c r="F59" s="2014"/>
      <c r="G59" s="2014">
        <v>2198.95</v>
      </c>
    </row>
    <row r="60">
      <c r="A60">
        <v>104969</v>
      </c>
      <c r="B60">
        <v>-39371</v>
      </c>
      <c r="E60" s="2014" t="s">
        <v>6801</v>
      </c>
      <c r="F60" s="2014"/>
      <c r="G60" s="2014">
        <v>4375.85</v>
      </c>
    </row>
    <row r="61">
      <c r="A61">
        <v>105788</v>
      </c>
      <c r="B61">
        <v>-31654</v>
      </c>
      <c r="E61" s="2014" t="s">
        <v>6802</v>
      </c>
      <c r="F61" s="2014"/>
      <c r="G61" s="2014">
        <v>1934.73</v>
      </c>
    </row>
    <row r="62">
      <c r="A62">
        <v>105789</v>
      </c>
      <c r="B62">
        <v>-20963.06</v>
      </c>
      <c r="E62" s="2014" t="s">
        <v>6803</v>
      </c>
      <c r="F62" s="2014"/>
      <c r="G62" s="2014">
        <v>1359.15</v>
      </c>
    </row>
    <row r="63">
      <c r="A63">
        <v>106083</v>
      </c>
      <c r="B63">
        <v>-138894.72</v>
      </c>
      <c r="E63" s="2014" t="s">
        <v>6804</v>
      </c>
      <c r="F63" s="2014"/>
      <c r="G63" s="2014">
        <v>2532.15</v>
      </c>
    </row>
    <row r="64">
      <c r="A64">
        <v>107926</v>
      </c>
      <c r="B64">
        <v>-39345.1</v>
      </c>
      <c r="E64" s="2014" t="s">
        <v>6805</v>
      </c>
      <c r="F64" s="2014"/>
      <c r="G64" s="2014">
        <v>3127.15</v>
      </c>
    </row>
    <row r="65">
      <c r="A65">
        <v>108487</v>
      </c>
      <c r="B65">
        <v>-4464.61</v>
      </c>
      <c r="E65" s="2014" t="s">
        <v>6806</v>
      </c>
      <c r="F65" s="2014"/>
      <c r="G65" s="2014">
        <v>3229.15</v>
      </c>
    </row>
    <row r="66">
      <c r="A66">
        <v>109775</v>
      </c>
      <c r="B66">
        <v>-45918.02</v>
      </c>
      <c r="E66" s="2014" t="s">
        <v>6807</v>
      </c>
      <c r="F66" s="2014"/>
      <c r="G66" s="2014">
        <v>2387.65</v>
      </c>
    </row>
    <row r="67">
      <c r="A67">
        <v>111677</v>
      </c>
      <c r="B67">
        <v>-7000</v>
      </c>
      <c r="E67" s="2014" t="s">
        <v>6808</v>
      </c>
      <c r="F67" s="2014"/>
      <c r="G67" s="2014">
        <v>2430.15</v>
      </c>
    </row>
    <row r="68">
      <c r="A68">
        <v>111702</v>
      </c>
      <c r="B68">
        <v>-60000</v>
      </c>
      <c r="E68" s="2014" t="s">
        <v>6809</v>
      </c>
      <c r="F68" s="2014"/>
      <c r="G68" s="2014">
        <v>1899</v>
      </c>
    </row>
    <row r="69">
      <c r="A69">
        <v>111859</v>
      </c>
      <c r="B69">
        <v>205968.87</v>
      </c>
      <c r="E69" s="2014" t="s">
        <v>6810</v>
      </c>
      <c r="F69" s="2014"/>
      <c r="G69" s="2014">
        <v>3528</v>
      </c>
    </row>
    <row r="70">
      <c r="A70">
        <v>112244</v>
      </c>
      <c r="B70">
        <v>-5603.42</v>
      </c>
      <c r="E70" s="2014" t="s">
        <v>6811</v>
      </c>
      <c r="F70" s="2014"/>
      <c r="G70" s="2014">
        <v>1325.15</v>
      </c>
    </row>
    <row r="71">
      <c r="A71">
        <v>112249</v>
      </c>
      <c r="B71">
        <v>-32729.74</v>
      </c>
      <c r="E71" s="2014" t="s">
        <v>6812</v>
      </c>
      <c r="F71" s="2014"/>
      <c r="G71" s="2014">
        <v>1334.15</v>
      </c>
    </row>
    <row r="72">
      <c r="A72">
        <v>112495</v>
      </c>
      <c r="B72">
        <v>-23393.79</v>
      </c>
      <c r="E72" s="2014" t="s">
        <v>6813</v>
      </c>
      <c r="F72" s="2014"/>
      <c r="G72" s="2014">
        <v>2549.15</v>
      </c>
    </row>
    <row r="73">
      <c r="A73">
        <v>112743</v>
      </c>
      <c r="B73">
        <v>-40000</v>
      </c>
      <c r="E73" s="2014" t="s">
        <v>6814</v>
      </c>
      <c r="F73" s="2014"/>
      <c r="G73" s="2014">
        <v>2078.99</v>
      </c>
    </row>
    <row r="74">
      <c r="A74">
        <v>113335</v>
      </c>
      <c r="B74">
        <v>-1022.7</v>
      </c>
      <c r="E74" s="2014" t="s">
        <v>6815</v>
      </c>
      <c r="F74" s="2014"/>
      <c r="G74" s="2014">
        <v>2530.45</v>
      </c>
    </row>
    <row r="75">
      <c r="A75">
        <v>113680</v>
      </c>
      <c r="B75">
        <v>-147643.63</v>
      </c>
      <c r="E75" s="2014" t="s">
        <v>6816</v>
      </c>
      <c r="F75" s="2014"/>
      <c r="G75" s="2014">
        <v>2198.95</v>
      </c>
    </row>
    <row r="76">
      <c r="A76">
        <v>113687</v>
      </c>
      <c r="B76">
        <v>-20507.99</v>
      </c>
      <c r="E76" s="2014" t="s">
        <v>6817</v>
      </c>
      <c r="F76" s="2014"/>
      <c r="G76" s="2014">
        <v>7647.19</v>
      </c>
    </row>
    <row r="77">
      <c r="A77">
        <v>113720</v>
      </c>
      <c r="B77">
        <v>-20949.71</v>
      </c>
      <c r="E77" s="2014" t="s">
        <v>6818</v>
      </c>
      <c r="F77" s="2014"/>
      <c r="G77" s="2014">
        <v>1359.15</v>
      </c>
    </row>
    <row r="78">
      <c r="A78">
        <v>113936</v>
      </c>
      <c r="B78">
        <v>-29979.69</v>
      </c>
      <c r="E78" s="2014" t="s">
        <v>6819</v>
      </c>
      <c r="F78" s="2014"/>
      <c r="G78" s="2014">
        <v>1359.15</v>
      </c>
    </row>
    <row r="79">
      <c r="A79">
        <v>113938</v>
      </c>
      <c r="B79">
        <v>-127766.3</v>
      </c>
      <c r="E79" s="2014" t="s">
        <v>6820</v>
      </c>
      <c r="F79" s="2014"/>
      <c r="G79" s="2014">
        <v>2634.15</v>
      </c>
    </row>
    <row r="80">
      <c r="A80">
        <v>113940</v>
      </c>
      <c r="B80">
        <v>-10000</v>
      </c>
      <c r="E80" s="2014" t="s">
        <v>6821</v>
      </c>
      <c r="F80" s="2014"/>
      <c r="G80" s="2014">
        <v>2299.25</v>
      </c>
    </row>
    <row r="81">
      <c r="A81">
        <v>113956</v>
      </c>
      <c r="B81">
        <v>-12131.88</v>
      </c>
      <c r="E81" s="2014" t="s">
        <v>6822</v>
      </c>
      <c r="F81" s="2014"/>
      <c r="G81" s="2014">
        <v>2634.15</v>
      </c>
    </row>
    <row r="82">
      <c r="A82">
        <v>113978</v>
      </c>
      <c r="B82">
        <v>-100572.09</v>
      </c>
      <c r="E82" s="2014" t="s">
        <v>6823</v>
      </c>
      <c r="F82" s="2014"/>
      <c r="G82" s="2014">
        <v>4334.15</v>
      </c>
    </row>
    <row r="83">
      <c r="A83">
        <v>114275</v>
      </c>
      <c r="B83">
        <v>-24749.92</v>
      </c>
      <c r="E83" s="2014" t="s">
        <v>6824</v>
      </c>
      <c r="F83" s="2014"/>
      <c r="G83" s="2014">
        <v>1359.15</v>
      </c>
    </row>
    <row r="84">
      <c r="A84">
        <v>114752</v>
      </c>
      <c r="B84">
        <v>-62480.28</v>
      </c>
      <c r="E84" s="2014" t="s">
        <v>6825</v>
      </c>
      <c r="F84" s="2014"/>
      <c r="G84" s="2014">
        <v>2420.8</v>
      </c>
    </row>
    <row r="85">
      <c r="A85">
        <v>114790</v>
      </c>
      <c r="B85">
        <v>-10000</v>
      </c>
      <c r="E85" s="2014" t="s">
        <v>6826</v>
      </c>
      <c r="F85" s="2014"/>
      <c r="G85" s="2014">
        <v>2589.95</v>
      </c>
    </row>
    <row r="86">
      <c r="A86">
        <v>114915</v>
      </c>
      <c r="B86">
        <v>-395226.62</v>
      </c>
      <c r="E86" s="2014" t="s">
        <v>6827</v>
      </c>
      <c r="F86" s="2014"/>
      <c r="G86" s="2014">
        <v>2378.3</v>
      </c>
    </row>
    <row r="87">
      <c r="A87">
        <v>115207</v>
      </c>
      <c r="B87">
        <v>-46631.59</v>
      </c>
      <c r="E87" s="2014" t="s">
        <v>6828</v>
      </c>
      <c r="F87" s="2014"/>
      <c r="G87" s="2014">
        <v>1316.65</v>
      </c>
    </row>
    <row r="88">
      <c r="A88">
        <v>115427</v>
      </c>
      <c r="B88">
        <v>-110000</v>
      </c>
      <c r="E88" s="2014" t="s">
        <v>6829</v>
      </c>
      <c r="F88" s="2014"/>
      <c r="G88" s="2014">
        <v>400</v>
      </c>
    </row>
    <row r="89">
      <c r="A89">
        <v>115463</v>
      </c>
      <c r="B89">
        <v>-30078.06</v>
      </c>
      <c r="E89" s="2014" t="s">
        <v>6830</v>
      </c>
      <c r="F89" s="2014"/>
      <c r="G89" s="2014">
        <v>2378.3</v>
      </c>
    </row>
    <row r="90">
      <c r="A90">
        <v>115874</v>
      </c>
      <c r="B90">
        <v>-20000</v>
      </c>
      <c r="E90" s="2014" t="s">
        <v>6831</v>
      </c>
      <c r="F90" s="2014"/>
      <c r="G90" s="2014">
        <v>2252.5</v>
      </c>
    </row>
    <row r="91">
      <c r="A91">
        <v>116699</v>
      </c>
      <c r="B91">
        <v>-20000</v>
      </c>
      <c r="E91" s="2014" t="s">
        <v>6832</v>
      </c>
      <c r="F91" s="2014"/>
      <c r="G91" s="2014">
        <v>1223.15</v>
      </c>
    </row>
    <row r="92">
      <c r="A92">
        <v>116735</v>
      </c>
      <c r="B92">
        <v>-709277.69</v>
      </c>
      <c r="E92" s="2014" t="s">
        <v>6833</v>
      </c>
      <c r="F92" s="2014"/>
      <c r="G92" s="2014">
        <v>1309</v>
      </c>
    </row>
    <row r="93">
      <c r="A93">
        <v>116909</v>
      </c>
      <c r="B93">
        <v>-71030.11</v>
      </c>
      <c r="E93" s="2014" t="s">
        <v>6834</v>
      </c>
      <c r="F93" s="2014"/>
      <c r="G93" s="2014">
        <v>2164.95</v>
      </c>
    </row>
    <row r="94">
      <c r="A94">
        <v>117485</v>
      </c>
      <c r="B94">
        <v>-20000</v>
      </c>
      <c r="E94" s="2014" t="s">
        <v>6835</v>
      </c>
      <c r="F94" s="2014"/>
      <c r="G94" s="2014">
        <v>5498.65</v>
      </c>
    </row>
    <row r="95">
      <c r="A95">
        <v>117539</v>
      </c>
      <c r="B95">
        <v>-5008.65</v>
      </c>
      <c r="E95" s="2014" t="s">
        <v>6836</v>
      </c>
      <c r="F95" s="2014"/>
      <c r="G95" s="2014">
        <v>2362.15</v>
      </c>
    </row>
    <row r="96">
      <c r="A96">
        <v>117559</v>
      </c>
      <c r="B96">
        <v>-15308.52</v>
      </c>
      <c r="E96" s="2014" t="s">
        <v>6837</v>
      </c>
      <c r="F96" s="2014"/>
      <c r="G96" s="2014">
        <v>4334.15</v>
      </c>
    </row>
    <row r="97">
      <c r="A97">
        <v>117978</v>
      </c>
      <c r="B97">
        <v>-100000.25</v>
      </c>
      <c r="E97" s="2014" t="s">
        <v>6838</v>
      </c>
      <c r="F97" s="2014"/>
      <c r="G97" s="2014">
        <v>1833</v>
      </c>
    </row>
    <row r="98">
      <c r="A98">
        <v>118152</v>
      </c>
      <c r="B98">
        <v>-75948.2</v>
      </c>
      <c r="E98" s="2014" t="s">
        <v>6839</v>
      </c>
      <c r="F98" s="2014"/>
      <c r="G98" s="2014">
        <v>2378.3</v>
      </c>
    </row>
    <row r="99">
      <c r="A99">
        <v>118320</v>
      </c>
      <c r="B99">
        <v>-4507.71</v>
      </c>
      <c r="E99" s="2014" t="s">
        <v>6840</v>
      </c>
      <c r="F99" s="2014"/>
      <c r="G99" s="2014">
        <v>2421.65</v>
      </c>
    </row>
    <row r="100">
      <c r="A100">
        <v>118539</v>
      </c>
      <c r="B100">
        <v>-167382.18</v>
      </c>
      <c r="E100" s="2014" t="s">
        <v>6841</v>
      </c>
      <c r="F100" s="2014"/>
      <c r="G100" s="2014">
        <v>2974.15</v>
      </c>
    </row>
    <row r="101">
      <c r="A101">
        <v>118747</v>
      </c>
      <c r="B101">
        <v>-259100</v>
      </c>
      <c r="E101" s="2014" t="s">
        <v>6842</v>
      </c>
      <c r="F101" s="2014"/>
      <c r="G101" s="2014">
        <v>1325.15</v>
      </c>
    </row>
    <row r="102">
      <c r="A102">
        <v>118945</v>
      </c>
      <c r="B102">
        <v>-240266.18</v>
      </c>
      <c r="E102" s="2014" t="s">
        <v>6843</v>
      </c>
      <c r="F102" s="2014"/>
      <c r="G102" s="2014">
        <v>1824</v>
      </c>
    </row>
    <row r="103">
      <c r="A103">
        <v>119152</v>
      </c>
      <c r="B103">
        <v>-61731.98</v>
      </c>
      <c r="E103" s="2014" t="s">
        <v>6844</v>
      </c>
      <c r="F103" s="2014"/>
      <c r="G103" s="2014">
        <v>2372.35</v>
      </c>
    </row>
    <row r="104">
      <c r="A104">
        <v>119153</v>
      </c>
      <c r="B104">
        <v>-30000</v>
      </c>
      <c r="E104" s="2014" t="s">
        <v>6845</v>
      </c>
      <c r="F104" s="2014"/>
      <c r="G104" s="2014">
        <v>3999.25</v>
      </c>
    </row>
    <row r="105">
      <c r="A105">
        <v>119634</v>
      </c>
      <c r="B105">
        <v>-54058.07</v>
      </c>
      <c r="E105" s="2014" t="s">
        <v>6846</v>
      </c>
      <c r="F105" s="2014"/>
      <c r="G105" s="2014">
        <v>1359.15</v>
      </c>
    </row>
    <row r="106">
      <c r="A106">
        <v>119758</v>
      </c>
      <c r="B106">
        <v>-70083.4</v>
      </c>
      <c r="E106" s="2014" t="s">
        <v>6847</v>
      </c>
      <c r="F106" s="2014"/>
      <c r="G106" s="2014">
        <v>3229.15</v>
      </c>
    </row>
    <row r="107">
      <c r="A107">
        <v>119992</v>
      </c>
      <c r="B107">
        <v>-193855.5</v>
      </c>
      <c r="E107" s="2014" t="s">
        <v>6848</v>
      </c>
      <c r="F107" s="2014"/>
      <c r="G107" s="2014">
        <v>2958.85</v>
      </c>
    </row>
    <row r="108">
      <c r="A108">
        <v>120275</v>
      </c>
      <c r="B108">
        <v>-10000</v>
      </c>
      <c r="E108" s="2014" t="s">
        <v>6849</v>
      </c>
      <c r="F108" s="2014"/>
      <c r="G108" s="2014">
        <v>2549.15</v>
      </c>
    </row>
    <row r="109">
      <c r="A109">
        <v>120422</v>
      </c>
      <c r="B109">
        <v>-20000</v>
      </c>
      <c r="E109" s="2014" t="s">
        <v>6850</v>
      </c>
      <c r="F109" s="2014"/>
      <c r="G109" s="2014">
        <v>1999</v>
      </c>
    </row>
    <row r="110">
      <c r="A110">
        <v>120816</v>
      </c>
      <c r="B110">
        <v>-47841.48</v>
      </c>
      <c r="E110" s="2014" t="s">
        <v>6851</v>
      </c>
      <c r="F110" s="2014"/>
      <c r="G110" s="2014">
        <v>4213.71</v>
      </c>
    </row>
    <row r="111">
      <c r="A111">
        <v>120846</v>
      </c>
      <c r="B111">
        <v>-898854.89</v>
      </c>
      <c r="E111" s="2014" t="s">
        <v>6852</v>
      </c>
      <c r="F111" s="2014"/>
      <c r="G111" s="2014">
        <v>1999</v>
      </c>
    </row>
    <row r="112">
      <c r="A112">
        <v>120940</v>
      </c>
      <c r="B112">
        <v>-6843.75</v>
      </c>
      <c r="E112" s="2014" t="s">
        <v>6853</v>
      </c>
      <c r="F112" s="2014"/>
      <c r="G112" s="2014">
        <v>1949</v>
      </c>
    </row>
    <row r="113">
      <c r="A113">
        <v>121033</v>
      </c>
      <c r="B113">
        <v>-37613.9</v>
      </c>
      <c r="E113" s="2014" t="s">
        <v>6854</v>
      </c>
      <c r="F113" s="2014"/>
      <c r="G113" s="2014">
        <v>4419.15</v>
      </c>
    </row>
    <row r="114">
      <c r="A114">
        <v>121089</v>
      </c>
      <c r="B114">
        <v>-3000</v>
      </c>
      <c r="E114" s="2014" t="s">
        <v>6855</v>
      </c>
      <c r="F114" s="2014"/>
      <c r="G114" s="2014">
        <v>2916.35</v>
      </c>
    </row>
    <row r="115">
      <c r="A115">
        <v>121148</v>
      </c>
      <c r="B115">
        <v>-38100</v>
      </c>
      <c r="E115" s="2014" t="s">
        <v>6856</v>
      </c>
      <c r="F115" s="2014"/>
      <c r="G115" s="2014">
        <v>3229.15</v>
      </c>
    </row>
    <row r="116">
      <c r="A116">
        <v>121496</v>
      </c>
      <c r="B116">
        <v>-123824.5</v>
      </c>
      <c r="E116" s="2014" t="s">
        <v>6857</v>
      </c>
      <c r="F116" s="2014"/>
      <c r="G116" s="2014">
        <v>3899</v>
      </c>
    </row>
    <row r="117">
      <c r="A117">
        <v>121539</v>
      </c>
      <c r="B117">
        <v>-3080.68</v>
      </c>
      <c r="E117" s="2014" t="s">
        <v>6858</v>
      </c>
      <c r="F117" s="2014"/>
      <c r="G117" s="2014">
        <v>2916.35</v>
      </c>
    </row>
    <row r="118">
      <c r="A118">
        <v>121755</v>
      </c>
      <c r="B118">
        <v>-3000</v>
      </c>
      <c r="E118" s="2014" t="s">
        <v>6859</v>
      </c>
      <c r="F118" s="2014"/>
      <c r="G118" s="2014">
        <v>3229.15</v>
      </c>
    </row>
    <row r="119">
      <c r="A119">
        <v>122026</v>
      </c>
      <c r="B119">
        <v>-26980.5</v>
      </c>
      <c r="E119" s="2014" t="s">
        <v>6860</v>
      </c>
      <c r="F119" s="2014"/>
      <c r="G119" s="2014">
        <v>1359.15</v>
      </c>
    </row>
    <row r="120">
      <c r="A120">
        <v>122952</v>
      </c>
      <c r="B120">
        <v>-32259</v>
      </c>
      <c r="E120" s="2014" t="s">
        <v>6861</v>
      </c>
      <c r="F120" s="2014"/>
      <c r="G120" s="2014">
        <v>2549.15</v>
      </c>
    </row>
    <row r="121">
      <c r="A121">
        <v>123277</v>
      </c>
      <c r="B121">
        <v>-6350</v>
      </c>
      <c r="E121" s="2014" t="s">
        <v>6862</v>
      </c>
      <c r="F121" s="2014"/>
      <c r="G121" s="2014">
        <v>949</v>
      </c>
    </row>
    <row r="122">
      <c r="A122">
        <v>124448</v>
      </c>
      <c r="B122">
        <v>-107035.01</v>
      </c>
      <c r="E122" s="2014" t="s">
        <v>6863</v>
      </c>
      <c r="F122" s="2014"/>
      <c r="G122" s="2014">
        <v>3229.15</v>
      </c>
    </row>
    <row r="123">
      <c r="A123">
        <v>124623</v>
      </c>
      <c r="B123">
        <v>-60000</v>
      </c>
      <c r="E123" s="2014" t="s">
        <v>6864</v>
      </c>
      <c r="F123" s="2014"/>
      <c r="G123" s="2014">
        <v>1996</v>
      </c>
    </row>
    <row r="124">
      <c r="A124">
        <v>125144</v>
      </c>
      <c r="B124">
        <v>-10000</v>
      </c>
      <c r="E124" s="2014" t="s">
        <v>6865</v>
      </c>
      <c r="F124" s="2014"/>
      <c r="G124" s="2014">
        <v>2198.95</v>
      </c>
    </row>
    <row r="125">
      <c r="A125">
        <v>126025</v>
      </c>
      <c r="B125">
        <v>-43249.23</v>
      </c>
      <c r="E125" s="2014" t="s">
        <v>6866</v>
      </c>
      <c r="F125" s="2014"/>
      <c r="G125" s="2014">
        <v>1999</v>
      </c>
    </row>
    <row r="126">
      <c r="A126">
        <v>128165</v>
      </c>
      <c r="B126">
        <v>-14580.78</v>
      </c>
      <c r="E126" s="2014" t="s">
        <v>6867</v>
      </c>
      <c r="F126" s="2014"/>
      <c r="G126" s="2014">
        <v>3229.15</v>
      </c>
    </row>
    <row r="127">
      <c r="A127">
        <v>128754</v>
      </c>
      <c r="B127">
        <v>-30000</v>
      </c>
      <c r="E127" s="2014" t="s">
        <v>6868</v>
      </c>
      <c r="F127" s="2014"/>
      <c r="G127" s="2014">
        <v>2447.15</v>
      </c>
    </row>
    <row r="128">
      <c r="A128">
        <v>128756</v>
      </c>
      <c r="B128">
        <v>-2000</v>
      </c>
      <c r="E128" s="2014" t="s">
        <v>6869</v>
      </c>
      <c r="F128" s="2014"/>
      <c r="G128" s="2014">
        <v>2958.85</v>
      </c>
    </row>
    <row r="129">
      <c r="A129">
        <v>128900</v>
      </c>
      <c r="B129">
        <v>-10000</v>
      </c>
      <c r="E129" s="2014" t="s">
        <v>6870</v>
      </c>
      <c r="F129" s="2014"/>
      <c r="G129" s="2014">
        <v>3229.15</v>
      </c>
    </row>
    <row r="130">
      <c r="A130">
        <v>129213</v>
      </c>
      <c r="B130">
        <v>-30000</v>
      </c>
      <c r="E130" s="2014" t="s">
        <v>6871</v>
      </c>
      <c r="F130" s="2014"/>
      <c r="G130" s="2014">
        <v>3127.15</v>
      </c>
    </row>
    <row r="131">
      <c r="A131">
        <v>129617</v>
      </c>
      <c r="B131">
        <v>-10000</v>
      </c>
      <c r="E131" s="2014" t="s">
        <v>6872</v>
      </c>
      <c r="F131" s="2014"/>
      <c r="G131" s="2014">
        <v>3899</v>
      </c>
    </row>
    <row r="132">
      <c r="A132">
        <v>129619</v>
      </c>
      <c r="B132">
        <v>-4000</v>
      </c>
      <c r="E132" s="2014" t="s">
        <v>6873</v>
      </c>
      <c r="F132" s="2014"/>
      <c r="G132" s="2014">
        <v>1949</v>
      </c>
    </row>
    <row r="133">
      <c r="A133">
        <v>129620</v>
      </c>
      <c r="B133">
        <v>-30000</v>
      </c>
      <c r="E133" s="2014" t="s">
        <v>6874</v>
      </c>
      <c r="F133" s="2014"/>
      <c r="G133" s="2014">
        <v>2447.15</v>
      </c>
    </row>
    <row r="134">
      <c r="A134">
        <v>130855</v>
      </c>
      <c r="B134">
        <v>-40000</v>
      </c>
      <c r="E134" s="2014" t="s">
        <v>6875</v>
      </c>
      <c r="F134" s="2014"/>
      <c r="G134" s="2014">
        <v>4504.15</v>
      </c>
    </row>
    <row r="135">
      <c r="A135">
        <v>131754</v>
      </c>
      <c r="B135">
        <v>-428898.36</v>
      </c>
      <c r="E135" s="2014" t="s">
        <v>6876</v>
      </c>
      <c r="F135" s="2014"/>
      <c r="G135" s="2014">
        <v>2378.3</v>
      </c>
    </row>
    <row r="136">
      <c r="A136">
        <v>131813</v>
      </c>
      <c r="B136">
        <v>-30000</v>
      </c>
      <c r="E136" s="2014" t="s">
        <v>6877</v>
      </c>
      <c r="F136" s="2014"/>
      <c r="G136" s="2014">
        <v>2299.25</v>
      </c>
    </row>
    <row r="137">
      <c r="A137">
        <v>132268</v>
      </c>
      <c r="B137">
        <v>6487276.78</v>
      </c>
      <c r="E137" s="2014" t="s">
        <v>6878</v>
      </c>
      <c r="F137" s="2014"/>
      <c r="G137" s="2014">
        <v>2256.75</v>
      </c>
    </row>
    <row r="138">
      <c r="A138">
        <v>132318</v>
      </c>
      <c r="B138">
        <v>-1000</v>
      </c>
      <c r="E138" s="2014" t="s">
        <v>6879</v>
      </c>
      <c r="F138" s="2014"/>
      <c r="G138" s="2014">
        <v>969</v>
      </c>
    </row>
    <row r="139">
      <c r="A139">
        <v>132376</v>
      </c>
      <c r="B139">
        <v>-107177.69</v>
      </c>
      <c r="E139" s="2014" t="s">
        <v>6880</v>
      </c>
      <c r="F139" s="2014"/>
      <c r="G139" s="2014">
        <v>3290.35</v>
      </c>
    </row>
    <row r="140">
      <c r="A140">
        <v>132452</v>
      </c>
      <c r="B140">
        <v>-30000</v>
      </c>
      <c r="E140" s="2014" t="s">
        <v>6881</v>
      </c>
      <c r="F140" s="2014"/>
      <c r="G140" s="2014">
        <v>3212.15</v>
      </c>
    </row>
    <row r="141">
      <c r="A141">
        <v>132717</v>
      </c>
      <c r="B141">
        <v>-44014.71</v>
      </c>
      <c r="E141" s="2014" t="s">
        <v>6882</v>
      </c>
      <c r="F141" s="2014"/>
      <c r="G141" s="2014">
        <v>1359.03</v>
      </c>
    </row>
    <row r="142">
      <c r="A142">
        <v>132736</v>
      </c>
      <c r="B142">
        <v>-123293.51</v>
      </c>
      <c r="E142" s="2014" t="s">
        <v>6883</v>
      </c>
      <c r="F142" s="2014"/>
      <c r="G142" s="2014">
        <v>1359.15</v>
      </c>
    </row>
    <row r="143">
      <c r="A143">
        <v>134762</v>
      </c>
      <c r="B143">
        <v>-29028.05</v>
      </c>
      <c r="E143" s="2014" t="s">
        <v>6884</v>
      </c>
      <c r="F143" s="2014"/>
      <c r="G143" s="2014">
        <v>2916.35</v>
      </c>
    </row>
    <row r="144">
      <c r="A144">
        <v>135056</v>
      </c>
      <c r="B144">
        <v>-5000</v>
      </c>
      <c r="E144" s="2014" t="s">
        <v>6885</v>
      </c>
      <c r="F144" s="2014"/>
      <c r="G144" s="2014">
        <v>1949</v>
      </c>
    </row>
    <row r="145">
      <c r="A145">
        <v>136306</v>
      </c>
      <c r="B145">
        <v>-30000</v>
      </c>
      <c r="E145" s="2014" t="s">
        <v>6886</v>
      </c>
      <c r="F145" s="2014"/>
      <c r="G145" s="2014">
        <v>1399</v>
      </c>
    </row>
    <row r="146">
      <c r="A146">
        <v>136886</v>
      </c>
      <c r="B146">
        <v>-3000</v>
      </c>
      <c r="E146" s="2014" t="s">
        <v>6887</v>
      </c>
      <c r="F146" s="2014"/>
      <c r="G146" s="2014">
        <v>3169.65</v>
      </c>
    </row>
    <row r="147">
      <c r="A147">
        <v>136938</v>
      </c>
      <c r="B147">
        <v>-148391.46</v>
      </c>
      <c r="E147" s="2014" t="s">
        <v>6888</v>
      </c>
      <c r="F147" s="2014"/>
      <c r="G147" s="2014">
        <v>3314.15</v>
      </c>
    </row>
    <row r="148">
      <c r="A148">
        <v>136965</v>
      </c>
      <c r="B148">
        <v>-65267.92</v>
      </c>
      <c r="E148" s="2014" t="s">
        <v>6889</v>
      </c>
      <c r="F148" s="2014"/>
      <c r="G148" s="2014">
        <v>2916.35</v>
      </c>
    </row>
    <row r="149">
      <c r="A149">
        <v>137074</v>
      </c>
      <c r="B149">
        <v>-10000</v>
      </c>
      <c r="E149" s="2014" t="s">
        <v>6890</v>
      </c>
      <c r="F149" s="2014"/>
      <c r="G149" s="2014">
        <v>1359.15</v>
      </c>
    </row>
    <row r="150">
      <c r="A150">
        <v>137796</v>
      </c>
      <c r="B150">
        <v>-20000</v>
      </c>
      <c r="E150" s="2014" t="s">
        <v>6891</v>
      </c>
      <c r="F150" s="2014"/>
      <c r="G150" s="2014">
        <v>3205.05</v>
      </c>
    </row>
    <row r="151">
      <c r="A151">
        <v>138096</v>
      </c>
      <c r="B151">
        <v>-1000</v>
      </c>
      <c r="E151" s="2014" t="s">
        <v>6892</v>
      </c>
      <c r="F151" s="2014"/>
      <c r="G151" s="2014">
        <v>1999</v>
      </c>
    </row>
    <row r="152">
      <c r="A152">
        <v>139587</v>
      </c>
      <c r="B152">
        <v>-85004.64</v>
      </c>
      <c r="E152" s="2014" t="s">
        <v>6893</v>
      </c>
      <c r="F152" s="2014"/>
      <c r="G152" s="2014">
        <v>2532.15</v>
      </c>
    </row>
    <row r="153">
      <c r="A153">
        <v>139817</v>
      </c>
      <c r="B153">
        <v>12909.87</v>
      </c>
      <c r="E153" s="2014" t="s">
        <v>6894</v>
      </c>
      <c r="F153" s="2014"/>
      <c r="G153" s="2014">
        <v>3229.15</v>
      </c>
    </row>
    <row r="154">
      <c r="A154">
        <v>140804</v>
      </c>
      <c r="B154">
        <v>-19925.21</v>
      </c>
      <c r="E154" s="2014" t="s">
        <v>6895</v>
      </c>
      <c r="F154" s="2014"/>
      <c r="G154" s="2014">
        <v>2404.65</v>
      </c>
    </row>
    <row r="155">
      <c r="A155">
        <v>140967</v>
      </c>
      <c r="B155">
        <v>-73394.09</v>
      </c>
      <c r="E155" s="2014" t="s">
        <v>6896</v>
      </c>
      <c r="F155" s="2014"/>
      <c r="G155" s="2014">
        <v>2634.15</v>
      </c>
    </row>
    <row r="156">
      <c r="A156">
        <v>143332</v>
      </c>
      <c r="B156">
        <v>-1000</v>
      </c>
      <c r="E156" s="2014" t="s">
        <v>6897</v>
      </c>
      <c r="F156" s="2014"/>
      <c r="G156" s="2014">
        <v>2198.95</v>
      </c>
    </row>
    <row r="157">
      <c r="A157">
        <v>150264</v>
      </c>
      <c r="B157">
        <v>-10000</v>
      </c>
      <c r="E157" s="2014" t="s">
        <v>6898</v>
      </c>
      <c r="F157" s="2014"/>
      <c r="G157" s="2014">
        <v>3110.15</v>
      </c>
    </row>
    <row r="158">
      <c r="A158">
        <v>150294</v>
      </c>
      <c r="B158">
        <v>-10000</v>
      </c>
      <c r="E158" s="2014" t="s">
        <v>6899</v>
      </c>
      <c r="F158" s="2014"/>
      <c r="G158" s="2014">
        <v>2506.65</v>
      </c>
    </row>
    <row r="159">
      <c r="A159">
        <v>150303</v>
      </c>
      <c r="B159">
        <v>-4471.2</v>
      </c>
      <c r="E159" s="2014" t="s">
        <v>6900</v>
      </c>
      <c r="F159" s="2014"/>
      <c r="G159" s="2014">
        <v>2958.85</v>
      </c>
    </row>
    <row r="160">
      <c r="A160">
        <v>150307</v>
      </c>
      <c r="B160">
        <v>-10000</v>
      </c>
      <c r="E160" s="2014" t="s">
        <v>6901</v>
      </c>
      <c r="F160" s="2014"/>
      <c r="G160" s="2014">
        <v>1899</v>
      </c>
    </row>
    <row r="161">
      <c r="A161">
        <v>150314</v>
      </c>
      <c r="B161">
        <v>-5000</v>
      </c>
      <c r="E161" s="2014" t="s">
        <v>6902</v>
      </c>
      <c r="F161" s="2014"/>
      <c r="G161" s="2014">
        <v>2491.91</v>
      </c>
    </row>
    <row r="162">
      <c r="A162">
        <v>150315</v>
      </c>
      <c r="B162">
        <v>-25000</v>
      </c>
      <c r="E162" s="2014" t="s">
        <v>6903</v>
      </c>
      <c r="F162" s="2014"/>
      <c r="G162" s="2014">
        <v>1999</v>
      </c>
    </row>
    <row r="163">
      <c r="A163">
        <v>150391</v>
      </c>
      <c r="B163">
        <v>-10000</v>
      </c>
      <c r="E163" s="2014" t="s">
        <v>6904</v>
      </c>
      <c r="F163" s="2014"/>
      <c r="G163" s="2014">
        <v>2506.65</v>
      </c>
    </row>
    <row r="164">
      <c r="A164">
        <v>150438</v>
      </c>
      <c r="B164">
        <v>-30000</v>
      </c>
      <c r="E164" s="2014" t="s">
        <v>6905</v>
      </c>
      <c r="F164" s="2014"/>
      <c r="G164" s="2014">
        <v>2958.85</v>
      </c>
    </row>
    <row r="165">
      <c r="A165">
        <v>150746</v>
      </c>
      <c r="B165">
        <v>-10000</v>
      </c>
      <c r="E165" s="2014" t="s">
        <v>6906</v>
      </c>
      <c r="F165" s="2014"/>
      <c r="G165" s="2014">
        <v>4698.8</v>
      </c>
    </row>
    <row r="166">
      <c r="A166">
        <v>150988</v>
      </c>
      <c r="B166">
        <v>-57215.14</v>
      </c>
      <c r="E166" s="2014" t="s">
        <v>6907</v>
      </c>
      <c r="F166" s="2014"/>
      <c r="G166" s="2014">
        <v>969</v>
      </c>
    </row>
    <row r="167">
      <c r="A167">
        <v>151104</v>
      </c>
      <c r="B167">
        <v>-45356.21</v>
      </c>
      <c r="E167" s="2014" t="s">
        <v>6908</v>
      </c>
      <c r="F167" s="2014"/>
      <c r="G167" s="2014">
        <v>3229.15</v>
      </c>
    </row>
    <row r="168">
      <c r="A168">
        <v>151782</v>
      </c>
      <c r="B168">
        <v>-193770.24</v>
      </c>
      <c r="E168" s="2014" t="s">
        <v>6909</v>
      </c>
      <c r="F168" s="2014"/>
      <c r="G168" s="2014">
        <v>1353.73</v>
      </c>
    </row>
    <row r="169">
      <c r="A169">
        <v>151876</v>
      </c>
      <c r="B169">
        <v>-1717.7</v>
      </c>
      <c r="E169" s="2014" t="s">
        <v>6910</v>
      </c>
      <c r="F169" s="2014"/>
      <c r="G169" s="2014">
        <v>2198.95</v>
      </c>
    </row>
    <row r="170">
      <c r="A170">
        <v>152009</v>
      </c>
      <c r="B170">
        <v>-9659.7</v>
      </c>
      <c r="E170" s="2014" t="s">
        <v>6911</v>
      </c>
      <c r="F170" s="2014"/>
      <c r="G170" s="2014">
        <v>1987.57</v>
      </c>
    </row>
    <row r="171">
      <c r="A171">
        <v>152039</v>
      </c>
      <c r="B171">
        <v>-3571.97</v>
      </c>
      <c r="E171" s="2014" t="s">
        <v>6912</v>
      </c>
      <c r="F171" s="2014"/>
      <c r="G171" s="2014">
        <v>3298.85</v>
      </c>
    </row>
    <row r="172">
      <c r="A172">
        <v>152729</v>
      </c>
      <c r="B172">
        <v>-3176.88</v>
      </c>
      <c r="E172" s="2014" t="s">
        <v>6913</v>
      </c>
      <c r="F172" s="2014"/>
      <c r="G172" s="2014">
        <v>3229.15</v>
      </c>
    </row>
    <row r="173">
      <c r="A173">
        <v>153434</v>
      </c>
      <c r="B173">
        <v>-33673.8</v>
      </c>
      <c r="E173" s="2014" t="s">
        <v>6914</v>
      </c>
      <c r="F173" s="2014"/>
      <c r="G173" s="2014">
        <v>1359.15</v>
      </c>
    </row>
    <row r="174">
      <c r="A174">
        <v>155308</v>
      </c>
      <c r="B174">
        <v>-20000</v>
      </c>
      <c r="E174" s="2014" t="s">
        <v>6915</v>
      </c>
      <c r="F174" s="2014"/>
      <c r="G174" s="2014">
        <v>2299.25</v>
      </c>
    </row>
    <row r="175">
      <c r="A175">
        <v>155946</v>
      </c>
      <c r="B175">
        <v>-2000</v>
      </c>
      <c r="E175" s="2014" t="s">
        <v>6916</v>
      </c>
      <c r="F175" s="2014"/>
      <c r="G175" s="2014">
        <v>3212.15</v>
      </c>
    </row>
    <row r="176">
      <c r="A176">
        <v>155957</v>
      </c>
      <c r="B176">
        <v>-2185</v>
      </c>
      <c r="E176" s="2014" t="s">
        <v>6917</v>
      </c>
      <c r="F176" s="2014"/>
      <c r="G176" s="2014">
        <v>2532.15</v>
      </c>
    </row>
    <row r="177">
      <c r="A177">
        <v>156996</v>
      </c>
      <c r="B177">
        <v>-101370.99</v>
      </c>
      <c r="E177" s="2014" t="s">
        <v>6918</v>
      </c>
      <c r="F177" s="2014"/>
      <c r="G177" s="2014">
        <v>2634.15</v>
      </c>
    </row>
    <row r="178">
      <c r="A178">
        <v>157050</v>
      </c>
      <c r="B178">
        <v>-20000</v>
      </c>
      <c r="E178" s="2014" t="s">
        <v>6919</v>
      </c>
      <c r="F178" s="2014"/>
      <c r="G178" s="2014">
        <v>1356.99</v>
      </c>
    </row>
    <row r="179">
      <c r="A179">
        <v>157502</v>
      </c>
      <c r="B179">
        <v>-20000</v>
      </c>
      <c r="E179" s="2014" t="s">
        <v>6920</v>
      </c>
      <c r="F179" s="2014"/>
      <c r="G179" s="2014">
        <v>3792.64</v>
      </c>
    </row>
    <row r="180">
      <c r="A180">
        <v>164296</v>
      </c>
      <c r="B180">
        <v>36000</v>
      </c>
      <c r="E180" s="2014" t="s">
        <v>6921</v>
      </c>
      <c r="F180" s="2014"/>
      <c r="G180" s="2014">
        <v>3314.15</v>
      </c>
    </row>
    <row r="181">
      <c r="A181">
        <v>164374</v>
      </c>
      <c r="B181">
        <v>-30000</v>
      </c>
      <c r="E181" s="2014"/>
      <c r="F181" s="2014"/>
      <c r="G181" s="2014"/>
    </row>
    <row r="182">
      <c r="A182">
        <v>164393</v>
      </c>
      <c r="B182">
        <v>-2000</v>
      </c>
      <c r="E182" s="2014"/>
      <c r="F182" s="2014"/>
      <c r="G182" s="2014"/>
    </row>
    <row r="183">
      <c r="A183">
        <v>165567</v>
      </c>
      <c r="B183">
        <v>-20000</v>
      </c>
      <c r="E183" s="2014"/>
      <c r="F183" s="2014"/>
      <c r="G183" s="2014"/>
    </row>
    <row r="184">
      <c r="A184">
        <v>166176</v>
      </c>
      <c r="B184">
        <v>-18310</v>
      </c>
      <c r="E184" s="2014"/>
      <c r="F184" s="2014"/>
      <c r="G184" s="2014"/>
    </row>
    <row r="185">
      <c r="A185">
        <v>166513</v>
      </c>
      <c r="B185">
        <v>-39835.09</v>
      </c>
      <c r="E185" s="2014"/>
      <c r="F185" s="2014"/>
      <c r="G185" s="2014"/>
    </row>
    <row r="186">
      <c r="A186">
        <v>168734</v>
      </c>
      <c r="B186">
        <v>-7000</v>
      </c>
      <c r="E186" s="2014"/>
      <c r="F186" s="2014"/>
      <c r="G186" s="2014"/>
    </row>
    <row r="187">
      <c r="A187">
        <v>168785</v>
      </c>
      <c r="B187">
        <v>-2000</v>
      </c>
      <c r="E187" s="2014"/>
      <c r="F187" s="2014"/>
      <c r="G187" s="2014"/>
    </row>
    <row r="188">
      <c r="A188">
        <v>169801</v>
      </c>
      <c r="B188">
        <v>-15490</v>
      </c>
      <c r="E188" s="2014"/>
      <c r="F188" s="2014"/>
      <c r="G188" s="2014"/>
    </row>
    <row r="189">
      <c r="A189">
        <v>170248</v>
      </c>
      <c r="B189">
        <v>-2000</v>
      </c>
      <c r="E189" s="2014"/>
      <c r="F189" s="2014"/>
      <c r="G189" s="2014"/>
    </row>
    <row r="190">
      <c r="A190">
        <v>170257</v>
      </c>
      <c r="B190">
        <v>-70130.61</v>
      </c>
      <c r="E190" s="2014"/>
      <c r="F190" s="2014"/>
      <c r="G190" s="2014"/>
    </row>
    <row r="191">
      <c r="A191">
        <v>170580</v>
      </c>
      <c r="B191">
        <v>-5592.07</v>
      </c>
      <c r="E191" s="2014"/>
      <c r="F191" s="2014"/>
      <c r="G191" s="2014"/>
    </row>
    <row r="192">
      <c r="A192">
        <v>171009</v>
      </c>
      <c r="B192">
        <v>-184908.4</v>
      </c>
      <c r="E192" s="2014"/>
      <c r="F192" s="2014"/>
      <c r="G192" s="2014"/>
    </row>
    <row r="193">
      <c r="A193">
        <v>171049</v>
      </c>
      <c r="B193">
        <v>21825.45</v>
      </c>
      <c r="E193" s="2014"/>
      <c r="F193" s="2014"/>
      <c r="G193" s="2014"/>
    </row>
    <row r="194">
      <c r="A194">
        <v>171214</v>
      </c>
      <c r="B194">
        <v>-2000</v>
      </c>
      <c r="E194" s="2014"/>
      <c r="F194" s="2014"/>
      <c r="G194" s="2014"/>
    </row>
    <row r="195">
      <c r="A195">
        <v>171635</v>
      </c>
      <c r="B195">
        <v>-70727.58</v>
      </c>
      <c r="E195" s="2014"/>
      <c r="F195" s="2014"/>
      <c r="G195" s="2014"/>
    </row>
    <row r="196">
      <c r="A196">
        <v>172413</v>
      </c>
      <c r="B196">
        <v>-133161.17</v>
      </c>
      <c r="E196" s="2014"/>
      <c r="F196" s="2014"/>
      <c r="G196" s="2014"/>
    </row>
    <row r="197">
      <c r="A197">
        <v>176558</v>
      </c>
      <c r="B197">
        <v>-30000</v>
      </c>
      <c r="E197" s="2014"/>
      <c r="F197" s="2014"/>
      <c r="G197" s="2014"/>
    </row>
    <row r="198">
      <c r="A198">
        <v>177647</v>
      </c>
      <c r="B198">
        <v>-101149.28</v>
      </c>
      <c r="E198" s="2014"/>
      <c r="F198" s="2014"/>
      <c r="G198" s="2014"/>
    </row>
    <row r="199">
      <c r="A199">
        <v>178510</v>
      </c>
      <c r="B199">
        <v>-2000</v>
      </c>
      <c r="E199" s="2014"/>
      <c r="F199" s="2014"/>
      <c r="G199" s="2014"/>
    </row>
    <row r="200">
      <c r="A200">
        <v>181679</v>
      </c>
      <c r="B200">
        <v>-68568.06</v>
      </c>
      <c r="E200" s="2014"/>
      <c r="F200" s="2014"/>
      <c r="G200" s="2014"/>
    </row>
    <row r="201">
      <c r="A201">
        <v>181790</v>
      </c>
      <c r="B201">
        <v>-1680</v>
      </c>
    </row>
    <row r="202">
      <c r="A202">
        <v>181803</v>
      </c>
      <c r="B202">
        <v>-13318.57</v>
      </c>
    </row>
    <row r="203">
      <c r="A203">
        <v>182267</v>
      </c>
      <c r="B203">
        <v>-3030502.72</v>
      </c>
    </row>
    <row r="204">
      <c r="A204">
        <v>183174</v>
      </c>
      <c r="B204">
        <v>-30000</v>
      </c>
    </row>
    <row r="205">
      <c r="A205">
        <v>1000006</v>
      </c>
      <c r="B205">
        <v>-15099.52</v>
      </c>
    </row>
    <row r="206">
      <c r="A206">
        <v>1000021</v>
      </c>
      <c r="B206">
        <v>-5194</v>
      </c>
    </row>
    <row r="207">
      <c r="A207">
        <v>1000048</v>
      </c>
      <c r="B207">
        <v>-28873.38</v>
      </c>
    </row>
    <row r="208">
      <c r="A208">
        <v>1000073</v>
      </c>
      <c r="B208">
        <v>-7534</v>
      </c>
    </row>
    <row r="209">
      <c r="A209">
        <v>1000090</v>
      </c>
      <c r="B209">
        <v>-740641.23</v>
      </c>
    </row>
    <row r="210">
      <c r="A210">
        <v>1000138</v>
      </c>
      <c r="B210">
        <v>-25424771.25</v>
      </c>
    </row>
    <row r="211">
      <c r="A211">
        <v>1000181</v>
      </c>
      <c r="B211">
        <v>-7460.77</v>
      </c>
    </row>
    <row r="212">
      <c r="A212">
        <v>1000216</v>
      </c>
      <c r="B212">
        <v>-50175.3</v>
      </c>
    </row>
    <row r="213">
      <c r="A213">
        <v>1000257</v>
      </c>
      <c r="B213">
        <v>-847309959.4</v>
      </c>
    </row>
    <row r="214">
      <c r="A214">
        <v>1000280</v>
      </c>
      <c r="B214">
        <v>-51222.13</v>
      </c>
    </row>
    <row r="215">
      <c r="A215">
        <v>1000295</v>
      </c>
      <c r="B215">
        <v>126439.8</v>
      </c>
    </row>
    <row r="216">
      <c r="A216">
        <v>1000322</v>
      </c>
      <c r="B216">
        <v>633463.47</v>
      </c>
    </row>
    <row r="217">
      <c r="A217">
        <v>1000400</v>
      </c>
      <c r="B217">
        <v>1060</v>
      </c>
    </row>
    <row r="218">
      <c r="A218">
        <v>1000409</v>
      </c>
      <c r="B218">
        <v>161414587.3</v>
      </c>
    </row>
    <row r="219">
      <c r="A219">
        <v>1000410</v>
      </c>
      <c r="B219">
        <v>479512.22</v>
      </c>
    </row>
    <row r="220">
      <c r="A220">
        <v>1000411</v>
      </c>
      <c r="B220">
        <v>156671059.7</v>
      </c>
    </row>
    <row r="221">
      <c r="A221">
        <v>1000412</v>
      </c>
      <c r="B221">
        <v>90025238.18</v>
      </c>
    </row>
    <row r="222">
      <c r="A222">
        <v>1000413</v>
      </c>
      <c r="B222">
        <v>202967024.1</v>
      </c>
    </row>
    <row r="223">
      <c r="A223">
        <v>1000414</v>
      </c>
      <c r="B223">
        <v>169387203.1</v>
      </c>
    </row>
    <row r="224">
      <c r="A224">
        <v>1000415</v>
      </c>
      <c r="B224">
        <v>153546671.9</v>
      </c>
    </row>
    <row r="225">
      <c r="A225">
        <v>1000416</v>
      </c>
      <c r="B225">
        <v>165396481.4</v>
      </c>
    </row>
    <row r="226">
      <c r="A226">
        <v>1000417</v>
      </c>
      <c r="B226">
        <v>78692088.98</v>
      </c>
    </row>
    <row r="227">
      <c r="A227">
        <v>1000418</v>
      </c>
      <c r="B227">
        <v>206443589.5</v>
      </c>
    </row>
    <row r="228">
      <c r="A228">
        <v>1000419</v>
      </c>
      <c r="B228">
        <v>119514674.7</v>
      </c>
    </row>
    <row r="229">
      <c r="A229">
        <v>1000421</v>
      </c>
      <c r="B229">
        <v>71719632.94</v>
      </c>
    </row>
    <row r="230">
      <c r="A230">
        <v>1000422</v>
      </c>
      <c r="B230">
        <v>159506831.4</v>
      </c>
    </row>
    <row r="231">
      <c r="A231">
        <v>1000423</v>
      </c>
      <c r="B231">
        <v>50023003.36</v>
      </c>
    </row>
    <row r="232">
      <c r="A232">
        <v>1000424</v>
      </c>
      <c r="B232">
        <v>133965658.4</v>
      </c>
    </row>
    <row r="233">
      <c r="A233">
        <v>1000427</v>
      </c>
      <c r="B233">
        <v>-64538676.97</v>
      </c>
    </row>
    <row r="234">
      <c r="A234">
        <v>1000428</v>
      </c>
      <c r="B234">
        <v>50927210.73</v>
      </c>
    </row>
    <row r="235">
      <c r="A235">
        <v>1000429</v>
      </c>
      <c r="B235">
        <v>123718054.3</v>
      </c>
    </row>
    <row r="236">
      <c r="A236">
        <v>1000430</v>
      </c>
      <c r="B236">
        <v>124680446.9</v>
      </c>
    </row>
    <row r="237">
      <c r="A237">
        <v>1000431</v>
      </c>
      <c r="B237">
        <v>65540181.25</v>
      </c>
    </row>
    <row r="238">
      <c r="A238">
        <v>1000432</v>
      </c>
      <c r="B238">
        <v>82793143.87</v>
      </c>
    </row>
    <row r="239">
      <c r="A239">
        <v>1000433</v>
      </c>
      <c r="B239">
        <v>30063571.58</v>
      </c>
    </row>
    <row r="240">
      <c r="A240">
        <v>1000434</v>
      </c>
      <c r="B240">
        <v>121028239.9</v>
      </c>
    </row>
    <row r="241">
      <c r="A241">
        <v>1000435</v>
      </c>
      <c r="B241">
        <v>170719522.1</v>
      </c>
    </row>
    <row r="242">
      <c r="A242">
        <v>1000436</v>
      </c>
      <c r="B242">
        <v>142981844.4</v>
      </c>
    </row>
    <row r="243">
      <c r="A243">
        <v>1000437</v>
      </c>
      <c r="B243">
        <v>106490070.1</v>
      </c>
    </row>
    <row r="244">
      <c r="A244">
        <v>1000438</v>
      </c>
      <c r="B244">
        <v>173257920.5</v>
      </c>
    </row>
    <row r="245">
      <c r="A245">
        <v>1000501</v>
      </c>
      <c r="B245">
        <v>-4000</v>
      </c>
    </row>
    <row r="246">
      <c r="A246">
        <v>1000506</v>
      </c>
      <c r="B246">
        <v>0</v>
      </c>
    </row>
    <row r="247">
      <c r="A247">
        <v>1000622</v>
      </c>
      <c r="B247">
        <v>-45069.97</v>
      </c>
    </row>
    <row r="248">
      <c r="A248">
        <v>1000646</v>
      </c>
      <c r="B248">
        <v>-6767.24</v>
      </c>
    </row>
    <row r="249">
      <c r="A249">
        <v>1000654</v>
      </c>
      <c r="B249">
        <v>-67948.43</v>
      </c>
    </row>
    <row r="250">
      <c r="A250">
        <v>1000664</v>
      </c>
      <c r="B250">
        <v>-399</v>
      </c>
    </row>
    <row r="251">
      <c r="A251">
        <v>1000666</v>
      </c>
      <c r="B251">
        <v>-87055.37</v>
      </c>
    </row>
    <row r="252">
      <c r="A252">
        <v>1000712</v>
      </c>
      <c r="B252">
        <v>-33247.17</v>
      </c>
    </row>
    <row r="253">
      <c r="A253">
        <v>1000728</v>
      </c>
      <c r="B253">
        <v>-180</v>
      </c>
    </row>
    <row r="254">
      <c r="A254">
        <v>1000739</v>
      </c>
      <c r="B254">
        <v>-19691.08</v>
      </c>
    </row>
    <row r="255">
      <c r="A255">
        <v>1000759</v>
      </c>
      <c r="B255">
        <v>-3900</v>
      </c>
    </row>
    <row r="256">
      <c r="A256">
        <v>1000773</v>
      </c>
      <c r="B256">
        <v>-3390</v>
      </c>
    </row>
    <row r="257">
      <c r="A257">
        <v>1000796</v>
      </c>
      <c r="B257">
        <v>-3195</v>
      </c>
    </row>
    <row r="258">
      <c r="A258">
        <v>1000803</v>
      </c>
      <c r="B258">
        <v>-52458.37</v>
      </c>
    </row>
    <row r="259">
      <c r="A259">
        <v>1000828</v>
      </c>
      <c r="B259">
        <v>-183075.88</v>
      </c>
    </row>
    <row r="260">
      <c r="A260">
        <v>1000832</v>
      </c>
      <c r="B260">
        <v>-10000</v>
      </c>
    </row>
    <row r="261">
      <c r="A261">
        <v>1000927</v>
      </c>
      <c r="B261">
        <v>-26755.7</v>
      </c>
    </row>
    <row r="262">
      <c r="A262">
        <v>1000996</v>
      </c>
      <c r="B262">
        <v>-280758.19</v>
      </c>
    </row>
    <row r="263">
      <c r="A263">
        <v>1001067</v>
      </c>
      <c r="B263">
        <v>-2264010771</v>
      </c>
    </row>
    <row r="264">
      <c r="A264">
        <v>1001081</v>
      </c>
      <c r="B264">
        <v>179.5</v>
      </c>
    </row>
    <row r="265">
      <c r="A265">
        <v>1001145</v>
      </c>
      <c r="B265">
        <v>545027.51</v>
      </c>
    </row>
    <row r="266">
      <c r="A266">
        <v>1001200</v>
      </c>
      <c r="B266">
        <v>100391140.6</v>
      </c>
    </row>
    <row r="267">
      <c r="A267">
        <v>1001241</v>
      </c>
      <c r="B267">
        <v>-23872.73</v>
      </c>
    </row>
    <row r="268">
      <c r="A268">
        <v>1001332</v>
      </c>
      <c r="B268">
        <v>-10400451.51</v>
      </c>
    </row>
    <row r="269">
      <c r="A269">
        <v>1001365</v>
      </c>
      <c r="B269">
        <v>-4590.77</v>
      </c>
    </row>
    <row r="270">
      <c r="A270">
        <v>1001418</v>
      </c>
      <c r="B270">
        <v>0</v>
      </c>
    </row>
    <row r="271">
      <c r="A271">
        <v>1001442</v>
      </c>
      <c r="B271">
        <v>-5490.12</v>
      </c>
    </row>
    <row r="272">
      <c r="A272">
        <v>1001446</v>
      </c>
      <c r="B272">
        <v>-25870</v>
      </c>
    </row>
    <row r="273">
      <c r="A273">
        <v>1001537</v>
      </c>
      <c r="B273">
        <v>-61868.22</v>
      </c>
    </row>
    <row r="274">
      <c r="A274">
        <v>1001539</v>
      </c>
      <c r="B274">
        <v>-105877.24</v>
      </c>
    </row>
    <row r="275">
      <c r="A275">
        <v>1001555</v>
      </c>
      <c r="B275">
        <v>-73017.42</v>
      </c>
    </row>
    <row r="276">
      <c r="A276">
        <v>1001584</v>
      </c>
      <c r="B276">
        <v>-1500</v>
      </c>
    </row>
    <row r="277">
      <c r="A277">
        <v>1001590</v>
      </c>
      <c r="B277">
        <v>-24000</v>
      </c>
    </row>
    <row r="278">
      <c r="A278">
        <v>1001615</v>
      </c>
      <c r="B278">
        <v>-24356.22</v>
      </c>
    </row>
    <row r="279">
      <c r="A279">
        <v>1001626</v>
      </c>
      <c r="B279">
        <v>-36751.21</v>
      </c>
    </row>
    <row r="280">
      <c r="A280">
        <v>1001734</v>
      </c>
      <c r="B280">
        <v>-395632.09</v>
      </c>
    </row>
    <row r="281">
      <c r="A281">
        <v>1001735</v>
      </c>
      <c r="B281">
        <v>-171358.78</v>
      </c>
    </row>
    <row r="282">
      <c r="A282">
        <v>1001762</v>
      </c>
      <c r="B282">
        <v>-1000</v>
      </c>
    </row>
    <row r="283">
      <c r="A283">
        <v>1001766</v>
      </c>
      <c r="B283">
        <v>-30000</v>
      </c>
    </row>
    <row r="284">
      <c r="A284">
        <v>1001785</v>
      </c>
      <c r="B284">
        <v>-725775.43</v>
      </c>
    </row>
    <row r="285">
      <c r="A285">
        <v>1001787</v>
      </c>
      <c r="B285">
        <v>-32830.17</v>
      </c>
    </row>
    <row r="286">
      <c r="A286">
        <v>1001862</v>
      </c>
      <c r="B286">
        <v>-44573.4</v>
      </c>
    </row>
    <row r="287">
      <c r="A287">
        <v>1001921</v>
      </c>
      <c r="B287">
        <v>-559.03</v>
      </c>
    </row>
    <row r="288">
      <c r="A288">
        <v>1002178</v>
      </c>
      <c r="B288">
        <v>-202863.55</v>
      </c>
    </row>
    <row r="289">
      <c r="A289">
        <v>1002287</v>
      </c>
      <c r="B289">
        <v>-1000</v>
      </c>
    </row>
    <row r="290">
      <c r="A290">
        <v>1002309</v>
      </c>
      <c r="B290">
        <v>-19482.84</v>
      </c>
    </row>
    <row r="291">
      <c r="A291">
        <v>1002316</v>
      </c>
      <c r="B291">
        <v>-7412.14</v>
      </c>
    </row>
    <row r="292">
      <c r="A292">
        <v>1002380</v>
      </c>
      <c r="B292">
        <v>-24530.19</v>
      </c>
    </row>
    <row r="293">
      <c r="A293">
        <v>1002407</v>
      </c>
      <c r="B293">
        <v>-3916.5</v>
      </c>
    </row>
    <row r="294">
      <c r="A294">
        <v>1002428</v>
      </c>
      <c r="B294">
        <v>-513790.78</v>
      </c>
    </row>
    <row r="295">
      <c r="A295">
        <v>1002626</v>
      </c>
      <c r="B295">
        <v>-10000</v>
      </c>
    </row>
    <row r="296">
      <c r="A296">
        <v>1002916</v>
      </c>
      <c r="B296">
        <v>-28361.53</v>
      </c>
    </row>
    <row r="297">
      <c r="A297">
        <v>1002921</v>
      </c>
      <c r="B297">
        <v>-30117.83</v>
      </c>
    </row>
    <row r="298">
      <c r="A298">
        <v>1002944</v>
      </c>
      <c r="B298">
        <v>-31361.05</v>
      </c>
    </row>
    <row r="299">
      <c r="A299">
        <v>1002971</v>
      </c>
      <c r="B299">
        <v>-28294.99</v>
      </c>
    </row>
    <row r="300">
      <c r="A300">
        <v>1002993</v>
      </c>
      <c r="B300">
        <v>-6110.95</v>
      </c>
    </row>
    <row r="301">
      <c r="A301">
        <v>1003163</v>
      </c>
      <c r="B301">
        <v>100000</v>
      </c>
    </row>
    <row r="302">
      <c r="A302">
        <v>1003522</v>
      </c>
      <c r="B302">
        <v>-50000</v>
      </c>
    </row>
    <row r="303">
      <c r="A303">
        <v>1003676</v>
      </c>
      <c r="B303">
        <v>-5000</v>
      </c>
    </row>
    <row r="304">
      <c r="A304">
        <v>1003697</v>
      </c>
      <c r="B304">
        <v>-18528.61</v>
      </c>
    </row>
    <row r="305">
      <c r="A305">
        <v>1003971</v>
      </c>
      <c r="B305">
        <v>-62777.81</v>
      </c>
    </row>
    <row r="306">
      <c r="A306">
        <v>1003982</v>
      </c>
      <c r="B306">
        <v>-37806.52</v>
      </c>
    </row>
    <row r="307">
      <c r="A307">
        <v>1004079</v>
      </c>
      <c r="B307">
        <v>-84776.77</v>
      </c>
    </row>
    <row r="308">
      <c r="A308">
        <v>1004269</v>
      </c>
      <c r="B308">
        <v>-200</v>
      </c>
    </row>
    <row r="309">
      <c r="A309">
        <v>1004296</v>
      </c>
      <c r="B309">
        <v>-1000</v>
      </c>
    </row>
    <row r="310">
      <c r="A310">
        <v>1004378</v>
      </c>
      <c r="B310">
        <v>-411024.56</v>
      </c>
    </row>
    <row r="311">
      <c r="A311">
        <v>1004379</v>
      </c>
      <c r="B311">
        <v>-10000</v>
      </c>
    </row>
    <row r="312">
      <c r="A312">
        <v>1004526</v>
      </c>
      <c r="B312">
        <v>-103.48</v>
      </c>
    </row>
    <row r="313">
      <c r="A313">
        <v>1004546</v>
      </c>
      <c r="B313">
        <v>-30.24</v>
      </c>
    </row>
    <row r="314">
      <c r="A314">
        <v>1004593</v>
      </c>
      <c r="B314">
        <v>-1999.99</v>
      </c>
    </row>
    <row r="315">
      <c r="A315">
        <v>1004604</v>
      </c>
      <c r="B315">
        <v>-1396.41</v>
      </c>
    </row>
    <row r="316">
      <c r="A316">
        <v>1004891</v>
      </c>
      <c r="B316">
        <v>-1000</v>
      </c>
    </row>
    <row r="317">
      <c r="A317">
        <v>1004892</v>
      </c>
      <c r="B317">
        <v>-770</v>
      </c>
    </row>
    <row r="318">
      <c r="A318">
        <v>1004965</v>
      </c>
      <c r="B318">
        <v>-387.79</v>
      </c>
    </row>
    <row r="319">
      <c r="A319">
        <v>1004981</v>
      </c>
      <c r="B319">
        <v>-100</v>
      </c>
    </row>
    <row r="320">
      <c r="A320">
        <v>1005076</v>
      </c>
      <c r="B320">
        <v>-3216.52</v>
      </c>
    </row>
    <row r="321">
      <c r="A321">
        <v>1005078</v>
      </c>
      <c r="B321">
        <v>-4000</v>
      </c>
    </row>
    <row r="322">
      <c r="A322">
        <v>1005210</v>
      </c>
      <c r="B322">
        <v>-300</v>
      </c>
    </row>
    <row r="323">
      <c r="A323">
        <v>1005222</v>
      </c>
      <c r="B323">
        <v>-2450.8</v>
      </c>
    </row>
    <row r="324">
      <c r="A324">
        <v>1005411</v>
      </c>
      <c r="B324">
        <v>-500</v>
      </c>
    </row>
    <row r="325">
      <c r="A325">
        <v>1005415</v>
      </c>
      <c r="B325">
        <v>-500</v>
      </c>
    </row>
    <row r="326">
      <c r="A326">
        <v>1005453</v>
      </c>
      <c r="B326">
        <v>-3000</v>
      </c>
    </row>
    <row r="327">
      <c r="A327">
        <v>1005577</v>
      </c>
      <c r="B327">
        <v>-100</v>
      </c>
    </row>
    <row r="328">
      <c r="A328">
        <v>1005588</v>
      </c>
      <c r="B328">
        <v>-962</v>
      </c>
    </row>
    <row r="329">
      <c r="A329">
        <v>1005591</v>
      </c>
      <c r="B329">
        <v>-3000</v>
      </c>
    </row>
    <row r="330">
      <c r="A330">
        <v>1005642</v>
      </c>
      <c r="B330">
        <v>-337.5</v>
      </c>
    </row>
    <row r="331">
      <c r="A331">
        <v>1005664</v>
      </c>
      <c r="B331">
        <v>-140</v>
      </c>
    </row>
    <row r="332">
      <c r="A332">
        <v>1005770</v>
      </c>
      <c r="B332">
        <v>-815.93</v>
      </c>
    </row>
    <row r="333">
      <c r="A333">
        <v>1005787</v>
      </c>
      <c r="B333">
        <v>-879.54</v>
      </c>
    </row>
    <row r="334">
      <c r="A334">
        <v>1005813</v>
      </c>
      <c r="B334">
        <v>-24.51</v>
      </c>
    </row>
    <row r="335">
      <c r="A335">
        <v>1005884</v>
      </c>
      <c r="B335">
        <v>-300</v>
      </c>
    </row>
    <row r="336">
      <c r="A336">
        <v>1005896</v>
      </c>
      <c r="B336">
        <v>-3432</v>
      </c>
    </row>
    <row r="337">
      <c r="A337">
        <v>1005922</v>
      </c>
      <c r="B337">
        <v>-432.51</v>
      </c>
    </row>
    <row r="338">
      <c r="A338">
        <v>1005933</v>
      </c>
      <c r="B338">
        <v>-163</v>
      </c>
    </row>
    <row r="339">
      <c r="A339">
        <v>1005935</v>
      </c>
      <c r="B339">
        <v>-15.96</v>
      </c>
    </row>
    <row r="340">
      <c r="A340">
        <v>1005938</v>
      </c>
      <c r="B340">
        <v>-3000</v>
      </c>
    </row>
    <row r="341">
      <c r="A341">
        <v>1005962</v>
      </c>
      <c r="B341">
        <v>-2000</v>
      </c>
    </row>
    <row r="342">
      <c r="A342">
        <v>1005972</v>
      </c>
      <c r="B342">
        <v>-2000</v>
      </c>
    </row>
    <row r="343">
      <c r="A343">
        <v>1005976</v>
      </c>
      <c r="B343">
        <v>-1000</v>
      </c>
    </row>
    <row r="344">
      <c r="A344">
        <v>1005982</v>
      </c>
      <c r="B344">
        <v>-9000</v>
      </c>
    </row>
    <row r="345">
      <c r="A345">
        <v>1006018</v>
      </c>
      <c r="B345">
        <v>-706.53</v>
      </c>
    </row>
    <row r="346">
      <c r="A346">
        <v>1006023</v>
      </c>
      <c r="B346">
        <v>-181.05</v>
      </c>
    </row>
    <row r="347">
      <c r="A347">
        <v>1006043</v>
      </c>
      <c r="B347">
        <v>-339.68</v>
      </c>
    </row>
    <row r="348">
      <c r="A348">
        <v>1006071</v>
      </c>
      <c r="B348">
        <v>-712</v>
      </c>
    </row>
    <row r="349">
      <c r="A349">
        <v>1006097</v>
      </c>
      <c r="B349">
        <v>-8000</v>
      </c>
    </row>
    <row r="350">
      <c r="A350">
        <v>1006098</v>
      </c>
      <c r="B350">
        <v>-1000</v>
      </c>
    </row>
    <row r="351">
      <c r="A351">
        <v>1006144</v>
      </c>
      <c r="B351">
        <v>-1000</v>
      </c>
    </row>
    <row r="352">
      <c r="A352">
        <v>1006164</v>
      </c>
      <c r="B352">
        <v>-600</v>
      </c>
    </row>
    <row r="353">
      <c r="A353">
        <v>1006169</v>
      </c>
      <c r="B353">
        <v>-1075</v>
      </c>
    </row>
    <row r="354">
      <c r="A354">
        <v>1006189</v>
      </c>
      <c r="B354">
        <v>-407</v>
      </c>
    </row>
    <row r="355">
      <c r="A355">
        <v>1006233</v>
      </c>
      <c r="B355">
        <v>-1750</v>
      </c>
    </row>
    <row r="356">
      <c r="A356">
        <v>1006234</v>
      </c>
      <c r="B356">
        <v>-955</v>
      </c>
    </row>
    <row r="357">
      <c r="A357">
        <v>1006252</v>
      </c>
      <c r="B357">
        <v>-500</v>
      </c>
    </row>
    <row r="358">
      <c r="A358">
        <v>1006355</v>
      </c>
      <c r="B358">
        <v>-11000</v>
      </c>
    </row>
    <row r="359">
      <c r="A359">
        <v>1006356</v>
      </c>
      <c r="B359">
        <v>-75</v>
      </c>
    </row>
    <row r="360">
      <c r="A360">
        <v>1006383</v>
      </c>
      <c r="B360">
        <v>-40</v>
      </c>
    </row>
    <row r="361">
      <c r="A361">
        <v>1006387</v>
      </c>
      <c r="B361">
        <v>-139</v>
      </c>
    </row>
    <row r="362">
      <c r="A362">
        <v>1006399</v>
      </c>
      <c r="B362">
        <v>-1263</v>
      </c>
    </row>
    <row r="363">
      <c r="A363">
        <v>1006466</v>
      </c>
      <c r="B363">
        <v>-1000</v>
      </c>
    </row>
    <row r="364">
      <c r="A364">
        <v>1006475</v>
      </c>
      <c r="B364">
        <v>-1300</v>
      </c>
    </row>
    <row r="365">
      <c r="A365">
        <v>1006486</v>
      </c>
      <c r="B365">
        <v>-815.88</v>
      </c>
    </row>
    <row r="366">
      <c r="A366">
        <v>1006552</v>
      </c>
      <c r="B366">
        <v>-3483</v>
      </c>
    </row>
    <row r="367">
      <c r="A367">
        <v>1006624</v>
      </c>
      <c r="B367">
        <v>-500</v>
      </c>
    </row>
    <row r="368">
      <c r="A368">
        <v>1006636</v>
      </c>
      <c r="B368">
        <v>-2000</v>
      </c>
    </row>
    <row r="369">
      <c r="A369">
        <v>1006711</v>
      </c>
      <c r="B369">
        <v>-19559.44</v>
      </c>
    </row>
    <row r="370">
      <c r="A370">
        <v>1006713</v>
      </c>
      <c r="B370">
        <v>-266.12</v>
      </c>
    </row>
    <row r="371">
      <c r="A371">
        <v>1006727</v>
      </c>
      <c r="B371">
        <v>-1300</v>
      </c>
    </row>
    <row r="372">
      <c r="A372">
        <v>1006763</v>
      </c>
      <c r="B372">
        <v>-27.57</v>
      </c>
    </row>
    <row r="373">
      <c r="A373">
        <v>1006873</v>
      </c>
      <c r="B373">
        <v>-7236</v>
      </c>
    </row>
    <row r="374">
      <c r="A374">
        <v>1006874</v>
      </c>
      <c r="B374">
        <v>-588.36</v>
      </c>
    </row>
    <row r="375">
      <c r="A375">
        <v>1006878</v>
      </c>
      <c r="B375">
        <v>-7000</v>
      </c>
    </row>
    <row r="376">
      <c r="A376">
        <v>1006897</v>
      </c>
      <c r="B376">
        <v>-1060</v>
      </c>
    </row>
    <row r="377">
      <c r="A377">
        <v>1006937</v>
      </c>
      <c r="B377">
        <v>-2000</v>
      </c>
    </row>
    <row r="378">
      <c r="A378">
        <v>1006939</v>
      </c>
      <c r="B378">
        <v>-2700</v>
      </c>
    </row>
    <row r="379">
      <c r="A379">
        <v>1006950</v>
      </c>
      <c r="B379">
        <v>-300</v>
      </c>
    </row>
    <row r="380">
      <c r="A380">
        <v>1006957</v>
      </c>
      <c r="B380">
        <v>-1039.12</v>
      </c>
    </row>
    <row r="381">
      <c r="A381">
        <v>1006959</v>
      </c>
      <c r="B381">
        <v>-3000</v>
      </c>
    </row>
    <row r="382">
      <c r="A382">
        <v>1007009</v>
      </c>
      <c r="B382">
        <v>-2000</v>
      </c>
    </row>
    <row r="383">
      <c r="A383">
        <v>1007021</v>
      </c>
      <c r="B383">
        <v>-1045</v>
      </c>
    </row>
    <row r="384">
      <c r="A384">
        <v>1007038</v>
      </c>
      <c r="B384">
        <v>-1000</v>
      </c>
    </row>
    <row r="385">
      <c r="A385">
        <v>1007066</v>
      </c>
      <c r="B385">
        <v>-990.5</v>
      </c>
    </row>
    <row r="386">
      <c r="A386">
        <v>1007097</v>
      </c>
      <c r="B386">
        <v>-5000</v>
      </c>
    </row>
    <row r="387">
      <c r="A387">
        <v>1007114</v>
      </c>
      <c r="B387">
        <v>-612</v>
      </c>
    </row>
    <row r="388">
      <c r="A388">
        <v>1007126</v>
      </c>
      <c r="B388">
        <v>-7000</v>
      </c>
    </row>
    <row r="389">
      <c r="A389">
        <v>1007162</v>
      </c>
      <c r="B389">
        <v>-376.71</v>
      </c>
    </row>
    <row r="390">
      <c r="A390">
        <v>1007186</v>
      </c>
      <c r="B390">
        <v>-5000</v>
      </c>
    </row>
    <row r="391">
      <c r="A391">
        <v>1007198</v>
      </c>
      <c r="B391">
        <v>-5131.95</v>
      </c>
    </row>
    <row r="392">
      <c r="A392">
        <v>1007243</v>
      </c>
      <c r="B392">
        <v>-600</v>
      </c>
    </row>
    <row r="393">
      <c r="A393">
        <v>1007245</v>
      </c>
      <c r="B393">
        <v>-5000</v>
      </c>
    </row>
    <row r="394">
      <c r="A394">
        <v>1007277</v>
      </c>
      <c r="B394">
        <v>-1000</v>
      </c>
    </row>
    <row r="395">
      <c r="A395">
        <v>1007281</v>
      </c>
      <c r="B395">
        <v>-5000</v>
      </c>
    </row>
    <row r="396">
      <c r="A396">
        <v>1007283</v>
      </c>
      <c r="B396">
        <v>-2500</v>
      </c>
    </row>
    <row r="397">
      <c r="A397">
        <v>1007291</v>
      </c>
      <c r="B397">
        <v>-1000</v>
      </c>
    </row>
    <row r="398">
      <c r="A398">
        <v>1007298</v>
      </c>
      <c r="B398">
        <v>-335</v>
      </c>
    </row>
    <row r="399">
      <c r="A399">
        <v>1007307</v>
      </c>
      <c r="B399">
        <v>-4736.2</v>
      </c>
    </row>
    <row r="400">
      <c r="A400">
        <v>1007309</v>
      </c>
      <c r="B400">
        <v>-3000</v>
      </c>
    </row>
    <row r="401">
      <c r="A401">
        <v>1007312</v>
      </c>
      <c r="B401">
        <v>-4939.89</v>
      </c>
    </row>
    <row r="402">
      <c r="A402">
        <v>1007315</v>
      </c>
      <c r="B402">
        <v>-151.15</v>
      </c>
    </row>
    <row r="403">
      <c r="A403">
        <v>1007329</v>
      </c>
      <c r="B403">
        <v>-13091.34</v>
      </c>
    </row>
    <row r="404">
      <c r="A404">
        <v>1007382</v>
      </c>
      <c r="B404">
        <v>-781</v>
      </c>
    </row>
    <row r="405">
      <c r="A405">
        <v>1007438</v>
      </c>
      <c r="B405">
        <v>-2120.5</v>
      </c>
    </row>
    <row r="406">
      <c r="A406">
        <v>1007451</v>
      </c>
      <c r="B406">
        <v>-5246.8</v>
      </c>
    </row>
    <row r="407">
      <c r="A407">
        <v>1007455</v>
      </c>
      <c r="B407">
        <v>-1500</v>
      </c>
    </row>
    <row r="408">
      <c r="A408">
        <v>1007481</v>
      </c>
      <c r="B408">
        <v>-6695.36</v>
      </c>
    </row>
    <row r="409">
      <c r="A409">
        <v>1007486</v>
      </c>
      <c r="B409">
        <v>-20000</v>
      </c>
    </row>
    <row r="410">
      <c r="A410">
        <v>1007509</v>
      </c>
      <c r="B410">
        <v>-1000</v>
      </c>
    </row>
    <row r="411">
      <c r="A411">
        <v>1007512</v>
      </c>
      <c r="B411">
        <v>-988.99</v>
      </c>
    </row>
    <row r="412">
      <c r="A412">
        <v>1007541</v>
      </c>
      <c r="B412">
        <v>-2000</v>
      </c>
    </row>
    <row r="413">
      <c r="A413">
        <v>1007588</v>
      </c>
      <c r="B413">
        <v>-3000</v>
      </c>
    </row>
    <row r="414">
      <c r="A414">
        <v>1007600</v>
      </c>
      <c r="B414">
        <v>-2000</v>
      </c>
    </row>
    <row r="415">
      <c r="A415">
        <v>1007644</v>
      </c>
      <c r="B415">
        <v>-33413.96</v>
      </c>
    </row>
    <row r="416">
      <c r="A416">
        <v>1007654</v>
      </c>
      <c r="B416">
        <v>-5000</v>
      </c>
    </row>
    <row r="417">
      <c r="A417">
        <v>1007655</v>
      </c>
      <c r="B417">
        <v>-12524.24</v>
      </c>
    </row>
    <row r="418">
      <c r="A418">
        <v>1007663</v>
      </c>
      <c r="B418">
        <v>-3000</v>
      </c>
    </row>
    <row r="419">
      <c r="A419">
        <v>1007724</v>
      </c>
      <c r="B419">
        <v>-2190</v>
      </c>
    </row>
    <row r="420">
      <c r="A420">
        <v>1007788</v>
      </c>
      <c r="B420">
        <v>-2000</v>
      </c>
    </row>
    <row r="421">
      <c r="A421">
        <v>1007869</v>
      </c>
      <c r="B421">
        <v>-141</v>
      </c>
    </row>
    <row r="422">
      <c r="A422">
        <v>1007875</v>
      </c>
      <c r="B422">
        <v>-2000</v>
      </c>
    </row>
    <row r="423">
      <c r="A423">
        <v>1007936</v>
      </c>
      <c r="B423">
        <v>-1317</v>
      </c>
    </row>
    <row r="424">
      <c r="A424">
        <v>1007963</v>
      </c>
      <c r="B424">
        <v>-1390.63</v>
      </c>
    </row>
    <row r="425">
      <c r="A425">
        <v>1007977</v>
      </c>
      <c r="B425">
        <v>-1800</v>
      </c>
    </row>
    <row r="426">
      <c r="A426">
        <v>1007980</v>
      </c>
      <c r="B426">
        <v>-9127.14</v>
      </c>
    </row>
    <row r="427">
      <c r="A427">
        <v>1008005</v>
      </c>
      <c r="B427">
        <v>-2000</v>
      </c>
    </row>
    <row r="428">
      <c r="A428">
        <v>1008012</v>
      </c>
      <c r="B428">
        <v>-1520.97</v>
      </c>
    </row>
    <row r="429">
      <c r="A429">
        <v>1008016</v>
      </c>
      <c r="B429">
        <v>-2000</v>
      </c>
    </row>
    <row r="430">
      <c r="A430">
        <v>1008164</v>
      </c>
      <c r="B430">
        <v>-4835.79</v>
      </c>
    </row>
    <row r="431">
      <c r="A431">
        <v>1008172</v>
      </c>
      <c r="B431">
        <v>-246</v>
      </c>
    </row>
    <row r="432">
      <c r="A432">
        <v>1008173</v>
      </c>
      <c r="B432">
        <v>-726.67</v>
      </c>
    </row>
    <row r="433">
      <c r="A433">
        <v>1008188</v>
      </c>
      <c r="B433">
        <v>-972.64</v>
      </c>
    </row>
    <row r="434">
      <c r="A434">
        <v>1008227</v>
      </c>
      <c r="B434">
        <v>-170.26</v>
      </c>
    </row>
    <row r="435">
      <c r="A435">
        <v>1008248</v>
      </c>
      <c r="B435">
        <v>-426.13</v>
      </c>
    </row>
    <row r="436">
      <c r="A436">
        <v>1008315</v>
      </c>
      <c r="B436">
        <v>-1000</v>
      </c>
    </row>
    <row r="437">
      <c r="A437">
        <v>1008330</v>
      </c>
      <c r="B437">
        <v>-3960.7</v>
      </c>
    </row>
    <row r="438">
      <c r="A438">
        <v>1008334</v>
      </c>
      <c r="B438">
        <v>-1508.5</v>
      </c>
    </row>
    <row r="439">
      <c r="A439">
        <v>1008336</v>
      </c>
      <c r="B439">
        <v>-2500</v>
      </c>
    </row>
    <row r="440">
      <c r="A440">
        <v>1008342</v>
      </c>
      <c r="B440">
        <v>-6360</v>
      </c>
    </row>
    <row r="441">
      <c r="A441">
        <v>1008409</v>
      </c>
      <c r="B441">
        <v>-1000</v>
      </c>
    </row>
    <row r="442">
      <c r="A442">
        <v>1008422</v>
      </c>
      <c r="B442">
        <v>-3110.97</v>
      </c>
    </row>
    <row r="443">
      <c r="A443">
        <v>1008458</v>
      </c>
      <c r="B443">
        <v>-1300</v>
      </c>
    </row>
    <row r="444">
      <c r="A444">
        <v>1008473</v>
      </c>
      <c r="B444">
        <v>-4000</v>
      </c>
    </row>
    <row r="445">
      <c r="A445">
        <v>1008484</v>
      </c>
      <c r="B445">
        <v>-5020</v>
      </c>
    </row>
    <row r="446">
      <c r="A446">
        <v>1008506</v>
      </c>
      <c r="B446">
        <v>-1930</v>
      </c>
    </row>
    <row r="447">
      <c r="A447">
        <v>1008509</v>
      </c>
      <c r="B447">
        <v>-1000</v>
      </c>
    </row>
    <row r="448">
      <c r="A448">
        <v>1008519</v>
      </c>
      <c r="B448">
        <v>-4052</v>
      </c>
    </row>
    <row r="449">
      <c r="A449">
        <v>1008521</v>
      </c>
      <c r="B449">
        <v>-13260</v>
      </c>
    </row>
    <row r="450">
      <c r="A450">
        <v>1008523</v>
      </c>
      <c r="B450">
        <v>-847.35</v>
      </c>
    </row>
    <row r="451">
      <c r="A451">
        <v>1008525</v>
      </c>
      <c r="B451">
        <v>-3000</v>
      </c>
    </row>
    <row r="452">
      <c r="A452">
        <v>1008544</v>
      </c>
      <c r="B452">
        <v>-3988.18</v>
      </c>
    </row>
    <row r="453">
      <c r="A453">
        <v>1008547</v>
      </c>
      <c r="B453">
        <v>-3000</v>
      </c>
    </row>
    <row r="454">
      <c r="A454">
        <v>1008586</v>
      </c>
      <c r="B454">
        <v>-1500</v>
      </c>
    </row>
    <row r="455">
      <c r="A455">
        <v>1008625</v>
      </c>
      <c r="B455">
        <v>-1000</v>
      </c>
    </row>
    <row r="456">
      <c r="A456">
        <v>1008631</v>
      </c>
      <c r="B456">
        <v>-8751</v>
      </c>
    </row>
    <row r="457">
      <c r="A457">
        <v>1008641</v>
      </c>
      <c r="B457">
        <v>260267.33</v>
      </c>
    </row>
    <row r="458">
      <c r="A458">
        <v>1008642</v>
      </c>
      <c r="B458">
        <v>-460</v>
      </c>
    </row>
    <row r="459">
      <c r="A459">
        <v>1008663</v>
      </c>
      <c r="B459">
        <v>-5629.86</v>
      </c>
    </row>
    <row r="460">
      <c r="A460">
        <v>1008667</v>
      </c>
      <c r="B460">
        <v>-634.67</v>
      </c>
    </row>
    <row r="461">
      <c r="A461">
        <v>1008709</v>
      </c>
      <c r="B461">
        <v>-13500</v>
      </c>
    </row>
    <row r="462">
      <c r="A462">
        <v>1008732</v>
      </c>
      <c r="B462">
        <v>-2025.34</v>
      </c>
    </row>
    <row r="463">
      <c r="A463">
        <v>1008733</v>
      </c>
      <c r="B463">
        <v>-10501.41</v>
      </c>
    </row>
    <row r="464">
      <c r="A464">
        <v>1008745</v>
      </c>
      <c r="B464">
        <v>-3428.59</v>
      </c>
    </row>
    <row r="465">
      <c r="A465">
        <v>1008760</v>
      </c>
      <c r="B465">
        <v>-6087</v>
      </c>
    </row>
    <row r="466">
      <c r="A466">
        <v>1008777</v>
      </c>
      <c r="B466">
        <v>-1030</v>
      </c>
    </row>
    <row r="467">
      <c r="A467">
        <v>1008786</v>
      </c>
      <c r="B467">
        <v>-500</v>
      </c>
    </row>
    <row r="468">
      <c r="A468">
        <v>1008794</v>
      </c>
      <c r="B468">
        <v>-500</v>
      </c>
    </row>
    <row r="469">
      <c r="A469">
        <v>1008813</v>
      </c>
      <c r="B469">
        <v>-1000</v>
      </c>
    </row>
    <row r="470">
      <c r="A470">
        <v>1008892</v>
      </c>
      <c r="B470">
        <v>-18947.26</v>
      </c>
    </row>
    <row r="471">
      <c r="A471">
        <v>1008910</v>
      </c>
      <c r="B471">
        <v>-2000</v>
      </c>
    </row>
    <row r="472">
      <c r="A472">
        <v>1008911</v>
      </c>
      <c r="B472">
        <v>-2000</v>
      </c>
    </row>
    <row r="473">
      <c r="A473">
        <v>1008960</v>
      </c>
      <c r="B473">
        <v>-824</v>
      </c>
    </row>
    <row r="474">
      <c r="A474">
        <v>1008985</v>
      </c>
      <c r="B474">
        <v>-200</v>
      </c>
    </row>
    <row r="475">
      <c r="A475">
        <v>1009006</v>
      </c>
      <c r="B475">
        <v>-1292.5</v>
      </c>
    </row>
    <row r="476">
      <c r="A476">
        <v>1009013</v>
      </c>
      <c r="B476">
        <v>-2000</v>
      </c>
    </row>
    <row r="477">
      <c r="A477">
        <v>1009035</v>
      </c>
      <c r="B477">
        <v>-2000</v>
      </c>
    </row>
    <row r="478">
      <c r="A478">
        <v>1009036</v>
      </c>
      <c r="B478">
        <v>-1000</v>
      </c>
    </row>
    <row r="479">
      <c r="A479">
        <v>1009037</v>
      </c>
      <c r="B479">
        <v>-8431.27</v>
      </c>
    </row>
    <row r="480">
      <c r="A480">
        <v>1009038</v>
      </c>
      <c r="B480">
        <v>-3225.33</v>
      </c>
    </row>
    <row r="481">
      <c r="A481">
        <v>1009079</v>
      </c>
      <c r="B481">
        <v>-3000</v>
      </c>
    </row>
    <row r="482">
      <c r="A482">
        <v>1009124</v>
      </c>
      <c r="B482">
        <v>-477.62</v>
      </c>
    </row>
    <row r="483">
      <c r="A483">
        <v>1009142</v>
      </c>
      <c r="B483">
        <v>-5635.91</v>
      </c>
    </row>
    <row r="484">
      <c r="A484">
        <v>1009152</v>
      </c>
      <c r="B484">
        <v>-8340.32</v>
      </c>
    </row>
    <row r="485">
      <c r="A485">
        <v>1009158</v>
      </c>
      <c r="B485">
        <v>-1000</v>
      </c>
    </row>
    <row r="486">
      <c r="A486">
        <v>1009174</v>
      </c>
      <c r="B486">
        <v>-9421.38</v>
      </c>
    </row>
    <row r="487">
      <c r="A487">
        <v>1009181</v>
      </c>
      <c r="B487">
        <v>-2000</v>
      </c>
    </row>
    <row r="488">
      <c r="A488">
        <v>1009197</v>
      </c>
      <c r="B488">
        <v>-1500</v>
      </c>
    </row>
    <row r="489">
      <c r="A489">
        <v>1009230</v>
      </c>
      <c r="B489">
        <v>-5000</v>
      </c>
    </row>
    <row r="490">
      <c r="A490">
        <v>1009266</v>
      </c>
      <c r="B490">
        <v>-3000</v>
      </c>
    </row>
    <row r="491">
      <c r="A491">
        <v>1009381</v>
      </c>
      <c r="B491">
        <v>-2000</v>
      </c>
    </row>
    <row r="492">
      <c r="A492">
        <v>1009406</v>
      </c>
      <c r="B492">
        <v>-32190</v>
      </c>
    </row>
    <row r="493">
      <c r="A493">
        <v>1009447</v>
      </c>
      <c r="B493">
        <v>-4000</v>
      </c>
    </row>
    <row r="494">
      <c r="A494">
        <v>1009475</v>
      </c>
      <c r="B494">
        <v>-5500</v>
      </c>
    </row>
    <row r="495">
      <c r="A495">
        <v>1009478</v>
      </c>
      <c r="B495">
        <v>-1000</v>
      </c>
    </row>
    <row r="496">
      <c r="A496">
        <v>1009487</v>
      </c>
      <c r="B496">
        <v>-4149.79</v>
      </c>
    </row>
    <row r="497">
      <c r="A497">
        <v>1009507</v>
      </c>
      <c r="B497">
        <v>-3000</v>
      </c>
    </row>
    <row r="498">
      <c r="A498">
        <v>1009511</v>
      </c>
      <c r="B498">
        <v>-3000</v>
      </c>
    </row>
    <row r="499">
      <c r="A499">
        <v>1009534</v>
      </c>
      <c r="B499">
        <v>-1000</v>
      </c>
    </row>
    <row r="500">
      <c r="A500">
        <v>1009536</v>
      </c>
      <c r="B500">
        <v>-1168.12</v>
      </c>
    </row>
    <row r="501">
      <c r="A501">
        <v>1009539</v>
      </c>
      <c r="B501">
        <v>-30446.82</v>
      </c>
    </row>
    <row r="502">
      <c r="A502">
        <v>1009541</v>
      </c>
      <c r="B502">
        <v>-1000</v>
      </c>
    </row>
    <row r="503">
      <c r="A503">
        <v>1009621</v>
      </c>
      <c r="B503">
        <v>-210</v>
      </c>
    </row>
    <row r="504">
      <c r="A504">
        <v>1009629</v>
      </c>
      <c r="B504">
        <v>-2500</v>
      </c>
    </row>
    <row r="505">
      <c r="A505">
        <v>1009630</v>
      </c>
      <c r="B505">
        <v>-1206</v>
      </c>
    </row>
    <row r="506">
      <c r="A506">
        <v>1009658</v>
      </c>
      <c r="B506">
        <v>-1200</v>
      </c>
    </row>
    <row r="507">
      <c r="A507">
        <v>1009680</v>
      </c>
      <c r="B507">
        <v>-2148</v>
      </c>
    </row>
    <row r="508">
      <c r="A508">
        <v>1009681</v>
      </c>
      <c r="B508">
        <v>-2000</v>
      </c>
    </row>
    <row r="509">
      <c r="A509">
        <v>1009773</v>
      </c>
      <c r="B509">
        <v>-868.44</v>
      </c>
    </row>
    <row r="510">
      <c r="A510">
        <v>1009776</v>
      </c>
      <c r="B510">
        <v>-200</v>
      </c>
    </row>
    <row r="511">
      <c r="A511">
        <v>1009785</v>
      </c>
      <c r="B511">
        <v>-1635.12</v>
      </c>
    </row>
    <row r="512">
      <c r="A512">
        <v>1009848</v>
      </c>
      <c r="B512">
        <v>-612</v>
      </c>
    </row>
    <row r="513">
      <c r="A513">
        <v>1009889</v>
      </c>
      <c r="B513">
        <v>-751.28</v>
      </c>
    </row>
    <row r="514">
      <c r="A514">
        <v>1009986</v>
      </c>
      <c r="B514">
        <v>-1955</v>
      </c>
    </row>
    <row r="515">
      <c r="A515">
        <v>1010046</v>
      </c>
      <c r="B515">
        <v>-1000</v>
      </c>
    </row>
    <row r="516">
      <c r="A516">
        <v>1010117</v>
      </c>
      <c r="B516">
        <v>-1500</v>
      </c>
    </row>
    <row r="517">
      <c r="A517">
        <v>1010121</v>
      </c>
      <c r="B517">
        <v>-1000</v>
      </c>
    </row>
    <row r="518">
      <c r="A518">
        <v>1010129</v>
      </c>
      <c r="B518">
        <v>-5000</v>
      </c>
    </row>
    <row r="519">
      <c r="A519">
        <v>1010154</v>
      </c>
      <c r="B519">
        <v>-60565</v>
      </c>
    </row>
    <row r="520">
      <c r="A520">
        <v>1010225</v>
      </c>
      <c r="B520">
        <v>-8000</v>
      </c>
    </row>
    <row r="521">
      <c r="A521">
        <v>1010241</v>
      </c>
      <c r="B521">
        <v>-877.5</v>
      </c>
    </row>
    <row r="522">
      <c r="A522">
        <v>1010297</v>
      </c>
      <c r="B522">
        <v>-6000</v>
      </c>
    </row>
    <row r="523">
      <c r="A523">
        <v>1010322</v>
      </c>
      <c r="B523">
        <v>-10382.77</v>
      </c>
    </row>
    <row r="524">
      <c r="A524">
        <v>1010334</v>
      </c>
      <c r="B524">
        <v>-2000</v>
      </c>
    </row>
    <row r="525">
      <c r="A525">
        <v>1010342</v>
      </c>
      <c r="B525">
        <v>-8090.88</v>
      </c>
    </row>
    <row r="526">
      <c r="A526">
        <v>1010411</v>
      </c>
      <c r="B526">
        <v>-1074.51</v>
      </c>
    </row>
    <row r="527">
      <c r="A527">
        <v>1010462</v>
      </c>
      <c r="B527">
        <v>-3000</v>
      </c>
    </row>
    <row r="528">
      <c r="A528">
        <v>1010470</v>
      </c>
      <c r="B528">
        <v>-984</v>
      </c>
    </row>
    <row r="529">
      <c r="A529">
        <v>1010472</v>
      </c>
      <c r="B529">
        <v>-3282.5</v>
      </c>
    </row>
    <row r="530">
      <c r="A530">
        <v>1010480</v>
      </c>
      <c r="B530">
        <v>-5500</v>
      </c>
    </row>
    <row r="531">
      <c r="A531">
        <v>1010487</v>
      </c>
      <c r="B531">
        <v>-2742</v>
      </c>
    </row>
    <row r="532">
      <c r="A532">
        <v>1010490</v>
      </c>
      <c r="B532">
        <v>-109.28</v>
      </c>
    </row>
    <row r="533">
      <c r="A533">
        <v>1010493</v>
      </c>
      <c r="B533">
        <v>-3538.23</v>
      </c>
    </row>
    <row r="534">
      <c r="A534">
        <v>1010525</v>
      </c>
      <c r="B534">
        <v>-1000</v>
      </c>
    </row>
    <row r="535">
      <c r="A535">
        <v>1010534</v>
      </c>
      <c r="B535">
        <v>-1634.88</v>
      </c>
    </row>
    <row r="536">
      <c r="A536">
        <v>1010541</v>
      </c>
      <c r="B536">
        <v>-3000</v>
      </c>
    </row>
    <row r="537">
      <c r="A537">
        <v>1010635</v>
      </c>
      <c r="B537">
        <v>-500</v>
      </c>
    </row>
    <row r="538">
      <c r="A538">
        <v>1010695</v>
      </c>
      <c r="B538">
        <v>-1500</v>
      </c>
    </row>
    <row r="539">
      <c r="A539">
        <v>1010742</v>
      </c>
      <c r="B539">
        <v>-2000</v>
      </c>
    </row>
    <row r="540">
      <c r="A540">
        <v>1010743</v>
      </c>
      <c r="B540">
        <v>-33800</v>
      </c>
    </row>
    <row r="541">
      <c r="A541">
        <v>1010754</v>
      </c>
      <c r="B541">
        <v>-1744</v>
      </c>
    </row>
    <row r="542">
      <c r="A542">
        <v>1010756</v>
      </c>
      <c r="B542">
        <v>-2000</v>
      </c>
    </row>
    <row r="543">
      <c r="A543">
        <v>1010759</v>
      </c>
      <c r="B543">
        <v>-6740</v>
      </c>
    </row>
    <row r="544">
      <c r="A544">
        <v>1010780</v>
      </c>
      <c r="B544">
        <v>-244</v>
      </c>
    </row>
    <row r="545">
      <c r="A545">
        <v>1010807</v>
      </c>
      <c r="B545">
        <v>-1159.33</v>
      </c>
    </row>
    <row r="546">
      <c r="A546">
        <v>1010837</v>
      </c>
      <c r="B546">
        <v>-1299.5</v>
      </c>
    </row>
    <row r="547">
      <c r="A547">
        <v>1011023</v>
      </c>
      <c r="B547">
        <v>-800</v>
      </c>
    </row>
    <row r="548">
      <c r="A548">
        <v>1011026</v>
      </c>
      <c r="B548">
        <v>-5135</v>
      </c>
    </row>
    <row r="549">
      <c r="A549">
        <v>1011044</v>
      </c>
      <c r="B549">
        <v>-1064</v>
      </c>
    </row>
    <row r="550">
      <c r="A550">
        <v>1011055</v>
      </c>
      <c r="B550">
        <v>-13851.2</v>
      </c>
    </row>
    <row r="551">
      <c r="A551">
        <v>1011057</v>
      </c>
      <c r="B551">
        <v>-3000</v>
      </c>
    </row>
    <row r="552">
      <c r="A552">
        <v>1011062</v>
      </c>
      <c r="B552">
        <v>-1901.41</v>
      </c>
    </row>
    <row r="553">
      <c r="A553">
        <v>1011077</v>
      </c>
      <c r="B553">
        <v>-2000</v>
      </c>
    </row>
    <row r="554">
      <c r="A554">
        <v>1011099</v>
      </c>
      <c r="B554">
        <v>-16603.91</v>
      </c>
    </row>
    <row r="555">
      <c r="A555">
        <v>1011100</v>
      </c>
      <c r="B555">
        <v>-2000</v>
      </c>
    </row>
    <row r="556">
      <c r="A556">
        <v>1011103</v>
      </c>
      <c r="B556">
        <v>-1231.52</v>
      </c>
    </row>
    <row r="557">
      <c r="A557">
        <v>1011114</v>
      </c>
      <c r="B557">
        <v>-5000</v>
      </c>
    </row>
    <row r="558">
      <c r="A558">
        <v>1011116</v>
      </c>
      <c r="B558">
        <v>-101.13</v>
      </c>
    </row>
    <row r="559">
      <c r="A559">
        <v>1011160</v>
      </c>
      <c r="B559">
        <v>-289.49</v>
      </c>
    </row>
    <row r="560">
      <c r="A560">
        <v>1011161</v>
      </c>
      <c r="B560">
        <v>-200</v>
      </c>
    </row>
    <row r="561">
      <c r="A561">
        <v>1011180</v>
      </c>
      <c r="B561">
        <v>-1500</v>
      </c>
    </row>
    <row r="562">
      <c r="A562">
        <v>1011181</v>
      </c>
      <c r="B562">
        <v>-3000</v>
      </c>
    </row>
    <row r="563">
      <c r="A563">
        <v>1011193</v>
      </c>
      <c r="B563">
        <v>-5000</v>
      </c>
    </row>
    <row r="564">
      <c r="A564">
        <v>1011203</v>
      </c>
      <c r="B564">
        <v>-6342.11</v>
      </c>
    </row>
    <row r="565">
      <c r="A565">
        <v>1011244</v>
      </c>
      <c r="B565">
        <v>-1000</v>
      </c>
    </row>
    <row r="566">
      <c r="A566">
        <v>1011282</v>
      </c>
      <c r="B566">
        <v>-109</v>
      </c>
    </row>
    <row r="567">
      <c r="A567">
        <v>1011293</v>
      </c>
      <c r="B567">
        <v>-1500</v>
      </c>
    </row>
    <row r="568">
      <c r="A568">
        <v>1011296</v>
      </c>
      <c r="B568">
        <v>-1356.42</v>
      </c>
    </row>
    <row r="569">
      <c r="A569">
        <v>1011301</v>
      </c>
      <c r="B569">
        <v>-3000</v>
      </c>
    </row>
    <row r="570">
      <c r="A570">
        <v>1011311</v>
      </c>
      <c r="B570">
        <v>-944.85</v>
      </c>
    </row>
    <row r="571">
      <c r="A571">
        <v>1011403</v>
      </c>
      <c r="B571">
        <v>-2000</v>
      </c>
    </row>
    <row r="572">
      <c r="A572">
        <v>1011428</v>
      </c>
      <c r="B572">
        <v>-240</v>
      </c>
    </row>
    <row r="573">
      <c r="A573">
        <v>1011491</v>
      </c>
      <c r="B573">
        <v>-1500</v>
      </c>
    </row>
    <row r="574">
      <c r="A574">
        <v>1011514</v>
      </c>
      <c r="B574">
        <v>-1626</v>
      </c>
    </row>
    <row r="575">
      <c r="A575">
        <v>1011541</v>
      </c>
      <c r="B575">
        <v>-1877</v>
      </c>
    </row>
    <row r="576">
      <c r="A576">
        <v>1011588</v>
      </c>
      <c r="B576">
        <v>-22500</v>
      </c>
    </row>
    <row r="577">
      <c r="A577">
        <v>1011590</v>
      </c>
      <c r="B577">
        <v>-1000</v>
      </c>
    </row>
    <row r="578">
      <c r="A578">
        <v>1011603</v>
      </c>
      <c r="B578">
        <v>-32200</v>
      </c>
    </row>
    <row r="579">
      <c r="A579">
        <v>1011606</v>
      </c>
      <c r="B579">
        <v>-2000</v>
      </c>
    </row>
    <row r="580">
      <c r="A580">
        <v>1011611</v>
      </c>
      <c r="B580">
        <v>-2000</v>
      </c>
    </row>
    <row r="581">
      <c r="A581">
        <v>1011655</v>
      </c>
      <c r="B581">
        <v>-280.75</v>
      </c>
    </row>
    <row r="582">
      <c r="A582">
        <v>1011664</v>
      </c>
      <c r="B582">
        <v>-500</v>
      </c>
    </row>
    <row r="583">
      <c r="A583">
        <v>1011697</v>
      </c>
      <c r="B583">
        <v>-500</v>
      </c>
    </row>
    <row r="584">
      <c r="A584">
        <v>1011703</v>
      </c>
      <c r="B584">
        <v>-4190.68</v>
      </c>
    </row>
    <row r="585">
      <c r="A585">
        <v>1011777</v>
      </c>
      <c r="B585">
        <v>-600</v>
      </c>
    </row>
    <row r="586">
      <c r="A586">
        <v>1011798</v>
      </c>
      <c r="B586">
        <v>-3206.4</v>
      </c>
    </row>
    <row r="587">
      <c r="A587">
        <v>1011831</v>
      </c>
      <c r="B587">
        <v>-4522</v>
      </c>
    </row>
    <row r="588">
      <c r="A588">
        <v>1011871</v>
      </c>
      <c r="B588">
        <v>-5555</v>
      </c>
    </row>
    <row r="589">
      <c r="A589">
        <v>1011964</v>
      </c>
      <c r="B589">
        <v>-1000</v>
      </c>
    </row>
    <row r="590">
      <c r="A590">
        <v>1012065</v>
      </c>
      <c r="B590">
        <v>-190</v>
      </c>
    </row>
    <row r="591">
      <c r="A591">
        <v>1012066</v>
      </c>
      <c r="B591">
        <v>-5489.02</v>
      </c>
    </row>
    <row r="592">
      <c r="A592">
        <v>1012080</v>
      </c>
      <c r="B592">
        <v>-3000</v>
      </c>
    </row>
    <row r="593">
      <c r="A593">
        <v>1012081</v>
      </c>
      <c r="B593">
        <v>-415</v>
      </c>
    </row>
    <row r="594">
      <c r="A594">
        <v>1012094</v>
      </c>
      <c r="B594">
        <v>-3000</v>
      </c>
    </row>
    <row r="595">
      <c r="A595">
        <v>1012097</v>
      </c>
      <c r="B595">
        <v>-4656</v>
      </c>
    </row>
    <row r="596">
      <c r="A596">
        <v>1012099</v>
      </c>
      <c r="B596">
        <v>-11036.55</v>
      </c>
    </row>
    <row r="597">
      <c r="A597">
        <v>1012165</v>
      </c>
      <c r="B597">
        <v>-500</v>
      </c>
    </row>
    <row r="598">
      <c r="A598">
        <v>1012166</v>
      </c>
      <c r="B598">
        <v>-2298</v>
      </c>
    </row>
    <row r="599">
      <c r="A599">
        <v>1012227</v>
      </c>
      <c r="B599">
        <v>-2000</v>
      </c>
    </row>
    <row r="600">
      <c r="A600">
        <v>1012256</v>
      </c>
      <c r="B600">
        <v>-4638.5</v>
      </c>
    </row>
    <row r="601">
      <c r="A601">
        <v>1012261</v>
      </c>
      <c r="B601">
        <v>-2355</v>
      </c>
    </row>
    <row r="602">
      <c r="A602">
        <v>1012302</v>
      </c>
      <c r="B602">
        <v>-10440.11</v>
      </c>
    </row>
    <row r="603">
      <c r="A603">
        <v>1012363</v>
      </c>
      <c r="B603">
        <v>-1000</v>
      </c>
    </row>
    <row r="604">
      <c r="A604">
        <v>1012372</v>
      </c>
      <c r="B604">
        <v>-1000</v>
      </c>
    </row>
    <row r="605">
      <c r="A605">
        <v>1012449</v>
      </c>
      <c r="B605">
        <v>-2000</v>
      </c>
    </row>
    <row r="606">
      <c r="A606">
        <v>1012463</v>
      </c>
      <c r="B606">
        <v>-700.49</v>
      </c>
    </row>
    <row r="607">
      <c r="A607">
        <v>1012476</v>
      </c>
      <c r="B607">
        <v>-1000</v>
      </c>
    </row>
    <row r="608">
      <c r="A608">
        <v>1012541</v>
      </c>
      <c r="B608">
        <v>-130.9</v>
      </c>
    </row>
    <row r="609">
      <c r="A609">
        <v>1012618</v>
      </c>
      <c r="B609">
        <v>-1000</v>
      </c>
    </row>
    <row r="610">
      <c r="A610">
        <v>1012626</v>
      </c>
      <c r="B610">
        <v>-1000</v>
      </c>
    </row>
    <row r="611">
      <c r="A611">
        <v>1012650</v>
      </c>
      <c r="B611">
        <v>-1880</v>
      </c>
    </row>
    <row r="612">
      <c r="A612">
        <v>1012732</v>
      </c>
      <c r="B612">
        <v>-1000</v>
      </c>
    </row>
    <row r="613">
      <c r="A613">
        <v>1012749</v>
      </c>
      <c r="B613">
        <v>-1000</v>
      </c>
    </row>
    <row r="614">
      <c r="A614">
        <v>1012854</v>
      </c>
      <c r="B614">
        <v>-500</v>
      </c>
    </row>
    <row r="615">
      <c r="A615">
        <v>1012888</v>
      </c>
      <c r="B615">
        <v>-2000</v>
      </c>
    </row>
    <row r="616">
      <c r="A616">
        <v>1012933</v>
      </c>
      <c r="B616">
        <v>-8177</v>
      </c>
    </row>
    <row r="617">
      <c r="A617">
        <v>1012944</v>
      </c>
      <c r="B617">
        <v>-2000</v>
      </c>
    </row>
    <row r="618">
      <c r="A618">
        <v>1012973</v>
      </c>
      <c r="B618">
        <v>-3000</v>
      </c>
    </row>
    <row r="619">
      <c r="A619">
        <v>1012999</v>
      </c>
      <c r="B619">
        <v>-1000</v>
      </c>
    </row>
    <row r="620">
      <c r="A620">
        <v>1013038</v>
      </c>
      <c r="B620">
        <v>-2269</v>
      </c>
    </row>
    <row r="621">
      <c r="A621">
        <v>1013113</v>
      </c>
      <c r="B621">
        <v>-960.84</v>
      </c>
    </row>
    <row r="622">
      <c r="A622">
        <v>1013156</v>
      </c>
      <c r="B622">
        <v>-10428</v>
      </c>
    </row>
    <row r="623">
      <c r="A623">
        <v>1013240</v>
      </c>
      <c r="B623">
        <v>-2500</v>
      </c>
    </row>
    <row r="624">
      <c r="A624">
        <v>1013268</v>
      </c>
      <c r="B624">
        <v>-129.19</v>
      </c>
    </row>
    <row r="625">
      <c r="A625">
        <v>1013306</v>
      </c>
      <c r="B625">
        <v>-499.34</v>
      </c>
    </row>
    <row r="626">
      <c r="A626">
        <v>1013354</v>
      </c>
      <c r="B626">
        <v>-2617.64</v>
      </c>
    </row>
    <row r="627">
      <c r="A627">
        <v>1013357</v>
      </c>
      <c r="B627">
        <v>-880</v>
      </c>
    </row>
    <row r="628">
      <c r="A628">
        <v>1013358</v>
      </c>
      <c r="B628">
        <v>-1000</v>
      </c>
    </row>
    <row r="629">
      <c r="A629">
        <v>1013378</v>
      </c>
      <c r="B629">
        <v>-1289.96</v>
      </c>
    </row>
    <row r="630">
      <c r="A630">
        <v>1013407</v>
      </c>
      <c r="B630">
        <v>-2100</v>
      </c>
    </row>
    <row r="631">
      <c r="A631">
        <v>1013408</v>
      </c>
      <c r="B631">
        <v>-5483.64</v>
      </c>
    </row>
    <row r="632">
      <c r="A632">
        <v>1013427</v>
      </c>
      <c r="B632">
        <v>-4934.5</v>
      </c>
    </row>
    <row r="633">
      <c r="A633">
        <v>1013434</v>
      </c>
      <c r="B633">
        <v>-2803.6</v>
      </c>
    </row>
    <row r="634">
      <c r="A634">
        <v>1013451</v>
      </c>
      <c r="B634">
        <v>-4819.02</v>
      </c>
    </row>
    <row r="635">
      <c r="A635">
        <v>1013454</v>
      </c>
      <c r="B635">
        <v>-5092.42</v>
      </c>
    </row>
    <row r="636">
      <c r="A636">
        <v>1013465</v>
      </c>
      <c r="B636">
        <v>-1118.91</v>
      </c>
    </row>
    <row r="637">
      <c r="A637">
        <v>1013475</v>
      </c>
      <c r="B637">
        <v>-2359.74</v>
      </c>
    </row>
    <row r="638">
      <c r="A638">
        <v>1013561</v>
      </c>
      <c r="B638">
        <v>-3000</v>
      </c>
    </row>
    <row r="639">
      <c r="A639">
        <v>1013565</v>
      </c>
      <c r="B639">
        <v>-634.98</v>
      </c>
    </row>
    <row r="640">
      <c r="A640">
        <v>1013578</v>
      </c>
      <c r="B640">
        <v>-275.99</v>
      </c>
    </row>
    <row r="641">
      <c r="A641">
        <v>1013620</v>
      </c>
      <c r="B641">
        <v>-1000</v>
      </c>
    </row>
    <row r="642">
      <c r="A642">
        <v>1013662</v>
      </c>
      <c r="B642">
        <v>-10329.53</v>
      </c>
    </row>
    <row r="643">
      <c r="A643">
        <v>1013707</v>
      </c>
      <c r="B643">
        <v>-4000</v>
      </c>
    </row>
    <row r="644">
      <c r="A644">
        <v>1013746</v>
      </c>
      <c r="B644">
        <v>-1927</v>
      </c>
    </row>
    <row r="645">
      <c r="A645">
        <v>1013747</v>
      </c>
      <c r="B645">
        <v>-4152.55</v>
      </c>
    </row>
    <row r="646">
      <c r="A646">
        <v>1013788</v>
      </c>
      <c r="B646">
        <v>-3000</v>
      </c>
    </row>
    <row r="647">
      <c r="A647">
        <v>1013789</v>
      </c>
      <c r="B647">
        <v>-1000</v>
      </c>
    </row>
    <row r="648">
      <c r="A648">
        <v>1013836</v>
      </c>
      <c r="B648">
        <v>-1099.36</v>
      </c>
    </row>
    <row r="649">
      <c r="A649">
        <v>1013849</v>
      </c>
      <c r="B649">
        <v>-700</v>
      </c>
    </row>
    <row r="650">
      <c r="A650">
        <v>1013874</v>
      </c>
      <c r="B650">
        <v>-582.13</v>
      </c>
    </row>
    <row r="651">
      <c r="A651">
        <v>1013910</v>
      </c>
      <c r="B651">
        <v>-4000</v>
      </c>
    </row>
    <row r="652">
      <c r="A652">
        <v>1013937</v>
      </c>
      <c r="B652">
        <v>-300</v>
      </c>
    </row>
    <row r="653">
      <c r="A653">
        <v>1014008</v>
      </c>
      <c r="B653">
        <v>-300</v>
      </c>
    </row>
    <row r="654">
      <c r="A654">
        <v>1014012</v>
      </c>
      <c r="B654">
        <v>-3984</v>
      </c>
    </row>
    <row r="655">
      <c r="A655">
        <v>1014033</v>
      </c>
      <c r="B655">
        <v>-562</v>
      </c>
    </row>
    <row r="656">
      <c r="A656">
        <v>1014121</v>
      </c>
      <c r="B656">
        <v>-333106.13</v>
      </c>
    </row>
    <row r="657">
      <c r="A657">
        <v>1014168</v>
      </c>
      <c r="B657">
        <v>-2000</v>
      </c>
    </row>
    <row r="658">
      <c r="A658">
        <v>1014237</v>
      </c>
      <c r="B658">
        <v>-645</v>
      </c>
    </row>
    <row r="659">
      <c r="A659">
        <v>1014430</v>
      </c>
      <c r="B659">
        <v>-2000</v>
      </c>
    </row>
    <row r="660">
      <c r="A660">
        <v>1014438</v>
      </c>
      <c r="B660">
        <v>-2800</v>
      </c>
    </row>
    <row r="661">
      <c r="A661">
        <v>1014492</v>
      </c>
      <c r="B661">
        <v>-2700</v>
      </c>
    </row>
    <row r="662">
      <c r="A662">
        <v>1014493</v>
      </c>
      <c r="B662">
        <v>-4500</v>
      </c>
    </row>
    <row r="663">
      <c r="A663">
        <v>1014551</v>
      </c>
      <c r="B663">
        <v>-2400</v>
      </c>
    </row>
    <row r="664">
      <c r="A664">
        <v>1014562</v>
      </c>
      <c r="B664">
        <v>-1000</v>
      </c>
    </row>
    <row r="665">
      <c r="A665">
        <v>1014581</v>
      </c>
      <c r="B665">
        <v>-14860</v>
      </c>
    </row>
    <row r="666">
      <c r="A666">
        <v>1014693</v>
      </c>
      <c r="B666">
        <v>-2000</v>
      </c>
    </row>
    <row r="667">
      <c r="A667">
        <v>1014724</v>
      </c>
      <c r="B667">
        <v>-1000</v>
      </c>
    </row>
    <row r="668">
      <c r="A668">
        <v>1014770</v>
      </c>
      <c r="B668">
        <v>-2942.27</v>
      </c>
    </row>
    <row r="669">
      <c r="A669">
        <v>1014884</v>
      </c>
      <c r="B669">
        <v>-8839.72</v>
      </c>
    </row>
    <row r="670">
      <c r="A670">
        <v>1014949</v>
      </c>
      <c r="B670">
        <v>-1300</v>
      </c>
    </row>
    <row r="671">
      <c r="A671">
        <v>1014950</v>
      </c>
      <c r="B671">
        <v>-2000</v>
      </c>
    </row>
    <row r="672">
      <c r="A672">
        <v>1014974</v>
      </c>
      <c r="B672">
        <v>-637.62</v>
      </c>
    </row>
    <row r="673">
      <c r="A673">
        <v>1014977</v>
      </c>
      <c r="B673">
        <v>-3382.22</v>
      </c>
    </row>
    <row r="674">
      <c r="A674">
        <v>1015006</v>
      </c>
      <c r="B674">
        <v>-3000</v>
      </c>
    </row>
    <row r="675">
      <c r="A675">
        <v>1015021</v>
      </c>
      <c r="B675">
        <v>-1968.72</v>
      </c>
    </row>
    <row r="676">
      <c r="A676">
        <v>1015094</v>
      </c>
      <c r="B676">
        <v>-3000</v>
      </c>
    </row>
    <row r="677">
      <c r="A677">
        <v>1015158</v>
      </c>
      <c r="B677">
        <v>-46035</v>
      </c>
    </row>
    <row r="678">
      <c r="A678">
        <v>1015160</v>
      </c>
      <c r="B678">
        <v>-1459.68</v>
      </c>
    </row>
    <row r="679">
      <c r="A679">
        <v>1015184</v>
      </c>
      <c r="B679">
        <v>-2000</v>
      </c>
    </row>
    <row r="680">
      <c r="A680">
        <v>1015187</v>
      </c>
      <c r="B680">
        <v>-1000</v>
      </c>
    </row>
    <row r="681">
      <c r="A681">
        <v>1015242</v>
      </c>
      <c r="B681">
        <v>-3000</v>
      </c>
    </row>
    <row r="682">
      <c r="A682">
        <v>1015320</v>
      </c>
      <c r="B682">
        <v>-4000</v>
      </c>
    </row>
    <row r="683">
      <c r="A683">
        <v>1015341</v>
      </c>
      <c r="B683">
        <v>-1000</v>
      </c>
    </row>
    <row r="684">
      <c r="A684">
        <v>1015345</v>
      </c>
      <c r="B684">
        <v>-224.19</v>
      </c>
    </row>
    <row r="685">
      <c r="A685">
        <v>1015386</v>
      </c>
      <c r="B685">
        <v>-27838</v>
      </c>
    </row>
    <row r="686">
      <c r="A686">
        <v>1015399</v>
      </c>
      <c r="B686">
        <v>-1719.46</v>
      </c>
    </row>
    <row r="687">
      <c r="A687">
        <v>1015414</v>
      </c>
      <c r="B687">
        <v>-1474.05</v>
      </c>
    </row>
    <row r="688">
      <c r="A688">
        <v>1015445</v>
      </c>
      <c r="B688">
        <v>-5000</v>
      </c>
    </row>
    <row r="689">
      <c r="A689">
        <v>1015465</v>
      </c>
      <c r="B689">
        <v>-3000</v>
      </c>
    </row>
    <row r="690">
      <c r="A690">
        <v>1015467</v>
      </c>
      <c r="B690">
        <v>-535</v>
      </c>
    </row>
    <row r="691">
      <c r="A691">
        <v>1015474</v>
      </c>
      <c r="B691">
        <v>-500</v>
      </c>
    </row>
    <row r="692">
      <c r="A692">
        <v>1015475</v>
      </c>
      <c r="B692">
        <v>-1000</v>
      </c>
    </row>
    <row r="693">
      <c r="A693">
        <v>1015488</v>
      </c>
      <c r="B693">
        <v>-693</v>
      </c>
    </row>
    <row r="694">
      <c r="A694">
        <v>1015522</v>
      </c>
      <c r="B694">
        <v>-5000</v>
      </c>
    </row>
    <row r="695">
      <c r="A695">
        <v>1015538</v>
      </c>
      <c r="B695">
        <v>-478</v>
      </c>
    </row>
    <row r="696">
      <c r="A696">
        <v>1015562</v>
      </c>
      <c r="B696">
        <v>-3000</v>
      </c>
    </row>
    <row r="697">
      <c r="A697">
        <v>1015648</v>
      </c>
      <c r="B697">
        <v>-500000</v>
      </c>
    </row>
    <row r="698">
      <c r="A698">
        <v>1016278</v>
      </c>
      <c r="B698">
        <v>-381</v>
      </c>
    </row>
    <row r="699">
      <c r="A699">
        <v>1016549</v>
      </c>
      <c r="B699">
        <v>-14319.27</v>
      </c>
    </row>
    <row r="700">
      <c r="A700">
        <v>1017529</v>
      </c>
      <c r="B700">
        <v>-2716.25</v>
      </c>
    </row>
    <row r="701">
      <c r="A701">
        <v>1017672</v>
      </c>
      <c r="B701">
        <v>-3612</v>
      </c>
    </row>
    <row r="702">
      <c r="A702">
        <v>1020378</v>
      </c>
      <c r="B702">
        <v>-52723.44</v>
      </c>
    </row>
    <row r="703">
      <c r="A703">
        <v>1020997</v>
      </c>
      <c r="B703">
        <v>-300000</v>
      </c>
    </row>
    <row r="704">
      <c r="A704">
        <v>1021718</v>
      </c>
      <c r="B704">
        <v>-1000</v>
      </c>
    </row>
    <row r="705">
      <c r="A705">
        <v>1022178</v>
      </c>
      <c r="B705">
        <v>-201609.17</v>
      </c>
    </row>
    <row r="706">
      <c r="A706">
        <v>1022343</v>
      </c>
      <c r="B706">
        <v>-500</v>
      </c>
    </row>
    <row r="707">
      <c r="A707">
        <v>1022349</v>
      </c>
      <c r="B707">
        <v>1611519.21</v>
      </c>
    </row>
    <row r="708">
      <c r="A708">
        <v>1022350</v>
      </c>
      <c r="B708">
        <v>-500000</v>
      </c>
    </row>
    <row r="709">
      <c r="A709">
        <v>1022368</v>
      </c>
      <c r="B709">
        <v>-5276.6</v>
      </c>
    </row>
    <row r="710">
      <c r="A710">
        <v>1022416</v>
      </c>
      <c r="B710">
        <v>-3000</v>
      </c>
    </row>
    <row r="711">
      <c r="A711">
        <v>1022421</v>
      </c>
      <c r="B711">
        <v>-1000</v>
      </c>
    </row>
    <row r="712">
      <c r="A712">
        <v>1022425</v>
      </c>
      <c r="B712">
        <v>-4546.59</v>
      </c>
    </row>
    <row r="713">
      <c r="A713">
        <v>1022454</v>
      </c>
      <c r="B713">
        <v>-2500</v>
      </c>
    </row>
    <row r="714">
      <c r="A714">
        <v>1022466</v>
      </c>
      <c r="B714">
        <v>-2000</v>
      </c>
    </row>
    <row r="715">
      <c r="A715">
        <v>1022507</v>
      </c>
      <c r="B715">
        <v>-160</v>
      </c>
    </row>
    <row r="716">
      <c r="A716">
        <v>1022615</v>
      </c>
      <c r="B716">
        <v>-88812.53</v>
      </c>
    </row>
    <row r="717">
      <c r="A717">
        <v>1022643</v>
      </c>
      <c r="B717">
        <v>-3581</v>
      </c>
    </row>
    <row r="718">
      <c r="A718">
        <v>1022646</v>
      </c>
      <c r="B718">
        <v>-15315.08</v>
      </c>
    </row>
    <row r="719">
      <c r="A719">
        <v>1022663</v>
      </c>
      <c r="B719">
        <v>-604.35</v>
      </c>
    </row>
    <row r="720">
      <c r="A720">
        <v>1022768</v>
      </c>
      <c r="B720">
        <v>-38709.66</v>
      </c>
    </row>
    <row r="721">
      <c r="A721">
        <v>1022969</v>
      </c>
      <c r="B721">
        <v>-3000</v>
      </c>
    </row>
    <row r="722">
      <c r="A722">
        <v>1022991</v>
      </c>
      <c r="B722">
        <v>-120854.01</v>
      </c>
    </row>
    <row r="723">
      <c r="A723">
        <v>1023037</v>
      </c>
      <c r="B723">
        <v>-1082.74</v>
      </c>
    </row>
    <row r="724">
      <c r="A724">
        <v>1023432</v>
      </c>
      <c r="B724">
        <v>-3000</v>
      </c>
    </row>
    <row r="725">
      <c r="A725">
        <v>1023789</v>
      </c>
      <c r="B725">
        <v>-25115.98</v>
      </c>
    </row>
    <row r="726">
      <c r="A726">
        <v>1023796</v>
      </c>
      <c r="B726">
        <v>-3000</v>
      </c>
    </row>
    <row r="727">
      <c r="A727">
        <v>1024520</v>
      </c>
      <c r="B727">
        <v>-3000</v>
      </c>
    </row>
    <row r="728">
      <c r="A728">
        <v>1024597</v>
      </c>
      <c r="B728">
        <v>41637.16</v>
      </c>
    </row>
    <row r="729">
      <c r="A729">
        <v>1024821</v>
      </c>
      <c r="B729">
        <v>-242922.43</v>
      </c>
    </row>
    <row r="730">
      <c r="A730">
        <v>1025342</v>
      </c>
      <c r="B730">
        <v>-5000</v>
      </c>
    </row>
    <row r="731">
      <c r="A731">
        <v>1025591</v>
      </c>
      <c r="B731">
        <v>-2503.62</v>
      </c>
    </row>
    <row r="732">
      <c r="A732">
        <v>1025910</v>
      </c>
      <c r="B732">
        <v>-2080</v>
      </c>
    </row>
    <row r="733">
      <c r="A733">
        <v>1026237</v>
      </c>
      <c r="B733">
        <v>-6354.48</v>
      </c>
    </row>
    <row r="734">
      <c r="A734">
        <v>1026269</v>
      </c>
      <c r="B734">
        <v>1920929.8</v>
      </c>
    </row>
    <row r="735">
      <c r="A735">
        <v>1026467</v>
      </c>
      <c r="B735">
        <v>-17610.81</v>
      </c>
    </row>
    <row r="736">
      <c r="A736">
        <v>1026540</v>
      </c>
      <c r="B736">
        <v>11584.21</v>
      </c>
    </row>
    <row r="737">
      <c r="A737">
        <v>1026633</v>
      </c>
      <c r="B737">
        <v>-11735.78</v>
      </c>
    </row>
    <row r="738">
      <c r="A738">
        <v>1026695</v>
      </c>
      <c r="B738">
        <v>-2448.92</v>
      </c>
    </row>
    <row r="739">
      <c r="A739">
        <v>1026741</v>
      </c>
      <c r="B739">
        <v>-42742.2</v>
      </c>
    </row>
    <row r="740">
      <c r="A740">
        <v>1026845</v>
      </c>
      <c r="B740">
        <v>-37273.88</v>
      </c>
    </row>
    <row r="741">
      <c r="A741">
        <v>1027069</v>
      </c>
      <c r="B741">
        <v>-485177.12</v>
      </c>
    </row>
    <row r="742">
      <c r="A742">
        <v>1027295</v>
      </c>
      <c r="B742">
        <v>-3000</v>
      </c>
    </row>
    <row r="743">
      <c r="A743">
        <v>1027546</v>
      </c>
      <c r="B743">
        <v>-67924.53</v>
      </c>
    </row>
    <row r="744">
      <c r="A744">
        <v>1027790</v>
      </c>
      <c r="B744">
        <v>-55502.35</v>
      </c>
    </row>
    <row r="745">
      <c r="A745">
        <v>1027855</v>
      </c>
      <c r="B745">
        <v>-2000</v>
      </c>
    </row>
    <row r="746">
      <c r="A746">
        <v>1027882</v>
      </c>
      <c r="B746">
        <v>-900</v>
      </c>
    </row>
    <row r="747">
      <c r="A747">
        <v>1028116</v>
      </c>
      <c r="B747">
        <v>-61060.08</v>
      </c>
    </row>
    <row r="748">
      <c r="A748">
        <v>1028130</v>
      </c>
      <c r="B748">
        <v>-112645.7</v>
      </c>
    </row>
    <row r="749">
      <c r="A749">
        <v>1028222</v>
      </c>
      <c r="B749">
        <v>21498.57</v>
      </c>
    </row>
    <row r="750">
      <c r="A750">
        <v>1028599</v>
      </c>
      <c r="B750">
        <v>-3000</v>
      </c>
    </row>
    <row r="751">
      <c r="A751">
        <v>1028846</v>
      </c>
      <c r="B751">
        <v>-12656.16</v>
      </c>
    </row>
    <row r="752">
      <c r="A752">
        <v>1029021</v>
      </c>
      <c r="B752">
        <v>-13799.9</v>
      </c>
    </row>
    <row r="753">
      <c r="A753">
        <v>1030793</v>
      </c>
      <c r="B753">
        <v>-3000</v>
      </c>
    </row>
    <row r="754">
      <c r="A754">
        <v>1030825</v>
      </c>
      <c r="B754">
        <v>-209112</v>
      </c>
    </row>
    <row r="755">
      <c r="A755">
        <v>1030827</v>
      </c>
      <c r="B755">
        <v>-10000</v>
      </c>
    </row>
    <row r="756">
      <c r="A756">
        <v>1030870</v>
      </c>
      <c r="B756">
        <v>-40617.68</v>
      </c>
    </row>
    <row r="757">
      <c r="A757">
        <v>1030959</v>
      </c>
      <c r="B757">
        <v>-9570</v>
      </c>
    </row>
    <row r="758">
      <c r="A758">
        <v>1031333</v>
      </c>
      <c r="B758">
        <v>-1243</v>
      </c>
    </row>
    <row r="759">
      <c r="A759">
        <v>1031452</v>
      </c>
      <c r="B759">
        <v>-30335.64</v>
      </c>
    </row>
    <row r="760">
      <c r="A760">
        <v>1032310</v>
      </c>
      <c r="B760">
        <v>-70000</v>
      </c>
    </row>
    <row r="761">
      <c r="A761">
        <v>1032317</v>
      </c>
      <c r="B761">
        <v>-3000</v>
      </c>
    </row>
    <row r="762">
      <c r="A762">
        <v>1032318</v>
      </c>
      <c r="B762">
        <v>-3000</v>
      </c>
    </row>
    <row r="763">
      <c r="A763">
        <v>1032334</v>
      </c>
      <c r="B763">
        <v>-5903.23</v>
      </c>
    </row>
    <row r="764">
      <c r="A764">
        <v>1032548</v>
      </c>
      <c r="B764">
        <v>-32644.12</v>
      </c>
    </row>
    <row r="765">
      <c r="A765">
        <v>1032568</v>
      </c>
      <c r="B765">
        <v>-12311.58</v>
      </c>
    </row>
    <row r="766">
      <c r="A766">
        <v>1032657</v>
      </c>
      <c r="B766">
        <v>-3000</v>
      </c>
    </row>
    <row r="767">
      <c r="A767">
        <v>1032687</v>
      </c>
      <c r="B767">
        <v>-3800</v>
      </c>
    </row>
    <row r="768">
      <c r="A768">
        <v>1032757</v>
      </c>
      <c r="B768">
        <v>-104</v>
      </c>
    </row>
    <row r="769">
      <c r="A769">
        <v>1032950</v>
      </c>
      <c r="B769">
        <v>-5482.73</v>
      </c>
    </row>
    <row r="770">
      <c r="A770">
        <v>1033086</v>
      </c>
      <c r="B770">
        <v>-30706.61</v>
      </c>
    </row>
    <row r="771">
      <c r="A771">
        <v>1033574</v>
      </c>
      <c r="B771">
        <v>-10000</v>
      </c>
    </row>
    <row r="772">
      <c r="A772">
        <v>1033598</v>
      </c>
      <c r="B772">
        <v>-3500</v>
      </c>
    </row>
    <row r="773">
      <c r="A773">
        <v>1033640</v>
      </c>
      <c r="B773">
        <v>-3000</v>
      </c>
    </row>
    <row r="774">
      <c r="A774">
        <v>1033654</v>
      </c>
      <c r="B774">
        <v>-4234.34</v>
      </c>
    </row>
    <row r="775">
      <c r="A775">
        <v>1033917</v>
      </c>
      <c r="B775">
        <v>-3000</v>
      </c>
    </row>
    <row r="776">
      <c r="A776">
        <v>1033989</v>
      </c>
      <c r="B776">
        <v>-5382.08</v>
      </c>
    </row>
    <row r="777">
      <c r="A777">
        <v>1034011</v>
      </c>
      <c r="B777">
        <v>-5000</v>
      </c>
    </row>
    <row r="778">
      <c r="A778">
        <v>1034128</v>
      </c>
      <c r="B778">
        <v>-19162.06</v>
      </c>
    </row>
    <row r="779">
      <c r="A779">
        <v>1034147</v>
      </c>
      <c r="B779">
        <v>-3000</v>
      </c>
    </row>
    <row r="780">
      <c r="A780">
        <v>1034292</v>
      </c>
      <c r="B780">
        <v>-6365</v>
      </c>
    </row>
    <row r="781">
      <c r="A781">
        <v>1034336</v>
      </c>
      <c r="B781">
        <v>-14837.87</v>
      </c>
    </row>
    <row r="782">
      <c r="A782">
        <v>1034439</v>
      </c>
      <c r="B782">
        <v>-1474.25</v>
      </c>
    </row>
    <row r="783">
      <c r="A783">
        <v>1034513</v>
      </c>
      <c r="B783">
        <v>-516.75</v>
      </c>
    </row>
    <row r="784">
      <c r="A784">
        <v>1034681</v>
      </c>
      <c r="B784">
        <v>-3000</v>
      </c>
    </row>
    <row r="785">
      <c r="A785">
        <v>1034765</v>
      </c>
      <c r="B785">
        <v>-2996.5</v>
      </c>
    </row>
    <row r="786">
      <c r="A786">
        <v>1034956</v>
      </c>
      <c r="B786">
        <v>-1901.89</v>
      </c>
    </row>
    <row r="787">
      <c r="A787">
        <v>1035077</v>
      </c>
      <c r="B787">
        <v>-503104.64</v>
      </c>
    </row>
    <row r="788">
      <c r="A788">
        <v>1035346</v>
      </c>
      <c r="B788">
        <v>-2000</v>
      </c>
    </row>
    <row r="789">
      <c r="A789">
        <v>1035378</v>
      </c>
      <c r="B789">
        <v>-500000</v>
      </c>
    </row>
    <row r="790">
      <c r="A790">
        <v>1035730</v>
      </c>
      <c r="B790">
        <v>-16051.79</v>
      </c>
    </row>
    <row r="791">
      <c r="A791">
        <v>1042374</v>
      </c>
      <c r="B791">
        <v>-5000</v>
      </c>
    </row>
    <row r="792">
      <c r="A792">
        <v>1043217</v>
      </c>
      <c r="B792">
        <v>-1000</v>
      </c>
    </row>
    <row r="793">
      <c r="A793">
        <v>1043246</v>
      </c>
      <c r="B793">
        <v>-1000</v>
      </c>
    </row>
    <row r="794">
      <c r="A794">
        <v>1043628</v>
      </c>
      <c r="B794">
        <v>-6726.14</v>
      </c>
    </row>
    <row r="795">
      <c r="A795">
        <v>1043711</v>
      </c>
      <c r="B795">
        <v>-2000</v>
      </c>
    </row>
    <row r="796">
      <c r="A796">
        <v>1043754</v>
      </c>
      <c r="B796">
        <v>-3000</v>
      </c>
    </row>
    <row r="797">
      <c r="A797">
        <v>1043988</v>
      </c>
      <c r="B797">
        <v>-3000</v>
      </c>
    </row>
    <row r="798">
      <c r="A798">
        <v>1045027</v>
      </c>
      <c r="B798">
        <v>-2000</v>
      </c>
    </row>
    <row r="799">
      <c r="A799">
        <v>1046111</v>
      </c>
      <c r="B799">
        <v>-45415.2</v>
      </c>
    </row>
    <row r="800">
      <c r="A800">
        <v>1046187</v>
      </c>
      <c r="B800">
        <v>-2000</v>
      </c>
    </row>
    <row r="801">
      <c r="A801">
        <v>1046370</v>
      </c>
      <c r="B801">
        <v>-2000</v>
      </c>
    </row>
    <row r="802">
      <c r="A802">
        <v>1046654</v>
      </c>
      <c r="B802">
        <v>-44248.97</v>
      </c>
    </row>
    <row r="803">
      <c r="A803">
        <v>1046792</v>
      </c>
      <c r="B803">
        <v>-66092.29</v>
      </c>
    </row>
    <row r="804">
      <c r="A804">
        <v>1046815</v>
      </c>
      <c r="B804">
        <v>-3000</v>
      </c>
    </row>
    <row r="805">
      <c r="A805">
        <v>1046929</v>
      </c>
      <c r="B805">
        <v>-2000</v>
      </c>
    </row>
    <row r="806">
      <c r="A806">
        <v>1046957</v>
      </c>
      <c r="B806">
        <v>-1000</v>
      </c>
    </row>
    <row r="807">
      <c r="A807">
        <v>1047302</v>
      </c>
      <c r="B807">
        <v>-6983.33</v>
      </c>
    </row>
    <row r="808">
      <c r="A808">
        <v>1047706</v>
      </c>
      <c r="B808">
        <v>-2635.1</v>
      </c>
    </row>
    <row r="809">
      <c r="A809">
        <v>1047721</v>
      </c>
      <c r="B809">
        <v>-129.99</v>
      </c>
    </row>
    <row r="810">
      <c r="A810">
        <v>1048116</v>
      </c>
      <c r="B810">
        <v>-120219.2</v>
      </c>
    </row>
    <row r="811">
      <c r="A811">
        <v>1048119</v>
      </c>
      <c r="B811">
        <v>-626.38</v>
      </c>
    </row>
    <row r="812">
      <c r="A812">
        <v>1048283</v>
      </c>
      <c r="B812">
        <v>-3000</v>
      </c>
    </row>
    <row r="813">
      <c r="A813">
        <v>1049084</v>
      </c>
      <c r="B813">
        <v>-2000</v>
      </c>
    </row>
    <row r="814">
      <c r="A814">
        <v>1049161</v>
      </c>
      <c r="B814">
        <v>-3000</v>
      </c>
    </row>
    <row r="815">
      <c r="A815">
        <v>1049179</v>
      </c>
      <c r="B815">
        <v>-95445.49</v>
      </c>
    </row>
    <row r="816">
      <c r="A816">
        <v>1049379</v>
      </c>
      <c r="B816">
        <v>-4260.51</v>
      </c>
    </row>
    <row r="817">
      <c r="A817">
        <v>1049513</v>
      </c>
      <c r="B817">
        <v>-3000</v>
      </c>
    </row>
    <row r="818">
      <c r="A818">
        <v>1049674</v>
      </c>
      <c r="B818">
        <v>-5682.88</v>
      </c>
    </row>
    <row r="819">
      <c r="A819">
        <v>1050156</v>
      </c>
      <c r="B819">
        <v>-3000</v>
      </c>
    </row>
    <row r="820">
      <c r="A820">
        <v>1050159</v>
      </c>
      <c r="B820">
        <v>-1500</v>
      </c>
    </row>
    <row r="821">
      <c r="A821">
        <v>1050222</v>
      </c>
      <c r="B821">
        <v>-5000</v>
      </c>
    </row>
    <row r="822">
      <c r="A822">
        <v>1050527</v>
      </c>
      <c r="B822">
        <v>-6860.38</v>
      </c>
    </row>
    <row r="823">
      <c r="A823">
        <v>1050679</v>
      </c>
      <c r="B823">
        <v>-1500</v>
      </c>
    </row>
    <row r="824">
      <c r="A824">
        <v>1051127</v>
      </c>
      <c r="B824">
        <v>-2138.99</v>
      </c>
    </row>
    <row r="825">
      <c r="A825">
        <v>1051148</v>
      </c>
      <c r="B825">
        <v>-3646.54</v>
      </c>
    </row>
    <row r="826">
      <c r="A826">
        <v>1051150</v>
      </c>
      <c r="B826">
        <v>-3500</v>
      </c>
    </row>
    <row r="827">
      <c r="A827">
        <v>1051172</v>
      </c>
      <c r="B827">
        <v>-2000</v>
      </c>
    </row>
    <row r="828">
      <c r="A828">
        <v>1051186</v>
      </c>
      <c r="B828">
        <v>-3542.08</v>
      </c>
    </row>
    <row r="829">
      <c r="A829">
        <v>1051274</v>
      </c>
      <c r="B829">
        <v>-112084.87</v>
      </c>
    </row>
    <row r="830">
      <c r="A830">
        <v>1051404</v>
      </c>
      <c r="B830">
        <v>-1500</v>
      </c>
    </row>
    <row r="831">
      <c r="A831">
        <v>1051488</v>
      </c>
      <c r="B831">
        <v>-3718.79</v>
      </c>
    </row>
    <row r="832">
      <c r="A832">
        <v>1051769</v>
      </c>
      <c r="B832">
        <v>-500720</v>
      </c>
    </row>
    <row r="833">
      <c r="A833">
        <v>1051792</v>
      </c>
      <c r="B833">
        <v>-40000</v>
      </c>
    </row>
    <row r="834">
      <c r="A834">
        <v>1051990</v>
      </c>
      <c r="B834">
        <v>-3000</v>
      </c>
    </row>
    <row r="835">
      <c r="A835">
        <v>1052048</v>
      </c>
      <c r="B835">
        <v>-3000</v>
      </c>
    </row>
    <row r="836">
      <c r="A836">
        <v>1052140</v>
      </c>
      <c r="B836">
        <v>-10000</v>
      </c>
    </row>
    <row r="837">
      <c r="A837">
        <v>1052269</v>
      </c>
      <c r="B837">
        <v>-6525.21</v>
      </c>
    </row>
    <row r="838">
      <c r="A838">
        <v>1052448</v>
      </c>
      <c r="B838">
        <v>-57477</v>
      </c>
    </row>
    <row r="839">
      <c r="A839">
        <v>1052476</v>
      </c>
      <c r="B839">
        <v>-13120.97</v>
      </c>
    </row>
    <row r="840">
      <c r="A840">
        <v>1052679</v>
      </c>
      <c r="B840">
        <v>-40000</v>
      </c>
    </row>
    <row r="841">
      <c r="A841">
        <v>1052777</v>
      </c>
      <c r="B841">
        <v>-1033.57</v>
      </c>
    </row>
    <row r="842">
      <c r="A842">
        <v>1053353</v>
      </c>
      <c r="B842">
        <v>-13471.1</v>
      </c>
    </row>
    <row r="843">
      <c r="A843">
        <v>1054190</v>
      </c>
      <c r="B843">
        <v>-2000</v>
      </c>
    </row>
    <row r="844">
      <c r="A844">
        <v>1054243</v>
      </c>
      <c r="B844">
        <v>-600</v>
      </c>
    </row>
    <row r="845">
      <c r="A845">
        <v>1054460</v>
      </c>
      <c r="B845">
        <v>-3000</v>
      </c>
    </row>
    <row r="846">
      <c r="A846">
        <v>1054487</v>
      </c>
      <c r="B846">
        <v>-20000</v>
      </c>
    </row>
    <row r="847">
      <c r="A847">
        <v>1054557</v>
      </c>
      <c r="B847">
        <v>-20000</v>
      </c>
    </row>
    <row r="848">
      <c r="A848">
        <v>1054609</v>
      </c>
      <c r="B848">
        <v>-596858.14</v>
      </c>
    </row>
    <row r="849">
      <c r="A849">
        <v>1054733</v>
      </c>
      <c r="B849">
        <v>-1806.53</v>
      </c>
    </row>
    <row r="850">
      <c r="A850">
        <v>1054759</v>
      </c>
      <c r="B850">
        <v>-2300</v>
      </c>
    </row>
    <row r="851">
      <c r="A851">
        <v>1054945</v>
      </c>
      <c r="B851">
        <v>-4694.3</v>
      </c>
    </row>
    <row r="852">
      <c r="A852">
        <v>1055268</v>
      </c>
      <c r="B852">
        <v>-8548.53</v>
      </c>
    </row>
    <row r="853">
      <c r="A853">
        <v>1055296</v>
      </c>
      <c r="B853">
        <v>-1000</v>
      </c>
    </row>
    <row r="854">
      <c r="A854">
        <v>1055332</v>
      </c>
      <c r="B854">
        <v>-10000</v>
      </c>
    </row>
    <row r="855">
      <c r="A855">
        <v>1055688</v>
      </c>
      <c r="B855">
        <v>-1086.84</v>
      </c>
    </row>
    <row r="856">
      <c r="A856">
        <v>1056021</v>
      </c>
      <c r="B856">
        <v>-36617.88</v>
      </c>
    </row>
    <row r="857">
      <c r="A857">
        <v>1056071</v>
      </c>
      <c r="B857">
        <v>-70218.51</v>
      </c>
    </row>
    <row r="858">
      <c r="A858">
        <v>1056142</v>
      </c>
      <c r="B858">
        <v>-55393.27</v>
      </c>
    </row>
    <row r="859">
      <c r="A859">
        <v>1056175</v>
      </c>
      <c r="B859">
        <v>-3000</v>
      </c>
    </row>
    <row r="860">
      <c r="A860">
        <v>1056177</v>
      </c>
      <c r="B860">
        <v>-3000</v>
      </c>
    </row>
    <row r="861">
      <c r="A861">
        <v>1056358</v>
      </c>
      <c r="B861">
        <v>-30000</v>
      </c>
    </row>
    <row r="862">
      <c r="A862">
        <v>1056364</v>
      </c>
      <c r="B862">
        <v>-353494.33</v>
      </c>
    </row>
    <row r="863">
      <c r="A863">
        <v>1056421</v>
      </c>
      <c r="B863">
        <v>-5000</v>
      </c>
    </row>
    <row r="864">
      <c r="A864">
        <v>1056434</v>
      </c>
      <c r="B864">
        <v>-3000</v>
      </c>
    </row>
    <row r="865">
      <c r="A865">
        <v>1056507</v>
      </c>
      <c r="B865">
        <v>108660.53</v>
      </c>
    </row>
    <row r="866">
      <c r="A866">
        <v>1056588</v>
      </c>
      <c r="B866">
        <v>-20000</v>
      </c>
    </row>
    <row r="867">
      <c r="A867">
        <v>1056591</v>
      </c>
      <c r="B867">
        <v>-20000</v>
      </c>
    </row>
    <row r="868">
      <c r="A868">
        <v>1056611</v>
      </c>
      <c r="B868">
        <v>638694.31</v>
      </c>
    </row>
    <row r="869">
      <c r="A869">
        <v>1056617</v>
      </c>
      <c r="B869">
        <v>-10372.68</v>
      </c>
    </row>
    <row r="870">
      <c r="A870">
        <v>1057252</v>
      </c>
      <c r="B870">
        <v>-1000</v>
      </c>
    </row>
    <row r="871">
      <c r="A871">
        <v>1057771</v>
      </c>
      <c r="B871">
        <v>-30000</v>
      </c>
    </row>
    <row r="872">
      <c r="A872">
        <v>1057937</v>
      </c>
      <c r="B872">
        <v>-4000</v>
      </c>
    </row>
    <row r="873">
      <c r="A873">
        <v>1058529</v>
      </c>
      <c r="B873">
        <v>-122920.99</v>
      </c>
    </row>
    <row r="874">
      <c r="A874">
        <v>1058547</v>
      </c>
      <c r="B874">
        <v>-50000</v>
      </c>
    </row>
    <row r="875">
      <c r="A875">
        <v>1058676</v>
      </c>
      <c r="B875">
        <v>-123.49</v>
      </c>
    </row>
    <row r="876">
      <c r="A876">
        <v>1058708</v>
      </c>
      <c r="B876">
        <v>-1288.02</v>
      </c>
    </row>
    <row r="877">
      <c r="A877">
        <v>1059009</v>
      </c>
      <c r="B877">
        <v>-6464.88</v>
      </c>
    </row>
    <row r="878">
      <c r="A878">
        <v>1059045</v>
      </c>
      <c r="B878">
        <v>-18740.19</v>
      </c>
    </row>
    <row r="879">
      <c r="A879">
        <v>1059585</v>
      </c>
      <c r="B879">
        <v>-107828.58</v>
      </c>
    </row>
    <row r="880">
      <c r="A880">
        <v>1059952</v>
      </c>
      <c r="B880">
        <v>-50000</v>
      </c>
    </row>
    <row r="881">
      <c r="A881">
        <v>1060385</v>
      </c>
      <c r="B881">
        <v>-140691.06</v>
      </c>
    </row>
    <row r="882">
      <c r="A882">
        <v>1060639</v>
      </c>
      <c r="B882">
        <v>-39908.78</v>
      </c>
    </row>
    <row r="883">
      <c r="A883">
        <v>1060855</v>
      </c>
      <c r="B883">
        <v>-2000</v>
      </c>
    </row>
    <row r="884">
      <c r="A884">
        <v>1061130</v>
      </c>
      <c r="B884">
        <v>-30000</v>
      </c>
    </row>
    <row r="885">
      <c r="A885">
        <v>1061203</v>
      </c>
      <c r="B885">
        <v>-346393.55</v>
      </c>
    </row>
    <row r="886">
      <c r="A886">
        <v>1061410</v>
      </c>
      <c r="B886">
        <v>-3017.28</v>
      </c>
    </row>
    <row r="887">
      <c r="A887">
        <v>1061519</v>
      </c>
      <c r="B887">
        <v>-143731.18</v>
      </c>
    </row>
    <row r="888">
      <c r="A888">
        <v>1061710</v>
      </c>
      <c r="B888">
        <v>-4500</v>
      </c>
    </row>
    <row r="889">
      <c r="A889">
        <v>1061756</v>
      </c>
      <c r="B889">
        <v>-3402.34</v>
      </c>
    </row>
    <row r="890">
      <c r="A890">
        <v>1061867</v>
      </c>
      <c r="B890">
        <v>-74598.28</v>
      </c>
    </row>
    <row r="891">
      <c r="A891">
        <v>1062123</v>
      </c>
      <c r="B891">
        <v>-3000</v>
      </c>
    </row>
    <row r="892">
      <c r="A892">
        <v>1062124</v>
      </c>
      <c r="B892">
        <v>-3000</v>
      </c>
    </row>
    <row r="893">
      <c r="A893">
        <v>1062152</v>
      </c>
      <c r="B893">
        <v>-53886.89</v>
      </c>
    </row>
    <row r="894">
      <c r="A894">
        <v>1062331</v>
      </c>
      <c r="B894">
        <v>-1614836.06</v>
      </c>
    </row>
    <row r="895">
      <c r="A895">
        <v>1062358</v>
      </c>
      <c r="B895">
        <v>-4000</v>
      </c>
    </row>
    <row r="896">
      <c r="A896">
        <v>1062385</v>
      </c>
      <c r="B896">
        <v>-100000</v>
      </c>
    </row>
    <row r="897">
      <c r="A897">
        <v>1062389</v>
      </c>
      <c r="B897">
        <v>-100000</v>
      </c>
    </row>
    <row r="898">
      <c r="A898">
        <v>1062390</v>
      </c>
      <c r="B898">
        <v>-100000.59</v>
      </c>
    </row>
    <row r="899">
      <c r="A899">
        <v>1062391</v>
      </c>
      <c r="B899">
        <v>-115471.4</v>
      </c>
    </row>
    <row r="900">
      <c r="A900">
        <v>1062485</v>
      </c>
      <c r="B900">
        <v>-149977.43</v>
      </c>
    </row>
    <row r="901">
      <c r="A901">
        <v>1062883</v>
      </c>
      <c r="B901">
        <v>-5000</v>
      </c>
    </row>
    <row r="902">
      <c r="A902">
        <v>1062986</v>
      </c>
      <c r="B902">
        <v>-5000</v>
      </c>
    </row>
    <row r="903">
      <c r="A903">
        <v>1063305</v>
      </c>
      <c r="B903">
        <v>-933.29</v>
      </c>
    </row>
    <row r="904">
      <c r="A904">
        <v>1063337</v>
      </c>
      <c r="B904">
        <v>-28441.75</v>
      </c>
    </row>
    <row r="905">
      <c r="A905">
        <v>1063669</v>
      </c>
      <c r="B905">
        <v>-3000</v>
      </c>
    </row>
    <row r="906">
      <c r="A906">
        <v>1063683</v>
      </c>
      <c r="B906">
        <v>-273</v>
      </c>
    </row>
    <row r="907">
      <c r="A907">
        <v>1063864</v>
      </c>
      <c r="B907">
        <v>-300000</v>
      </c>
    </row>
    <row r="908">
      <c r="A908">
        <v>1063865</v>
      </c>
      <c r="B908">
        <v>-300000</v>
      </c>
    </row>
    <row r="909">
      <c r="A909">
        <v>1063866</v>
      </c>
      <c r="B909">
        <v>-299582</v>
      </c>
    </row>
    <row r="910">
      <c r="A910">
        <v>1063987</v>
      </c>
      <c r="B910">
        <v>-1000</v>
      </c>
    </row>
    <row r="911">
      <c r="A911">
        <v>1064096</v>
      </c>
      <c r="B911">
        <v>-286736.21</v>
      </c>
    </row>
    <row r="912">
      <c r="A912">
        <v>1064128</v>
      </c>
      <c r="B912">
        <v>-72873.2</v>
      </c>
    </row>
    <row r="913">
      <c r="A913">
        <v>1064167</v>
      </c>
      <c r="B913">
        <v>1376278.76</v>
      </c>
    </row>
    <row r="914">
      <c r="A914">
        <v>1064171</v>
      </c>
      <c r="B914">
        <v>-79587.74</v>
      </c>
    </row>
    <row r="915">
      <c r="A915">
        <v>1064471</v>
      </c>
      <c r="B915">
        <v>-2000</v>
      </c>
    </row>
    <row r="916">
      <c r="A916">
        <v>1064474</v>
      </c>
      <c r="B916">
        <v>-2700</v>
      </c>
    </row>
    <row r="917">
      <c r="A917">
        <v>1064705</v>
      </c>
      <c r="B917">
        <v>-30000</v>
      </c>
    </row>
    <row r="918">
      <c r="A918">
        <v>1064838</v>
      </c>
      <c r="B918">
        <v>-2000</v>
      </c>
    </row>
    <row r="919">
      <c r="A919">
        <v>1065232</v>
      </c>
      <c r="B919">
        <v>-130320</v>
      </c>
    </row>
    <row r="920">
      <c r="A920">
        <v>1065276</v>
      </c>
      <c r="B920">
        <v>-2000</v>
      </c>
    </row>
    <row r="921">
      <c r="A921">
        <v>1065351</v>
      </c>
      <c r="B921">
        <v>-131155.61</v>
      </c>
    </row>
    <row r="922">
      <c r="A922">
        <v>1065426</v>
      </c>
      <c r="B922">
        <v>-3000</v>
      </c>
    </row>
    <row r="923">
      <c r="A923">
        <v>1065574</v>
      </c>
      <c r="B923">
        <v>-167091.32</v>
      </c>
    </row>
    <row r="924">
      <c r="A924">
        <v>1065971</v>
      </c>
      <c r="B924">
        <v>-3000</v>
      </c>
    </row>
    <row r="925">
      <c r="A925">
        <v>1066220</v>
      </c>
      <c r="B925">
        <v>-58103.3</v>
      </c>
    </row>
    <row r="926">
      <c r="A926">
        <v>1066435</v>
      </c>
      <c r="B926">
        <v>10500</v>
      </c>
    </row>
    <row r="927">
      <c r="A927">
        <v>1067055</v>
      </c>
      <c r="B927">
        <v>185850.3</v>
      </c>
    </row>
    <row r="928">
      <c r="A928">
        <v>1067168</v>
      </c>
      <c r="B928">
        <v>-10029.28</v>
      </c>
    </row>
    <row r="929">
      <c r="A929">
        <v>1067902</v>
      </c>
      <c r="B929">
        <v>-30000</v>
      </c>
    </row>
    <row r="930">
      <c r="A930">
        <v>1069013</v>
      </c>
      <c r="B930">
        <v>-108329.35</v>
      </c>
    </row>
    <row r="931">
      <c r="A931">
        <v>1069061</v>
      </c>
      <c r="B931">
        <v>-10000</v>
      </c>
    </row>
    <row r="932">
      <c r="A932">
        <v>1069191</v>
      </c>
      <c r="B932">
        <v>-5000</v>
      </c>
    </row>
    <row r="933">
      <c r="A933">
        <v>1069299</v>
      </c>
      <c r="B933">
        <v>-8000</v>
      </c>
    </row>
    <row r="934">
      <c r="A934">
        <v>2000153</v>
      </c>
      <c r="B934">
        <v>-51839</v>
      </c>
    </row>
    <row r="935">
      <c r="A935">
        <v>2000269</v>
      </c>
      <c r="B935">
        <v>-5000</v>
      </c>
    </row>
    <row r="936">
      <c r="A936">
        <v>2000632</v>
      </c>
      <c r="B936">
        <v>-5433.53</v>
      </c>
    </row>
    <row r="937">
      <c r="A937">
        <v>2000633</v>
      </c>
      <c r="B937">
        <v>-41358.8</v>
      </c>
    </row>
    <row r="938">
      <c r="A938">
        <v>2000979</v>
      </c>
      <c r="B938">
        <v>49794.61</v>
      </c>
    </row>
    <row r="939">
      <c r="A939">
        <v>2001094</v>
      </c>
      <c r="B939">
        <v>-2246.52</v>
      </c>
    </row>
    <row r="940">
      <c r="A940">
        <v>2001211</v>
      </c>
      <c r="B940">
        <v>-400</v>
      </c>
    </row>
    <row r="941">
      <c r="A941">
        <v>2001221</v>
      </c>
      <c r="B941">
        <v>-26500</v>
      </c>
    </row>
    <row r="942">
      <c r="A942">
        <v>2001247</v>
      </c>
      <c r="B942">
        <v>-1266.05</v>
      </c>
    </row>
    <row r="943">
      <c r="A943">
        <v>2001713</v>
      </c>
      <c r="B943">
        <v>159865.16</v>
      </c>
    </row>
    <row r="944">
      <c r="A944">
        <v>2001756</v>
      </c>
      <c r="B944">
        <v>-1000</v>
      </c>
    </row>
    <row r="945">
      <c r="A945">
        <v>2001769</v>
      </c>
      <c r="B945">
        <v>-20000</v>
      </c>
    </row>
    <row r="946">
      <c r="A946">
        <v>2001983</v>
      </c>
      <c r="B946">
        <v>-2000</v>
      </c>
    </row>
    <row r="947">
      <c r="A947">
        <v>2002017</v>
      </c>
      <c r="B947">
        <v>-2700</v>
      </c>
    </row>
    <row r="948">
      <c r="A948">
        <v>2002330</v>
      </c>
      <c r="B948">
        <v>-3650</v>
      </c>
    </row>
    <row r="949">
      <c r="A949">
        <v>2002682</v>
      </c>
      <c r="B949">
        <v>1073549.59</v>
      </c>
    </row>
    <row r="950">
      <c r="A950">
        <v>2002994</v>
      </c>
      <c r="B950">
        <v>1865.75</v>
      </c>
    </row>
    <row r="951">
      <c r="A951">
        <v>2003002</v>
      </c>
      <c r="B951">
        <v>-2000</v>
      </c>
    </row>
    <row r="952">
      <c r="A952">
        <v>2003011</v>
      </c>
      <c r="B952">
        <v>-2000</v>
      </c>
    </row>
    <row r="953">
      <c r="A953">
        <v>2003202</v>
      </c>
      <c r="B953">
        <v>-380</v>
      </c>
    </row>
    <row r="954">
      <c r="A954">
        <v>2003253</v>
      </c>
      <c r="B954">
        <v>-594.48</v>
      </c>
    </row>
    <row r="955">
      <c r="A955">
        <v>2003300</v>
      </c>
      <c r="B955">
        <v>1775671.68</v>
      </c>
    </row>
    <row r="956">
      <c r="A956">
        <v>2003417</v>
      </c>
      <c r="B956">
        <v>353714.84</v>
      </c>
    </row>
    <row r="957">
      <c r="A957">
        <v>2003442</v>
      </c>
      <c r="B957">
        <v>-948.39</v>
      </c>
    </row>
    <row r="958">
      <c r="A958">
        <v>2003509</v>
      </c>
      <c r="B958">
        <v>-2000</v>
      </c>
    </row>
    <row r="959">
      <c r="A959">
        <v>2004098</v>
      </c>
      <c r="B959">
        <v>909117.23</v>
      </c>
    </row>
    <row r="960">
      <c r="A960">
        <v>2004179</v>
      </c>
      <c r="B960">
        <v>-381</v>
      </c>
    </row>
    <row r="961">
      <c r="A961">
        <v>2004710</v>
      </c>
      <c r="B961">
        <v>-6000</v>
      </c>
    </row>
    <row r="962">
      <c r="A962">
        <v>2004962</v>
      </c>
      <c r="B962">
        <v>-5175.6</v>
      </c>
    </row>
    <row r="963">
      <c r="A963">
        <v>2005086</v>
      </c>
      <c r="B963">
        <v>-6000</v>
      </c>
    </row>
    <row r="964">
      <c r="A964">
        <v>2005345</v>
      </c>
      <c r="B964">
        <v>2196338.01</v>
      </c>
    </row>
    <row r="965">
      <c r="A965">
        <v>2005973</v>
      </c>
      <c r="B965">
        <v>-5000</v>
      </c>
    </row>
    <row r="966">
      <c r="A966">
        <v>2006581</v>
      </c>
      <c r="B966">
        <v>-3761.71</v>
      </c>
    </row>
    <row r="967">
      <c r="A967">
        <v>2006639</v>
      </c>
      <c r="B967">
        <v>6803496.85</v>
      </c>
    </row>
    <row r="968">
      <c r="A968">
        <v>2007035</v>
      </c>
      <c r="B968">
        <v>579719.14</v>
      </c>
    </row>
    <row r="969">
      <c r="A969">
        <v>2007174</v>
      </c>
      <c r="B969">
        <v>-1000</v>
      </c>
    </row>
    <row r="970">
      <c r="A970">
        <v>2007191</v>
      </c>
      <c r="B970">
        <v>-274.2</v>
      </c>
    </row>
    <row r="971">
      <c r="A971">
        <v>2007461</v>
      </c>
      <c r="B971">
        <v>1726957.54</v>
      </c>
    </row>
    <row r="972">
      <c r="A972">
        <v>2007600</v>
      </c>
      <c r="B972">
        <v>-872.98</v>
      </c>
    </row>
    <row r="973">
      <c r="A973">
        <v>2007696</v>
      </c>
      <c r="B973">
        <v>-143.87</v>
      </c>
    </row>
    <row r="974">
      <c r="A974">
        <v>2007769</v>
      </c>
      <c r="B974">
        <v>-10</v>
      </c>
    </row>
    <row r="975">
      <c r="A975">
        <v>2008247</v>
      </c>
      <c r="B975">
        <v>-35</v>
      </c>
    </row>
    <row r="976">
      <c r="A976">
        <v>2008339</v>
      </c>
      <c r="B976">
        <v>-1500</v>
      </c>
    </row>
    <row r="977">
      <c r="A977">
        <v>2008384</v>
      </c>
      <c r="B977">
        <v>-1000</v>
      </c>
    </row>
    <row r="978">
      <c r="A978">
        <v>2008514</v>
      </c>
      <c r="B978">
        <v>-30.29</v>
      </c>
    </row>
    <row r="979">
      <c r="A979">
        <v>2008544</v>
      </c>
      <c r="B979">
        <v>-34.02</v>
      </c>
    </row>
    <row r="980">
      <c r="A980">
        <v>2009072</v>
      </c>
      <c r="B980">
        <v>-5000</v>
      </c>
    </row>
    <row r="981">
      <c r="A981">
        <v>2009336</v>
      </c>
      <c r="B981">
        <v>-67185.11</v>
      </c>
    </row>
    <row r="982">
      <c r="A982">
        <v>2009541</v>
      </c>
      <c r="B982">
        <v>-161</v>
      </c>
    </row>
    <row r="983">
      <c r="A983">
        <v>2009572</v>
      </c>
      <c r="B983">
        <v>-2000</v>
      </c>
    </row>
    <row r="984">
      <c r="A984">
        <v>2009977</v>
      </c>
      <c r="B984">
        <v>-2000</v>
      </c>
    </row>
    <row r="985">
      <c r="A985">
        <v>2010276</v>
      </c>
      <c r="B985">
        <v>-230</v>
      </c>
    </row>
    <row r="986">
      <c r="A986">
        <v>2010935</v>
      </c>
      <c r="B986">
        <v>-133.49</v>
      </c>
    </row>
    <row r="987">
      <c r="A987">
        <v>2011102</v>
      </c>
      <c r="B987">
        <v>-9360</v>
      </c>
    </row>
    <row r="988">
      <c r="A988">
        <v>2011360</v>
      </c>
      <c r="B988">
        <v>-60</v>
      </c>
    </row>
    <row r="989">
      <c r="A989">
        <v>2011368</v>
      </c>
      <c r="B989">
        <v>-22</v>
      </c>
    </row>
    <row r="990">
      <c r="A990">
        <v>2011384</v>
      </c>
      <c r="B990">
        <v>-75000</v>
      </c>
    </row>
    <row r="991">
      <c r="A991">
        <v>2011401</v>
      </c>
      <c r="B991">
        <v>-6.63</v>
      </c>
    </row>
    <row r="992">
      <c r="A992">
        <v>2011487</v>
      </c>
      <c r="B992">
        <v>-200</v>
      </c>
    </row>
    <row r="993">
      <c r="A993">
        <v>2011562</v>
      </c>
      <c r="B993">
        <v>-1000</v>
      </c>
    </row>
    <row r="994">
      <c r="A994">
        <v>2012343</v>
      </c>
      <c r="B994">
        <v>-310</v>
      </c>
    </row>
    <row r="995">
      <c r="A995">
        <v>2012471</v>
      </c>
      <c r="B995">
        <v>-5200</v>
      </c>
    </row>
    <row r="996">
      <c r="A996">
        <v>2012513</v>
      </c>
      <c r="B996">
        <v>-1000</v>
      </c>
    </row>
    <row r="997">
      <c r="A997">
        <v>2012517</v>
      </c>
      <c r="B997">
        <v>-570</v>
      </c>
    </row>
    <row r="998">
      <c r="A998">
        <v>2012523</v>
      </c>
      <c r="B998">
        <v>-215.42</v>
      </c>
    </row>
    <row r="999">
      <c r="A999">
        <v>2013863</v>
      </c>
      <c r="B999">
        <v>-22865</v>
      </c>
    </row>
    <row r="1000">
      <c r="A1000">
        <v>2015466</v>
      </c>
      <c r="B1000">
        <v>-1000</v>
      </c>
    </row>
    <row r="1001">
      <c r="A1001">
        <v>2018577</v>
      </c>
      <c r="B1001">
        <v>16748048.51</v>
      </c>
    </row>
    <row r="1002">
      <c r="A1002">
        <v>2018668</v>
      </c>
      <c r="B1002">
        <v>-1994.43</v>
      </c>
    </row>
    <row r="1003">
      <c r="A1003">
        <v>2018840</v>
      </c>
      <c r="B1003">
        <v>6801306.99</v>
      </c>
    </row>
    <row r="1004">
      <c r="A1004">
        <v>2018962</v>
      </c>
      <c r="B1004">
        <v>-2000</v>
      </c>
    </row>
    <row r="1005">
      <c r="A1005">
        <v>2019144</v>
      </c>
      <c r="B1005">
        <v>-3000</v>
      </c>
    </row>
    <row r="1006">
      <c r="A1006">
        <v>2019612</v>
      </c>
      <c r="B1006">
        <v>-1225</v>
      </c>
    </row>
    <row r="1007">
      <c r="A1007">
        <v>2019645</v>
      </c>
      <c r="B1007">
        <v>-641</v>
      </c>
    </row>
    <row r="1008">
      <c r="A1008">
        <v>2019757</v>
      </c>
      <c r="B1008">
        <v>-2277.33</v>
      </c>
    </row>
    <row r="1009">
      <c r="A1009">
        <v>2021236</v>
      </c>
      <c r="B1009">
        <v>-258</v>
      </c>
    </row>
    <row r="1010">
      <c r="A1010">
        <v>2021916</v>
      </c>
      <c r="B1010">
        <v>-200</v>
      </c>
    </row>
    <row r="1011">
      <c r="A1011">
        <v>2022074</v>
      </c>
      <c r="B1011">
        <v>-500</v>
      </c>
    </row>
    <row r="1012">
      <c r="A1012">
        <v>2022351</v>
      </c>
      <c r="B1012">
        <v>-34020.18</v>
      </c>
    </row>
    <row r="1013">
      <c r="A1013">
        <v>2025336</v>
      </c>
      <c r="B1013">
        <v>-1300</v>
      </c>
    </row>
    <row r="1014">
      <c r="A1014">
        <v>2025337</v>
      </c>
      <c r="B1014">
        <v>-400</v>
      </c>
    </row>
    <row r="1015">
      <c r="A1015">
        <v>2025351</v>
      </c>
      <c r="B1015">
        <v>-8700</v>
      </c>
    </row>
    <row r="1016">
      <c r="A1016">
        <v>2025360</v>
      </c>
      <c r="B1016">
        <v>-4000</v>
      </c>
    </row>
    <row r="1017">
      <c r="A1017">
        <v>2025375</v>
      </c>
      <c r="B1017">
        <v>-3700</v>
      </c>
    </row>
    <row r="1018">
      <c r="A1018">
        <v>2025535</v>
      </c>
      <c r="B1018">
        <v>-2000</v>
      </c>
    </row>
    <row r="1019">
      <c r="A1019">
        <v>2025577</v>
      </c>
      <c r="B1019">
        <v>300108.37</v>
      </c>
    </row>
    <row r="1020">
      <c r="A1020">
        <v>2025608</v>
      </c>
      <c r="B1020">
        <v>-968</v>
      </c>
    </row>
    <row r="1021">
      <c r="A1021">
        <v>2025609</v>
      </c>
      <c r="B1021">
        <v>-60</v>
      </c>
    </row>
    <row r="1022">
      <c r="A1022">
        <v>2025697</v>
      </c>
      <c r="B1022">
        <v>-500</v>
      </c>
    </row>
    <row r="1023">
      <c r="A1023">
        <v>2026515</v>
      </c>
      <c r="B1023">
        <v>-1000</v>
      </c>
    </row>
    <row r="1024">
      <c r="A1024">
        <v>2026614</v>
      </c>
      <c r="B1024">
        <v>-3000</v>
      </c>
    </row>
    <row r="1025">
      <c r="A1025">
        <v>2029422</v>
      </c>
      <c r="B1025">
        <v>-1500</v>
      </c>
    </row>
    <row r="1026">
      <c r="A1026">
        <v>2029486</v>
      </c>
      <c r="B1026">
        <v>-1000</v>
      </c>
    </row>
    <row r="1027">
      <c r="A1027">
        <v>2029571</v>
      </c>
      <c r="B1027">
        <v>-3140</v>
      </c>
    </row>
    <row r="1028">
      <c r="A1028">
        <v>2029979</v>
      </c>
      <c r="B1028">
        <v>-595.8</v>
      </c>
    </row>
    <row r="1029">
      <c r="A1029">
        <v>2029980</v>
      </c>
      <c r="B1029">
        <v>-800</v>
      </c>
    </row>
    <row r="1030">
      <c r="A1030">
        <v>2030532</v>
      </c>
      <c r="B1030">
        <v>293250.27</v>
      </c>
    </row>
    <row r="1031">
      <c r="A1031">
        <v>2030535</v>
      </c>
      <c r="B1031">
        <v>896926.97</v>
      </c>
    </row>
    <row r="1032">
      <c r="A1032">
        <v>2030797</v>
      </c>
      <c r="B1032">
        <v>-225530.75</v>
      </c>
    </row>
    <row r="1033">
      <c r="A1033">
        <v>2031086</v>
      </c>
      <c r="B1033">
        <v>-3260791.42</v>
      </c>
    </row>
    <row r="1034">
      <c r="A1034">
        <v>2031242</v>
      </c>
      <c r="B1034">
        <v>378711.21</v>
      </c>
    </row>
    <row r="1035">
      <c r="A1035">
        <v>2031909</v>
      </c>
      <c r="B1035">
        <v>-8351.69</v>
      </c>
    </row>
    <row r="1036">
      <c r="A1036">
        <v>2031931</v>
      </c>
      <c r="B1036">
        <v>-12000</v>
      </c>
    </row>
    <row r="1037">
      <c r="A1037">
        <v>2031940</v>
      </c>
      <c r="B1037">
        <v>-30000</v>
      </c>
    </row>
    <row r="1038">
      <c r="A1038">
        <v>2031952</v>
      </c>
      <c r="B1038">
        <v>-2020</v>
      </c>
    </row>
    <row r="1039">
      <c r="A1039">
        <v>2031953</v>
      </c>
      <c r="B1039">
        <v>-1000</v>
      </c>
    </row>
    <row r="1040">
      <c r="A1040">
        <v>2032077</v>
      </c>
      <c r="B1040">
        <v>-200</v>
      </c>
    </row>
    <row r="1041">
      <c r="A1041">
        <v>2032089</v>
      </c>
      <c r="B1041">
        <v>-1000</v>
      </c>
    </row>
    <row r="1042">
      <c r="A1042">
        <v>2032193</v>
      </c>
      <c r="B1042">
        <v>-100</v>
      </c>
    </row>
    <row r="1043">
      <c r="A1043">
        <v>2032560</v>
      </c>
      <c r="B1043">
        <v>-4800</v>
      </c>
    </row>
    <row r="1044">
      <c r="A1044">
        <v>2032594</v>
      </c>
      <c r="B1044">
        <v>-4000</v>
      </c>
    </row>
    <row r="1045">
      <c r="A1045">
        <v>2032684</v>
      </c>
      <c r="B1045">
        <v>444.44</v>
      </c>
    </row>
    <row r="1046">
      <c r="A1046">
        <v>2032704</v>
      </c>
      <c r="B1046">
        <v>-101740.47</v>
      </c>
    </row>
    <row r="1047">
      <c r="A1047">
        <v>2032727</v>
      </c>
      <c r="B1047">
        <v>-28937.8</v>
      </c>
    </row>
    <row r="1048">
      <c r="A1048">
        <v>2032856</v>
      </c>
      <c r="B1048">
        <v>-2264.02</v>
      </c>
    </row>
    <row r="1049">
      <c r="A1049">
        <v>2032911</v>
      </c>
      <c r="B1049">
        <v>-2000</v>
      </c>
    </row>
    <row r="1050">
      <c r="A1050">
        <v>2032920</v>
      </c>
      <c r="B1050">
        <v>-441.18</v>
      </c>
    </row>
    <row r="1051">
      <c r="A1051">
        <v>2032922</v>
      </c>
      <c r="B1051">
        <v>-0.81</v>
      </c>
    </row>
    <row r="1052">
      <c r="A1052">
        <v>2033286</v>
      </c>
      <c r="B1052">
        <v>-71</v>
      </c>
    </row>
    <row r="1053">
      <c r="A1053">
        <v>2033360</v>
      </c>
      <c r="B1053">
        <v>-1349.52</v>
      </c>
    </row>
    <row r="1054">
      <c r="A1054">
        <v>2033514</v>
      </c>
      <c r="B1054">
        <v>-3146.36</v>
      </c>
    </row>
    <row r="1055">
      <c r="A1055">
        <v>2033691</v>
      </c>
      <c r="B1055">
        <v>-8150</v>
      </c>
    </row>
    <row r="1056">
      <c r="A1056">
        <v>2033767</v>
      </c>
      <c r="B1056">
        <v>-17000</v>
      </c>
    </row>
    <row r="1057">
      <c r="A1057">
        <v>2033834</v>
      </c>
      <c r="B1057">
        <v>-53465.31</v>
      </c>
    </row>
    <row r="1058">
      <c r="A1058">
        <v>2034980</v>
      </c>
      <c r="B1058">
        <v>-2639.87</v>
      </c>
    </row>
    <row r="1059">
      <c r="A1059">
        <v>2035012</v>
      </c>
      <c r="B1059">
        <v>-2491</v>
      </c>
    </row>
    <row r="1060">
      <c r="A1060">
        <v>2035314</v>
      </c>
      <c r="B1060">
        <v>-1762.03</v>
      </c>
    </row>
    <row r="1061">
      <c r="A1061">
        <v>2035392</v>
      </c>
      <c r="B1061">
        <v>-209.78</v>
      </c>
    </row>
    <row r="1062">
      <c r="A1062">
        <v>2035794</v>
      </c>
      <c r="B1062">
        <v>-200</v>
      </c>
    </row>
    <row r="1063">
      <c r="A1063">
        <v>2036006</v>
      </c>
      <c r="B1063">
        <v>-630</v>
      </c>
    </row>
    <row r="1064">
      <c r="A1064">
        <v>2036031</v>
      </c>
      <c r="B1064">
        <v>-3800</v>
      </c>
    </row>
    <row r="1065">
      <c r="A1065">
        <v>2036093</v>
      </c>
      <c r="B1065">
        <v>-3256.62</v>
      </c>
    </row>
    <row r="1066">
      <c r="A1066">
        <v>2036331</v>
      </c>
      <c r="B1066">
        <v>-375</v>
      </c>
    </row>
    <row r="1067">
      <c r="A1067">
        <v>2037069</v>
      </c>
      <c r="B1067">
        <v>1029189.62</v>
      </c>
    </row>
    <row r="1068">
      <c r="A1068">
        <v>2037077</v>
      </c>
      <c r="B1068">
        <v>-3017.09</v>
      </c>
    </row>
    <row r="1069">
      <c r="A1069">
        <v>2037911</v>
      </c>
      <c r="B1069">
        <v>-10891.25</v>
      </c>
    </row>
    <row r="1070">
      <c r="A1070">
        <v>2037920</v>
      </c>
      <c r="B1070">
        <v>-4500</v>
      </c>
    </row>
    <row r="1071">
      <c r="A1071">
        <v>2038086</v>
      </c>
      <c r="B1071">
        <v>-36407.99</v>
      </c>
    </row>
    <row r="1072">
      <c r="A1072">
        <v>2038121</v>
      </c>
      <c r="B1072">
        <v>-4700.18</v>
      </c>
    </row>
    <row r="1073">
      <c r="A1073">
        <v>2038175</v>
      </c>
      <c r="B1073">
        <v>-2900</v>
      </c>
    </row>
    <row r="1074">
      <c r="A1074">
        <v>2038258</v>
      </c>
      <c r="B1074">
        <v>-4</v>
      </c>
    </row>
    <row r="1075">
      <c r="A1075">
        <v>2038356</v>
      </c>
      <c r="B1075">
        <v>-1000</v>
      </c>
    </row>
    <row r="1076">
      <c r="A1076">
        <v>2039150</v>
      </c>
      <c r="B1076">
        <v>-195.99</v>
      </c>
    </row>
    <row r="1077">
      <c r="A1077">
        <v>2039336</v>
      </c>
      <c r="B1077">
        <v>-3000</v>
      </c>
    </row>
    <row r="1078">
      <c r="A1078">
        <v>2039511</v>
      </c>
      <c r="B1078">
        <v>-4000</v>
      </c>
    </row>
    <row r="1079">
      <c r="A1079">
        <v>2039513</v>
      </c>
      <c r="B1079">
        <v>-12000</v>
      </c>
    </row>
    <row r="1080">
      <c r="A1080">
        <v>2039769</v>
      </c>
      <c r="B1080">
        <v>-12.23</v>
      </c>
    </row>
    <row r="1081">
      <c r="A1081">
        <v>2039880</v>
      </c>
      <c r="B1081">
        <v>-1000</v>
      </c>
    </row>
    <row r="1082">
      <c r="A1082">
        <v>2040020</v>
      </c>
      <c r="B1082">
        <v>-1387.34</v>
      </c>
    </row>
    <row r="1083">
      <c r="A1083">
        <v>2040390</v>
      </c>
      <c r="B1083">
        <v>-2000</v>
      </c>
    </row>
    <row r="1084">
      <c r="A1084">
        <v>2040534</v>
      </c>
      <c r="B1084">
        <v>-30.32</v>
      </c>
    </row>
    <row r="1085">
      <c r="A1085">
        <v>2040629</v>
      </c>
      <c r="B1085">
        <v>-8000</v>
      </c>
    </row>
    <row r="1086">
      <c r="A1086">
        <v>2040846</v>
      </c>
      <c r="B1086">
        <v>-1000</v>
      </c>
    </row>
    <row r="1087">
      <c r="A1087">
        <v>2041007</v>
      </c>
      <c r="B1087">
        <v>-3000</v>
      </c>
    </row>
    <row r="1088">
      <c r="A1088">
        <v>2041104</v>
      </c>
      <c r="B1088">
        <v>-20547.28</v>
      </c>
    </row>
    <row r="1089">
      <c r="A1089">
        <v>2041211</v>
      </c>
      <c r="B1089">
        <v>-1050</v>
      </c>
    </row>
    <row r="1090">
      <c r="A1090">
        <v>2041809</v>
      </c>
      <c r="B1090">
        <v>-1000</v>
      </c>
    </row>
    <row r="1091">
      <c r="A1091">
        <v>2042578</v>
      </c>
      <c r="B1091">
        <v>-252</v>
      </c>
    </row>
    <row r="1092">
      <c r="A1092">
        <v>2042585</v>
      </c>
      <c r="B1092">
        <v>-16083.07</v>
      </c>
    </row>
    <row r="1093">
      <c r="A1093">
        <v>2042606</v>
      </c>
      <c r="B1093">
        <v>-2150</v>
      </c>
    </row>
    <row r="1094">
      <c r="A1094">
        <v>2042935</v>
      </c>
      <c r="B1094">
        <v>-16054.04</v>
      </c>
    </row>
    <row r="1095">
      <c r="A1095">
        <v>2042957</v>
      </c>
      <c r="B1095">
        <v>-164.36</v>
      </c>
    </row>
    <row r="1096">
      <c r="A1096">
        <v>2043291</v>
      </c>
      <c r="B1096">
        <v>-2000</v>
      </c>
    </row>
    <row r="1097">
      <c r="A1097">
        <v>2043376</v>
      </c>
      <c r="B1097">
        <v>-5000</v>
      </c>
    </row>
    <row r="1098">
      <c r="A1098">
        <v>2043628</v>
      </c>
      <c r="B1098">
        <v>-500</v>
      </c>
    </row>
    <row r="1099">
      <c r="A1099">
        <v>2043631</v>
      </c>
      <c r="B1099">
        <v>-1000</v>
      </c>
    </row>
    <row r="1100">
      <c r="A1100">
        <v>2044016</v>
      </c>
      <c r="B1100">
        <v>-31.01</v>
      </c>
    </row>
    <row r="1101">
      <c r="A1101">
        <v>2044061</v>
      </c>
      <c r="B1101">
        <v>-71047.7</v>
      </c>
    </row>
    <row r="1102">
      <c r="A1102">
        <v>2044071</v>
      </c>
      <c r="B1102">
        <v>-7100.57</v>
      </c>
    </row>
    <row r="1103">
      <c r="A1103">
        <v>2044088</v>
      </c>
      <c r="B1103">
        <v>-50000</v>
      </c>
    </row>
    <row r="1104">
      <c r="A1104">
        <v>2044110</v>
      </c>
      <c r="B1104">
        <v>-624.17</v>
      </c>
    </row>
    <row r="1105">
      <c r="A1105">
        <v>2044133</v>
      </c>
      <c r="B1105">
        <v>-1000</v>
      </c>
    </row>
    <row r="1106">
      <c r="A1106">
        <v>2044478</v>
      </c>
      <c r="B1106">
        <v>-4000</v>
      </c>
    </row>
    <row r="1107">
      <c r="A1107">
        <v>2044496</v>
      </c>
      <c r="B1107">
        <v>-400</v>
      </c>
    </row>
    <row r="1108">
      <c r="A1108">
        <v>2044627</v>
      </c>
      <c r="B1108">
        <v>-300</v>
      </c>
    </row>
    <row r="1109">
      <c r="A1109">
        <v>2044716</v>
      </c>
      <c r="B1109">
        <v>-4000</v>
      </c>
    </row>
    <row r="1110">
      <c r="A1110">
        <v>2044927</v>
      </c>
      <c r="B1110">
        <v>-1030.12</v>
      </c>
    </row>
    <row r="1111">
      <c r="A1111">
        <v>2044955</v>
      </c>
      <c r="B1111">
        <v>-50.48</v>
      </c>
    </row>
    <row r="1112">
      <c r="A1112">
        <v>2045086</v>
      </c>
      <c r="B1112">
        <v>-2</v>
      </c>
    </row>
    <row r="1113">
      <c r="A1113">
        <v>2045100</v>
      </c>
      <c r="B1113">
        <v>-3852</v>
      </c>
    </row>
    <row r="1114">
      <c r="A1114">
        <v>2045230</v>
      </c>
      <c r="B1114">
        <v>-9688</v>
      </c>
    </row>
    <row r="1115">
      <c r="A1115">
        <v>2045274</v>
      </c>
      <c r="B1115">
        <v>-500</v>
      </c>
    </row>
    <row r="1116">
      <c r="A1116">
        <v>2045291</v>
      </c>
      <c r="B1116">
        <v>-2444.03</v>
      </c>
    </row>
    <row r="1117">
      <c r="A1117">
        <v>2045313</v>
      </c>
      <c r="B1117">
        <v>-2680</v>
      </c>
    </row>
    <row r="1118">
      <c r="A1118">
        <v>2045407</v>
      </c>
      <c r="B1118">
        <v>-136.14</v>
      </c>
    </row>
    <row r="1119">
      <c r="A1119">
        <v>2046397</v>
      </c>
      <c r="B1119">
        <v>-360</v>
      </c>
    </row>
    <row r="1120">
      <c r="A1120">
        <v>2046471</v>
      </c>
      <c r="B1120">
        <v>-16495</v>
      </c>
    </row>
    <row r="1121">
      <c r="A1121">
        <v>2046498</v>
      </c>
      <c r="B1121">
        <v>-1094051.94</v>
      </c>
    </row>
    <row r="1122">
      <c r="A1122">
        <v>2047005</v>
      </c>
      <c r="B1122">
        <v>-2310</v>
      </c>
    </row>
    <row r="1123">
      <c r="A1123">
        <v>2047074</v>
      </c>
      <c r="B1123">
        <v>-3000</v>
      </c>
    </row>
    <row r="1124">
      <c r="A1124">
        <v>2047158</v>
      </c>
      <c r="B1124">
        <v>-6488.5</v>
      </c>
    </row>
    <row r="1125">
      <c r="A1125">
        <v>2047420</v>
      </c>
      <c r="B1125">
        <v>-2000</v>
      </c>
    </row>
    <row r="1126">
      <c r="A1126">
        <v>2047505</v>
      </c>
      <c r="B1126">
        <v>-790</v>
      </c>
    </row>
    <row r="1127">
      <c r="A1127">
        <v>2047540</v>
      </c>
      <c r="B1127">
        <v>-5000</v>
      </c>
    </row>
    <row r="1128">
      <c r="A1128">
        <v>2047899</v>
      </c>
      <c r="B1128">
        <v>-4446.92</v>
      </c>
    </row>
    <row r="1129">
      <c r="A1129">
        <v>2047983</v>
      </c>
      <c r="B1129">
        <v>-1299.75</v>
      </c>
    </row>
    <row r="1130">
      <c r="A1130">
        <v>2048130</v>
      </c>
      <c r="B1130">
        <v>-1200</v>
      </c>
    </row>
    <row r="1131">
      <c r="A1131">
        <v>2048188</v>
      </c>
      <c r="B1131">
        <v>-3780.74</v>
      </c>
    </row>
    <row r="1132">
      <c r="A1132">
        <v>2048227</v>
      </c>
      <c r="B1132">
        <v>-3667.07</v>
      </c>
    </row>
    <row r="1133">
      <c r="A1133">
        <v>2048380</v>
      </c>
      <c r="B1133">
        <v>-400</v>
      </c>
    </row>
    <row r="1134">
      <c r="A1134">
        <v>2048382</v>
      </c>
      <c r="B1134">
        <v>-375.84</v>
      </c>
    </row>
    <row r="1135">
      <c r="A1135">
        <v>2048537</v>
      </c>
      <c r="B1135">
        <v>-8875.44</v>
      </c>
    </row>
    <row r="1136">
      <c r="A1136">
        <v>2048548</v>
      </c>
      <c r="B1136">
        <v>-1000</v>
      </c>
    </row>
    <row r="1137">
      <c r="A1137">
        <v>2048703</v>
      </c>
      <c r="B1137">
        <v>-500</v>
      </c>
    </row>
    <row r="1138">
      <c r="A1138">
        <v>2049192</v>
      </c>
      <c r="B1138">
        <v>-4000</v>
      </c>
    </row>
    <row r="1139">
      <c r="A1139">
        <v>2049235</v>
      </c>
      <c r="B1139">
        <v>-1000</v>
      </c>
    </row>
    <row r="1140">
      <c r="A1140">
        <v>2049440</v>
      </c>
      <c r="B1140">
        <v>-200</v>
      </c>
    </row>
    <row r="1141">
      <c r="A1141">
        <v>2049531</v>
      </c>
      <c r="B1141">
        <v>-6738.34</v>
      </c>
    </row>
    <row r="1142">
      <c r="A1142">
        <v>2049650</v>
      </c>
      <c r="B1142">
        <v>-45.94</v>
      </c>
    </row>
    <row r="1143">
      <c r="A1143">
        <v>2049736</v>
      </c>
      <c r="B1143">
        <v>9032.46</v>
      </c>
    </row>
    <row r="1144">
      <c r="A1144">
        <v>2049762</v>
      </c>
      <c r="B1144">
        <v>-3133.44</v>
      </c>
    </row>
    <row r="1145">
      <c r="A1145">
        <v>2049803</v>
      </c>
      <c r="B1145">
        <v>-18500</v>
      </c>
    </row>
    <row r="1146">
      <c r="A1146">
        <v>2049848</v>
      </c>
      <c r="B1146">
        <v>-31.52</v>
      </c>
    </row>
    <row r="1147">
      <c r="A1147">
        <v>2049865</v>
      </c>
      <c r="B1147">
        <v>-10975.36</v>
      </c>
    </row>
    <row r="1148">
      <c r="A1148">
        <v>2049956</v>
      </c>
      <c r="B1148">
        <v>-840</v>
      </c>
    </row>
    <row r="1149">
      <c r="A1149">
        <v>2050172</v>
      </c>
      <c r="B1149">
        <v>-24598.13</v>
      </c>
    </row>
    <row r="1150">
      <c r="A1150">
        <v>2050178</v>
      </c>
      <c r="B1150">
        <v>-50</v>
      </c>
    </row>
    <row r="1151">
      <c r="A1151">
        <v>2050231</v>
      </c>
      <c r="B1151">
        <v>-1297.08</v>
      </c>
    </row>
    <row r="1152">
      <c r="A1152">
        <v>2050233</v>
      </c>
      <c r="B1152">
        <v>-50</v>
      </c>
    </row>
    <row r="1153">
      <c r="A1153">
        <v>2050432</v>
      </c>
      <c r="B1153">
        <v>-2908</v>
      </c>
    </row>
    <row r="1154">
      <c r="A1154">
        <v>2050516</v>
      </c>
      <c r="B1154">
        <v>-20</v>
      </c>
    </row>
    <row r="1155">
      <c r="A1155">
        <v>2050601</v>
      </c>
      <c r="B1155">
        <v>-1700</v>
      </c>
    </row>
    <row r="1156">
      <c r="A1156">
        <v>2050640</v>
      </c>
      <c r="B1156">
        <v>-15941.98</v>
      </c>
    </row>
    <row r="1157">
      <c r="A1157">
        <v>2050685</v>
      </c>
      <c r="B1157">
        <v>-16890</v>
      </c>
    </row>
    <row r="1158">
      <c r="A1158">
        <v>2050797</v>
      </c>
      <c r="B1158">
        <v>-15.99</v>
      </c>
    </row>
    <row r="1159">
      <c r="A1159">
        <v>2050898</v>
      </c>
      <c r="B1159">
        <v>-163</v>
      </c>
    </row>
    <row r="1160">
      <c r="A1160">
        <v>2051320</v>
      </c>
      <c r="B1160">
        <v>-66.92</v>
      </c>
    </row>
    <row r="1161">
      <c r="A1161">
        <v>2051438</v>
      </c>
      <c r="B1161">
        <v>-3790</v>
      </c>
    </row>
    <row r="1162">
      <c r="A1162">
        <v>2051445</v>
      </c>
      <c r="B1162">
        <v>-222.84</v>
      </c>
    </row>
    <row r="1163">
      <c r="A1163">
        <v>2051486</v>
      </c>
      <c r="B1163">
        <v>-4500</v>
      </c>
    </row>
    <row r="1164">
      <c r="A1164">
        <v>2051587</v>
      </c>
      <c r="B1164">
        <v>-13590.22</v>
      </c>
    </row>
    <row r="1165">
      <c r="A1165">
        <v>2051644</v>
      </c>
      <c r="B1165">
        <v>-8537</v>
      </c>
    </row>
    <row r="1166">
      <c r="A1166">
        <v>2051716</v>
      </c>
      <c r="B1166">
        <v>-3572</v>
      </c>
    </row>
    <row r="1167">
      <c r="A1167">
        <v>2051778</v>
      </c>
      <c r="B1167">
        <v>-20530</v>
      </c>
    </row>
    <row r="1168">
      <c r="A1168">
        <v>2051857</v>
      </c>
      <c r="B1168">
        <v>-2994.1</v>
      </c>
    </row>
    <row r="1169">
      <c r="A1169">
        <v>2051858</v>
      </c>
      <c r="B1169">
        <v>-650</v>
      </c>
    </row>
    <row r="1170">
      <c r="A1170">
        <v>2051859</v>
      </c>
      <c r="B1170">
        <v>-6008.25</v>
      </c>
    </row>
    <row r="1171">
      <c r="A1171">
        <v>2051922</v>
      </c>
      <c r="B1171">
        <v>-1419</v>
      </c>
    </row>
    <row r="1172">
      <c r="A1172">
        <v>2052277</v>
      </c>
      <c r="B1172">
        <v>-200</v>
      </c>
    </row>
    <row r="1173">
      <c r="A1173">
        <v>2052302</v>
      </c>
      <c r="B1173">
        <v>-8500</v>
      </c>
    </row>
    <row r="1174">
      <c r="A1174">
        <v>2052376</v>
      </c>
      <c r="B1174">
        <v>-11449.62</v>
      </c>
    </row>
    <row r="1175">
      <c r="A1175">
        <v>2052428</v>
      </c>
      <c r="B1175">
        <v>-900</v>
      </c>
    </row>
    <row r="1176">
      <c r="A1176">
        <v>2052583</v>
      </c>
      <c r="B1176">
        <v>-2000</v>
      </c>
    </row>
    <row r="1177">
      <c r="A1177">
        <v>2052662</v>
      </c>
      <c r="B1177">
        <v>-1000</v>
      </c>
    </row>
    <row r="1178">
      <c r="A1178">
        <v>2052776</v>
      </c>
      <c r="B1178">
        <v>-101003.5</v>
      </c>
    </row>
    <row r="1179">
      <c r="A1179">
        <v>2052785</v>
      </c>
      <c r="B1179">
        <v>-10478</v>
      </c>
    </row>
    <row r="1180">
      <c r="A1180">
        <v>2052901</v>
      </c>
      <c r="B1180">
        <v>-840</v>
      </c>
    </row>
    <row r="1181">
      <c r="A1181">
        <v>2053031</v>
      </c>
      <c r="B1181">
        <v>-105.5</v>
      </c>
    </row>
    <row r="1182">
      <c r="A1182">
        <v>2053348</v>
      </c>
      <c r="B1182">
        <v>-2000</v>
      </c>
    </row>
    <row r="1183">
      <c r="A1183">
        <v>2054588</v>
      </c>
      <c r="B1183">
        <v>-1871.29</v>
      </c>
    </row>
    <row r="1184">
      <c r="A1184">
        <v>2055642</v>
      </c>
      <c r="B1184">
        <v>-9500</v>
      </c>
    </row>
    <row r="1185">
      <c r="A1185">
        <v>2055793</v>
      </c>
      <c r="B1185">
        <v>-19124</v>
      </c>
    </row>
    <row r="1186">
      <c r="A1186">
        <v>2055926</v>
      </c>
      <c r="B1186">
        <v>-5790.71</v>
      </c>
    </row>
    <row r="1187">
      <c r="A1187">
        <v>2056410</v>
      </c>
      <c r="B1187">
        <v>-8204.86</v>
      </c>
    </row>
    <row r="1188">
      <c r="A1188">
        <v>2056558</v>
      </c>
      <c r="B1188">
        <v>-420</v>
      </c>
    </row>
    <row r="1189">
      <c r="A1189">
        <v>2056572</v>
      </c>
      <c r="B1189">
        <v>-35196</v>
      </c>
    </row>
    <row r="1190">
      <c r="A1190">
        <v>2056584</v>
      </c>
      <c r="B1190">
        <v>-2000</v>
      </c>
    </row>
    <row r="1191">
      <c r="A1191">
        <v>2056833</v>
      </c>
      <c r="B1191">
        <v>-2000</v>
      </c>
    </row>
    <row r="1192">
      <c r="A1192">
        <v>2056943</v>
      </c>
      <c r="B1192">
        <v>-133.07</v>
      </c>
    </row>
    <row r="1193">
      <c r="A1193">
        <v>2056976</v>
      </c>
      <c r="B1193">
        <v>-4300</v>
      </c>
    </row>
    <row r="1194">
      <c r="A1194">
        <v>2057212</v>
      </c>
      <c r="B1194">
        <v>-7300</v>
      </c>
    </row>
    <row r="1195">
      <c r="A1195">
        <v>2057244</v>
      </c>
      <c r="B1195">
        <v>-11764.4</v>
      </c>
    </row>
    <row r="1196">
      <c r="A1196">
        <v>2057289</v>
      </c>
      <c r="B1196">
        <v>-7320.96</v>
      </c>
    </row>
    <row r="1197">
      <c r="A1197">
        <v>2057300</v>
      </c>
      <c r="B1197">
        <v>-1000.01</v>
      </c>
    </row>
    <row r="1198">
      <c r="A1198">
        <v>2057475</v>
      </c>
      <c r="B1198">
        <v>-2000</v>
      </c>
    </row>
    <row r="1199">
      <c r="A1199">
        <v>2057970</v>
      </c>
      <c r="B1199">
        <v>-5600</v>
      </c>
    </row>
    <row r="1200">
      <c r="A1200">
        <v>2058208</v>
      </c>
      <c r="B1200">
        <v>-3000</v>
      </c>
    </row>
    <row r="1201">
      <c r="A1201">
        <v>2058633</v>
      </c>
      <c r="B1201">
        <v>-15293.12</v>
      </c>
    </row>
    <row r="1202">
      <c r="A1202">
        <v>2058737</v>
      </c>
      <c r="B1202">
        <v>-6000</v>
      </c>
    </row>
    <row r="1203">
      <c r="A1203">
        <v>2058802</v>
      </c>
      <c r="B1203">
        <v>-2000</v>
      </c>
    </row>
    <row r="1204">
      <c r="A1204">
        <v>2058956</v>
      </c>
      <c r="B1204">
        <v>-2000</v>
      </c>
    </row>
    <row r="1205">
      <c r="A1205">
        <v>2058981</v>
      </c>
      <c r="B1205">
        <v>-3000</v>
      </c>
    </row>
    <row r="1206">
      <c r="A1206">
        <v>2058992</v>
      </c>
      <c r="B1206">
        <v>-210278.76</v>
      </c>
    </row>
    <row r="1207">
      <c r="A1207">
        <v>2059411</v>
      </c>
      <c r="B1207">
        <v>-4539.43</v>
      </c>
    </row>
    <row r="1208">
      <c r="A1208">
        <v>2059419</v>
      </c>
      <c r="B1208">
        <v>-1500</v>
      </c>
    </row>
    <row r="1209">
      <c r="A1209">
        <v>2059598</v>
      </c>
      <c r="B1209">
        <v>-3000</v>
      </c>
    </row>
    <row r="1210">
      <c r="A1210">
        <v>2059602</v>
      </c>
      <c r="B1210">
        <v>-160</v>
      </c>
    </row>
    <row r="1211">
      <c r="A1211">
        <v>2059621</v>
      </c>
      <c r="B1211">
        <v>-4818.6</v>
      </c>
    </row>
    <row r="1212">
      <c r="A1212">
        <v>2059737</v>
      </c>
      <c r="B1212">
        <v>-3000</v>
      </c>
    </row>
    <row r="1213">
      <c r="A1213">
        <v>2060240</v>
      </c>
      <c r="B1213">
        <v>-3000</v>
      </c>
    </row>
    <row r="1214">
      <c r="A1214">
        <v>2060241</v>
      </c>
      <c r="B1214">
        <v>-8405</v>
      </c>
    </row>
    <row r="1215">
      <c r="A1215">
        <v>2060417</v>
      </c>
      <c r="B1215">
        <v>-560</v>
      </c>
    </row>
    <row r="1216">
      <c r="A1216">
        <v>2060550</v>
      </c>
      <c r="B1216">
        <v>-12700</v>
      </c>
    </row>
    <row r="1217">
      <c r="A1217">
        <v>2060813</v>
      </c>
      <c r="B1217">
        <v>-6300</v>
      </c>
    </row>
    <row r="1218">
      <c r="A1218">
        <v>2061277</v>
      </c>
      <c r="B1218">
        <v>-26335.78</v>
      </c>
    </row>
    <row r="1219">
      <c r="A1219">
        <v>2061278</v>
      </c>
      <c r="B1219">
        <v>-1782.03</v>
      </c>
    </row>
    <row r="1220">
      <c r="A1220">
        <v>2061279</v>
      </c>
      <c r="B1220">
        <v>-512953.1</v>
      </c>
    </row>
    <row r="1221">
      <c r="A1221">
        <v>2061305</v>
      </c>
      <c r="B1221">
        <v>-99060.22</v>
      </c>
    </row>
    <row r="1222">
      <c r="A1222">
        <v>2061519</v>
      </c>
      <c r="B1222">
        <v>-22234.77</v>
      </c>
    </row>
    <row r="1223">
      <c r="A1223">
        <v>2062223</v>
      </c>
      <c r="B1223">
        <v>-15300</v>
      </c>
    </row>
    <row r="1224">
      <c r="A1224">
        <v>2062285</v>
      </c>
      <c r="B1224">
        <v>-918.5</v>
      </c>
    </row>
    <row r="1225">
      <c r="A1225">
        <v>2063354</v>
      </c>
      <c r="B1225">
        <v>-908</v>
      </c>
    </row>
    <row r="1226">
      <c r="A1226">
        <v>2064063</v>
      </c>
      <c r="B1226">
        <v>-1000</v>
      </c>
    </row>
    <row r="1227">
      <c r="A1227">
        <v>2064097</v>
      </c>
      <c r="B1227">
        <v>-33885.9</v>
      </c>
    </row>
    <row r="1228">
      <c r="A1228">
        <v>2064166</v>
      </c>
      <c r="B1228">
        <v>-1500</v>
      </c>
    </row>
    <row r="1229">
      <c r="A1229">
        <v>2064331</v>
      </c>
      <c r="B1229">
        <v>-2000</v>
      </c>
    </row>
    <row r="1230">
      <c r="A1230">
        <v>2064910</v>
      </c>
      <c r="B1230">
        <v>-2000</v>
      </c>
    </row>
    <row r="1231">
      <c r="A1231">
        <v>2066379</v>
      </c>
      <c r="B1231">
        <v>-2000</v>
      </c>
    </row>
    <row r="1232">
      <c r="A1232">
        <v>2066842</v>
      </c>
      <c r="B1232">
        <v>-1500</v>
      </c>
    </row>
    <row r="1233">
      <c r="A1233">
        <v>2067463</v>
      </c>
      <c r="B1233">
        <v>-5203.06</v>
      </c>
    </row>
    <row r="1234">
      <c r="A1234">
        <v>2067622</v>
      </c>
      <c r="B1234">
        <v>-1500</v>
      </c>
    </row>
    <row r="1235">
      <c r="A1235">
        <v>2069717</v>
      </c>
      <c r="B1235">
        <v>-2000</v>
      </c>
    </row>
    <row r="1236">
      <c r="A1236">
        <v>2080896</v>
      </c>
      <c r="B1236">
        <v>-1000</v>
      </c>
    </row>
    <row r="1237">
      <c r="A1237">
        <v>2083017</v>
      </c>
      <c r="B1237">
        <v>-2000</v>
      </c>
    </row>
    <row r="1238">
      <c r="A1238">
        <v>2084244</v>
      </c>
      <c r="B1238">
        <v>-200</v>
      </c>
    </row>
    <row r="1239">
      <c r="A1239">
        <v>2086583</v>
      </c>
      <c r="B1239">
        <v>-2000</v>
      </c>
    </row>
    <row r="1240">
      <c r="A1240">
        <v>2087917</v>
      </c>
      <c r="B1240">
        <v>-2000</v>
      </c>
    </row>
    <row r="1241">
      <c r="A1241">
        <v>2091296</v>
      </c>
      <c r="B1241">
        <v>-1740</v>
      </c>
    </row>
    <row r="1242">
      <c r="A1242">
        <v>2093843</v>
      </c>
      <c r="B1242">
        <v>80271.44</v>
      </c>
    </row>
    <row r="1243">
      <c r="A1243">
        <v>2094142</v>
      </c>
      <c r="B1243">
        <v>-13515.06</v>
      </c>
    </row>
    <row r="1244">
      <c r="A1244">
        <v>2094236</v>
      </c>
      <c r="B1244">
        <v>-14816</v>
      </c>
    </row>
    <row r="1245">
      <c r="A1245">
        <v>2094525</v>
      </c>
      <c r="B1245">
        <v>-50000</v>
      </c>
    </row>
    <row r="1246">
      <c r="A1246">
        <v>2094748</v>
      </c>
      <c r="B1246">
        <v>-3978.71</v>
      </c>
    </row>
    <row r="1247">
      <c r="A1247">
        <v>2094904</v>
      </c>
      <c r="B1247">
        <v>-1.29</v>
      </c>
    </row>
    <row r="1248">
      <c r="A1248">
        <v>2095155</v>
      </c>
      <c r="B1248">
        <v>-2000</v>
      </c>
    </row>
    <row r="1249">
      <c r="A1249">
        <v>2095949</v>
      </c>
      <c r="B1249">
        <v>-500</v>
      </c>
    </row>
    <row r="1250">
      <c r="A1250">
        <v>2095984</v>
      </c>
      <c r="B1250">
        <v>-350</v>
      </c>
    </row>
    <row r="1251">
      <c r="A1251">
        <v>2096013</v>
      </c>
      <c r="B1251">
        <v>-1000</v>
      </c>
    </row>
    <row r="1252">
      <c r="A1252">
        <v>2096324</v>
      </c>
      <c r="B1252">
        <v>-11345.01</v>
      </c>
    </row>
    <row r="1253">
      <c r="A1253">
        <v>2096384</v>
      </c>
      <c r="B1253">
        <v>-32159.85</v>
      </c>
    </row>
    <row r="1254">
      <c r="A1254">
        <v>2096712</v>
      </c>
      <c r="B1254">
        <v>-2100</v>
      </c>
    </row>
    <row r="1255">
      <c r="A1255">
        <v>2096820</v>
      </c>
      <c r="B1255">
        <v>-20000</v>
      </c>
    </row>
    <row r="1256">
      <c r="A1256">
        <v>2096896</v>
      </c>
      <c r="B1256">
        <v>-11400</v>
      </c>
    </row>
    <row r="1257">
      <c r="A1257">
        <v>2096900</v>
      </c>
      <c r="B1257">
        <v>-1000</v>
      </c>
    </row>
    <row r="1258">
      <c r="A1258">
        <v>2096959</v>
      </c>
      <c r="B1258">
        <v>-254</v>
      </c>
    </row>
    <row r="1259">
      <c r="A1259">
        <v>2097278</v>
      </c>
      <c r="B1259">
        <v>-14061.41</v>
      </c>
    </row>
    <row r="1260">
      <c r="A1260">
        <v>2097303</v>
      </c>
      <c r="B1260">
        <v>-1000</v>
      </c>
    </row>
    <row r="1261">
      <c r="A1261">
        <v>2097485</v>
      </c>
      <c r="B1261">
        <v>770510.32</v>
      </c>
    </row>
    <row r="1262">
      <c r="A1262">
        <v>2097826</v>
      </c>
      <c r="B1262">
        <v>-3145</v>
      </c>
    </row>
    <row r="1263">
      <c r="A1263">
        <v>2097847</v>
      </c>
      <c r="B1263">
        <v>2448008.53</v>
      </c>
    </row>
    <row r="1264">
      <c r="A1264">
        <v>2097968</v>
      </c>
      <c r="B1264">
        <v>-2039</v>
      </c>
    </row>
    <row r="1265">
      <c r="A1265">
        <v>2098081</v>
      </c>
      <c r="B1265">
        <v>-250</v>
      </c>
    </row>
    <row r="1266">
      <c r="A1266">
        <v>2098133</v>
      </c>
      <c r="B1266">
        <v>-460</v>
      </c>
    </row>
    <row r="1267">
      <c r="A1267">
        <v>2098243</v>
      </c>
      <c r="B1267">
        <v>-1910.87</v>
      </c>
    </row>
    <row r="1268">
      <c r="A1268">
        <v>2098290</v>
      </c>
      <c r="B1268">
        <v>-6182.86</v>
      </c>
    </row>
    <row r="1269">
      <c r="A1269">
        <v>2098353</v>
      </c>
      <c r="B1269">
        <v>-8080</v>
      </c>
    </row>
    <row r="1270">
      <c r="A1270">
        <v>2098449</v>
      </c>
      <c r="B1270">
        <v>-1000</v>
      </c>
    </row>
    <row r="1271">
      <c r="A1271">
        <v>2098450</v>
      </c>
      <c r="B1271">
        <v>-1300</v>
      </c>
    </row>
    <row r="1272">
      <c r="A1272">
        <v>2098739</v>
      </c>
      <c r="B1272">
        <v>-4000</v>
      </c>
    </row>
    <row r="1273">
      <c r="A1273">
        <v>2098740</v>
      </c>
      <c r="B1273">
        <v>-5026.14</v>
      </c>
    </row>
    <row r="1274">
      <c r="A1274">
        <v>2098786</v>
      </c>
      <c r="B1274">
        <v>-3365</v>
      </c>
    </row>
    <row r="1275">
      <c r="A1275">
        <v>2099726</v>
      </c>
      <c r="B1275">
        <v>-1000</v>
      </c>
    </row>
    <row r="1276">
      <c r="A1276">
        <v>2099900</v>
      </c>
      <c r="B1276">
        <v>-640</v>
      </c>
    </row>
    <row r="1277">
      <c r="A1277">
        <v>2099910</v>
      </c>
      <c r="B1277">
        <v>-311.53</v>
      </c>
    </row>
    <row r="1278">
      <c r="A1278">
        <v>2099927</v>
      </c>
      <c r="B1278">
        <v>-22659</v>
      </c>
    </row>
    <row r="1279">
      <c r="A1279">
        <v>2099991</v>
      </c>
      <c r="B1279">
        <v>-1000</v>
      </c>
    </row>
    <row r="1280">
      <c r="A1280">
        <v>2100088</v>
      </c>
      <c r="B1280">
        <v>-450</v>
      </c>
    </row>
    <row r="1281">
      <c r="A1281">
        <v>2100150</v>
      </c>
      <c r="B1281">
        <v>-481.46</v>
      </c>
    </row>
    <row r="1282">
      <c r="A1282">
        <v>2100169</v>
      </c>
      <c r="B1282">
        <v>-3000</v>
      </c>
    </row>
    <row r="1283">
      <c r="A1283">
        <v>2100369</v>
      </c>
      <c r="B1283">
        <v>-1</v>
      </c>
    </row>
    <row r="1284">
      <c r="A1284">
        <v>2100526</v>
      </c>
      <c r="B1284">
        <v>-4000</v>
      </c>
    </row>
    <row r="1285">
      <c r="A1285">
        <v>2100565</v>
      </c>
      <c r="B1285">
        <v>-150</v>
      </c>
    </row>
    <row r="1286">
      <c r="A1286">
        <v>2100776</v>
      </c>
      <c r="B1286">
        <v>-265</v>
      </c>
    </row>
    <row r="1287">
      <c r="A1287">
        <v>2100817</v>
      </c>
      <c r="B1287">
        <v>-180</v>
      </c>
    </row>
    <row r="1288">
      <c r="A1288">
        <v>2101131</v>
      </c>
      <c r="B1288">
        <v>-12100</v>
      </c>
    </row>
    <row r="1289">
      <c r="A1289">
        <v>2101234</v>
      </c>
      <c r="B1289">
        <v>-200</v>
      </c>
    </row>
    <row r="1290">
      <c r="A1290">
        <v>2101244</v>
      </c>
      <c r="B1290">
        <v>-35.98</v>
      </c>
    </row>
    <row r="1291">
      <c r="A1291">
        <v>2101722</v>
      </c>
      <c r="B1291">
        <v>-27</v>
      </c>
    </row>
    <row r="1292">
      <c r="A1292">
        <v>2102839</v>
      </c>
      <c r="B1292">
        <v>-2265199.3</v>
      </c>
    </row>
    <row r="1293">
      <c r="A1293">
        <v>2102842</v>
      </c>
      <c r="B1293">
        <v>-22.65</v>
      </c>
    </row>
    <row r="1294">
      <c r="A1294">
        <v>2103906</v>
      </c>
      <c r="B1294">
        <v>-216.32</v>
      </c>
    </row>
    <row r="1295">
      <c r="A1295">
        <v>2104402</v>
      </c>
      <c r="B1295">
        <v>-900</v>
      </c>
    </row>
    <row r="1296">
      <c r="A1296">
        <v>2104558</v>
      </c>
      <c r="B1296">
        <v>-4000</v>
      </c>
    </row>
    <row r="1297">
      <c r="A1297">
        <v>2104938</v>
      </c>
      <c r="B1297">
        <v>-8184.52</v>
      </c>
    </row>
    <row r="1298">
      <c r="A1298">
        <v>2105545</v>
      </c>
      <c r="B1298">
        <v>-6400</v>
      </c>
    </row>
    <row r="1299">
      <c r="A1299">
        <v>2105797</v>
      </c>
      <c r="B1299">
        <v>-3757.68</v>
      </c>
    </row>
    <row r="1300">
      <c r="A1300">
        <v>2105970</v>
      </c>
      <c r="B1300">
        <v>-460.49</v>
      </c>
    </row>
    <row r="1301">
      <c r="A1301">
        <v>2106048</v>
      </c>
      <c r="B1301">
        <v>-3000</v>
      </c>
    </row>
    <row r="1302">
      <c r="A1302">
        <v>2106099</v>
      </c>
      <c r="B1302">
        <v>-0.17</v>
      </c>
    </row>
    <row r="1303">
      <c r="A1303">
        <v>2106133</v>
      </c>
      <c r="B1303">
        <v>-1100</v>
      </c>
    </row>
    <row r="1304">
      <c r="A1304">
        <v>2106262</v>
      </c>
      <c r="B1304">
        <v>-696159.2</v>
      </c>
    </row>
    <row r="1305">
      <c r="A1305">
        <v>2106263</v>
      </c>
      <c r="B1305">
        <v>-7366.99</v>
      </c>
    </row>
    <row r="1306">
      <c r="A1306">
        <v>2106293</v>
      </c>
      <c r="B1306">
        <v>-7680</v>
      </c>
    </row>
    <row r="1307">
      <c r="A1307">
        <v>2106316</v>
      </c>
      <c r="B1307">
        <v>-1500</v>
      </c>
    </row>
    <row r="1308">
      <c r="A1308">
        <v>2106495</v>
      </c>
      <c r="B1308">
        <v>-4269</v>
      </c>
    </row>
    <row r="1309">
      <c r="A1309">
        <v>2106565</v>
      </c>
      <c r="B1309">
        <v>-11200</v>
      </c>
    </row>
    <row r="1310">
      <c r="A1310">
        <v>2107162</v>
      </c>
      <c r="B1310">
        <v>-0.2</v>
      </c>
    </row>
    <row r="1311">
      <c r="A1311">
        <v>2107639</v>
      </c>
      <c r="B1311">
        <v>-500</v>
      </c>
    </row>
    <row r="1312">
      <c r="A1312">
        <v>2108016</v>
      </c>
      <c r="B1312">
        <v>-2000</v>
      </c>
    </row>
    <row r="1313">
      <c r="A1313">
        <v>2108150</v>
      </c>
      <c r="B1313">
        <v>-1222.66</v>
      </c>
    </row>
    <row r="1314">
      <c r="A1314">
        <v>2108247</v>
      </c>
      <c r="B1314">
        <v>-315.47</v>
      </c>
    </row>
    <row r="1315">
      <c r="A1315">
        <v>2108462</v>
      </c>
      <c r="B1315">
        <v>-500</v>
      </c>
    </row>
    <row r="1316">
      <c r="A1316">
        <v>2108690</v>
      </c>
      <c r="B1316">
        <v>-2000</v>
      </c>
    </row>
    <row r="1317">
      <c r="A1317">
        <v>2108701</v>
      </c>
      <c r="B1317">
        <v>-1010</v>
      </c>
    </row>
    <row r="1318">
      <c r="A1318">
        <v>2108758</v>
      </c>
      <c r="B1318">
        <v>-1490</v>
      </c>
    </row>
    <row r="1319">
      <c r="A1319">
        <v>2109026</v>
      </c>
      <c r="B1319">
        <v>-20</v>
      </c>
    </row>
    <row r="1320">
      <c r="A1320">
        <v>2109179</v>
      </c>
      <c r="B1320">
        <v>-20</v>
      </c>
    </row>
    <row r="1321">
      <c r="A1321">
        <v>2109320</v>
      </c>
      <c r="B1321">
        <v>-3000</v>
      </c>
    </row>
    <row r="1322">
      <c r="A1322">
        <v>2109506</v>
      </c>
      <c r="B1322">
        <v>-16500</v>
      </c>
    </row>
    <row r="1323">
      <c r="A1323">
        <v>2109515</v>
      </c>
      <c r="B1323">
        <v>-36</v>
      </c>
    </row>
    <row r="1324">
      <c r="A1324">
        <v>2109738</v>
      </c>
      <c r="B1324">
        <v>-44</v>
      </c>
    </row>
    <row r="1325">
      <c r="A1325">
        <v>2109752</v>
      </c>
      <c r="B1325">
        <v>-470</v>
      </c>
    </row>
    <row r="1326">
      <c r="A1326">
        <v>2109795</v>
      </c>
      <c r="B1326">
        <v>-200</v>
      </c>
    </row>
    <row r="1327">
      <c r="A1327">
        <v>2109896</v>
      </c>
      <c r="B1327">
        <v>1102546.25</v>
      </c>
    </row>
    <row r="1328">
      <c r="A1328">
        <v>2110228</v>
      </c>
      <c r="B1328">
        <v>401386.46</v>
      </c>
    </row>
    <row r="1329">
      <c r="A1329">
        <v>2110334</v>
      </c>
      <c r="B1329">
        <v>-80</v>
      </c>
    </row>
    <row r="1330">
      <c r="A1330">
        <v>2110618</v>
      </c>
      <c r="B1330">
        <v>-1.29</v>
      </c>
    </row>
    <row r="1331">
      <c r="A1331">
        <v>2110691</v>
      </c>
      <c r="B1331">
        <v>-0.8</v>
      </c>
    </row>
    <row r="1332">
      <c r="A1332">
        <v>2110696</v>
      </c>
      <c r="B1332">
        <v>-20</v>
      </c>
    </row>
    <row r="1333">
      <c r="A1333">
        <v>2110935</v>
      </c>
      <c r="B1333">
        <v>-45.65</v>
      </c>
    </row>
    <row r="1334">
      <c r="A1334">
        <v>2111161</v>
      </c>
      <c r="B1334">
        <v>-290.3</v>
      </c>
    </row>
    <row r="1335">
      <c r="A1335">
        <v>2111542</v>
      </c>
      <c r="B1335">
        <v>-196611.32</v>
      </c>
    </row>
    <row r="1336">
      <c r="A1336">
        <v>2111652</v>
      </c>
      <c r="B1336">
        <v>-60</v>
      </c>
    </row>
    <row r="1337">
      <c r="A1337">
        <v>2112132</v>
      </c>
      <c r="B1337">
        <v>-3000</v>
      </c>
    </row>
    <row r="1338">
      <c r="A1338">
        <v>2112198</v>
      </c>
      <c r="B1338">
        <v>-887.39</v>
      </c>
    </row>
    <row r="1339">
      <c r="A1339">
        <v>2112199</v>
      </c>
      <c r="B1339">
        <v>-11010</v>
      </c>
    </row>
    <row r="1340">
      <c r="A1340">
        <v>2112315</v>
      </c>
      <c r="B1340">
        <v>-10671.5</v>
      </c>
    </row>
    <row r="1341">
      <c r="A1341">
        <v>2112385</v>
      </c>
      <c r="B1341">
        <v>-5000</v>
      </c>
    </row>
    <row r="1342">
      <c r="A1342">
        <v>2112629</v>
      </c>
      <c r="B1342">
        <v>-74</v>
      </c>
    </row>
    <row r="1343">
      <c r="A1343">
        <v>2112643</v>
      </c>
      <c r="B1343">
        <v>-987</v>
      </c>
    </row>
    <row r="1344">
      <c r="A1344">
        <v>2112841</v>
      </c>
      <c r="B1344">
        <v>-2000</v>
      </c>
    </row>
    <row r="1345">
      <c r="A1345">
        <v>2113054</v>
      </c>
      <c r="B1345">
        <v>-4000</v>
      </c>
    </row>
    <row r="1346">
      <c r="A1346">
        <v>2113137</v>
      </c>
      <c r="B1346">
        <v>-4081.71</v>
      </c>
    </row>
    <row r="1347">
      <c r="A1347">
        <v>2113489</v>
      </c>
      <c r="B1347">
        <v>-12600</v>
      </c>
    </row>
    <row r="1348">
      <c r="A1348">
        <v>2113610</v>
      </c>
      <c r="B1348">
        <v>-50</v>
      </c>
    </row>
    <row r="1349">
      <c r="A1349">
        <v>2113627</v>
      </c>
      <c r="B1349">
        <v>-2897</v>
      </c>
    </row>
    <row r="1350">
      <c r="A1350">
        <v>2113831</v>
      </c>
      <c r="B1350">
        <v>-27597.2</v>
      </c>
    </row>
    <row r="1351">
      <c r="A1351">
        <v>2113961</v>
      </c>
      <c r="B1351">
        <v>-105</v>
      </c>
    </row>
    <row r="1352">
      <c r="A1352">
        <v>2114071</v>
      </c>
      <c r="B1352">
        <v>-4300</v>
      </c>
    </row>
    <row r="1353">
      <c r="A1353">
        <v>2114198</v>
      </c>
      <c r="B1353">
        <v>-3000</v>
      </c>
    </row>
    <row r="1354">
      <c r="A1354">
        <v>2114252</v>
      </c>
      <c r="B1354">
        <v>-510998.77</v>
      </c>
    </row>
    <row r="1355">
      <c r="A1355">
        <v>2114391</v>
      </c>
      <c r="B1355">
        <v>-3500</v>
      </c>
    </row>
    <row r="1356">
      <c r="A1356">
        <v>2114532</v>
      </c>
      <c r="B1356">
        <v>-3288</v>
      </c>
    </row>
    <row r="1357">
      <c r="A1357">
        <v>2114742</v>
      </c>
      <c r="B1357">
        <v>-200</v>
      </c>
    </row>
    <row r="1358">
      <c r="A1358">
        <v>2115047</v>
      </c>
      <c r="B1358">
        <v>-1020</v>
      </c>
    </row>
    <row r="1359">
      <c r="A1359">
        <v>2115747</v>
      </c>
      <c r="B1359">
        <v>-1000</v>
      </c>
    </row>
    <row r="1360">
      <c r="A1360">
        <v>2115912</v>
      </c>
      <c r="B1360">
        <v>-49.9</v>
      </c>
    </row>
    <row r="1361">
      <c r="A1361">
        <v>2115978</v>
      </c>
      <c r="B1361">
        <v>-7606.85</v>
      </c>
    </row>
    <row r="1362">
      <c r="A1362">
        <v>2116117</v>
      </c>
      <c r="B1362">
        <v>-82362</v>
      </c>
    </row>
    <row r="1363">
      <c r="A1363">
        <v>2116215</v>
      </c>
      <c r="B1363">
        <v>-1051</v>
      </c>
    </row>
    <row r="1364">
      <c r="A1364">
        <v>2116257</v>
      </c>
      <c r="B1364">
        <v>-1000</v>
      </c>
    </row>
    <row r="1365">
      <c r="A1365">
        <v>2116324</v>
      </c>
      <c r="B1365">
        <v>-600</v>
      </c>
    </row>
    <row r="1366">
      <c r="A1366">
        <v>2116600</v>
      </c>
      <c r="B1366">
        <v>-2200</v>
      </c>
    </row>
    <row r="1367">
      <c r="A1367">
        <v>2116904</v>
      </c>
      <c r="B1367">
        <v>-200</v>
      </c>
    </row>
    <row r="1368">
      <c r="A1368">
        <v>2117234</v>
      </c>
      <c r="B1368">
        <v>-887.63</v>
      </c>
    </row>
    <row r="1369">
      <c r="A1369">
        <v>2117816</v>
      </c>
      <c r="B1369">
        <v>-250</v>
      </c>
    </row>
    <row r="1370">
      <c r="A1370">
        <v>2117854</v>
      </c>
      <c r="B1370">
        <v>-1160</v>
      </c>
    </row>
    <row r="1371">
      <c r="A1371">
        <v>2118031</v>
      </c>
      <c r="B1371">
        <v>-3311210.64</v>
      </c>
    </row>
    <row r="1372">
      <c r="A1372">
        <v>2118089</v>
      </c>
      <c r="B1372">
        <v>-700</v>
      </c>
    </row>
    <row r="1373">
      <c r="A1373">
        <v>2118228</v>
      </c>
      <c r="B1373">
        <v>-2000</v>
      </c>
    </row>
    <row r="1374">
      <c r="A1374">
        <v>2118259</v>
      </c>
      <c r="B1374">
        <v>-700</v>
      </c>
    </row>
    <row r="1375">
      <c r="A1375">
        <v>2118413</v>
      </c>
      <c r="B1375">
        <v>-735</v>
      </c>
    </row>
    <row r="1376">
      <c r="A1376">
        <v>2118427</v>
      </c>
      <c r="B1376">
        <v>-4500</v>
      </c>
    </row>
    <row r="1377">
      <c r="A1377">
        <v>2118660</v>
      </c>
      <c r="B1377">
        <v>-16932.47</v>
      </c>
    </row>
    <row r="1378">
      <c r="A1378">
        <v>2118729</v>
      </c>
      <c r="B1378">
        <v>1094494.93</v>
      </c>
    </row>
    <row r="1379">
      <c r="A1379">
        <v>2118780</v>
      </c>
      <c r="B1379">
        <v>-3000</v>
      </c>
    </row>
    <row r="1380">
      <c r="A1380">
        <v>2118927</v>
      </c>
      <c r="B1380">
        <v>-4500.22</v>
      </c>
    </row>
    <row r="1381">
      <c r="A1381">
        <v>2119327</v>
      </c>
      <c r="B1381">
        <v>-6708.44</v>
      </c>
    </row>
    <row r="1382">
      <c r="A1382">
        <v>2119566</v>
      </c>
      <c r="B1382">
        <v>-4000</v>
      </c>
    </row>
    <row r="1383">
      <c r="A1383">
        <v>2119623</v>
      </c>
      <c r="B1383">
        <v>-2145</v>
      </c>
    </row>
    <row r="1384">
      <c r="A1384">
        <v>2119650</v>
      </c>
      <c r="B1384">
        <v>-2000</v>
      </c>
    </row>
    <row r="1385">
      <c r="A1385">
        <v>2119823</v>
      </c>
      <c r="B1385">
        <v>321457.98</v>
      </c>
    </row>
    <row r="1386">
      <c r="A1386">
        <v>2119826</v>
      </c>
      <c r="B1386">
        <v>-2835.08</v>
      </c>
    </row>
    <row r="1387">
      <c r="A1387">
        <v>2119866</v>
      </c>
      <c r="B1387">
        <v>-1063.53</v>
      </c>
    </row>
    <row r="1388">
      <c r="A1388">
        <v>2119871</v>
      </c>
      <c r="B1388">
        <v>-85723.46</v>
      </c>
    </row>
    <row r="1389">
      <c r="A1389">
        <v>2120238</v>
      </c>
      <c r="B1389">
        <v>-1500</v>
      </c>
    </row>
    <row r="1390">
      <c r="A1390">
        <v>2120277</v>
      </c>
      <c r="B1390">
        <v>-20</v>
      </c>
    </row>
    <row r="1391">
      <c r="A1391">
        <v>2120512</v>
      </c>
      <c r="B1391">
        <v>-1632.5</v>
      </c>
    </row>
    <row r="1392">
      <c r="A1392">
        <v>2120582</v>
      </c>
      <c r="B1392">
        <v>-880</v>
      </c>
    </row>
    <row r="1393">
      <c r="A1393">
        <v>2120663</v>
      </c>
      <c r="B1393">
        <v>-10</v>
      </c>
    </row>
    <row r="1394">
      <c r="A1394">
        <v>2120768</v>
      </c>
      <c r="B1394">
        <v>-2000</v>
      </c>
    </row>
    <row r="1395">
      <c r="A1395">
        <v>2121048</v>
      </c>
      <c r="B1395">
        <v>-1100</v>
      </c>
    </row>
    <row r="1396">
      <c r="A1396">
        <v>2121051</v>
      </c>
      <c r="B1396">
        <v>-340</v>
      </c>
    </row>
    <row r="1397">
      <c r="A1397">
        <v>2121359</v>
      </c>
      <c r="B1397">
        <v>-2302</v>
      </c>
    </row>
    <row r="1398">
      <c r="A1398">
        <v>2121587</v>
      </c>
      <c r="B1398">
        <v>-2305</v>
      </c>
    </row>
    <row r="1399">
      <c r="A1399">
        <v>2121746</v>
      </c>
      <c r="B1399">
        <v>-3000</v>
      </c>
    </row>
    <row r="1400">
      <c r="A1400">
        <v>2121918</v>
      </c>
      <c r="B1400">
        <v>-2000</v>
      </c>
    </row>
    <row r="1401">
      <c r="A1401">
        <v>2122258</v>
      </c>
      <c r="B1401">
        <v>-5600</v>
      </c>
    </row>
    <row r="1402">
      <c r="A1402">
        <v>2122341</v>
      </c>
      <c r="B1402">
        <v>-8001.27</v>
      </c>
    </row>
    <row r="1403">
      <c r="A1403">
        <v>2122377</v>
      </c>
      <c r="B1403">
        <v>-20.13</v>
      </c>
    </row>
    <row r="1404">
      <c r="A1404">
        <v>2122414</v>
      </c>
      <c r="B1404">
        <v>-4809.73</v>
      </c>
    </row>
    <row r="1405">
      <c r="A1405">
        <v>2122433</v>
      </c>
      <c r="B1405">
        <v>-338</v>
      </c>
    </row>
    <row r="1406">
      <c r="A1406">
        <v>2122546</v>
      </c>
      <c r="B1406">
        <v>-2000</v>
      </c>
    </row>
    <row r="1407">
      <c r="A1407">
        <v>2122610</v>
      </c>
      <c r="B1407">
        <v>-598</v>
      </c>
    </row>
    <row r="1408">
      <c r="A1408">
        <v>2122655</v>
      </c>
      <c r="B1408">
        <v>-1000</v>
      </c>
    </row>
    <row r="1409">
      <c r="A1409">
        <v>2123225</v>
      </c>
      <c r="B1409">
        <v>-3000</v>
      </c>
    </row>
    <row r="1410">
      <c r="A1410">
        <v>2123618</v>
      </c>
      <c r="B1410">
        <v>-4300</v>
      </c>
    </row>
    <row r="1411">
      <c r="A1411">
        <v>2123633</v>
      </c>
      <c r="B1411">
        <v>-210</v>
      </c>
    </row>
    <row r="1412">
      <c r="A1412">
        <v>2123759</v>
      </c>
      <c r="B1412">
        <v>-90088</v>
      </c>
    </row>
    <row r="1413">
      <c r="A1413">
        <v>2123768</v>
      </c>
      <c r="B1413">
        <v>-20640</v>
      </c>
    </row>
    <row r="1414">
      <c r="A1414">
        <v>2123890</v>
      </c>
      <c r="B1414">
        <v>-15</v>
      </c>
    </row>
    <row r="1415">
      <c r="A1415">
        <v>2124003</v>
      </c>
      <c r="B1415">
        <v>456876</v>
      </c>
    </row>
    <row r="1416">
      <c r="A1416">
        <v>2124277</v>
      </c>
      <c r="B1416">
        <v>-167.23</v>
      </c>
    </row>
    <row r="1417">
      <c r="A1417">
        <v>2124288</v>
      </c>
      <c r="B1417">
        <v>-359</v>
      </c>
    </row>
    <row r="1418">
      <c r="A1418">
        <v>2124291</v>
      </c>
      <c r="B1418">
        <v>-5986.77</v>
      </c>
    </row>
    <row r="1419">
      <c r="A1419">
        <v>2124325</v>
      </c>
      <c r="B1419">
        <v>-3000</v>
      </c>
    </row>
    <row r="1420">
      <c r="A1420">
        <v>2124337</v>
      </c>
      <c r="B1420">
        <v>-900</v>
      </c>
    </row>
    <row r="1421">
      <c r="A1421">
        <v>2124342</v>
      </c>
      <c r="B1421">
        <v>-3900</v>
      </c>
    </row>
    <row r="1422">
      <c r="A1422">
        <v>2124368</v>
      </c>
      <c r="B1422">
        <v>-1000</v>
      </c>
    </row>
    <row r="1423">
      <c r="A1423">
        <v>2124379</v>
      </c>
      <c r="B1423">
        <v>-1200</v>
      </c>
    </row>
    <row r="1424">
      <c r="A1424">
        <v>2124382</v>
      </c>
      <c r="B1424">
        <v>-1000</v>
      </c>
    </row>
    <row r="1425">
      <c r="A1425">
        <v>2124392</v>
      </c>
      <c r="B1425">
        <v>-600</v>
      </c>
    </row>
    <row r="1426">
      <c r="A1426">
        <v>2124422</v>
      </c>
      <c r="B1426">
        <v>-2000</v>
      </c>
    </row>
    <row r="1427">
      <c r="A1427">
        <v>2124425</v>
      </c>
      <c r="B1427">
        <v>-6000</v>
      </c>
    </row>
    <row r="1428">
      <c r="A1428">
        <v>2124458</v>
      </c>
      <c r="B1428">
        <v>-5000</v>
      </c>
    </row>
    <row r="1429">
      <c r="A1429">
        <v>2124521</v>
      </c>
      <c r="B1429">
        <v>-2456</v>
      </c>
    </row>
    <row r="1430">
      <c r="A1430">
        <v>2124529</v>
      </c>
      <c r="B1430">
        <v>-500</v>
      </c>
    </row>
    <row r="1431">
      <c r="A1431">
        <v>2124545</v>
      </c>
      <c r="B1431">
        <v>-3000</v>
      </c>
    </row>
    <row r="1432">
      <c r="A1432">
        <v>2124573</v>
      </c>
      <c r="B1432">
        <v>-102712.6</v>
      </c>
    </row>
    <row r="1433">
      <c r="A1433">
        <v>2124588</v>
      </c>
      <c r="B1433">
        <v>-1000</v>
      </c>
    </row>
    <row r="1434">
      <c r="A1434">
        <v>2124723</v>
      </c>
      <c r="B1434">
        <v>-570</v>
      </c>
    </row>
    <row r="1435">
      <c r="A1435">
        <v>2124800</v>
      </c>
      <c r="B1435">
        <v>-3700</v>
      </c>
    </row>
    <row r="1436">
      <c r="A1436">
        <v>2124821</v>
      </c>
      <c r="B1436">
        <v>-4605.55</v>
      </c>
    </row>
    <row r="1437">
      <c r="A1437">
        <v>2124822</v>
      </c>
      <c r="B1437">
        <v>-1102</v>
      </c>
    </row>
    <row r="1438">
      <c r="A1438">
        <v>2124860</v>
      </c>
      <c r="B1438">
        <v>-2157</v>
      </c>
    </row>
    <row r="1439">
      <c r="A1439">
        <v>2124875</v>
      </c>
      <c r="B1439">
        <v>-3000</v>
      </c>
    </row>
    <row r="1440">
      <c r="A1440">
        <v>2124886</v>
      </c>
      <c r="B1440">
        <v>-1000</v>
      </c>
    </row>
    <row r="1441">
      <c r="A1441">
        <v>2124887</v>
      </c>
      <c r="B1441">
        <v>-1275.45</v>
      </c>
    </row>
    <row r="1442">
      <c r="A1442">
        <v>2124919</v>
      </c>
      <c r="B1442">
        <v>-3000</v>
      </c>
    </row>
    <row r="1443">
      <c r="A1443">
        <v>2124920</v>
      </c>
      <c r="B1443">
        <v>-100</v>
      </c>
    </row>
    <row r="1444">
      <c r="A1444">
        <v>2124921</v>
      </c>
      <c r="B1444">
        <v>-1263</v>
      </c>
    </row>
    <row r="1445">
      <c r="A1445">
        <v>2124925</v>
      </c>
      <c r="B1445">
        <v>-100</v>
      </c>
    </row>
    <row r="1446">
      <c r="A1446">
        <v>2124926</v>
      </c>
      <c r="B1446">
        <v>-500</v>
      </c>
    </row>
    <row r="1447">
      <c r="A1447">
        <v>2124930</v>
      </c>
      <c r="B1447">
        <v>-200</v>
      </c>
    </row>
    <row r="1448">
      <c r="A1448">
        <v>2124961</v>
      </c>
      <c r="B1448">
        <v>-250</v>
      </c>
    </row>
    <row r="1449">
      <c r="A1449">
        <v>2124978</v>
      </c>
      <c r="B1449">
        <v>-6000</v>
      </c>
    </row>
    <row r="1450">
      <c r="A1450">
        <v>2125008</v>
      </c>
      <c r="B1450">
        <v>-4015</v>
      </c>
    </row>
    <row r="1451">
      <c r="A1451">
        <v>2125081</v>
      </c>
      <c r="B1451">
        <v>-6000</v>
      </c>
    </row>
    <row r="1452">
      <c r="A1452">
        <v>2125118</v>
      </c>
      <c r="B1452">
        <v>-2000</v>
      </c>
    </row>
    <row r="1453">
      <c r="A1453">
        <v>2125132</v>
      </c>
      <c r="B1453">
        <v>-10</v>
      </c>
    </row>
    <row r="1454">
      <c r="A1454">
        <v>2125161</v>
      </c>
      <c r="B1454">
        <v>-500</v>
      </c>
    </row>
    <row r="1455">
      <c r="A1455">
        <v>2125163</v>
      </c>
      <c r="B1455">
        <v>-500</v>
      </c>
    </row>
    <row r="1456">
      <c r="A1456">
        <v>2125298</v>
      </c>
      <c r="B1456">
        <v>-2000</v>
      </c>
    </row>
    <row r="1457">
      <c r="A1457">
        <v>2125304</v>
      </c>
      <c r="B1457">
        <v>-2000</v>
      </c>
    </row>
    <row r="1458">
      <c r="A1458">
        <v>2125308</v>
      </c>
      <c r="B1458">
        <v>-2220</v>
      </c>
    </row>
    <row r="1459">
      <c r="A1459">
        <v>2125314</v>
      </c>
      <c r="B1459">
        <v>-4000</v>
      </c>
    </row>
    <row r="1460">
      <c r="A1460">
        <v>2125316</v>
      </c>
      <c r="B1460">
        <v>-100</v>
      </c>
    </row>
    <row r="1461">
      <c r="A1461">
        <v>2125335</v>
      </c>
      <c r="B1461">
        <v>-4000</v>
      </c>
    </row>
    <row r="1462">
      <c r="A1462">
        <v>2125343</v>
      </c>
      <c r="B1462">
        <v>-3639.91</v>
      </c>
    </row>
    <row r="1463">
      <c r="A1463">
        <v>2125349</v>
      </c>
      <c r="B1463">
        <v>-1083</v>
      </c>
    </row>
    <row r="1464">
      <c r="A1464">
        <v>2125350</v>
      </c>
      <c r="B1464">
        <v>-2000</v>
      </c>
    </row>
    <row r="1465">
      <c r="A1465">
        <v>2125351</v>
      </c>
      <c r="B1465">
        <v>-93</v>
      </c>
    </row>
    <row r="1466">
      <c r="A1466">
        <v>2125353</v>
      </c>
      <c r="B1466">
        <v>-50</v>
      </c>
    </row>
    <row r="1467">
      <c r="A1467">
        <v>2125420</v>
      </c>
      <c r="B1467">
        <v>-200</v>
      </c>
    </row>
    <row r="1468">
      <c r="A1468">
        <v>2125449</v>
      </c>
      <c r="B1468">
        <v>-1500</v>
      </c>
    </row>
    <row r="1469">
      <c r="A1469">
        <v>2125453</v>
      </c>
      <c r="B1469">
        <v>-1500</v>
      </c>
    </row>
    <row r="1470">
      <c r="A1470">
        <v>2125456</v>
      </c>
      <c r="B1470">
        <v>-300</v>
      </c>
    </row>
    <row r="1471">
      <c r="A1471">
        <v>2125457</v>
      </c>
      <c r="B1471">
        <v>-20</v>
      </c>
    </row>
    <row r="1472">
      <c r="A1472">
        <v>2125458</v>
      </c>
      <c r="B1472">
        <v>-1100</v>
      </c>
    </row>
    <row r="1473">
      <c r="A1473">
        <v>2125470</v>
      </c>
      <c r="B1473">
        <v>-1301.8</v>
      </c>
    </row>
    <row r="1474">
      <c r="A1474">
        <v>2125501</v>
      </c>
      <c r="B1474">
        <v>-3000</v>
      </c>
    </row>
    <row r="1475">
      <c r="A1475">
        <v>2125517</v>
      </c>
      <c r="B1475">
        <v>-500</v>
      </c>
    </row>
    <row r="1476">
      <c r="A1476">
        <v>2125518</v>
      </c>
      <c r="B1476">
        <v>-810</v>
      </c>
    </row>
    <row r="1477">
      <c r="A1477">
        <v>2125522</v>
      </c>
      <c r="B1477">
        <v>-40</v>
      </c>
    </row>
    <row r="1478">
      <c r="A1478">
        <v>2125528</v>
      </c>
      <c r="B1478">
        <v>-1000</v>
      </c>
    </row>
    <row r="1479">
      <c r="A1479">
        <v>2125531</v>
      </c>
      <c r="B1479">
        <v>-400</v>
      </c>
    </row>
    <row r="1480">
      <c r="A1480">
        <v>2125539</v>
      </c>
      <c r="B1480">
        <v>-90</v>
      </c>
    </row>
    <row r="1481">
      <c r="A1481">
        <v>2125550</v>
      </c>
      <c r="B1481">
        <v>-200</v>
      </c>
    </row>
    <row r="1482">
      <c r="A1482">
        <v>2125658</v>
      </c>
      <c r="B1482">
        <v>-1000</v>
      </c>
    </row>
    <row r="1483">
      <c r="A1483">
        <v>2125698</v>
      </c>
      <c r="B1483">
        <v>-2266.18</v>
      </c>
    </row>
    <row r="1484">
      <c r="A1484">
        <v>2125781</v>
      </c>
      <c r="B1484">
        <v>-9401.04</v>
      </c>
    </row>
    <row r="1485">
      <c r="A1485">
        <v>2125845</v>
      </c>
      <c r="B1485">
        <v>-3000</v>
      </c>
    </row>
    <row r="1486">
      <c r="A1486">
        <v>2125911</v>
      </c>
      <c r="B1486">
        <v>-2700</v>
      </c>
    </row>
    <row r="1487">
      <c r="A1487">
        <v>2125929</v>
      </c>
      <c r="B1487">
        <v>-5629.96</v>
      </c>
    </row>
    <row r="1488">
      <c r="A1488">
        <v>2125936</v>
      </c>
      <c r="B1488">
        <v>-1414.33</v>
      </c>
    </row>
    <row r="1489">
      <c r="A1489">
        <v>2125939</v>
      </c>
      <c r="B1489">
        <v>-2300</v>
      </c>
    </row>
    <row r="1490">
      <c r="A1490">
        <v>2125951</v>
      </c>
      <c r="B1490">
        <v>-500</v>
      </c>
    </row>
    <row r="1491">
      <c r="A1491">
        <v>2125953</v>
      </c>
      <c r="B1491">
        <v>-696</v>
      </c>
    </row>
    <row r="1492">
      <c r="A1492">
        <v>2125986</v>
      </c>
      <c r="B1492">
        <v>-3000</v>
      </c>
    </row>
    <row r="1493">
      <c r="A1493">
        <v>2125987</v>
      </c>
      <c r="B1493">
        <v>-2000</v>
      </c>
    </row>
    <row r="1494">
      <c r="A1494">
        <v>2125991</v>
      </c>
      <c r="B1494">
        <v>-7000</v>
      </c>
    </row>
    <row r="1495">
      <c r="A1495">
        <v>2126013</v>
      </c>
      <c r="B1495">
        <v>-1200</v>
      </c>
    </row>
    <row r="1496">
      <c r="A1496">
        <v>2126017</v>
      </c>
      <c r="B1496">
        <v>-1000</v>
      </c>
    </row>
    <row r="1497">
      <c r="A1497">
        <v>2126034</v>
      </c>
      <c r="B1497">
        <v>-1295.4</v>
      </c>
    </row>
    <row r="1498">
      <c r="A1498">
        <v>2126036</v>
      </c>
      <c r="B1498">
        <v>-22.26</v>
      </c>
    </row>
    <row r="1499">
      <c r="A1499">
        <v>2126046</v>
      </c>
      <c r="B1499">
        <v>-221</v>
      </c>
    </row>
    <row r="1500">
      <c r="A1500">
        <v>2126056</v>
      </c>
      <c r="B1500">
        <v>-600</v>
      </c>
    </row>
    <row r="1501">
      <c r="A1501">
        <v>2126066</v>
      </c>
      <c r="B1501">
        <v>-2000</v>
      </c>
    </row>
    <row r="1502">
      <c r="A1502">
        <v>2126113</v>
      </c>
      <c r="B1502">
        <v>-394.5</v>
      </c>
    </row>
    <row r="1503">
      <c r="A1503">
        <v>2126323</v>
      </c>
      <c r="B1503">
        <v>-2391.2</v>
      </c>
    </row>
    <row r="1504">
      <c r="A1504">
        <v>2126488</v>
      </c>
      <c r="B1504">
        <v>-900</v>
      </c>
    </row>
    <row r="1505">
      <c r="A1505">
        <v>2126628</v>
      </c>
      <c r="B1505">
        <v>-2000</v>
      </c>
    </row>
    <row r="1506">
      <c r="A1506">
        <v>2127347</v>
      </c>
      <c r="B1506">
        <v>-88.5</v>
      </c>
    </row>
    <row r="1507">
      <c r="A1507">
        <v>2127487</v>
      </c>
      <c r="B1507">
        <v>-4750</v>
      </c>
    </row>
    <row r="1508">
      <c r="A1508">
        <v>2127690</v>
      </c>
      <c r="B1508">
        <v>-2400</v>
      </c>
    </row>
    <row r="1509">
      <c r="A1509">
        <v>2127716</v>
      </c>
      <c r="B1509">
        <v>-2780</v>
      </c>
    </row>
    <row r="1510">
      <c r="A1510">
        <v>2127723</v>
      </c>
      <c r="B1510">
        <v>-3650</v>
      </c>
    </row>
    <row r="1511">
      <c r="A1511">
        <v>2127725</v>
      </c>
      <c r="B1511">
        <v>-4000</v>
      </c>
    </row>
    <row r="1512">
      <c r="A1512">
        <v>2127735</v>
      </c>
      <c r="B1512">
        <v>-1000</v>
      </c>
    </row>
    <row r="1513">
      <c r="A1513">
        <v>2127756</v>
      </c>
      <c r="B1513">
        <v>-2100</v>
      </c>
    </row>
    <row r="1514">
      <c r="A1514">
        <v>2127775</v>
      </c>
      <c r="B1514">
        <v>-2000</v>
      </c>
    </row>
    <row r="1515">
      <c r="A1515">
        <v>2127777</v>
      </c>
      <c r="B1515">
        <v>-465</v>
      </c>
    </row>
    <row r="1516">
      <c r="A1516">
        <v>2127782</v>
      </c>
      <c r="B1516">
        <v>-800</v>
      </c>
    </row>
    <row r="1517">
      <c r="A1517">
        <v>2127822</v>
      </c>
      <c r="B1517">
        <v>-1500</v>
      </c>
    </row>
    <row r="1518">
      <c r="A1518">
        <v>2127865</v>
      </c>
      <c r="B1518">
        <v>-500</v>
      </c>
    </row>
    <row r="1519">
      <c r="A1519">
        <v>2127874</v>
      </c>
      <c r="B1519">
        <v>-1000</v>
      </c>
    </row>
    <row r="1520">
      <c r="A1520">
        <v>2127921</v>
      </c>
      <c r="B1520">
        <v>-3500</v>
      </c>
    </row>
    <row r="1521">
      <c r="A1521">
        <v>2128287</v>
      </c>
      <c r="B1521">
        <v>-2010</v>
      </c>
    </row>
    <row r="1522">
      <c r="A1522">
        <v>2128361</v>
      </c>
      <c r="B1522">
        <v>-1330</v>
      </c>
    </row>
    <row r="1523">
      <c r="A1523">
        <v>2128519</v>
      </c>
      <c r="B1523">
        <v>-600</v>
      </c>
    </row>
    <row r="1524">
      <c r="A1524">
        <v>2135039</v>
      </c>
      <c r="B1524">
        <v>-2000</v>
      </c>
    </row>
    <row r="1525">
      <c r="A1525">
        <v>2135195</v>
      </c>
      <c r="B1525">
        <v>-1</v>
      </c>
    </row>
    <row r="1526">
      <c r="A1526">
        <v>2135329</v>
      </c>
      <c r="B1526">
        <v>-1000</v>
      </c>
    </row>
    <row r="1527">
      <c r="A1527">
        <v>2154093</v>
      </c>
      <c r="B1527">
        <v>418333.85</v>
      </c>
    </row>
    <row r="1528">
      <c r="A1528">
        <v>2154349</v>
      </c>
      <c r="B1528">
        <v>156446.28</v>
      </c>
    </row>
    <row r="1529">
      <c r="A1529">
        <v>2154559</v>
      </c>
      <c r="B1529">
        <v>-6</v>
      </c>
    </row>
    <row r="1530">
      <c r="A1530">
        <v>2154597</v>
      </c>
      <c r="B1530">
        <v>-3000</v>
      </c>
    </row>
    <row r="1531">
      <c r="A1531">
        <v>2154688</v>
      </c>
      <c r="B1531">
        <v>-0.42</v>
      </c>
    </row>
    <row r="1532">
      <c r="A1532">
        <v>2154704</v>
      </c>
      <c r="B1532">
        <v>-600</v>
      </c>
    </row>
    <row r="1533">
      <c r="A1533">
        <v>2154875</v>
      </c>
      <c r="B1533">
        <v>-1902.69</v>
      </c>
    </row>
    <row r="1534">
      <c r="A1534">
        <v>2154888</v>
      </c>
      <c r="B1534">
        <v>-2000</v>
      </c>
    </row>
    <row r="1535">
      <c r="A1535">
        <v>2154896</v>
      </c>
      <c r="B1535">
        <v>-5000</v>
      </c>
    </row>
    <row r="1536">
      <c r="A1536">
        <v>2154995</v>
      </c>
      <c r="B1536">
        <v>-1500</v>
      </c>
    </row>
    <row r="1537">
      <c r="A1537">
        <v>2155011</v>
      </c>
      <c r="B1537">
        <v>-3000</v>
      </c>
    </row>
    <row r="1538">
      <c r="A1538">
        <v>2155038</v>
      </c>
      <c r="B1538">
        <v>-1000</v>
      </c>
    </row>
    <row r="1539">
      <c r="A1539">
        <v>2155173</v>
      </c>
      <c r="B1539">
        <v>-880</v>
      </c>
    </row>
    <row r="1540">
      <c r="A1540">
        <v>2155183</v>
      </c>
      <c r="B1540">
        <v>-1096</v>
      </c>
    </row>
    <row r="1541">
      <c r="A1541">
        <v>2155187</v>
      </c>
      <c r="B1541">
        <v>-1000</v>
      </c>
    </row>
    <row r="1542">
      <c r="A1542">
        <v>2155328</v>
      </c>
      <c r="B1542">
        <v>-2</v>
      </c>
    </row>
    <row r="1543">
      <c r="A1543">
        <v>2155382</v>
      </c>
      <c r="B1543">
        <v>-945</v>
      </c>
    </row>
    <row r="1544">
      <c r="A1544">
        <v>2155565</v>
      </c>
      <c r="B1544">
        <v>-5000</v>
      </c>
    </row>
    <row r="1545">
      <c r="A1545">
        <v>2155746</v>
      </c>
      <c r="B1545">
        <v>-6584</v>
      </c>
    </row>
    <row r="1546">
      <c r="A1546">
        <v>2155809</v>
      </c>
      <c r="B1546">
        <v>1737130.94</v>
      </c>
    </row>
    <row r="1547">
      <c r="A1547">
        <v>2155973</v>
      </c>
      <c r="B1547">
        <v>-42100</v>
      </c>
    </row>
    <row r="1548">
      <c r="A1548">
        <v>2156019</v>
      </c>
      <c r="B1548">
        <v>-1</v>
      </c>
    </row>
    <row r="1549">
      <c r="A1549">
        <v>2156134</v>
      </c>
      <c r="B1549">
        <v>-2000</v>
      </c>
    </row>
    <row r="1550">
      <c r="A1550">
        <v>2156287</v>
      </c>
      <c r="B1550">
        <v>-224</v>
      </c>
    </row>
    <row r="1551">
      <c r="A1551">
        <v>2156361</v>
      </c>
      <c r="B1551">
        <v>1312167.01</v>
      </c>
    </row>
    <row r="1552">
      <c r="A1552">
        <v>2156363</v>
      </c>
      <c r="B1552">
        <v>-500</v>
      </c>
    </row>
    <row r="1553">
      <c r="A1553">
        <v>2156475</v>
      </c>
      <c r="B1553">
        <v>-9000</v>
      </c>
    </row>
    <row r="1554">
      <c r="A1554">
        <v>2156578</v>
      </c>
      <c r="B1554">
        <v>-2000</v>
      </c>
    </row>
    <row r="1555">
      <c r="A1555">
        <v>2156609</v>
      </c>
      <c r="B1555">
        <v>-2</v>
      </c>
    </row>
    <row r="1556">
      <c r="A1556">
        <v>2156657</v>
      </c>
      <c r="B1556">
        <v>-500</v>
      </c>
    </row>
    <row r="1557">
      <c r="A1557">
        <v>2156678</v>
      </c>
      <c r="B1557">
        <v>-1500</v>
      </c>
    </row>
    <row r="1558">
      <c r="A1558">
        <v>2156781</v>
      </c>
      <c r="B1558">
        <v>-35</v>
      </c>
    </row>
    <row r="1559">
      <c r="A1559">
        <v>2156870</v>
      </c>
      <c r="B1559">
        <v>-5200</v>
      </c>
    </row>
    <row r="1560">
      <c r="A1560">
        <v>2156909</v>
      </c>
      <c r="B1560">
        <v>-0.99</v>
      </c>
    </row>
    <row r="1561">
      <c r="A1561">
        <v>2156910</v>
      </c>
      <c r="B1561">
        <v>-2500</v>
      </c>
    </row>
    <row r="1562">
      <c r="A1562">
        <v>2156950</v>
      </c>
      <c r="B1562">
        <v>-30</v>
      </c>
    </row>
    <row r="1563">
      <c r="A1563">
        <v>2157016</v>
      </c>
      <c r="B1563">
        <v>-4500</v>
      </c>
    </row>
    <row r="1564">
      <c r="A1564">
        <v>2157025</v>
      </c>
      <c r="B1564">
        <v>-5000</v>
      </c>
    </row>
    <row r="1565">
      <c r="A1565">
        <v>2157265</v>
      </c>
      <c r="B1565">
        <v>-16901.71</v>
      </c>
    </row>
    <row r="1566">
      <c r="A1566">
        <v>2157266</v>
      </c>
      <c r="B1566">
        <v>-3343</v>
      </c>
    </row>
    <row r="1567">
      <c r="A1567">
        <v>2157456</v>
      </c>
      <c r="B1567">
        <v>-9</v>
      </c>
    </row>
    <row r="1568">
      <c r="A1568">
        <v>2157547</v>
      </c>
      <c r="B1568">
        <v>-8467.87</v>
      </c>
    </row>
    <row r="1569">
      <c r="A1569">
        <v>2158267</v>
      </c>
      <c r="B1569">
        <v>-3000</v>
      </c>
    </row>
    <row r="1570">
      <c r="A1570">
        <v>2158478</v>
      </c>
      <c r="B1570">
        <v>-162</v>
      </c>
    </row>
    <row r="1571">
      <c r="A1571">
        <v>2158607</v>
      </c>
      <c r="B1571">
        <v>-70211.15</v>
      </c>
    </row>
    <row r="1572">
      <c r="A1572">
        <v>2159500</v>
      </c>
      <c r="B1572">
        <v>-38600.7</v>
      </c>
    </row>
    <row r="1573">
      <c r="A1573">
        <v>2159577</v>
      </c>
      <c r="B1573">
        <v>-410</v>
      </c>
    </row>
    <row r="1574">
      <c r="A1574">
        <v>2159688</v>
      </c>
      <c r="B1574">
        <v>-190</v>
      </c>
    </row>
    <row r="1575">
      <c r="A1575">
        <v>2159740</v>
      </c>
      <c r="B1575">
        <v>-14</v>
      </c>
    </row>
    <row r="1576">
      <c r="A1576">
        <v>2160103</v>
      </c>
      <c r="B1576">
        <v>-2000</v>
      </c>
    </row>
    <row r="1577">
      <c r="A1577">
        <v>2160221</v>
      </c>
      <c r="B1577">
        <v>-1200</v>
      </c>
    </row>
    <row r="1578">
      <c r="A1578">
        <v>2160269</v>
      </c>
      <c r="B1578">
        <v>-5015.42</v>
      </c>
    </row>
    <row r="1579">
      <c r="A1579">
        <v>2160450</v>
      </c>
      <c r="B1579">
        <v>-1001</v>
      </c>
    </row>
    <row r="1580">
      <c r="A1580">
        <v>2160704</v>
      </c>
      <c r="B1580">
        <v>-2000</v>
      </c>
    </row>
    <row r="1581">
      <c r="A1581">
        <v>2160730</v>
      </c>
      <c r="B1581">
        <v>-200</v>
      </c>
    </row>
    <row r="1582">
      <c r="A1582">
        <v>2161206</v>
      </c>
      <c r="B1582">
        <v>175001.51</v>
      </c>
    </row>
    <row r="1583">
      <c r="A1583">
        <v>2161273</v>
      </c>
      <c r="B1583">
        <v>-312274.58</v>
      </c>
    </row>
    <row r="1584">
      <c r="A1584">
        <v>2161339</v>
      </c>
      <c r="B1584">
        <v>-6414.19</v>
      </c>
    </row>
    <row r="1585">
      <c r="A1585">
        <v>2161439</v>
      </c>
      <c r="B1585">
        <v>-0.5</v>
      </c>
    </row>
    <row r="1586">
      <c r="A1586">
        <v>2161456</v>
      </c>
      <c r="B1586">
        <v>-3250</v>
      </c>
    </row>
    <row r="1587">
      <c r="A1587">
        <v>2161472</v>
      </c>
      <c r="B1587">
        <v>-450</v>
      </c>
    </row>
    <row r="1588">
      <c r="A1588">
        <v>2164614</v>
      </c>
      <c r="B1588">
        <v>-500</v>
      </c>
    </row>
    <row r="1589">
      <c r="A1589">
        <v>2164689</v>
      </c>
      <c r="B1589">
        <v>-2500</v>
      </c>
    </row>
    <row r="1590">
      <c r="A1590">
        <v>2164729</v>
      </c>
      <c r="B1590">
        <v>-2750</v>
      </c>
    </row>
    <row r="1591">
      <c r="A1591">
        <v>2164751</v>
      </c>
      <c r="B1591">
        <v>1181104.36</v>
      </c>
    </row>
    <row r="1592">
      <c r="A1592">
        <v>2166127</v>
      </c>
      <c r="B1592">
        <v>-20</v>
      </c>
    </row>
    <row r="1593">
      <c r="A1593">
        <v>2166267</v>
      </c>
      <c r="B1593">
        <v>-9000</v>
      </c>
    </row>
    <row r="1594">
      <c r="A1594">
        <v>2166292</v>
      </c>
      <c r="B1594">
        <v>-10100</v>
      </c>
    </row>
    <row r="1595">
      <c r="A1595">
        <v>2166311</v>
      </c>
      <c r="B1595">
        <v>-2000</v>
      </c>
    </row>
    <row r="1596">
      <c r="A1596">
        <v>2166390</v>
      </c>
      <c r="B1596">
        <v>-810.81</v>
      </c>
    </row>
    <row r="1597">
      <c r="A1597">
        <v>2166526</v>
      </c>
      <c r="B1597">
        <v>-400</v>
      </c>
    </row>
    <row r="1598">
      <c r="A1598">
        <v>2166574</v>
      </c>
      <c r="B1598">
        <v>-1500</v>
      </c>
    </row>
    <row r="1599">
      <c r="A1599">
        <v>2166616</v>
      </c>
      <c r="B1599">
        <v>-5500</v>
      </c>
    </row>
    <row r="1600">
      <c r="A1600">
        <v>2167164</v>
      </c>
      <c r="B1600">
        <v>-500</v>
      </c>
    </row>
    <row r="1601">
      <c r="A1601">
        <v>2167750</v>
      </c>
      <c r="B1601">
        <v>-1500</v>
      </c>
    </row>
    <row r="1602">
      <c r="A1602">
        <v>2168263</v>
      </c>
      <c r="B1602">
        <v>-4458.05</v>
      </c>
    </row>
    <row r="1603">
      <c r="A1603">
        <v>2168290</v>
      </c>
      <c r="B1603">
        <v>-1000</v>
      </c>
    </row>
    <row r="1604">
      <c r="A1604">
        <v>2168371</v>
      </c>
      <c r="B1604">
        <v>-6100</v>
      </c>
    </row>
    <row r="1605">
      <c r="A1605">
        <v>2168438</v>
      </c>
      <c r="B1605">
        <v>-3200</v>
      </c>
    </row>
    <row r="1606">
      <c r="A1606">
        <v>2168441</v>
      </c>
      <c r="B1606">
        <v>-4300</v>
      </c>
    </row>
    <row r="1607">
      <c r="A1607">
        <v>2168472</v>
      </c>
      <c r="B1607">
        <v>-100</v>
      </c>
    </row>
    <row r="1608">
      <c r="A1608">
        <v>2168679</v>
      </c>
      <c r="B1608">
        <v>-5000</v>
      </c>
    </row>
    <row r="1609">
      <c r="A1609">
        <v>2168713</v>
      </c>
      <c r="B1609">
        <v>-1255.21</v>
      </c>
    </row>
    <row r="1610">
      <c r="A1610">
        <v>2169008</v>
      </c>
      <c r="B1610">
        <v>-16</v>
      </c>
    </row>
    <row r="1611">
      <c r="A1611">
        <v>2169170</v>
      </c>
      <c r="B1611">
        <v>-2000</v>
      </c>
    </row>
    <row r="1612">
      <c r="A1612">
        <v>2169266</v>
      </c>
      <c r="B1612">
        <v>-3810.7</v>
      </c>
    </row>
    <row r="1613">
      <c r="A1613">
        <v>2169297</v>
      </c>
      <c r="B1613">
        <v>-7500</v>
      </c>
    </row>
    <row r="1614">
      <c r="A1614">
        <v>2169630</v>
      </c>
      <c r="B1614">
        <v>-18166.84</v>
      </c>
    </row>
    <row r="1615">
      <c r="A1615">
        <v>2169972</v>
      </c>
      <c r="B1615">
        <v>-2000</v>
      </c>
    </row>
    <row r="1616">
      <c r="A1616">
        <v>2169987</v>
      </c>
      <c r="B1616">
        <v>-1500</v>
      </c>
    </row>
    <row r="1617">
      <c r="A1617">
        <v>2170063</v>
      </c>
      <c r="B1617">
        <v>-1000</v>
      </c>
    </row>
    <row r="1618">
      <c r="A1618">
        <v>2170118</v>
      </c>
      <c r="B1618">
        <v>-100</v>
      </c>
    </row>
    <row r="1619">
      <c r="A1619">
        <v>2170217</v>
      </c>
      <c r="B1619">
        <v>-110.22</v>
      </c>
    </row>
    <row r="1620">
      <c r="A1620">
        <v>2170858</v>
      </c>
      <c r="B1620">
        <v>-2000</v>
      </c>
    </row>
    <row r="1621">
      <c r="A1621">
        <v>2171049</v>
      </c>
      <c r="B1621">
        <v>-1000</v>
      </c>
    </row>
    <row r="1622">
      <c r="A1622">
        <v>2171173</v>
      </c>
      <c r="B1622">
        <v>-3000</v>
      </c>
    </row>
    <row r="1623">
      <c r="A1623">
        <v>2171288</v>
      </c>
      <c r="B1623">
        <v>-1500</v>
      </c>
    </row>
    <row r="1624">
      <c r="A1624">
        <v>2171847</v>
      </c>
      <c r="B1624">
        <v>-4510</v>
      </c>
    </row>
    <row r="1625">
      <c r="A1625">
        <v>2171921</v>
      </c>
      <c r="B1625">
        <v>-208.7</v>
      </c>
    </row>
    <row r="1626">
      <c r="A1626">
        <v>2171956</v>
      </c>
      <c r="B1626">
        <v>-50</v>
      </c>
    </row>
    <row r="1627">
      <c r="A1627">
        <v>2172283</v>
      </c>
      <c r="B1627">
        <v>-20762.94</v>
      </c>
    </row>
    <row r="1628">
      <c r="A1628">
        <v>2172363</v>
      </c>
      <c r="B1628">
        <v>741805.93</v>
      </c>
    </row>
    <row r="1629">
      <c r="A1629">
        <v>2172465</v>
      </c>
      <c r="B1629">
        <v>464489.56</v>
      </c>
    </row>
    <row r="1630">
      <c r="A1630">
        <v>2172894</v>
      </c>
      <c r="B1630">
        <v>587175.18</v>
      </c>
    </row>
    <row r="1631">
      <c r="A1631">
        <v>2172947</v>
      </c>
      <c r="B1631">
        <v>-500</v>
      </c>
    </row>
    <row r="1632">
      <c r="A1632">
        <v>2172949</v>
      </c>
      <c r="B1632">
        <v>-200</v>
      </c>
    </row>
    <row r="1633">
      <c r="A1633">
        <v>2172954</v>
      </c>
      <c r="B1633">
        <v>-2000</v>
      </c>
    </row>
    <row r="1634">
      <c r="A1634">
        <v>2172958</v>
      </c>
      <c r="B1634">
        <v>-2000</v>
      </c>
    </row>
    <row r="1635">
      <c r="A1635">
        <v>2172959</v>
      </c>
      <c r="B1635">
        <v>-1500</v>
      </c>
    </row>
    <row r="1636">
      <c r="A1636">
        <v>2172961</v>
      </c>
      <c r="B1636">
        <v>-300</v>
      </c>
    </row>
    <row r="1637">
      <c r="A1637">
        <v>2172963</v>
      </c>
      <c r="B1637">
        <v>-1201.8</v>
      </c>
    </row>
    <row r="1638">
      <c r="A1638">
        <v>2172964</v>
      </c>
      <c r="B1638">
        <v>-1000</v>
      </c>
    </row>
    <row r="1639">
      <c r="A1639">
        <v>2172966</v>
      </c>
      <c r="B1639">
        <v>-5500</v>
      </c>
    </row>
    <row r="1640">
      <c r="A1640">
        <v>2172968</v>
      </c>
      <c r="B1640">
        <v>-227.14</v>
      </c>
    </row>
    <row r="1641">
      <c r="A1641">
        <v>2172970</v>
      </c>
      <c r="B1641">
        <v>-2000</v>
      </c>
    </row>
    <row r="1642">
      <c r="A1642">
        <v>2172972</v>
      </c>
      <c r="B1642">
        <v>-1000</v>
      </c>
    </row>
    <row r="1643">
      <c r="A1643">
        <v>2172973</v>
      </c>
      <c r="B1643">
        <v>-3000</v>
      </c>
    </row>
    <row r="1644">
      <c r="A1644">
        <v>2172975</v>
      </c>
      <c r="B1644">
        <v>-500</v>
      </c>
    </row>
    <row r="1645">
      <c r="A1645">
        <v>2172980</v>
      </c>
      <c r="B1645">
        <v>-2000</v>
      </c>
    </row>
    <row r="1646">
      <c r="A1646">
        <v>2172982</v>
      </c>
      <c r="B1646">
        <v>-3413.06</v>
      </c>
    </row>
    <row r="1647">
      <c r="A1647">
        <v>2172983</v>
      </c>
      <c r="B1647">
        <v>-2000</v>
      </c>
    </row>
    <row r="1648">
      <c r="A1648">
        <v>2172985</v>
      </c>
      <c r="B1648">
        <v>-2474.3</v>
      </c>
    </row>
    <row r="1649">
      <c r="A1649">
        <v>2172986</v>
      </c>
      <c r="B1649">
        <v>-4000</v>
      </c>
    </row>
    <row r="1650">
      <c r="A1650">
        <v>2172987</v>
      </c>
      <c r="B1650">
        <v>-1200</v>
      </c>
    </row>
    <row r="1651">
      <c r="A1651">
        <v>2172988</v>
      </c>
      <c r="B1651">
        <v>-3000</v>
      </c>
    </row>
    <row r="1652">
      <c r="A1652">
        <v>2172989</v>
      </c>
      <c r="B1652">
        <v>-3000</v>
      </c>
    </row>
    <row r="1653">
      <c r="A1653">
        <v>2172990</v>
      </c>
      <c r="B1653">
        <v>-1554.21</v>
      </c>
    </row>
    <row r="1654">
      <c r="A1654">
        <v>2172991</v>
      </c>
      <c r="B1654">
        <v>-147.43</v>
      </c>
    </row>
    <row r="1655">
      <c r="A1655">
        <v>2172994</v>
      </c>
      <c r="B1655">
        <v>-2907.76</v>
      </c>
    </row>
    <row r="1656">
      <c r="A1656">
        <v>2172995</v>
      </c>
      <c r="B1656">
        <v>-1450</v>
      </c>
    </row>
    <row r="1657">
      <c r="A1657">
        <v>2172996</v>
      </c>
      <c r="B1657">
        <v>-9486</v>
      </c>
    </row>
    <row r="1658">
      <c r="A1658">
        <v>2172998</v>
      </c>
      <c r="B1658">
        <v>-3478.02</v>
      </c>
    </row>
    <row r="1659">
      <c r="A1659">
        <v>2172999</v>
      </c>
      <c r="B1659">
        <v>-247</v>
      </c>
    </row>
    <row r="1660">
      <c r="A1660">
        <v>2173000</v>
      </c>
      <c r="B1660">
        <v>-3656</v>
      </c>
    </row>
    <row r="1661">
      <c r="A1661">
        <v>2173001</v>
      </c>
      <c r="B1661">
        <v>-498</v>
      </c>
    </row>
    <row r="1662">
      <c r="A1662">
        <v>2173003</v>
      </c>
      <c r="B1662">
        <v>-112.57</v>
      </c>
    </row>
    <row r="1663">
      <c r="A1663">
        <v>2173004</v>
      </c>
      <c r="B1663">
        <v>-10000</v>
      </c>
    </row>
    <row r="1664">
      <c r="A1664">
        <v>2173005</v>
      </c>
      <c r="B1664">
        <v>-2400</v>
      </c>
    </row>
    <row r="1665">
      <c r="A1665">
        <v>2173006</v>
      </c>
      <c r="B1665">
        <v>-4000</v>
      </c>
    </row>
    <row r="1666">
      <c r="A1666">
        <v>2173007</v>
      </c>
      <c r="B1666">
        <v>-133.49</v>
      </c>
    </row>
    <row r="1667">
      <c r="A1667">
        <v>2173009</v>
      </c>
      <c r="B1667">
        <v>-200</v>
      </c>
    </row>
    <row r="1668">
      <c r="A1668">
        <v>2173011</v>
      </c>
      <c r="B1668">
        <v>-1000</v>
      </c>
    </row>
    <row r="1669">
      <c r="A1669">
        <v>2173012</v>
      </c>
      <c r="B1669">
        <v>-3500</v>
      </c>
    </row>
    <row r="1670">
      <c r="A1670">
        <v>2173013</v>
      </c>
      <c r="B1670">
        <v>-2000</v>
      </c>
    </row>
    <row r="1671">
      <c r="A1671">
        <v>2173014</v>
      </c>
      <c r="B1671">
        <v>-2000</v>
      </c>
    </row>
    <row r="1672">
      <c r="A1672">
        <v>2173015</v>
      </c>
      <c r="B1672">
        <v>-2000</v>
      </c>
    </row>
    <row r="1673">
      <c r="A1673">
        <v>2173016</v>
      </c>
      <c r="B1673">
        <v>-4516</v>
      </c>
    </row>
    <row r="1674">
      <c r="A1674">
        <v>2173017</v>
      </c>
      <c r="B1674">
        <v>-2000</v>
      </c>
    </row>
    <row r="1675">
      <c r="A1675">
        <v>2173018</v>
      </c>
      <c r="B1675">
        <v>-2000</v>
      </c>
    </row>
    <row r="1676">
      <c r="A1676">
        <v>2173019</v>
      </c>
      <c r="B1676">
        <v>-2000</v>
      </c>
    </row>
    <row r="1677">
      <c r="A1677">
        <v>2173020</v>
      </c>
      <c r="B1677">
        <v>-325.03</v>
      </c>
    </row>
    <row r="1678">
      <c r="A1678">
        <v>2173021</v>
      </c>
      <c r="B1678">
        <v>-2010</v>
      </c>
    </row>
    <row r="1679">
      <c r="A1679">
        <v>2173022</v>
      </c>
      <c r="B1679">
        <v>-3250</v>
      </c>
    </row>
    <row r="1680">
      <c r="A1680">
        <v>2173023</v>
      </c>
      <c r="B1680">
        <v>-3100</v>
      </c>
    </row>
    <row r="1681">
      <c r="A1681">
        <v>2173024</v>
      </c>
      <c r="B1681">
        <v>-1030</v>
      </c>
    </row>
    <row r="1682">
      <c r="A1682">
        <v>2173025</v>
      </c>
      <c r="B1682">
        <v>-500</v>
      </c>
    </row>
    <row r="1683">
      <c r="A1683">
        <v>2173027</v>
      </c>
      <c r="B1683">
        <v>-900</v>
      </c>
    </row>
    <row r="1684">
      <c r="A1684">
        <v>2173028</v>
      </c>
      <c r="B1684">
        <v>-3000</v>
      </c>
    </row>
    <row r="1685">
      <c r="A1685">
        <v>2173029</v>
      </c>
      <c r="B1685">
        <v>-6000</v>
      </c>
    </row>
    <row r="1686">
      <c r="A1686">
        <v>2173030</v>
      </c>
      <c r="B1686">
        <v>-2000</v>
      </c>
    </row>
    <row r="1687">
      <c r="A1687">
        <v>2173031</v>
      </c>
      <c r="B1687">
        <v>-18274.48</v>
      </c>
    </row>
    <row r="1688">
      <c r="A1688">
        <v>2173032</v>
      </c>
      <c r="B1688">
        <v>-9993.14</v>
      </c>
    </row>
    <row r="1689">
      <c r="A1689">
        <v>2173033</v>
      </c>
      <c r="B1689">
        <v>-1500</v>
      </c>
    </row>
    <row r="1690">
      <c r="A1690">
        <v>2173034</v>
      </c>
      <c r="B1690">
        <v>-8440</v>
      </c>
    </row>
    <row r="1691">
      <c r="A1691">
        <v>2173035</v>
      </c>
      <c r="B1691">
        <v>-12163</v>
      </c>
    </row>
    <row r="1692">
      <c r="A1692">
        <v>2173036</v>
      </c>
      <c r="B1692">
        <v>-8000</v>
      </c>
    </row>
    <row r="1693">
      <c r="A1693">
        <v>2173038</v>
      </c>
      <c r="B1693">
        <v>-25997.99</v>
      </c>
    </row>
    <row r="1694">
      <c r="A1694">
        <v>2173039</v>
      </c>
      <c r="B1694">
        <v>-1892.54</v>
      </c>
    </row>
    <row r="1695">
      <c r="A1695">
        <v>2173040</v>
      </c>
      <c r="B1695">
        <v>-2000</v>
      </c>
    </row>
    <row r="1696">
      <c r="A1696">
        <v>2173041</v>
      </c>
      <c r="B1696">
        <v>-3100</v>
      </c>
    </row>
    <row r="1697">
      <c r="A1697">
        <v>2173042</v>
      </c>
      <c r="B1697">
        <v>-3500</v>
      </c>
    </row>
    <row r="1698">
      <c r="A1698">
        <v>2173043</v>
      </c>
      <c r="B1698">
        <v>-3000</v>
      </c>
    </row>
    <row r="1699">
      <c r="A1699">
        <v>2173044</v>
      </c>
      <c r="B1699">
        <v>-2000</v>
      </c>
    </row>
    <row r="1700">
      <c r="A1700">
        <v>2173045</v>
      </c>
      <c r="B1700">
        <v>-10079.09</v>
      </c>
    </row>
    <row r="1701">
      <c r="A1701">
        <v>2173046</v>
      </c>
      <c r="B1701">
        <v>-2000</v>
      </c>
    </row>
    <row r="1702">
      <c r="A1702">
        <v>2173047</v>
      </c>
      <c r="B1702">
        <v>-6000</v>
      </c>
    </row>
    <row r="1703">
      <c r="A1703">
        <v>2173048</v>
      </c>
      <c r="B1703">
        <v>-9800.31</v>
      </c>
    </row>
    <row r="1704">
      <c r="A1704">
        <v>2173049</v>
      </c>
      <c r="B1704">
        <v>-290.54</v>
      </c>
    </row>
    <row r="1705">
      <c r="A1705">
        <v>2173050</v>
      </c>
      <c r="B1705">
        <v>-3500</v>
      </c>
    </row>
    <row r="1706">
      <c r="A1706">
        <v>2173051</v>
      </c>
      <c r="B1706">
        <v>-3000</v>
      </c>
    </row>
    <row r="1707">
      <c r="A1707">
        <v>2173052</v>
      </c>
      <c r="B1707">
        <v>-2000</v>
      </c>
    </row>
    <row r="1708">
      <c r="A1708">
        <v>2173055</v>
      </c>
      <c r="B1708">
        <v>-900</v>
      </c>
    </row>
    <row r="1709">
      <c r="A1709">
        <v>2173057</v>
      </c>
      <c r="B1709">
        <v>-3000</v>
      </c>
    </row>
    <row r="1710">
      <c r="A1710">
        <v>2173058</v>
      </c>
      <c r="B1710">
        <v>-500</v>
      </c>
    </row>
    <row r="1711">
      <c r="A1711">
        <v>2173060</v>
      </c>
      <c r="B1711">
        <v>-249.38</v>
      </c>
    </row>
    <row r="1712">
      <c r="A1712">
        <v>2173061</v>
      </c>
      <c r="B1712">
        <v>-100</v>
      </c>
    </row>
    <row r="1713">
      <c r="A1713">
        <v>2173062</v>
      </c>
      <c r="B1713">
        <v>-2080.21</v>
      </c>
    </row>
    <row r="1714">
      <c r="A1714">
        <v>2173063</v>
      </c>
      <c r="B1714">
        <v>-5000</v>
      </c>
    </row>
    <row r="1715">
      <c r="A1715">
        <v>2173064</v>
      </c>
      <c r="B1715">
        <v>-1000</v>
      </c>
    </row>
    <row r="1716">
      <c r="A1716">
        <v>2173065</v>
      </c>
      <c r="B1716">
        <v>-2070</v>
      </c>
    </row>
    <row r="1717">
      <c r="A1717">
        <v>2173066</v>
      </c>
      <c r="B1717">
        <v>-6000.63</v>
      </c>
    </row>
    <row r="1718">
      <c r="A1718">
        <v>2173107</v>
      </c>
      <c r="B1718">
        <v>-9</v>
      </c>
    </row>
    <row r="1719">
      <c r="A1719">
        <v>2173242</v>
      </c>
      <c r="B1719">
        <v>-1092</v>
      </c>
    </row>
    <row r="1720">
      <c r="A1720">
        <v>2173880</v>
      </c>
      <c r="B1720">
        <v>-2101</v>
      </c>
    </row>
    <row r="1721">
      <c r="A1721">
        <v>2173919</v>
      </c>
      <c r="B1721">
        <v>-2244</v>
      </c>
    </row>
    <row r="1722">
      <c r="A1722">
        <v>2173975</v>
      </c>
      <c r="B1722">
        <v>-42967.5</v>
      </c>
    </row>
    <row r="1723">
      <c r="A1723">
        <v>2174162</v>
      </c>
      <c r="B1723">
        <v>-1431</v>
      </c>
    </row>
    <row r="1724">
      <c r="A1724">
        <v>2174306</v>
      </c>
      <c r="B1724">
        <v>-200</v>
      </c>
    </row>
    <row r="1725">
      <c r="A1725">
        <v>2174643</v>
      </c>
      <c r="B1725">
        <v>-70</v>
      </c>
    </row>
    <row r="1726">
      <c r="A1726">
        <v>2174857</v>
      </c>
      <c r="B1726">
        <v>-1000</v>
      </c>
    </row>
    <row r="1727">
      <c r="A1727">
        <v>2174880</v>
      </c>
      <c r="B1727">
        <v>-500</v>
      </c>
    </row>
    <row r="1728">
      <c r="A1728">
        <v>2175185</v>
      </c>
      <c r="B1728">
        <v>-500</v>
      </c>
    </row>
    <row r="1729">
      <c r="A1729">
        <v>2175254</v>
      </c>
      <c r="B1729">
        <v>-3573.73</v>
      </c>
    </row>
    <row r="1730">
      <c r="A1730">
        <v>2175255</v>
      </c>
      <c r="B1730">
        <v>-1600</v>
      </c>
    </row>
    <row r="1731">
      <c r="A1731">
        <v>2175489</v>
      </c>
      <c r="B1731">
        <v>-1100</v>
      </c>
    </row>
    <row r="1732">
      <c r="A1732">
        <v>2175507</v>
      </c>
      <c r="B1732">
        <v>-50</v>
      </c>
    </row>
    <row r="1733">
      <c r="A1733">
        <v>2175508</v>
      </c>
      <c r="B1733">
        <v>-727.92</v>
      </c>
    </row>
    <row r="1734">
      <c r="A1734">
        <v>2175513</v>
      </c>
      <c r="B1734">
        <v>-88562.21</v>
      </c>
    </row>
    <row r="1735">
      <c r="A1735">
        <v>2175659</v>
      </c>
      <c r="B1735">
        <v>480074.6</v>
      </c>
    </row>
    <row r="1736">
      <c r="A1736">
        <v>2176125</v>
      </c>
      <c r="B1736">
        <v>-530</v>
      </c>
    </row>
    <row r="1737">
      <c r="A1737">
        <v>2176377</v>
      </c>
      <c r="B1737">
        <v>-0.72</v>
      </c>
    </row>
    <row r="1738">
      <c r="A1738">
        <v>2176620</v>
      </c>
      <c r="B1738">
        <v>-2042.06</v>
      </c>
    </row>
    <row r="1739">
      <c r="A1739">
        <v>2176637</v>
      </c>
      <c r="B1739">
        <v>-720.76</v>
      </c>
    </row>
    <row r="1740">
      <c r="A1740">
        <v>2176674</v>
      </c>
      <c r="B1740">
        <v>-1271</v>
      </c>
    </row>
    <row r="1741">
      <c r="A1741">
        <v>2176776</v>
      </c>
      <c r="B1741">
        <v>-650</v>
      </c>
    </row>
    <row r="1742">
      <c r="A1742">
        <v>2177057</v>
      </c>
      <c r="B1742">
        <v>-0.29</v>
      </c>
    </row>
    <row r="1743">
      <c r="A1743">
        <v>2177175</v>
      </c>
      <c r="B1743">
        <v>-1400</v>
      </c>
    </row>
    <row r="1744">
      <c r="A1744">
        <v>9999995</v>
      </c>
      <c r="B1744">
        <v>-367588.4</v>
      </c>
    </row>
    <row r="1745">
      <c r="A1745">
        <v>9999998</v>
      </c>
      <c r="B1745">
        <v>-101890.59</v>
      </c>
    </row>
    <row r="1746">
      <c r="A1746">
        <v>9999999</v>
      </c>
      <c r="B1746">
        <v>-193796089.2</v>
      </c>
    </row>
    <row r="1747">
      <c r="A1747">
        <v>20029184</v>
      </c>
      <c r="B1747">
        <v>-40.51</v>
      </c>
    </row>
    <row r="1748">
      <c r="A1748">
        <v>20044033</v>
      </c>
      <c r="B1748">
        <v>-1000</v>
      </c>
    </row>
    <row r="1749">
      <c r="A1749">
        <v>20051556</v>
      </c>
      <c r="B1749">
        <v>-30000</v>
      </c>
    </row>
    <row r="1750">
      <c r="A1750">
        <v>20051581</v>
      </c>
      <c r="B1750">
        <v>-7000</v>
      </c>
    </row>
    <row r="1751">
      <c r="A1751">
        <v>20051711</v>
      </c>
      <c r="B1751">
        <v>-6346</v>
      </c>
    </row>
    <row r="1752">
      <c r="A1752">
        <v>20051765</v>
      </c>
      <c r="B1752">
        <v>-850</v>
      </c>
    </row>
    <row r="1753">
      <c r="A1753">
        <v>20051906</v>
      </c>
      <c r="B1753">
        <v>-1574.4</v>
      </c>
    </row>
    <row r="1754">
      <c r="A1754">
        <v>20051941</v>
      </c>
      <c r="B1754">
        <v>-1500</v>
      </c>
    </row>
    <row r="1755">
      <c r="A1755">
        <v>20052071</v>
      </c>
      <c r="B1755">
        <v>-976</v>
      </c>
    </row>
    <row r="1756">
      <c r="A1756">
        <v>20052199</v>
      </c>
      <c r="B1756">
        <v>-1000</v>
      </c>
    </row>
    <row r="1757">
      <c r="A1757">
        <v>20053929</v>
      </c>
      <c r="B1757">
        <v>-40</v>
      </c>
    </row>
    <row r="1758">
      <c r="A1758">
        <v>20053996</v>
      </c>
      <c r="B1758">
        <v>-2000</v>
      </c>
    </row>
    <row r="1759">
      <c r="A1759">
        <v>20054388</v>
      </c>
      <c r="B1759">
        <v>-30</v>
      </c>
    </row>
    <row r="1760">
      <c r="A1760">
        <v>20060508</v>
      </c>
      <c r="B1760">
        <v>-16710</v>
      </c>
    </row>
    <row r="1761">
      <c r="A1761">
        <v>20061461</v>
      </c>
      <c r="B1761">
        <v>33430</v>
      </c>
    </row>
    <row r="1762">
      <c r="A1762">
        <v>20061750</v>
      </c>
      <c r="B1762">
        <v>-423180.7</v>
      </c>
    </row>
    <row r="1763">
      <c r="A1763">
        <v>20065580</v>
      </c>
      <c r="B1763">
        <v>-5399</v>
      </c>
    </row>
    <row r="1764">
      <c r="A1764">
        <v>20065854</v>
      </c>
      <c r="B1764">
        <v>-3000</v>
      </c>
    </row>
    <row r="1765">
      <c r="A1765">
        <v>20066403</v>
      </c>
      <c r="B1765">
        <v>-246.54</v>
      </c>
    </row>
    <row r="1766">
      <c r="A1766">
        <v>20073428</v>
      </c>
      <c r="B1766">
        <v>-2250</v>
      </c>
    </row>
    <row r="1767">
      <c r="A1767">
        <v>20074335</v>
      </c>
      <c r="B1767">
        <v>-4500</v>
      </c>
    </row>
    <row r="1768">
      <c r="A1768">
        <v>20074430</v>
      </c>
      <c r="B1768">
        <v>-122342.22</v>
      </c>
    </row>
    <row r="1769">
      <c r="A1769">
        <v>20074588</v>
      </c>
      <c r="B1769">
        <v>-107228.05</v>
      </c>
    </row>
    <row r="1770">
      <c r="A1770">
        <v>20076065</v>
      </c>
      <c r="B1770">
        <v>-452846</v>
      </c>
    </row>
    <row r="1771">
      <c r="A1771">
        <v>20077342</v>
      </c>
      <c r="B1771">
        <v>-3005</v>
      </c>
    </row>
    <row r="1772">
      <c r="A1772">
        <v>20077744</v>
      </c>
      <c r="B1772">
        <v>-372.27</v>
      </c>
    </row>
    <row r="1773">
      <c r="A1773">
        <v>20077912</v>
      </c>
      <c r="B1773">
        <v>-1763.25</v>
      </c>
    </row>
    <row r="1774">
      <c r="A1774">
        <v>20077963</v>
      </c>
      <c r="B1774">
        <v>-7042.57</v>
      </c>
    </row>
    <row r="1775">
      <c r="A1775">
        <v>20078189</v>
      </c>
      <c r="B1775">
        <v>-49552.5</v>
      </c>
    </row>
    <row r="1776">
      <c r="A1776">
        <v>20080433</v>
      </c>
      <c r="B1776">
        <v>-33850.18</v>
      </c>
    </row>
    <row r="1777">
      <c r="A1777">
        <v>20080540</v>
      </c>
      <c r="B1777">
        <v>30128.13</v>
      </c>
    </row>
    <row r="1778">
      <c r="A1778">
        <v>20082640</v>
      </c>
      <c r="B1778">
        <v>-500</v>
      </c>
    </row>
    <row r="1779">
      <c r="A1779">
        <v>20082785</v>
      </c>
      <c r="B1779">
        <v>-2464.1</v>
      </c>
    </row>
    <row r="1780">
      <c r="A1780">
        <v>20084835</v>
      </c>
      <c r="B1780">
        <v>-27160</v>
      </c>
    </row>
    <row r="1781">
      <c r="A1781">
        <v>20095656</v>
      </c>
      <c r="B1781">
        <v>-150</v>
      </c>
    </row>
    <row r="1782">
      <c r="A1782">
        <v>20119756</v>
      </c>
      <c r="B1782">
        <v>-2000</v>
      </c>
    </row>
    <row r="1783">
      <c r="A1783">
        <v>20123178</v>
      </c>
      <c r="B1783">
        <v>-16911</v>
      </c>
    </row>
    <row r="1784">
      <c r="A1784">
        <v>20139724</v>
      </c>
      <c r="B1784">
        <v>-3800</v>
      </c>
    </row>
    <row r="1785">
      <c r="A1785">
        <v>20147335</v>
      </c>
      <c r="B1785">
        <v>-100</v>
      </c>
    </row>
    <row r="1786">
      <c r="A1786">
        <v>20147721</v>
      </c>
      <c r="B1786">
        <v>-640.63</v>
      </c>
    </row>
    <row r="1787">
      <c r="A1787">
        <v>20148140</v>
      </c>
      <c r="B1787">
        <v>-57</v>
      </c>
    </row>
    <row r="1788">
      <c r="A1788">
        <v>20149303</v>
      </c>
      <c r="B1788">
        <v>19301.58</v>
      </c>
    </row>
    <row r="1789">
      <c r="A1789">
        <v>20150984</v>
      </c>
      <c r="B1789">
        <v>-350</v>
      </c>
    </row>
    <row r="1790">
      <c r="A1790">
        <v>20164709</v>
      </c>
      <c r="B1790">
        <v>-1000</v>
      </c>
    </row>
    <row r="1791">
      <c r="A1791">
        <v>20165462</v>
      </c>
      <c r="B1791">
        <v>-2501460.96</v>
      </c>
    </row>
    <row r="1792">
      <c r="A1792">
        <v>20165556</v>
      </c>
      <c r="B1792">
        <v>-1000</v>
      </c>
    </row>
    <row r="1793">
      <c r="A1793">
        <v>20165641</v>
      </c>
      <c r="B1793">
        <v>-800</v>
      </c>
    </row>
    <row r="1794">
      <c r="A1794">
        <v>20166056</v>
      </c>
      <c r="B1794">
        <v>-500</v>
      </c>
    </row>
    <row r="1795">
      <c r="A1795">
        <v>20166071</v>
      </c>
      <c r="B1795">
        <v>-1000</v>
      </c>
    </row>
    <row r="1796">
      <c r="A1796">
        <v>20166442</v>
      </c>
      <c r="B1796">
        <v>-14.11</v>
      </c>
    </row>
    <row r="1797">
      <c r="A1797">
        <v>20192033</v>
      </c>
      <c r="B1797">
        <v>-500</v>
      </c>
    </row>
    <row r="1798">
      <c r="A1798">
        <v>20192376</v>
      </c>
      <c r="B1798">
        <v>-276</v>
      </c>
    </row>
    <row r="1799">
      <c r="A1799">
        <v>20196563</v>
      </c>
      <c r="B1799">
        <v>9961.49</v>
      </c>
    </row>
    <row r="1800">
      <c r="A1800">
        <v>20197978</v>
      </c>
      <c r="B1800">
        <v>-161</v>
      </c>
    </row>
    <row r="1801">
      <c r="A1801">
        <v>20198364</v>
      </c>
      <c r="B1801">
        <v>-702220</v>
      </c>
    </row>
    <row r="1802">
      <c r="A1802">
        <v>20200271</v>
      </c>
      <c r="B1802">
        <v>-6848511.08</v>
      </c>
    </row>
    <row r="1803">
      <c r="A1803">
        <v>20201141</v>
      </c>
      <c r="B1803">
        <v>-3180</v>
      </c>
    </row>
    <row r="1804">
      <c r="A1804">
        <v>20201209</v>
      </c>
      <c r="B1804">
        <v>-917</v>
      </c>
    </row>
    <row r="1805">
      <c r="A1805">
        <v>20202344</v>
      </c>
      <c r="B1805">
        <v>1635.92</v>
      </c>
    </row>
    <row r="1806">
      <c r="A1806">
        <v>20202355</v>
      </c>
      <c r="B1806">
        <v>-103</v>
      </c>
    </row>
    <row r="1807">
      <c r="A1807">
        <v>20206870</v>
      </c>
      <c r="B1807">
        <v>379.8</v>
      </c>
    </row>
    <row r="1808">
      <c r="A1808">
        <v>20208178</v>
      </c>
      <c r="B1808">
        <v>-6654.27</v>
      </c>
    </row>
    <row r="1809">
      <c r="A1809">
        <v>20209150</v>
      </c>
      <c r="B1809">
        <v>-27600</v>
      </c>
    </row>
    <row r="1810">
      <c r="A1810">
        <v>20210517</v>
      </c>
      <c r="B1810">
        <v>-100000</v>
      </c>
    </row>
    <row r="1811">
      <c r="A1811">
        <v>20213628</v>
      </c>
      <c r="B1811">
        <v>-5000</v>
      </c>
    </row>
    <row r="1812">
      <c r="A1812">
        <v>20213899</v>
      </c>
      <c r="B1812">
        <v>-1000</v>
      </c>
    </row>
    <row r="1813">
      <c r="A1813">
        <v>20214571</v>
      </c>
      <c r="B1813">
        <v>-175</v>
      </c>
    </row>
    <row r="1814">
      <c r="A1814">
        <v>20214848</v>
      </c>
      <c r="B1814">
        <v>-315</v>
      </c>
    </row>
    <row r="1815">
      <c r="A1815">
        <v>20216368</v>
      </c>
      <c r="B1815">
        <v>-800</v>
      </c>
    </row>
    <row r="1816">
      <c r="A1816">
        <v>20218079</v>
      </c>
      <c r="B1816">
        <v>-11648</v>
      </c>
    </row>
    <row r="1817">
      <c r="A1817">
        <v>20218619</v>
      </c>
      <c r="B1817">
        <v>-3000</v>
      </c>
    </row>
    <row r="1818">
      <c r="A1818">
        <v>20218634</v>
      </c>
      <c r="B1818">
        <v>-615100.94</v>
      </c>
    </row>
    <row r="1819">
      <c r="A1819">
        <v>20219363</v>
      </c>
      <c r="B1819">
        <v>-0.33</v>
      </c>
    </row>
    <row r="1820">
      <c r="A1820">
        <v>20219513</v>
      </c>
      <c r="B1820">
        <v>-69544.53</v>
      </c>
    </row>
    <row r="1821">
      <c r="A1821">
        <v>20219979</v>
      </c>
      <c r="B1821">
        <v>145535</v>
      </c>
    </row>
    <row r="1822">
      <c r="A1822">
        <v>20220179</v>
      </c>
      <c r="B1822">
        <v>10000</v>
      </c>
    </row>
    <row r="1823">
      <c r="A1823">
        <v>20220244</v>
      </c>
      <c r="B1823">
        <v>-698</v>
      </c>
    </row>
    <row r="1824">
      <c r="A1824">
        <v>20220710</v>
      </c>
      <c r="B1824">
        <v>-30000</v>
      </c>
    </row>
    <row r="1825">
      <c r="A1825">
        <v>20220741</v>
      </c>
      <c r="B1825">
        <v>-285</v>
      </c>
    </row>
    <row r="1826">
      <c r="A1826">
        <v>20220742</v>
      </c>
      <c r="B1826">
        <v>-1000</v>
      </c>
    </row>
    <row r="1827">
      <c r="A1827">
        <v>20220860</v>
      </c>
      <c r="B1827">
        <v>-192782.4</v>
      </c>
    </row>
    <row r="1828">
      <c r="A1828">
        <v>20221059</v>
      </c>
      <c r="B1828">
        <v>-35527.5</v>
      </c>
    </row>
    <row r="1829">
      <c r="A1829">
        <v>20221594</v>
      </c>
      <c r="B1829">
        <v>-500</v>
      </c>
    </row>
    <row r="1830">
      <c r="A1830">
        <v>20222579</v>
      </c>
      <c r="B1830">
        <v>-1200</v>
      </c>
    </row>
    <row r="1831">
      <c r="A1831">
        <v>20222609</v>
      </c>
      <c r="B1831">
        <v>-1800</v>
      </c>
    </row>
    <row r="1832">
      <c r="A1832">
        <v>20222887</v>
      </c>
      <c r="B1832">
        <v>-6121.9</v>
      </c>
    </row>
    <row r="1833">
      <c r="A1833">
        <v>20223472</v>
      </c>
      <c r="B1833">
        <v>-530973.45</v>
      </c>
    </row>
    <row r="1834">
      <c r="A1834">
        <v>20223478</v>
      </c>
      <c r="B1834">
        <v>-294997.8</v>
      </c>
    </row>
    <row r="1835">
      <c r="A1835">
        <v>20223648</v>
      </c>
      <c r="B1835">
        <v>-141305.47</v>
      </c>
    </row>
    <row r="1836">
      <c r="A1836">
        <v>20224069</v>
      </c>
      <c r="B1836">
        <v>-627239.93</v>
      </c>
    </row>
    <row r="1837">
      <c r="A1837">
        <v>20224355</v>
      </c>
      <c r="B1837">
        <v>-59890</v>
      </c>
    </row>
    <row r="1838">
      <c r="A1838">
        <v>20224379</v>
      </c>
      <c r="B1838">
        <v>-116443.11</v>
      </c>
    </row>
    <row r="1839">
      <c r="A1839">
        <v>20224504</v>
      </c>
      <c r="B1839">
        <v>-8500</v>
      </c>
    </row>
    <row r="1840">
      <c r="A1840">
        <v>20224888</v>
      </c>
      <c r="B1840">
        <v>-26000</v>
      </c>
    </row>
    <row r="1841">
      <c r="A1841">
        <v>20225670</v>
      </c>
      <c r="B1841">
        <v>-6620.33</v>
      </c>
    </row>
    <row r="1842">
      <c r="A1842">
        <v>20225921</v>
      </c>
      <c r="B1842">
        <v>-28178.06</v>
      </c>
    </row>
    <row r="1843">
      <c r="A1843">
        <v>20226265</v>
      </c>
      <c r="B1843">
        <v>-2000</v>
      </c>
    </row>
    <row r="1844">
      <c r="A1844">
        <v>20226452</v>
      </c>
      <c r="B1844">
        <v>52016</v>
      </c>
    </row>
    <row r="1845">
      <c r="A1845">
        <v>20226696</v>
      </c>
      <c r="B1845">
        <v>-46072.01</v>
      </c>
    </row>
    <row r="1846">
      <c r="A1846">
        <v>20226765</v>
      </c>
      <c r="B1846">
        <v>-30000</v>
      </c>
    </row>
    <row r="1847">
      <c r="A1847">
        <v>20226977</v>
      </c>
      <c r="B1847">
        <v>111679.05</v>
      </c>
    </row>
    <row r="1848">
      <c r="A1848">
        <v>20229185</v>
      </c>
      <c r="B1848">
        <v>220000</v>
      </c>
    </row>
    <row r="1849">
      <c r="A1849">
        <v>20229390</v>
      </c>
      <c r="B1849">
        <v>-99975.22</v>
      </c>
    </row>
    <row r="1850">
      <c r="A1850">
        <v>20229401</v>
      </c>
      <c r="B1850">
        <v>-99979.6</v>
      </c>
    </row>
    <row r="1851">
      <c r="A1851">
        <v>20230332</v>
      </c>
      <c r="B1851">
        <v>-2639.68</v>
      </c>
    </row>
    <row r="1852">
      <c r="A1852">
        <v>20231959</v>
      </c>
      <c r="B1852">
        <v>-200</v>
      </c>
    </row>
    <row r="1853">
      <c r="A1853">
        <v>20231974</v>
      </c>
      <c r="B1853">
        <v>-21404.5</v>
      </c>
    </row>
    <row r="1854">
      <c r="A1854">
        <v>20233662</v>
      </c>
      <c r="B1854">
        <v>-23814.95</v>
      </c>
    </row>
    <row r="1855">
      <c r="A1855">
        <v>20233706</v>
      </c>
      <c r="B1855">
        <v>-2595</v>
      </c>
    </row>
    <row r="1856">
      <c r="A1856">
        <v>20234896</v>
      </c>
      <c r="B1856">
        <v>-347900</v>
      </c>
    </row>
    <row r="1857">
      <c r="A1857">
        <v>20234988</v>
      </c>
      <c r="B1857">
        <v>-148026.4</v>
      </c>
    </row>
    <row r="1858">
      <c r="A1858">
        <v>20250311</v>
      </c>
      <c r="B1858">
        <v>-50000</v>
      </c>
    </row>
    <row r="1859">
      <c r="A1859">
        <v>20251266</v>
      </c>
      <c r="B1859">
        <v>-1000</v>
      </c>
    </row>
    <row r="1860">
      <c r="A1860">
        <v>20252059</v>
      </c>
      <c r="B1860">
        <v>200000</v>
      </c>
    </row>
    <row r="1861">
      <c r="A1861">
        <v>20265328</v>
      </c>
      <c r="B1861">
        <v>-10000</v>
      </c>
    </row>
    <row r="1862">
      <c r="A1862">
        <v>20267466</v>
      </c>
      <c r="B1862">
        <v>-222500</v>
      </c>
    </row>
    <row r="1863">
      <c r="A1863">
        <v>20267571</v>
      </c>
      <c r="B1863">
        <v>-1300000</v>
      </c>
    </row>
    <row r="1864">
      <c r="A1864">
        <v>70012178</v>
      </c>
      <c r="B1864">
        <v>2516621.83</v>
      </c>
    </row>
    <row r="1865">
      <c r="A1865">
        <v>1121010000</v>
      </c>
      <c r="B1865" s="2015">
        <v>0.0000000149012</v>
      </c>
    </row>
    <row r="1866">
      <c r="A1866">
        <v>1122000099</v>
      </c>
      <c r="B1866">
        <v>3969966054</v>
      </c>
    </row>
    <row r="1867">
      <c r="A1867">
        <v>1123000099</v>
      </c>
      <c r="B1867">
        <v>658048235.9</v>
      </c>
    </row>
    <row r="1868">
      <c r="A1868">
        <v>1221000097</v>
      </c>
      <c r="B1868">
        <v>27765491.2</v>
      </c>
    </row>
    <row r="1869">
      <c r="A1869">
        <v>1221000098</v>
      </c>
      <c r="B1869">
        <v>8963386.17</v>
      </c>
    </row>
    <row r="1870">
      <c r="A1870">
        <v>2201040000</v>
      </c>
      <c r="B1870">
        <v>-1628126362</v>
      </c>
    </row>
    <row r="1871">
      <c r="A1871">
        <v>2202000088</v>
      </c>
      <c r="B1871">
        <v>-2021035.66</v>
      </c>
    </row>
    <row r="1872">
      <c r="A1872">
        <v>2202000097</v>
      </c>
      <c r="B1872">
        <v>-658048235.9</v>
      </c>
    </row>
    <row r="1873">
      <c r="A1873">
        <v>2204000000</v>
      </c>
      <c r="B1873">
        <v>-3513244296</v>
      </c>
    </row>
    <row r="1874">
      <c r="A1874">
        <v>2241000097</v>
      </c>
      <c r="B1874">
        <v>-8963386.17</v>
      </c>
    </row>
    <row r="1875">
      <c r="A1875">
        <v>2241000098</v>
      </c>
      <c r="B1875">
        <v>-27765491.2</v>
      </c>
    </row>
    <row r="1876">
      <c r="A1876">
        <v>2241030000</v>
      </c>
      <c r="B1876">
        <v>-2480</v>
      </c>
    </row>
    <row r="1877">
      <c r="A1877">
        <v>2241100000</v>
      </c>
      <c r="B1877">
        <v>-26770.9</v>
      </c>
    </row>
    <row r="1878">
      <c r="A1878">
        <v>4001020000</v>
      </c>
      <c r="B1878">
        <v>-100910000</v>
      </c>
    </row>
    <row r="1879">
      <c r="A1879" t="s">
        <v>6922</v>
      </c>
      <c r="B1879">
        <v>36684.48</v>
      </c>
    </row>
    <row r="1880">
      <c r="A1880" t="s">
        <v>6923</v>
      </c>
      <c r="B1880">
        <v>12779.36</v>
      </c>
    </row>
    <row r="1881">
      <c r="A1881" t="s">
        <v>6924</v>
      </c>
      <c r="B1881">
        <v>9953317.12</v>
      </c>
    </row>
    <row r="1882">
      <c r="A1882" t="s">
        <v>6925</v>
      </c>
      <c r="B1882">
        <v>-402952.92</v>
      </c>
    </row>
    <row r="1883">
      <c r="A1883" t="s">
        <v>6926</v>
      </c>
      <c r="B1883">
        <v>270832.75</v>
      </c>
    </row>
    <row r="1884">
      <c r="A1884" t="s">
        <v>6927</v>
      </c>
      <c r="B1884">
        <v>755389.64</v>
      </c>
    </row>
    <row r="1885">
      <c r="A1885" t="s">
        <v>6928</v>
      </c>
      <c r="B1885">
        <v>266892.61</v>
      </c>
    </row>
    <row r="1886">
      <c r="A1886" t="s">
        <v>6929</v>
      </c>
      <c r="B1886">
        <v>952197.8</v>
      </c>
    </row>
    <row r="1887">
      <c r="A1887" t="s">
        <v>6930</v>
      </c>
      <c r="B1887">
        <v>187296.47</v>
      </c>
    </row>
    <row r="1888">
      <c r="A1888" t="s">
        <v>6931</v>
      </c>
      <c r="B1888">
        <v>360659.66</v>
      </c>
    </row>
    <row r="1889">
      <c r="A1889" t="s">
        <v>6932</v>
      </c>
      <c r="B1889">
        <v>160002.23</v>
      </c>
    </row>
    <row r="1890">
      <c r="A1890" t="s">
        <v>6933</v>
      </c>
      <c r="B1890">
        <v>1878704.62</v>
      </c>
    </row>
    <row r="1891">
      <c r="A1891" t="s">
        <v>6934</v>
      </c>
      <c r="B1891">
        <v>4.49</v>
      </c>
    </row>
    <row r="1892">
      <c r="A1892" t="s">
        <v>6935</v>
      </c>
      <c r="B1892">
        <v>-81065.41</v>
      </c>
    </row>
    <row r="1893">
      <c r="A1893" t="s">
        <v>6936</v>
      </c>
      <c r="B1893">
        <v>31.58</v>
      </c>
    </row>
    <row r="1894">
      <c r="A1894" t="s">
        <v>6937</v>
      </c>
      <c r="B1894">
        <v>1367283.91</v>
      </c>
    </row>
    <row r="1895">
      <c r="A1895" t="s">
        <v>6938</v>
      </c>
      <c r="B1895">
        <v>77810.77</v>
      </c>
    </row>
    <row r="1896">
      <c r="A1896" t="s">
        <v>6939</v>
      </c>
      <c r="B1896">
        <v>484448.45</v>
      </c>
    </row>
    <row r="1897">
      <c r="A1897" t="s">
        <v>6940</v>
      </c>
      <c r="B1897">
        <v>1730822.66</v>
      </c>
    </row>
    <row r="1898">
      <c r="A1898" t="s">
        <v>6941</v>
      </c>
      <c r="B1898">
        <v>9285350.99</v>
      </c>
    </row>
    <row r="1899">
      <c r="A1899" t="s">
        <v>6942</v>
      </c>
      <c r="B1899">
        <v>875255.46</v>
      </c>
    </row>
    <row r="1900">
      <c r="A1900" t="s">
        <v>6943</v>
      </c>
      <c r="B1900">
        <v>1537900.75</v>
      </c>
    </row>
    <row r="1901">
      <c r="A1901" t="s">
        <v>6944</v>
      </c>
      <c r="B1901">
        <v>-3583.29</v>
      </c>
    </row>
    <row r="1902">
      <c r="A1902" t="s">
        <v>6945</v>
      </c>
      <c r="B1902">
        <v>254488.3</v>
      </c>
    </row>
    <row r="1903">
      <c r="A1903" t="s">
        <v>6946</v>
      </c>
      <c r="B1903">
        <v>637.91</v>
      </c>
    </row>
    <row r="1904">
      <c r="A1904" t="s">
        <v>6947</v>
      </c>
      <c r="B1904">
        <v>1057.6</v>
      </c>
    </row>
    <row r="1905">
      <c r="A1905" t="s">
        <v>6948</v>
      </c>
      <c r="B1905">
        <v>130399.92</v>
      </c>
    </row>
    <row r="1906">
      <c r="A1906" t="s">
        <v>6949</v>
      </c>
      <c r="B1906">
        <v>1406594.71</v>
      </c>
    </row>
    <row r="1907">
      <c r="A1907" t="s">
        <v>6950</v>
      </c>
      <c r="B1907">
        <v>151888.77</v>
      </c>
    </row>
    <row r="1908">
      <c r="A1908" t="s">
        <v>6951</v>
      </c>
      <c r="B1908">
        <v>16026.89</v>
      </c>
    </row>
    <row r="1909">
      <c r="A1909" t="s">
        <v>6952</v>
      </c>
      <c r="B1909">
        <v>608052.04</v>
      </c>
    </row>
    <row r="1910">
      <c r="A1910" t="s">
        <v>6953</v>
      </c>
      <c r="B1910">
        <v>60942.42</v>
      </c>
    </row>
    <row r="1911">
      <c r="A1911" t="s">
        <v>6954</v>
      </c>
      <c r="B1911">
        <v>955753.06</v>
      </c>
    </row>
    <row r="1912">
      <c r="A1912" t="s">
        <v>6955</v>
      </c>
      <c r="B1912">
        <v>317616.86</v>
      </c>
    </row>
    <row r="1913">
      <c r="A1913" t="s">
        <v>6956</v>
      </c>
      <c r="B1913">
        <v>-19250</v>
      </c>
    </row>
    <row r="1914">
      <c r="A1914" t="s">
        <v>6957</v>
      </c>
      <c r="B1914">
        <v>965488.91</v>
      </c>
    </row>
    <row r="1915">
      <c r="A1915" t="s">
        <v>6958</v>
      </c>
      <c r="B1915">
        <v>-15398.5</v>
      </c>
    </row>
    <row r="1916">
      <c r="A1916" t="s">
        <v>6959</v>
      </c>
      <c r="B1916">
        <v>-32858</v>
      </c>
    </row>
    <row r="1917">
      <c r="A1917" t="s">
        <v>6960</v>
      </c>
      <c r="B1917">
        <v>555476.17</v>
      </c>
    </row>
    <row r="1918">
      <c r="A1918" t="s">
        <v>6961</v>
      </c>
      <c r="B1918">
        <v>58398546.95</v>
      </c>
    </row>
    <row r="1919">
      <c r="A1919" t="s">
        <v>6962</v>
      </c>
      <c r="B1919">
        <v>-320759.04</v>
      </c>
    </row>
    <row r="1920">
      <c r="A1920" t="s">
        <v>6963</v>
      </c>
      <c r="B1920">
        <v>262264.18</v>
      </c>
    </row>
    <row r="1921">
      <c r="A1921" t="s">
        <v>6964</v>
      </c>
      <c r="B1921">
        <v>10262521.82</v>
      </c>
    </row>
    <row r="1922">
      <c r="A1922" t="s">
        <v>6965</v>
      </c>
      <c r="B1922">
        <v>1867708.43</v>
      </c>
    </row>
    <row r="1923">
      <c r="A1923" t="s">
        <v>6966</v>
      </c>
      <c r="B1923">
        <v>2243692.05</v>
      </c>
    </row>
    <row r="1924">
      <c r="A1924" t="s">
        <v>6967</v>
      </c>
      <c r="B1924">
        <v>0</v>
      </c>
    </row>
    <row r="1925">
      <c r="A1925" t="s">
        <v>6968</v>
      </c>
      <c r="B1925">
        <v>73540</v>
      </c>
    </row>
    <row r="1926">
      <c r="A1926" t="s">
        <v>6969</v>
      </c>
      <c r="B1926">
        <v>-91600</v>
      </c>
    </row>
    <row r="1927">
      <c r="A1927" t="s">
        <v>6970</v>
      </c>
      <c r="B1927">
        <v>50000</v>
      </c>
    </row>
    <row r="1928">
      <c r="A1928" t="s">
        <v>6971</v>
      </c>
      <c r="B1928">
        <v>324999.86</v>
      </c>
    </row>
    <row r="1929">
      <c r="A1929" t="s">
        <v>6972</v>
      </c>
      <c r="B1929">
        <v>70950.63</v>
      </c>
    </row>
    <row r="1930">
      <c r="A1930" t="s">
        <v>6973</v>
      </c>
      <c r="B1930">
        <v>10000</v>
      </c>
    </row>
    <row r="1931">
      <c r="A1931" t="s">
        <v>6974</v>
      </c>
      <c r="B1931">
        <v>32240</v>
      </c>
    </row>
    <row r="1932">
      <c r="A1932" t="s">
        <v>6975</v>
      </c>
      <c r="B1932">
        <v>15000</v>
      </c>
    </row>
    <row r="1933">
      <c r="A1933" t="s">
        <v>6976</v>
      </c>
      <c r="B1933">
        <v>60000</v>
      </c>
    </row>
    <row r="1934">
      <c r="A1934" t="s">
        <v>6977</v>
      </c>
      <c r="B1934">
        <v>50000</v>
      </c>
    </row>
    <row r="1935">
      <c r="A1935" t="s">
        <v>6978</v>
      </c>
      <c r="B1935">
        <v>-3141844579</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